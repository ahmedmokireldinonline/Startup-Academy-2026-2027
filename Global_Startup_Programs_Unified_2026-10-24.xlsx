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Database" sheetId="2" state="visible" r:id="rId2"/>
    <sheet xmlns:r="http://schemas.openxmlformats.org/officeDocument/2006/relationships" name="AI &amp; LLM Credits" sheetId="3" state="visible" r:id="rId3"/>
    <sheet xmlns:r="http://schemas.openxmlformats.org/officeDocument/2006/relationships" name="Cloud &amp; Infrastructure" sheetId="4" state="visible" r:id="rId4"/>
    <sheet xmlns:r="http://schemas.openxmlformats.org/officeDocument/2006/relationships" name="SaaS &amp; Marketing Offers" sheetId="5" state="visible" r:id="rId5"/>
    <sheet xmlns:r="http://schemas.openxmlformats.org/officeDocument/2006/relationships" name="Cash Grants &amp; Funding" sheetId="6" state="visible" r:id="rId6"/>
    <sheet xmlns:r="http://schemas.openxmlformats.org/officeDocument/2006/relationships" name="Egypt &amp; MENA" sheetId="7" state="visible" r:id="rId7"/>
    <sheet xmlns:r="http://schemas.openxmlformats.org/officeDocument/2006/relationships" name="Accelerators &amp; Networks" sheetId="8" state="visible" r:id="rId8"/>
    <sheet xmlns:r="http://schemas.openxmlformats.org/officeDocument/2006/relationships" name="Application Tracker" sheetId="9" state="visible" r:id="rId9"/>
    <sheet xmlns:r="http://schemas.openxmlformats.org/officeDocument/2006/relationships" name="Research Sources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Quick Wins" sheetId="12" state="visible" r:id="rId12"/>
    <sheet xmlns:r="http://schemas.openxmlformats.org/officeDocument/2006/relationships" name="Priority Scoring" sheetId="13" state="visible" r:id="rId13"/>
    <sheet xmlns:r="http://schemas.openxmlformats.org/officeDocument/2006/relationships" name="Unified Programs" sheetId="14" state="visible" r:id="rId14"/>
    <sheet xmlns:r="http://schemas.openxmlformats.org/officeDocument/2006/relationships" name="Promo &amp; Referral" sheetId="15" state="visible" r:id="rId15"/>
    <sheet xmlns:r="http://schemas.openxmlformats.org/officeDocument/2006/relationships" name="Duplicate Review" sheetId="16" state="visible" r:id="rId16"/>
    <sheet xmlns:r="http://schemas.openxmlformats.org/officeDocument/2006/relationships" name="Repo Inventory" sheetId="17" state="visible" r:id="rId17"/>
    <sheet xmlns:r="http://schemas.openxmlformats.org/officeDocument/2006/relationships" name="Field Guide" sheetId="18" state="visible" r:id="rId18"/>
  </sheets>
  <definedNames>
    <definedName name="_xlnm._FilterDatabase" localSheetId="13" hidden="1">'Unified Programs'!$A$1:$BF$119</definedName>
    <definedName name="_xlnm._FilterDatabase" localSheetId="14" hidden="1">'Promo &amp; Referral'!$A$1:$J$119</definedName>
    <definedName name="_xlnm._FilterDatabase" localSheetId="15" hidden="1">'Duplicate Review'!$A$1:$I$5</definedName>
    <definedName name="_xlnm._FilterDatabase" localSheetId="16" hidden="1">'Repo Inventory'!$A$1:$D$6</definedName>
    <definedName name="_xlnm._FilterDatabase" localSheetId="17" hidden="1">'Field Guide'!$A$1:$B$8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563C1"/>
      <sz val="10"/>
      <u val="single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color rgb="FF0000FF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8064A2"/>
      </patternFill>
    </fill>
    <fill>
      <patternFill patternType="solid">
        <fgColor rgb="0070AD47"/>
      </patternFill>
    </fill>
    <fill>
      <patternFill patternType="solid">
        <fgColor rgb="00A5A5A5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 wrapText="1"/>
    </xf>
    <xf numFmtId="3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9" fontId="5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 wrapText="1"/>
    </xf>
    <xf numFmtId="3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9" fontId="5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2" fillId="6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  <sz val="10"/>
      </font>
    </dxf>
    <dxf>
      <font>
        <name val="Arial"/>
        <charset val="1"/>
        <family val="0"/>
        <b val="1"/>
        <color rgb="FF9C0006"/>
        <sz val="10"/>
      </font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Records by main category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Dashboard!B21</f>
              <strCache>
                <ptCount val="1"/>
                <pt idx="0">
                  <v>Records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Dashboard!$A$22:$A$26</f>
              <strCache>
                <ptCount val="5"/>
                <pt idx="0">
                  <v>AI &amp; LLM Credits</v>
                </pt>
                <pt idx="1">
                  <v>Cloud &amp; Infrastructure</v>
                </pt>
                <pt idx="2">
                  <v>SaaS &amp; Marketing</v>
                </pt>
                <pt idx="3">
                  <v>Cash Grants &amp; Non-Dilutive</v>
                </pt>
                <pt idx="4">
                  <v>Accelerators &amp; Partner Networks</v>
                </pt>
              </strCache>
            </strRef>
          </cat>
          <val>
            <numRef>
              <f>Dashboard!$B$22:$B$26</f>
              <numCache>
                <formatCode>General</formatCode>
                <ptCount val="5"/>
                <pt idx="0">
                  <v>29</v>
                </pt>
                <pt idx="1">
                  <v>44</v>
                </pt>
                <pt idx="2">
                  <v>13</v>
                </pt>
                <pt idx="3">
                  <v>1</v>
                </pt>
                <pt idx="4">
                  <v>5</v>
                </pt>
              </numCache>
            </numRef>
          </val>
        </ser>
        <gapWidth val="150"/>
        <overlap val="0"/>
        <axId val="48946591"/>
        <axId val="36287773"/>
      </barChart>
      <catAx>
        <axId val="489465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6287773"/>
        <crosses val="autoZero"/>
        <auto val="1"/>
        <lblAlgn val="ctr"/>
        <lblOffset val="100"/>
        <noMultiLvlLbl val="0"/>
      </catAx>
      <valAx>
        <axId val="3628777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894659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Records by program status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Dashboard!B30</f>
              <strCache>
                <ptCount val="1"/>
                <pt idx="0">
                  <v>Records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Dashboard!$A$31:$A$35</f>
              <strCache>
                <ptCount val="5"/>
                <pt idx="0">
                  <v>Open</v>
                </pt>
                <pt idx="1">
                  <v>Rolling</v>
                </pt>
                <pt idx="2">
                  <v>Waitlist</v>
                </pt>
                <pt idx="3">
                  <v>Closed</v>
                </pt>
                <pt idx="4">
                  <v>Unknown</v>
                </pt>
              </strCache>
            </strRef>
          </cat>
          <val>
            <numRef>
              <f>Dashboard!$B$31:$B$35</f>
              <numCache>
                <formatCode>General</formatCode>
                <ptCount val="5"/>
                <pt idx="0">
                  <v>85</v>
                </pt>
                <pt idx="1">
                  <v>2</v>
                </pt>
                <pt idx="2">
                  <v>1</v>
                </pt>
                <pt idx="3">
                  <v>1</v>
                </pt>
                <pt idx="4">
                  <v>3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2</row>
      <rowOff>160920</rowOff>
    </from>
    <to>
      <col>15</col>
      <colOff>255960</colOff>
      <row>17</row>
      <rowOff>182880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0</colOff>
      <row>20</row>
      <rowOff>160920</rowOff>
    </from>
    <to>
      <col>13</col>
      <colOff>39240</colOff>
      <row>35</row>
      <rowOff>182880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asterDB" displayName="MasterDB" ref="A1:AV93" headerRowCount="1" totalsRowCount="0" totalsRowShown="0">
  <autoFilter ref="A1:AV93"/>
  <tableColumns count="48">
    <tableColumn id="1" name="Record ID"/>
    <tableColumn id="2" name="Company Name"/>
    <tableColumn id="3" name="Program Name"/>
    <tableColumn id="4" name="Parent Company"/>
    <tableColumn id="5" name="Main Category"/>
    <tableColumn id="6" name="Subcategory"/>
    <tableColumn id="7" name="Benefit Type"/>
    <tableColumn id="8" name="Benefit Description"/>
    <tableColumn id="9" name="Maximum Advertised Value"/>
    <tableColumn id="10" name="Currency"/>
    <tableColumn id="11" name="Value Type"/>
    <tableColumn id="12" name="Minimum Guaranteed Value"/>
    <tableColumn id="13" name="Free Credits Amount"/>
    <tableColumn id="14" name="Discount Percentage"/>
    <tableColumn id="15" name="Free Plan Availability"/>
    <tableColumn id="16" name="Benefit Duration"/>
    <tableColumn id="17" name="Expiration or Application Deadline"/>
    <tableColumn id="18" name="Program Status"/>
    <tableColumn id="19" name="Application URL"/>
    <tableColumn id="20" name="Official Program URL"/>
    <tableColumn id="21" name="Redemption URL"/>
    <tableColumn id="22" name="Eligibility Requirements"/>
    <tableColumn id="23" name="Startup Stage Requirements"/>
    <tableColumn id="24" name="Company Registration Required?"/>
    <tableColumn id="25" name="Funding or VC Backing Required?"/>
    <tableColumn id="26" name="Geographic Eligibility"/>
    <tableColumn id="27" name="Available to Egypt-Based Startups?"/>
    <tableColumn id="28" name="Available to Bootstrapped Startups?"/>
    <tableColumn id="29" name="Available to Solo Founders?"/>
    <tableColumn id="30" name="AI-Specific Program?"/>
    <tableColumn id="31" name="Partner or Accelerator Required?"/>
    <tableColumn id="32" name="Application Method"/>
    <tableColumn id="33" name="Required Documents"/>
    <tableColumn id="34" name="Usage Restrictions"/>
    <tableColumn id="35" name="Renewal Conditions"/>
    <tableColumn id="36" name="Stacking Policy"/>
    <tableColumn id="37" name="Account or Payment Requirements"/>
    <tableColumn id="38" name="Key Limitations"/>
    <tableColumn id="39" name="Official Evidence URL"/>
    <tableColumn id="40" name="Secondary Evidence URL"/>
    <tableColumn id="41" name="Evidence Excerpt or Supporting Fact"/>
    <tableColumn id="42" name="Last Verified Date"/>
    <tableColumn id="43" name="Verification Confidence"/>
    <tableColumn id="44" name="Source Type"/>
    <tableColumn id="45" name="Country or Region"/>
    <tableColumn id="46" name="Tags"/>
    <tableColumn id="47" name="Research Notes"/>
    <tableColumn id="48" name="Duplicate Group ID"/>
  </tableColumns>
</table>
</file>

<file path=xl/tables/table2.xml><?xml version="1.0" encoding="utf-8"?>
<table xmlns="http://schemas.openxmlformats.org/spreadsheetml/2006/main" id="2" name="AICredits" displayName="AICredits" ref="A1:O30" headerRowCount="1" totalsRowCount="0" totalsRowShown="0">
  <autoFilter ref="A1:O30"/>
  <tableColumns count="15">
    <tableColumn id="1" name="Record ID"/>
    <tableColumn id="2" name="Company Name"/>
    <tableColumn id="3" name="Program Name"/>
    <tableColumn id="4" name="Benefit Type"/>
    <tableColumn id="5" name="Maximum Advertised Value"/>
    <tableColumn id="6" name="Currency"/>
    <tableColumn id="7" name="Value Type"/>
    <tableColumn id="8" name="Program Status"/>
    <tableColumn id="9" name="Eligibility Requirements"/>
    <tableColumn id="10" name="Available to Egypt-Based Startups?"/>
    <tableColumn id="11" name="Available to Bootstrapped Startups?"/>
    <tableColumn id="12" name="Verification Confidence"/>
    <tableColumn id="13" name="Official Program URL"/>
    <tableColumn id="14" name="Official Evidence URL"/>
    <tableColumn id="15" name="Secondary Evidence URL"/>
  </tableColumns>
</table>
</file>

<file path=xl/tables/table3.xml><?xml version="1.0" encoding="utf-8"?>
<table xmlns="http://schemas.openxmlformats.org/spreadsheetml/2006/main" id="3" name="CloudInfra" displayName="CloudInfra" ref="A1:O45" headerRowCount="1" totalsRowCount="0" totalsRowShown="0">
  <autoFilter ref="A1:O45"/>
  <tableColumns count="15">
    <tableColumn id="1" name="Record ID"/>
    <tableColumn id="2" name="Company Name"/>
    <tableColumn id="3" name="Program Name"/>
    <tableColumn id="4" name="Benefit Type"/>
    <tableColumn id="5" name="Maximum Advertised Value"/>
    <tableColumn id="6" name="Currency"/>
    <tableColumn id="7" name="Value Type"/>
    <tableColumn id="8" name="Program Status"/>
    <tableColumn id="9" name="Eligibility Requirements"/>
    <tableColumn id="10" name="Available to Egypt-Based Startups?"/>
    <tableColumn id="11" name="Available to Bootstrapped Startups?"/>
    <tableColumn id="12" name="Verification Confidence"/>
    <tableColumn id="13" name="Official Program URL"/>
    <tableColumn id="14" name="Official Evidence URL"/>
    <tableColumn id="15" name="Secondary Evidence URL"/>
  </tableColumns>
</table>
</file>

<file path=xl/tables/table4.xml><?xml version="1.0" encoding="utf-8"?>
<table xmlns="http://schemas.openxmlformats.org/spreadsheetml/2006/main" id="4" name="SaaSOffers" displayName="SaaSOffers" ref="A1:O14" headerRowCount="1" totalsRowCount="0" totalsRowShown="0">
  <autoFilter ref="A1:O14"/>
  <tableColumns count="15">
    <tableColumn id="1" name="Record ID"/>
    <tableColumn id="2" name="Company Name"/>
    <tableColumn id="3" name="Program Name"/>
    <tableColumn id="4" name="Benefit Type"/>
    <tableColumn id="5" name="Maximum Advertised Value"/>
    <tableColumn id="6" name="Currency"/>
    <tableColumn id="7" name="Value Type"/>
    <tableColumn id="8" name="Program Status"/>
    <tableColumn id="9" name="Eligibility Requirements"/>
    <tableColumn id="10" name="Available to Egypt-Based Startups?"/>
    <tableColumn id="11" name="Available to Bootstrapped Startups?"/>
    <tableColumn id="12" name="Verification Confidence"/>
    <tableColumn id="13" name="Official Program URL"/>
    <tableColumn id="14" name="Official Evidence URL"/>
    <tableColumn id="15" name="Secondary Evidence URL"/>
  </tableColumns>
</table>
</file>

<file path=xl/tables/table5.xml><?xml version="1.0" encoding="utf-8"?>
<table xmlns="http://schemas.openxmlformats.org/spreadsheetml/2006/main" id="5" name="CashGrants" displayName="CashGrants" ref="A1:O2" headerRowCount="1" totalsRowCount="0" totalsRowShown="0">
  <autoFilter ref="A1:O2"/>
  <tableColumns count="15">
    <tableColumn id="1" name="Record ID"/>
    <tableColumn id="2" name="Company Name"/>
    <tableColumn id="3" name="Program Name"/>
    <tableColumn id="4" name="Benefit Type"/>
    <tableColumn id="5" name="Maximum Advertised Value"/>
    <tableColumn id="6" name="Currency"/>
    <tableColumn id="7" name="Value Type"/>
    <tableColumn id="8" name="Program Status"/>
    <tableColumn id="9" name="Eligibility Requirements"/>
    <tableColumn id="10" name="Available to Egypt-Based Startups?"/>
    <tableColumn id="11" name="Available to Bootstrapped Startups?"/>
    <tableColumn id="12" name="Verification Confidence"/>
    <tableColumn id="13" name="Official Program URL"/>
    <tableColumn id="14" name="Official Evidence URL"/>
    <tableColumn id="15" name="Secondary Evidence URL"/>
  </tableColumns>
</table>
</file>

<file path=xl/tables/table6.xml><?xml version="1.0" encoding="utf-8"?>
<table xmlns="http://schemas.openxmlformats.org/spreadsheetml/2006/main" id="6" name="EgyptMENA" displayName="EgyptMENA" ref="A1:O15" headerRowCount="1" totalsRowCount="0" totalsRowShown="0">
  <autoFilter ref="A1:O15"/>
  <tableColumns count="15">
    <tableColumn id="1" name="Record ID"/>
    <tableColumn id="2" name="Company Name"/>
    <tableColumn id="3" name="Program Name"/>
    <tableColumn id="4" name="Benefit Type"/>
    <tableColumn id="5" name="Maximum Advertised Value"/>
    <tableColumn id="6" name="Currency"/>
    <tableColumn id="7" name="Value Type"/>
    <tableColumn id="8" name="Program Status"/>
    <tableColumn id="9" name="Eligibility Requirements"/>
    <tableColumn id="10" name="Available to Egypt-Based Startups?"/>
    <tableColumn id="11" name="Available to Bootstrapped Startups?"/>
    <tableColumn id="12" name="Verification Confidence"/>
    <tableColumn id="13" name="Official Program URL"/>
    <tableColumn id="14" name="Official Evidence URL"/>
    <tableColumn id="15" name="Secondary Evidence URL"/>
  </tableColumns>
</table>
</file>

<file path=xl/tables/table7.xml><?xml version="1.0" encoding="utf-8"?>
<table xmlns="http://schemas.openxmlformats.org/spreadsheetml/2006/main" id="7" name="Accelerators" displayName="Accelerators" ref="A1:O10" headerRowCount="1" totalsRowCount="0" totalsRowShown="0">
  <autoFilter ref="A1:O10"/>
  <tableColumns count="15">
    <tableColumn id="1" name="Record ID"/>
    <tableColumn id="2" name="Company Name"/>
    <tableColumn id="3" name="Program Name"/>
    <tableColumn id="4" name="Benefit Type"/>
    <tableColumn id="5" name="Maximum Advertised Value"/>
    <tableColumn id="6" name="Currency"/>
    <tableColumn id="7" name="Value Type"/>
    <tableColumn id="8" name="Program Status"/>
    <tableColumn id="9" name="Eligibility Requirements"/>
    <tableColumn id="10" name="Available to Egypt-Based Startups?"/>
    <tableColumn id="11" name="Available to Bootstrapped Startups?"/>
    <tableColumn id="12" name="Verification Confidence"/>
    <tableColumn id="13" name="Official Program URL"/>
    <tableColumn id="14" name="Official Evidence URL"/>
    <tableColumn id="15" name="Secondary Evidence URL"/>
  </tableColumns>
</table>
</file>

<file path=xl/tables/table8.xml><?xml version="1.0" encoding="utf-8"?>
<table xmlns="http://schemas.openxmlformats.org/spreadsheetml/2006/main" id="8" name="Tracker" displayName="Tracker" ref="A1:M26" headerRowCount="1" totalsRowCount="0" totalsRowShown="0">
  <autoFilter ref="A1:M26"/>
  <tableColumns count="13">
    <tableColumn id="1" name="Company / Program"/>
    <tableColumn id="2" name="Record ID"/>
    <tableColumn id="3" name="Application URL"/>
    <tableColumn id="4" name="Priority"/>
    <tableColumn id="5" name="Eligibility Status"/>
    <tableColumn id="6" name="Application Status"/>
    <tableColumn id="7" name="Required Action"/>
    <tableColumn id="8" name="Documents Needed"/>
    <tableColumn id="9" name="Date Started"/>
    <tableColumn id="10" name="Submission Deadline"/>
    <tableColumn id="11" name="Follow-up Date"/>
    <tableColumn id="12" name="Outcome"/>
    <tableColumn id="13" name="Notes"/>
  </tableColumns>
</table>
</file>

<file path=xl/tables/table9.xml><?xml version="1.0" encoding="utf-8"?>
<table xmlns="http://schemas.openxmlformats.org/spreadsheetml/2006/main" id="9" name="Sources" displayName="Sources" ref="A1:F21" headerRowCount="1" totalsRowCount="0" totalsRowShown="0">
  <autoFilter ref="A1:F21"/>
  <tableColumns count="6">
    <tableColumn id="1" name="Source"/>
    <tableColumn id="2" name="URL"/>
    <tableColumn id="3" name="Type"/>
    <tableColumn id="4" name="Used for"/>
    <tableColumn id="5" name="Access status (2026-10-24)"/>
    <tableColumn id="6" name="Notes"/>
  </tableColumns>
</table>
</file>

<file path=xl/tables/table10.xml><?xml version="1.0" encoding="utf-8"?>
<table xmlns="http://schemas.openxmlformats.org/spreadsheetml/2006/main" id="10" name="QuickWins" displayName="QuickWins" ref="A1:J7" headerRowCount="1" totalsRowCount="0" totalsRowShown="0">
  <autoFilter ref="A1:J7"/>
  <tableColumns count="10">
    <tableColumn id="1" name="Rank"/>
    <tableColumn id="2" name="Record ID"/>
    <tableColumn id="3" name="Company"/>
    <tableColumn id="4" name="Program"/>
    <tableColumn id="5" name="Benefit"/>
    <tableColumn id="6" name="Max Value"/>
    <tableColumn id="7" name="Currency"/>
    <tableColumn id="8" name="Application URL"/>
    <tableColumn id="9" name="Why it qualifies / caveat"/>
    <tableColumn id="10" name="Priority score"/>
  </tableColumns>
</table>
</file>

<file path=xl/tables/table11.xml><?xml version="1.0" encoding="utf-8"?>
<table xmlns="http://schemas.openxmlformats.org/spreadsheetml/2006/main" id="11" name="PriorityScore" displayName="PriorityScore" ref="A1:L93" headerRowCount="1" totalsRowCount="0" totalsRowShown="0">
  <autoFilter ref="A1:L93"/>
  <tableColumns count="12">
    <tableColumn id="1" name="Record ID"/>
    <tableColumn id="2" name="Company"/>
    <tableColumn id="3" name="Program"/>
    <tableColumn id="4" name="Value (0-20)"/>
    <tableColumn id="5" name="Eligibility likelihood (0-25)"/>
    <tableColumn id="6" name="Open status (0-15)"/>
    <tableColumn id="7" name="Relevance (0-10)"/>
    <tableColumn id="8" name="Ease (0-10)"/>
    <tableColumn id="9" name="Egypt access (0-20)"/>
    <tableColumn id="10" name="Total (0-100)"/>
    <tableColumn id="11" name="Rank"/>
    <tableColumn id="12" name="Benefit Type"/>
  </tableColumns>
</table>
</file>

<file path=xl/tables/table12.xml><?xml version="1.0" encoding="utf-8"?>
<table xmlns="http://schemas.openxmlformats.org/spreadsheetml/2006/main" id="12" name="UnifiedProgramsTable" displayName="UnifiedProgramsTable" ref="A1:BF119" headerRowCount="1">
  <autoFilter ref="A1:BF119"/>
  <tableColumns count="58">
    <tableColumn id="1" name="Unified ID"/>
    <tableColumn id="2" name="Company / Provider"/>
    <tableColumn id="3" name="Program Name"/>
    <tableColumn id="4" name="Parent Company"/>
    <tableColumn id="5" name="Main Category"/>
    <tableColumn id="6" name="Subcategory"/>
    <tableColumn id="7" name="Benefit Type"/>
    <tableColumn id="8" name="Benefit Description"/>
    <tableColumn id="9" name="Maximum Advertised Value"/>
    <tableColumn id="10" name="Currency"/>
    <tableColumn id="11" name="Value Type"/>
    <tableColumn id="12" name="Minimum Guaranteed Value"/>
    <tableColumn id="13" name="Free Credits Amount"/>
    <tableColumn id="14" name="Discount Percentage"/>
    <tableColumn id="15" name="Program Status"/>
    <tableColumn id="16" name="Application URL"/>
    <tableColumn id="17" name="Official Program URL"/>
    <tableColumn id="18" name="Redemption URL"/>
    <tableColumn id="19" name="Eligibility Requirements"/>
    <tableColumn id="20" name="Startup Stage Requirements"/>
    <tableColumn id="21" name="Company Registration Required?"/>
    <tableColumn id="22" name="Funding or VC Backing Required?"/>
    <tableColumn id="23" name="Geographic Eligibility"/>
    <tableColumn id="24" name="Available to Egypt-Based Startups?"/>
    <tableColumn id="25" name="Available to Bootstrapped Startups?"/>
    <tableColumn id="26" name="Available to Solo Founders?"/>
    <tableColumn id="27" name="AI-Specific Program?"/>
    <tableColumn id="28" name="Partner or Accelerator Required?"/>
    <tableColumn id="29" name="Application Method"/>
    <tableColumn id="30" name="Required Documents"/>
    <tableColumn id="31" name="Usage Restrictions"/>
    <tableColumn id="32" name="Renewal Conditions"/>
    <tableColumn id="33" name="Stacking Policy"/>
    <tableColumn id="34" name="Account or Payment Requirements"/>
    <tableColumn id="35" name="Key Limitations"/>
    <tableColumn id="36" name="Official Evidence URL"/>
    <tableColumn id="37" name="Secondary Evidence URL"/>
    <tableColumn id="38" name="Evidence Excerpt or Supporting Fact"/>
    <tableColumn id="39" name="Last Verified Date"/>
    <tableColumn id="40" name="Verification Confidence"/>
    <tableColumn id="41" name="Source Type"/>
    <tableColumn id="42" name="Country or Region"/>
    <tableColumn id="43" name="Tags"/>
    <tableColumn id="44" name="Research Notes"/>
    <tableColumn id="45" name="Duplicate Group ID"/>
    <tableColumn id="46" name="Source Presence"/>
    <tableColumn id="47" name="Repo ID"/>
    <tableColumn id="48" name="Repo Coupon Status"/>
    <tableColumn id="49" name="Promo / Referral Code"/>
    <tableColumn id="50" name="Promo / Referral Source"/>
    <tableColumn id="51" name="Promo / Referral Notes"/>
    <tableColumn id="52" name="Repo Match Method"/>
    <tableColumn id="53" name="Repo Community Signal"/>
    <tableColumn id="54" name="Normalized Provider"/>
    <tableColumn id="55" name="Normalized Program"/>
    <tableColumn id="56" name="Duplicate Group Key"/>
    <tableColumn id="57" name="Duplicate Count"/>
    <tableColumn id="58" name="Needs Duplicate Review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PromoReferralTable" displayName="PromoReferralTable" ref="A1:J119" headerRowCount="1">
  <autoFilter ref="A1:J119"/>
  <tableColumns count="10">
    <tableColumn id="1" name="Unified ID"/>
    <tableColumn id="2" name="Provider"/>
    <tableColumn id="3" name="Program"/>
    <tableColumn id="4" name="Promo / Referral Status"/>
    <tableColumn id="5" name="Promo / Referral Code"/>
    <tableColumn id="6" name="Promo / Referral URL"/>
    <tableColumn id="7" name="Application / Redemption URL"/>
    <tableColumn id="8" name="Source Presence"/>
    <tableColumn id="9" name="Last Verified"/>
    <tableColumn id="10" name="Notes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DuplicateReviewTable" displayName="DuplicateReviewTable" ref="A1:I5" headerRowCount="1">
  <autoFilter ref="A1:I5"/>
  <tableColumns count="9">
    <tableColumn id="1" name="Record A"/>
    <tableColumn id="2" name="Program A"/>
    <tableColumn id="3" name="Provider A"/>
    <tableColumn id="4" name="Record B"/>
    <tableColumn id="5" name="Program B"/>
    <tableColumn id="6" name="Provider B"/>
    <tableColumn id="7" name="Similarity Score"/>
    <tableColumn id="8" name="Reason"/>
    <tableColumn id="9" name="Review Decision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RepoInventoryTable" displayName="RepoInventoryTable" ref="A1:D6" headerRowCount="1">
  <autoFilter ref="A1:D6"/>
  <tableColumns count="4">
    <tableColumn id="1" name="Source Type"/>
    <tableColumn id="2" name="Path"/>
    <tableColumn id="3" name="Rows Included"/>
    <tableColumn id="4" name="Role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FieldGuideTable" displayName="FieldGuideTable" ref="A1:B8" headerRowCount="1">
  <autoFilter ref="A1:B8"/>
  <tableColumns count="2">
    <tableColumn id="1" name="Field"/>
    <tableColumn id="2" name="Meaning"/>
  </tableColumns>
  <tableStyleInfo name="TableStyleMedium2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aws.amazon.com/startups/join?destination=/credits/apply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aws.amazon.com/startups/join?destination=/credits/apply" TargetMode="External" Id="rId3"/><Relationship Type="http://schemas.openxmlformats.org/officeDocument/2006/relationships/hyperlink" Target="https://aws.amazon.com/startups/credits/" TargetMode="External" Id="rId4"/><Relationship Type="http://schemas.openxmlformats.org/officeDocument/2006/relationships/hyperlink" Target="https://aifree.dev/offer/aws-activate-credits" TargetMode="External" Id="rId5"/><Relationship Type="http://schemas.openxmlformats.org/officeDocument/2006/relationships/hyperlink" Target="https://aws.amazon.com/startups/join?destination=/credits/apply" TargetMode="External" Id="rId6"/><Relationship Type="http://schemas.openxmlformats.org/officeDocument/2006/relationships/hyperlink" Target="https://aws.amazon.com/startups/credits/" TargetMode="External" Id="rId7"/><Relationship Type="http://schemas.openxmlformats.org/officeDocument/2006/relationships/hyperlink" Target="https://aws.amazon.com/startups/join?destination=/credits/apply" TargetMode="External" Id="rId8"/><Relationship Type="http://schemas.openxmlformats.org/officeDocument/2006/relationships/hyperlink" Target="https://aws.amazon.com/startups/credits/" TargetMode="External" Id="rId9"/><Relationship Type="http://schemas.openxmlformats.org/officeDocument/2006/relationships/hyperlink" Target="https://aws.amazon.com/startups/providers" TargetMode="External" Id="rId10"/><Relationship Type="http://schemas.openxmlformats.org/officeDocument/2006/relationships/hyperlink" Target="https://aws.amazon.com/startups/credits/" TargetMode="External" Id="rId11"/><Relationship Type="http://schemas.openxmlformats.org/officeDocument/2006/relationships/hyperlink" Target="https://aws.amazon.com/startups/credits/" TargetMode="External" Id="rId12"/><Relationship Type="http://schemas.openxmlformats.org/officeDocument/2006/relationships/hyperlink" Target="https://kiro.dev/startups/" TargetMode="External" Id="rId13"/><Relationship Type="http://schemas.openxmlformats.org/officeDocument/2006/relationships/hyperlink" Target="https://kiro.dev/startups/" TargetMode="External" Id="rId14"/><Relationship Type="http://schemas.openxmlformats.org/officeDocument/2006/relationships/hyperlink" Target="https://kiro.dev/startups/" TargetMode="External" Id="rId15"/><Relationship Type="http://schemas.openxmlformats.org/officeDocument/2006/relationships/hyperlink" Target="https://aws.amazon.com/startups/credits/" TargetMode="External" Id="rId16"/><Relationship Type="http://schemas.openxmlformats.org/officeDocument/2006/relationships/hyperlink" Target="https://kiro.dev/startups/" TargetMode="External" Id="rId17"/><Relationship Type="http://schemas.openxmlformats.org/officeDocument/2006/relationships/hyperlink" Target="https://cloud.google.com/startup" TargetMode="External" Id="rId18"/><Relationship Type="http://schemas.openxmlformats.org/officeDocument/2006/relationships/hyperlink" Target="https://cloud.google.com/startup" TargetMode="External" Id="rId19"/><Relationship Type="http://schemas.openxmlformats.org/officeDocument/2006/relationships/hyperlink" Target="https://cloud.google.com/startup" TargetMode="External" Id="rId20"/><Relationship Type="http://schemas.openxmlformats.org/officeDocument/2006/relationships/hyperlink" Target="https://aifree.dev/offer/google-cloud-ai-startup-program" TargetMode="External" Id="rId21"/><Relationship Type="http://schemas.openxmlformats.org/officeDocument/2006/relationships/hyperlink" Target="https://cloud.google.com/startup" TargetMode="External" Id="rId22"/><Relationship Type="http://schemas.openxmlformats.org/officeDocument/2006/relationships/hyperlink" Target="https://cloud.google.com/startup" TargetMode="External" Id="rId23"/><Relationship Type="http://schemas.openxmlformats.org/officeDocument/2006/relationships/hyperlink" Target="https://cloud.google.com/startup" TargetMode="External" Id="rId24"/><Relationship Type="http://schemas.openxmlformats.org/officeDocument/2006/relationships/hyperlink" Target="https://aifree.dev/offer/google-cloud-ai-startup-program" TargetMode="External" Id="rId25"/><Relationship Type="http://schemas.openxmlformats.org/officeDocument/2006/relationships/hyperlink" Target="https://www.microsoft.com/en-us/startups" TargetMode="External" Id="rId26"/><Relationship Type="http://schemas.openxmlformats.org/officeDocument/2006/relationships/hyperlink" Target="https://www.microsoft.com/en-us/startups" TargetMode="External" Id="rId27"/><Relationship Type="http://schemas.openxmlformats.org/officeDocument/2006/relationships/hyperlink" Target="https://www.microsoft.com/en-us/startups" TargetMode="External" Id="rId28"/><Relationship Type="http://schemas.openxmlformats.org/officeDocument/2006/relationships/hyperlink" Target="https://partner.microsoft.com/en-cy/partnership/founders-hub-benefits-guide" TargetMode="External" Id="rId29"/><Relationship Type="http://schemas.openxmlformats.org/officeDocument/2006/relationships/hyperlink" Target="https://guptadeepak.com/startup-offers/programs/microsoft-founders-hub" TargetMode="External" Id="rId30"/><Relationship Type="http://schemas.openxmlformats.org/officeDocument/2006/relationships/hyperlink" Target="https://elevenlabs.io/grants-application" TargetMode="External" Id="rId31"/><Relationship Type="http://schemas.openxmlformats.org/officeDocument/2006/relationships/hyperlink" Target="https://elevenlabs.io/startup-grants" TargetMode="External" Id="rId32"/><Relationship Type="http://schemas.openxmlformats.org/officeDocument/2006/relationships/hyperlink" Target="https://elevenlabs.io/grants-application" TargetMode="External" Id="rId33"/><Relationship Type="http://schemas.openxmlformats.org/officeDocument/2006/relationships/hyperlink" Target="https://elevenlabs.io/startup-grants" TargetMode="External" Id="rId34"/><Relationship Type="http://schemas.openxmlformats.org/officeDocument/2006/relationships/hyperlink" Target="https://aifree.dev/offer/elevenlabs-startup-program" TargetMode="External" Id="rId35"/><Relationship Type="http://schemas.openxmlformats.org/officeDocument/2006/relationships/hyperlink" Target="https://sendpulse.com/startup" TargetMode="External" Id="rId36"/><Relationship Type="http://schemas.openxmlformats.org/officeDocument/2006/relationships/hyperlink" Target="https://sendpulse.com/startup" TargetMode="External" Id="rId37"/><Relationship Type="http://schemas.openxmlformats.org/officeDocument/2006/relationships/hyperlink" Target="https://sendpulse.com/startup" TargetMode="External" Id="rId38"/><Relationship Type="http://schemas.openxmlformats.org/officeDocument/2006/relationships/hyperlink" Target="https://sendpulse.com/startup" TargetMode="External" Id="rId39"/><Relationship Type="http://schemas.openxmlformats.org/officeDocument/2006/relationships/hyperlink" Target="https://cp.unione.io/en/user/registration/" TargetMode="External" Id="rId40"/><Relationship Type="http://schemas.openxmlformats.org/officeDocument/2006/relationships/hyperlink" Target="https://unione.io/en/email-service-for-startups/" TargetMode="External" Id="rId41"/><Relationship Type="http://schemas.openxmlformats.org/officeDocument/2006/relationships/hyperlink" Target="https://cp.unione.io/en/user/registration/" TargetMode="External" Id="rId42"/><Relationship Type="http://schemas.openxmlformats.org/officeDocument/2006/relationships/hyperlink" Target="https://unione.io/en/email-service-for-startups/" TargetMode="External" Id="rId43"/><Relationship Type="http://schemas.openxmlformats.org/officeDocument/2006/relationships/hyperlink" Target="https://meatechwatch.com/?p=23538" TargetMode="External" Id="rId44"/><Relationship Type="http://schemas.openxmlformats.org/officeDocument/2006/relationships/hyperlink" Target="https://menastartupdigest.com/?p=40213" TargetMode="External" Id="rId45"/><Relationship Type="http://schemas.openxmlformats.org/officeDocument/2006/relationships/hyperlink" Target="https://itida.gov.eg/English/PressReleases/Pages/itida-launches-invest-it-startup-funding-program-egypt.aspx" TargetMode="External" Id="rId46"/><Relationship Type="http://schemas.openxmlformats.org/officeDocument/2006/relationships/hyperlink" Target="https://flat6labs.com/2024/11/" TargetMode="External" Id="rId47"/><Relationship Type="http://schemas.openxmlformats.org/officeDocument/2006/relationships/hyperlink" Target="https://itida.gov.eg/English/PressReleases/Pages/itida-launches-invest-it-startup-funding-program-egypt.aspx" TargetMode="External" Id="rId48"/><Relationship Type="http://schemas.openxmlformats.org/officeDocument/2006/relationships/hyperlink" Target="https://www.linkedin.com/company/itida/" TargetMode="External" Id="rId49"/><Relationship Type="http://schemas.openxmlformats.org/officeDocument/2006/relationships/hyperlink" Target="https://enterprise.press/?p=137230" TargetMode="External" Id="rId50"/><Relationship Type="http://schemas.openxmlformats.org/officeDocument/2006/relationships/hyperlink" Target="https://techcrunch.com/?p=2156316" TargetMode="External" Id="rId51"/><Relationship Type="http://schemas.openxmlformats.org/officeDocument/2006/relationships/hyperlink" Target="https://aifree.dev/offer/together-ai-startup-accelerator" TargetMode="External" Id="rId52"/><Relationship Type="http://schemas.openxmlformats.org/officeDocument/2006/relationships/hyperlink" Target="https://aifree.dev/startup-ai-credits" TargetMode="External" Id="rId53"/><Relationship Type="http://schemas.openxmlformats.org/officeDocument/2006/relationships/hyperlink" Target="https://aifree.dev/offer/devin-for-startups" TargetMode="External" Id="rId54"/><Relationship Type="http://schemas.openxmlformats.org/officeDocument/2006/relationships/hyperlink" Target="https://aifree.dev/startup-ai-credits" TargetMode="External" Id="rId55"/><Relationship Type="http://schemas.openxmlformats.org/officeDocument/2006/relationships/hyperlink" Target="https://aifree.dev/offer/antler-disrupt-ai-perks" TargetMode="External" Id="rId56"/><Relationship Type="http://schemas.openxmlformats.org/officeDocument/2006/relationships/hyperlink" Target="https://aifree.dev/startup-ai-credits" TargetMode="External" Id="rId57"/><Relationship Type="http://schemas.openxmlformats.org/officeDocument/2006/relationships/hyperlink" Target="https://www.cloudflare.com/forstartups/" TargetMode="External" Id="rId58"/><Relationship Type="http://schemas.openxmlformats.org/officeDocument/2006/relationships/hyperlink" Target="https://www.cloudflare.com/forstartups/" TargetMode="External" Id="rId59"/><Relationship Type="http://schemas.openxmlformats.org/officeDocument/2006/relationships/hyperlink" Target="https://aifree.dev/offer/cloudflare-for-startups" TargetMode="External" Id="rId60"/><Relationship Type="http://schemas.openxmlformats.org/officeDocument/2006/relationships/hyperlink" Target="https://aifree.dev/startup-ai-credits" TargetMode="External" Id="rId61"/><Relationship Type="http://schemas.openxmlformats.org/officeDocument/2006/relationships/hyperlink" Target="https://aifree.dev/offer/databricks-for-startups" TargetMode="External" Id="rId62"/><Relationship Type="http://schemas.openxmlformats.org/officeDocument/2006/relationships/hyperlink" Target="https://aifree.dev/startup-ai-credits" TargetMode="External" Id="rId63"/><Relationship Type="http://schemas.openxmlformats.org/officeDocument/2006/relationships/hyperlink" Target="https://aifree.dev/offer/neon-startup-program" TargetMode="External" Id="rId64"/><Relationship Type="http://schemas.openxmlformats.org/officeDocument/2006/relationships/hyperlink" Target="https://aifree.dev/startup-ai-credits" TargetMode="External" Id="rId65"/><Relationship Type="http://schemas.openxmlformats.org/officeDocument/2006/relationships/hyperlink" Target="https://aifree.dev/offer/datadog-for-startups" TargetMode="External" Id="rId66"/><Relationship Type="http://schemas.openxmlformats.org/officeDocument/2006/relationships/hyperlink" Target="https://aifree.dev/startup-ai-credits" TargetMode="External" Id="rId67"/><Relationship Type="http://schemas.openxmlformats.org/officeDocument/2006/relationships/hyperlink" Target="https://aifree.dev/offer/grafana-for-startups" TargetMode="External" Id="rId68"/><Relationship Type="http://schemas.openxmlformats.org/officeDocument/2006/relationships/hyperlink" Target="https://aifree.dev/startup-ai-credits" TargetMode="External" Id="rId69"/><Relationship Type="http://schemas.openxmlformats.org/officeDocument/2006/relationships/hyperlink" Target="https://aifree.dev/offer/render-startup-program" TargetMode="External" Id="rId70"/><Relationship Type="http://schemas.openxmlformats.org/officeDocument/2006/relationships/hyperlink" Target="https://aifree.dev/startup-ai-credits" TargetMode="External" Id="rId71"/><Relationship Type="http://schemas.openxmlformats.org/officeDocument/2006/relationships/hyperlink" Target="https://aifree.dev/offer/posthog-startup-program" TargetMode="External" Id="rId72"/><Relationship Type="http://schemas.openxmlformats.org/officeDocument/2006/relationships/hyperlink" Target="https://aifree.dev/startup-ai-credits" TargetMode="External" Id="rId73"/><Relationship Type="http://schemas.openxmlformats.org/officeDocument/2006/relationships/hyperlink" Target="https://aifree.dev/offer/vercel-startups" TargetMode="External" Id="rId74"/><Relationship Type="http://schemas.openxmlformats.org/officeDocument/2006/relationships/hyperlink" Target="https://aifree.dev/startup-ai-credits" TargetMode="External" Id="rId75"/><Relationship Type="http://schemas.openxmlformats.org/officeDocument/2006/relationships/hyperlink" Target="https://aifree.dev/offer/baseten-ai-startup-program" TargetMode="External" Id="rId76"/><Relationship Type="http://schemas.openxmlformats.org/officeDocument/2006/relationships/hyperlink" Target="https://aifree.dev/startup-ai-credits" TargetMode="External" Id="rId77"/><Relationship Type="http://schemas.openxmlformats.org/officeDocument/2006/relationships/hyperlink" Target="https://aifree.dev/offer/yandex-cloud-startup-credits" TargetMode="External" Id="rId78"/><Relationship Type="http://schemas.openxmlformats.org/officeDocument/2006/relationships/hyperlink" Target="https://aifree.dev/startup-ai-credits" TargetMode="External" Id="rId79"/><Relationship Type="http://schemas.openxmlformats.org/officeDocument/2006/relationships/hyperlink" Target="https://aifree.dev/offer/neo4j-startup-program" TargetMode="External" Id="rId80"/><Relationship Type="http://schemas.openxmlformats.org/officeDocument/2006/relationships/hyperlink" Target="https://aifree.dev/startup-ai-credits" TargetMode="External" Id="rId81"/><Relationship Type="http://schemas.openxmlformats.org/officeDocument/2006/relationships/hyperlink" Target="https://aifree.dev/offer/notion-for-startups" TargetMode="External" Id="rId82"/><Relationship Type="http://schemas.openxmlformats.org/officeDocument/2006/relationships/hyperlink" Target="https://aifree.dev/startup-ai-credits" TargetMode="External" Id="rId83"/><Relationship Type="http://schemas.openxmlformats.org/officeDocument/2006/relationships/hyperlink" Target="https://aifree.dev/offer/algolia-startup-program" TargetMode="External" Id="rId84"/><Relationship Type="http://schemas.openxmlformats.org/officeDocument/2006/relationships/hyperlink" Target="https://aifree.dev/startup-ai-credits" TargetMode="External" Id="rId85"/><Relationship Type="http://schemas.openxmlformats.org/officeDocument/2006/relationships/hyperlink" Target="https://aifree.dev/offer/clickhouse-cloud-yc-credits" TargetMode="External" Id="rId86"/><Relationship Type="http://schemas.openxmlformats.org/officeDocument/2006/relationships/hyperlink" Target="https://aifree.dev/startup-ai-credits" TargetMode="External" Id="rId87"/><Relationship Type="http://schemas.openxmlformats.org/officeDocument/2006/relationships/hyperlink" Target="https://aifree.dev/offer/daytona-startup-grid" TargetMode="External" Id="rId88"/><Relationship Type="http://schemas.openxmlformats.org/officeDocument/2006/relationships/hyperlink" Target="https://aifree.dev/startup-ai-credits" TargetMode="External" Id="rId89"/><Relationship Type="http://schemas.openxmlformats.org/officeDocument/2006/relationships/hyperlink" Target="https://aifree.dev/offer/daytona-startup-program" TargetMode="External" Id="rId90"/><Relationship Type="http://schemas.openxmlformats.org/officeDocument/2006/relationships/hyperlink" Target="https://aifree.dev/startup-ai-credits" TargetMode="External" Id="rId91"/><Relationship Type="http://schemas.openxmlformats.org/officeDocument/2006/relationships/hyperlink" Target="https://aifree.dev/offer/github-for-startups" TargetMode="External" Id="rId92"/><Relationship Type="http://schemas.openxmlformats.org/officeDocument/2006/relationships/hyperlink" Target="https://aifree.dev/startup-ai-credits" TargetMode="External" Id="rId93"/><Relationship Type="http://schemas.openxmlformats.org/officeDocument/2006/relationships/hyperlink" Target="https://aifree.dev/offer/indent-for-startups" TargetMode="External" Id="rId94"/><Relationship Type="http://schemas.openxmlformats.org/officeDocument/2006/relationships/hyperlink" Target="https://aifree.dev/startup-ai-credits" TargetMode="External" Id="rId95"/><Relationship Type="http://schemas.openxmlformats.org/officeDocument/2006/relationships/hyperlink" Target="https://aifree.dev/offer/langsmith-for-startups" TargetMode="External" Id="rId96"/><Relationship Type="http://schemas.openxmlformats.org/officeDocument/2006/relationships/hyperlink" Target="https://aifree.dev/startup-ai-credits" TargetMode="External" Id="rId97"/><Relationship Type="http://schemas.openxmlformats.org/officeDocument/2006/relationships/hyperlink" Target="https://aifree.dev/offer/sanity-startup-program" TargetMode="External" Id="rId98"/><Relationship Type="http://schemas.openxmlformats.org/officeDocument/2006/relationships/hyperlink" Target="https://aifree.dev/startup-ai-credits" TargetMode="External" Id="rId99"/><Relationship Type="http://schemas.openxmlformats.org/officeDocument/2006/relationships/hyperlink" Target="https://aifree.dev/offer/sentry-for-startups" TargetMode="External" Id="rId100"/><Relationship Type="http://schemas.openxmlformats.org/officeDocument/2006/relationships/hyperlink" Target="https://aifree.dev/startup-ai-credits" TargetMode="External" Id="rId101"/><Relationship Type="http://schemas.openxmlformats.org/officeDocument/2006/relationships/hyperlink" Target="https://aifree.dev/offer/fal-startup-program" TargetMode="External" Id="rId102"/><Relationship Type="http://schemas.openxmlformats.org/officeDocument/2006/relationships/hyperlink" Target="https://aifree.dev/startup-ai-credits" TargetMode="External" Id="rId103"/><Relationship Type="http://schemas.openxmlformats.org/officeDocument/2006/relationships/hyperlink" Target="https://aifree.dev/offer/runpod-startup-program" TargetMode="External" Id="rId104"/><Relationship Type="http://schemas.openxmlformats.org/officeDocument/2006/relationships/hyperlink" Target="https://aifree.dev/startup-ai-credits" TargetMode="External" Id="rId105"/><Relationship Type="http://schemas.openxmlformats.org/officeDocument/2006/relationships/hyperlink" Target="https://aifree.dev/offer/runware-grant-program" TargetMode="External" Id="rId106"/><Relationship Type="http://schemas.openxmlformats.org/officeDocument/2006/relationships/hyperlink" Target="https://aifree.dev/startup-ai-credits" TargetMode="External" Id="rId107"/><Relationship Type="http://schemas.openxmlformats.org/officeDocument/2006/relationships/hyperlink" Target="https://aifree.dev/offer/upcloud-free-trial-credits" TargetMode="External" Id="rId108"/><Relationship Type="http://schemas.openxmlformats.org/officeDocument/2006/relationships/hyperlink" Target="https://aifree.dev/startup-ai-credits" TargetMode="External" Id="rId109"/><Relationship Type="http://schemas.openxmlformats.org/officeDocument/2006/relationships/hyperlink" Target="https://aifree.dev/offer/google-cloud-free-program" TargetMode="External" Id="rId110"/><Relationship Type="http://schemas.openxmlformats.org/officeDocument/2006/relationships/hyperlink" Target="https://aifree.dev/startup-ai-credits" TargetMode="External" Id="rId111"/><Relationship Type="http://schemas.openxmlformats.org/officeDocument/2006/relationships/hyperlink" Target="https://aifree.dev/offer/oracle-cloud-free-tier" TargetMode="External" Id="rId112"/><Relationship Type="http://schemas.openxmlformats.org/officeDocument/2006/relationships/hyperlink" Target="https://aifree.dev/startup-ai-credits" TargetMode="External" Id="rId113"/><Relationship Type="http://schemas.openxmlformats.org/officeDocument/2006/relationships/hyperlink" Target="https://aifree.dev/offer/vultr-free-trial-credits" TargetMode="External" Id="rId114"/><Relationship Type="http://schemas.openxmlformats.org/officeDocument/2006/relationships/hyperlink" Target="https://aifree.dev/startup-ai-credits" TargetMode="External" Id="rId115"/><Relationship Type="http://schemas.openxmlformats.org/officeDocument/2006/relationships/hyperlink" Target="https://aifree.dev/offer/civo-free-trial-credit" TargetMode="External" Id="rId116"/><Relationship Type="http://schemas.openxmlformats.org/officeDocument/2006/relationships/hyperlink" Target="https://aifree.dev/startup-ai-credits" TargetMode="External" Id="rId117"/><Relationship Type="http://schemas.openxmlformats.org/officeDocument/2006/relationships/hyperlink" Target="https://aifree.dev/offer/ibm-cloud-free-tier" TargetMode="External" Id="rId118"/><Relationship Type="http://schemas.openxmlformats.org/officeDocument/2006/relationships/hyperlink" Target="https://aifree.dev/startup-ai-credits" TargetMode="External" Id="rId119"/><Relationship Type="http://schemas.openxmlformats.org/officeDocument/2006/relationships/hyperlink" Target="https://aifree.dev/offer/daytona-free-compute-credits" TargetMode="External" Id="rId120"/><Relationship Type="http://schemas.openxmlformats.org/officeDocument/2006/relationships/hyperlink" Target="https://aifree.dev/startup-ai-credits" TargetMode="External" Id="rId121"/><Relationship Type="http://schemas.openxmlformats.org/officeDocument/2006/relationships/hyperlink" Target="https://aifree.dev/offer/ionos-cloud-free-trial-credit" TargetMode="External" Id="rId122"/><Relationship Type="http://schemas.openxmlformats.org/officeDocument/2006/relationships/hyperlink" Target="https://aifree.dev/startup-ai-credits" TargetMode="External" Id="rId123"/><Relationship Type="http://schemas.openxmlformats.org/officeDocument/2006/relationships/hyperlink" Target="https://aifree.dev/offer/akamai-cloud-100-free-credit" TargetMode="External" Id="rId124"/><Relationship Type="http://schemas.openxmlformats.org/officeDocument/2006/relationships/hyperlink" Target="https://aifree.dev/startup-ai-credits" TargetMode="External" Id="rId125"/><Relationship Type="http://schemas.openxmlformats.org/officeDocument/2006/relationships/hyperlink" Target="https://aifree.dev/offer/akashml-free-token-credits" TargetMode="External" Id="rId126"/><Relationship Type="http://schemas.openxmlformats.org/officeDocument/2006/relationships/hyperlink" Target="https://aifree.dev/startup-ai-credits" TargetMode="External" Id="rId127"/><Relationship Type="http://schemas.openxmlformats.org/officeDocument/2006/relationships/hyperlink" Target="https://aifree.dev/offer/amd-ai-developer-program" TargetMode="External" Id="rId128"/><Relationship Type="http://schemas.openxmlformats.org/officeDocument/2006/relationships/hyperlink" Target="https://aifree.dev/startup-ai-credits" TargetMode="External" Id="rId129"/><Relationship Type="http://schemas.openxmlformats.org/officeDocument/2006/relationships/hyperlink" Target="https://aifree.dev/offer/anyscale-free-signup-credits" TargetMode="External" Id="rId130"/><Relationship Type="http://schemas.openxmlformats.org/officeDocument/2006/relationships/hyperlink" Target="https://aifree.dev/startup-ai-credits" TargetMode="External" Id="rId131"/><Relationship Type="http://schemas.openxmlformats.org/officeDocument/2006/relationships/hyperlink" Target="https://aifree.dev/offer/e2b-free-credits" TargetMode="External" Id="rId132"/><Relationship Type="http://schemas.openxmlformats.org/officeDocument/2006/relationships/hyperlink" Target="https://aifree.dev/startup-ai-credits" TargetMode="External" Id="rId133"/><Relationship Type="http://schemas.openxmlformats.org/officeDocument/2006/relationships/hyperlink" Target="https://aifree.dev/offer/embercloud-for-startups" TargetMode="External" Id="rId134"/><Relationship Type="http://schemas.openxmlformats.org/officeDocument/2006/relationships/hyperlink" Target="https://aifree.dev/startup-ai-credits" TargetMode="External" Id="rId135"/><Relationship Type="http://schemas.openxmlformats.org/officeDocument/2006/relationships/hyperlink" Target="https://aifree.dev/offer/novita-sandbox-free-credits" TargetMode="External" Id="rId136"/><Relationship Type="http://schemas.openxmlformats.org/officeDocument/2006/relationships/hyperlink" Target="https://aifree.dev/startup-ai-credits" TargetMode="External" Id="rId137"/><Relationship Type="http://schemas.openxmlformats.org/officeDocument/2006/relationships/hyperlink" Target="https://aifree.dev/offer/alibaba-cloud-free-trial" TargetMode="External" Id="rId138"/><Relationship Type="http://schemas.openxmlformats.org/officeDocument/2006/relationships/hyperlink" Target="https://aifree.dev/startup-ai-credits" TargetMode="External" Id="rId139"/><Relationship Type="http://schemas.openxmlformats.org/officeDocument/2006/relationships/hyperlink" Target="https://aifree.dev/offer/railway-free-plan-and-trial-credits" TargetMode="External" Id="rId140"/><Relationship Type="http://schemas.openxmlformats.org/officeDocument/2006/relationships/hyperlink" Target="https://aifree.dev/startup-ai-credits" TargetMode="External" Id="rId141"/><Relationship Type="http://schemas.openxmlformats.org/officeDocument/2006/relationships/hyperlink" Target="https://aifree.dev/offer/deepinfra-deepstart-free-tokens" TargetMode="External" Id="rId142"/><Relationship Type="http://schemas.openxmlformats.org/officeDocument/2006/relationships/hyperlink" Target="https://aifree.dev/startup-ai-credits" TargetMode="External" Id="rId143"/><Relationship Type="http://schemas.openxmlformats.org/officeDocument/2006/relationships/hyperlink" Target="https://aifree.dev/offer/free-ai-startup-tokens" TargetMode="External" Id="rId144"/><Relationship Type="http://schemas.openxmlformats.org/officeDocument/2006/relationships/hyperlink" Target="https://aifree.dev/startup-ai-credits" TargetMode="External" Id="rId145"/><Relationship Type="http://schemas.openxmlformats.org/officeDocument/2006/relationships/hyperlink" Target="https://aifree.dev/offer/netlify-free-plan" TargetMode="External" Id="rId146"/><Relationship Type="http://schemas.openxmlformats.org/officeDocument/2006/relationships/hyperlink" Target="https://aifree.dev/startup-ai-credits" TargetMode="External" Id="rId147"/><Relationship Type="http://schemas.openxmlformats.org/officeDocument/2006/relationships/hyperlink" Target="https://aifree.dev/offer/kaggle-free-gpu-tpu" TargetMode="External" Id="rId148"/><Relationship Type="http://schemas.openxmlformats.org/officeDocument/2006/relationships/hyperlink" Target="https://aifree.dev/startup-ai-credits" TargetMode="External" Id="rId149"/><Relationship Type="http://schemas.openxmlformats.org/officeDocument/2006/relationships/hyperlink" Target="https://aifree.dev/offer/lightning-ai-free-plan" TargetMode="External" Id="rId150"/><Relationship Type="http://schemas.openxmlformats.org/officeDocument/2006/relationships/hyperlink" Target="https://aifree.dev/startup-ai-credits" TargetMode="External" Id="rId151"/><Relationship Type="http://schemas.openxmlformats.org/officeDocument/2006/relationships/hyperlink" Target="https://aifree.dev/offer/hugging-face-zerogpu-spaces" TargetMode="External" Id="rId152"/><Relationship Type="http://schemas.openxmlformats.org/officeDocument/2006/relationships/hyperlink" Target="https://aifree.dev/startup-ai-credits" TargetMode="External" Id="rId153"/><Relationship Type="http://schemas.openxmlformats.org/officeDocument/2006/relationships/hyperlink" Target="https://aifree.dev/offer/atlassian-startup-program" TargetMode="External" Id="rId154"/><Relationship Type="http://schemas.openxmlformats.org/officeDocument/2006/relationships/hyperlink" Target="https://aifree.dev/startup-ai-credits" TargetMode="External" Id="rId155"/><Relationship Type="http://schemas.openxmlformats.org/officeDocument/2006/relationships/hyperlink" Target="https://aifree.dev/offer/auth0-for-startups" TargetMode="External" Id="rId156"/><Relationship Type="http://schemas.openxmlformats.org/officeDocument/2006/relationships/hyperlink" Target="https://aifree.dev/startup-ai-credits" TargetMode="External" Id="rId157"/><Relationship Type="http://schemas.openxmlformats.org/officeDocument/2006/relationships/hyperlink" Target="https://aifree.dev/offer/convex-for-startups" TargetMode="External" Id="rId158"/><Relationship Type="http://schemas.openxmlformats.org/officeDocument/2006/relationships/hyperlink" Target="https://aifree.dev/startup-ai-credits" TargetMode="External" Id="rId159"/><Relationship Type="http://schemas.openxmlformats.org/officeDocument/2006/relationships/hyperlink" Target="https://aifree.dev/offer/customer-io-startup-program" TargetMode="External" Id="rId160"/><Relationship Type="http://schemas.openxmlformats.org/officeDocument/2006/relationships/hyperlink" Target="https://aifree.dev/startup-ai-credits" TargetMode="External" Id="rId161"/><Relationship Type="http://schemas.openxmlformats.org/officeDocument/2006/relationships/hyperlink" Target="https://aifree.dev/offer/digitalocean-hatch" TargetMode="External" Id="rId162"/><Relationship Type="http://schemas.openxmlformats.org/officeDocument/2006/relationships/hyperlink" Target="https://aifree.dev/startup-ai-credits" TargetMode="External" Id="rId163"/><Relationship Type="http://schemas.openxmlformats.org/officeDocument/2006/relationships/hyperlink" Target="https://aifree.dev/offer/exoscale-free-trial-credit" TargetMode="External" Id="rId164"/><Relationship Type="http://schemas.openxmlformats.org/officeDocument/2006/relationships/hyperlink" Target="https://aifree.dev/startup-ai-credits" TargetMode="External" Id="rId165"/><Relationship Type="http://schemas.openxmlformats.org/officeDocument/2006/relationships/hyperlink" Target="https://aifree.dev/offer/fireworks-ai-startup-program" TargetMode="External" Id="rId166"/><Relationship Type="http://schemas.openxmlformats.org/officeDocument/2006/relationships/hyperlink" Target="https://aifree.dev/startup-ai-credits" TargetMode="External" Id="rId167"/><Relationship Type="http://schemas.openxmlformats.org/officeDocument/2006/relationships/hyperlink" Target="https://aifree.dev/offer/koyeb-free-tier" TargetMode="External" Id="rId168"/><Relationship Type="http://schemas.openxmlformats.org/officeDocument/2006/relationships/hyperlink" Target="https://aifree.dev/startup-ai-credits" TargetMode="External" Id="rId169"/><Relationship Type="http://schemas.openxmlformats.org/officeDocument/2006/relationships/hyperlink" Target="https://aifree.dev/offer/linear-startup-program" TargetMode="External" Id="rId170"/><Relationship Type="http://schemas.openxmlformats.org/officeDocument/2006/relationships/hyperlink" Target="https://aifree.dev/startup-ai-credits" TargetMode="External" Id="rId171"/><Relationship Type="http://schemas.openxmlformats.org/officeDocument/2006/relationships/hyperlink" Target="https://aifree.dev/offer/mintlify-startup-program" TargetMode="External" Id="rId172"/><Relationship Type="http://schemas.openxmlformats.org/officeDocument/2006/relationships/hyperlink" Target="https://aifree.dev/startup-ai-credits" TargetMode="External" Id="rId173"/><Relationship Type="http://schemas.openxmlformats.org/officeDocument/2006/relationships/hyperlink" Target="https://aifree.dev/offer/modal-startup-program" TargetMode="External" Id="rId174"/><Relationship Type="http://schemas.openxmlformats.org/officeDocument/2006/relationships/hyperlink" Target="https://aifree.dev/startup-ai-credits" TargetMode="External" Id="rId175"/><Relationship Type="http://schemas.openxmlformats.org/officeDocument/2006/relationships/hyperlink" Target="https://aifree.dev/offer/mongodb-for-startups" TargetMode="External" Id="rId176"/><Relationship Type="http://schemas.openxmlformats.org/officeDocument/2006/relationships/hyperlink" Target="https://aifree.dev/startup-ai-credits" TargetMode="External" Id="rId177"/><Relationship Type="http://schemas.openxmlformats.org/officeDocument/2006/relationships/hyperlink" Target="https://aifree.dev/offer/northflank-developer-sandbox" TargetMode="External" Id="rId178"/><Relationship Type="http://schemas.openxmlformats.org/officeDocument/2006/relationships/hyperlink" Target="https://aifree.dev/startup-ai-credits" TargetMode="External" Id="rId179"/><Relationship Type="http://schemas.openxmlformats.org/officeDocument/2006/relationships/hyperlink" Target="https://aifree.dev/offer/nvidia-inception" TargetMode="External" Id="rId180"/><Relationship Type="http://schemas.openxmlformats.org/officeDocument/2006/relationships/hyperlink" Target="https://aifree.dev/startup-ai-credits" TargetMode="External" Id="rId181"/><Relationship Type="http://schemas.openxmlformats.org/officeDocument/2006/relationships/hyperlink" Target="https://aifree.dev/offer/openai-for-startups" TargetMode="External" Id="rId182"/><Relationship Type="http://schemas.openxmlformats.org/officeDocument/2006/relationships/hyperlink" Target="https://aifree.dev/startup-ai-credits" TargetMode="External" Id="rId183"/><Relationship Type="http://schemas.openxmlformats.org/officeDocument/2006/relationships/hyperlink" Target="https://aifree.dev/offer/ovhcloud-startup-program" TargetMode="External" Id="rId184"/><Relationship Type="http://schemas.openxmlformats.org/officeDocument/2006/relationships/hyperlink" Target="https://aifree.dev/startup-ai-credits" TargetMode="External" Id="rId185"/><Relationship Type="http://schemas.openxmlformats.org/officeDocument/2006/relationships/hyperlink" Target="https://aifree.dev/offer/paperspace-gradient-free-tier" TargetMode="External" Id="rId186"/><Relationship Type="http://schemas.openxmlformats.org/officeDocument/2006/relationships/hyperlink" Target="https://aifree.dev/startup-ai-credits" TargetMode="External" Id="rId187"/><Relationship Type="http://schemas.openxmlformats.org/officeDocument/2006/relationships/hyperlink" Target="https://aifree.dev/offer/pinecone-startup-program" TargetMode="External" Id="rId188"/><Relationship Type="http://schemas.openxmlformats.org/officeDocument/2006/relationships/hyperlink" Target="https://aifree.dev/startup-ai-credits" TargetMode="External" Id="rId189"/><Relationship Type="http://schemas.openxmlformats.org/officeDocument/2006/relationships/hyperlink" Target="https://aifree.dev/offer/runpod-referral-bonus-credits" TargetMode="External" Id="rId190"/><Relationship Type="http://schemas.openxmlformats.org/officeDocument/2006/relationships/hyperlink" Target="https://aifree.dev/startup-ai-credits" TargetMode="External" Id="rId191"/><Relationship Type="http://schemas.openxmlformats.org/officeDocument/2006/relationships/hyperlink" Target="https://aifree.dev/offer/sarvam-ai-startup-program" TargetMode="External" Id="rId192"/><Relationship Type="http://schemas.openxmlformats.org/officeDocument/2006/relationships/hyperlink" Target="https://aifree.dev/startup-ai-credits" TargetMode="External" Id="rId193"/><Relationship Type="http://schemas.openxmlformats.org/officeDocument/2006/relationships/hyperlink" Target="https://aifree.dev/offer/shortcut-startup-program" TargetMode="External" Id="rId194"/><Relationship Type="http://schemas.openxmlformats.org/officeDocument/2006/relationships/hyperlink" Target="https://aifree.dev/startup-ai-credits" TargetMode="External" Id="rId195"/><Relationship Type="http://schemas.openxmlformats.org/officeDocument/2006/relationships/hyperlink" Target="https://aifree.dev/offer/snowflake-for-startups" TargetMode="External" Id="rId196"/><Relationship Type="http://schemas.openxmlformats.org/officeDocument/2006/relationships/hyperlink" Target="https://aifree.dev/startup-ai-credits" TargetMode="External" Id="rId197"/><Relationship Type="http://schemas.openxmlformats.org/officeDocument/2006/relationships/hyperlink" Target="https://stripe.com/startup-benefits/aws-activate" TargetMode="External" Id="rId198"/><Relationship Type="http://schemas.openxmlformats.org/officeDocument/2006/relationships/hyperlink" Target="https://aifree.dev/offer/stripe-for-startups" TargetMode="External" Id="rId199"/><Relationship Type="http://schemas.openxmlformats.org/officeDocument/2006/relationships/hyperlink" Target="https://aifree.dev/startup-ai-credits" TargetMode="External" Id="rId200"/><Relationship Type="http://schemas.openxmlformats.org/officeDocument/2006/relationships/hyperlink" Target="https://aifree.dev/offer/t-cloud-public-starter-credit" TargetMode="External" Id="rId201"/><Relationship Type="http://schemas.openxmlformats.org/officeDocument/2006/relationships/hyperlink" Target="https://aifree.dev/startup-ai-credits" TargetMode="External" Id="rId202"/><Relationship Type="http://schemas.openxmlformats.org/officeDocument/2006/relationships/hyperlink" Target="https://aifree.dev/offer/tencent-cloud-free-tier" TargetMode="External" Id="rId203"/><Relationship Type="http://schemas.openxmlformats.org/officeDocument/2006/relationships/hyperlink" Target="https://aifree.dev/startup-ai-credits" TargetMode="External" Id="rId204"/><Relationship Type="http://schemas.openxmlformats.org/officeDocument/2006/relationships/hyperlink" Target="https://aifree.dev/offer/vultr-free-tier-program" TargetMode="External" Id="rId205"/><Relationship Type="http://schemas.openxmlformats.org/officeDocument/2006/relationships/hyperlink" Target="https://aifree.dev/startup-ai-credits" TargetMode="External" Id="rId206"/><Relationship Type="http://schemas.openxmlformats.org/officeDocument/2006/relationships/hyperlink" Target="https://aifree.dev/offer/claude-for-startups" TargetMode="External" Id="rId207"/><Relationship Type="http://schemas.openxmlformats.org/officeDocument/2006/relationships/hyperlink" Target="https://aifree.dev/startup-ai-credits" TargetMode="External" Id="rId208"/><Relationship Type="http://schemas.openxmlformats.org/officeDocument/2006/relationships/hyperlink" Target="https://aifree.dev/offer/huawei-cloud-free-packages" TargetMode="External" Id="rId209"/><Relationship Type="http://schemas.openxmlformats.org/officeDocument/2006/relationships/hyperlink" Target="https://aifree.dev/startup-ai-credits" TargetMode="External" Id="rId210"/><Relationship Type="http://schemas.openxmlformats.org/officeDocument/2006/relationships/table" Target="/xl/tables/table1.xml" Id="rId211"/></Relationships>
</file>

<file path=xl/worksheets/_rels/sheet3.xml.rels><Relationships xmlns="http://schemas.openxmlformats.org/package/2006/relationships"><Relationship Type="http://schemas.openxmlformats.org/officeDocument/2006/relationships/hyperlink" Target="https://kiro.dev/startups/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kiro.dev/startups/" TargetMode="External" Id="rId3"/><Relationship Type="http://schemas.openxmlformats.org/officeDocument/2006/relationships/hyperlink" Target="https://elevenlabs.io/startup-grants" TargetMode="External" Id="rId4"/><Relationship Type="http://schemas.openxmlformats.org/officeDocument/2006/relationships/hyperlink" Target="https://elevenlabs.io/startup-grants" TargetMode="External" Id="rId5"/><Relationship Type="http://schemas.openxmlformats.org/officeDocument/2006/relationships/hyperlink" Target="https://aifree.dev/offer/elevenlabs-startup-program" TargetMode="External" Id="rId6"/><Relationship Type="http://schemas.openxmlformats.org/officeDocument/2006/relationships/hyperlink" Target="https://aifree.dev/offer/together-ai-startup-accelerator" TargetMode="External" Id="rId7"/><Relationship Type="http://schemas.openxmlformats.org/officeDocument/2006/relationships/hyperlink" Target="https://aifree.dev/startup-ai-credits" TargetMode="External" Id="rId8"/><Relationship Type="http://schemas.openxmlformats.org/officeDocument/2006/relationships/hyperlink" Target="https://aifree.dev/offer/devin-for-startups" TargetMode="External" Id="rId9"/><Relationship Type="http://schemas.openxmlformats.org/officeDocument/2006/relationships/hyperlink" Target="https://aifree.dev/startup-ai-credits" TargetMode="External" Id="rId10"/><Relationship Type="http://schemas.openxmlformats.org/officeDocument/2006/relationships/hyperlink" Target="https://aifree.dev/offer/baseten-ai-startup-program" TargetMode="External" Id="rId11"/><Relationship Type="http://schemas.openxmlformats.org/officeDocument/2006/relationships/hyperlink" Target="https://aifree.dev/startup-ai-credits" TargetMode="External" Id="rId12"/><Relationship Type="http://schemas.openxmlformats.org/officeDocument/2006/relationships/hyperlink" Target="https://aifree.dev/offer/daytona-startup-grid" TargetMode="External" Id="rId13"/><Relationship Type="http://schemas.openxmlformats.org/officeDocument/2006/relationships/hyperlink" Target="https://aifree.dev/startup-ai-credits" TargetMode="External" Id="rId14"/><Relationship Type="http://schemas.openxmlformats.org/officeDocument/2006/relationships/hyperlink" Target="https://aifree.dev/offer/daytona-startup-program" TargetMode="External" Id="rId15"/><Relationship Type="http://schemas.openxmlformats.org/officeDocument/2006/relationships/hyperlink" Target="https://aifree.dev/startup-ai-credits" TargetMode="External" Id="rId16"/><Relationship Type="http://schemas.openxmlformats.org/officeDocument/2006/relationships/hyperlink" Target="https://aifree.dev/offer/langsmith-for-startups" TargetMode="External" Id="rId17"/><Relationship Type="http://schemas.openxmlformats.org/officeDocument/2006/relationships/hyperlink" Target="https://aifree.dev/startup-ai-credits" TargetMode="External" Id="rId18"/><Relationship Type="http://schemas.openxmlformats.org/officeDocument/2006/relationships/hyperlink" Target="https://aifree.dev/offer/fal-startup-program" TargetMode="External" Id="rId19"/><Relationship Type="http://schemas.openxmlformats.org/officeDocument/2006/relationships/hyperlink" Target="https://aifree.dev/startup-ai-credits" TargetMode="External" Id="rId20"/><Relationship Type="http://schemas.openxmlformats.org/officeDocument/2006/relationships/hyperlink" Target="https://aifree.dev/offer/runware-grant-program" TargetMode="External" Id="rId21"/><Relationship Type="http://schemas.openxmlformats.org/officeDocument/2006/relationships/hyperlink" Target="https://aifree.dev/startup-ai-credits" TargetMode="External" Id="rId22"/><Relationship Type="http://schemas.openxmlformats.org/officeDocument/2006/relationships/hyperlink" Target="https://aifree.dev/offer/daytona-free-compute-credits" TargetMode="External" Id="rId23"/><Relationship Type="http://schemas.openxmlformats.org/officeDocument/2006/relationships/hyperlink" Target="https://aifree.dev/startup-ai-credits" TargetMode="External" Id="rId24"/><Relationship Type="http://schemas.openxmlformats.org/officeDocument/2006/relationships/hyperlink" Target="https://aifree.dev/offer/akashml-free-token-credits" TargetMode="External" Id="rId25"/><Relationship Type="http://schemas.openxmlformats.org/officeDocument/2006/relationships/hyperlink" Target="https://aifree.dev/startup-ai-credits" TargetMode="External" Id="rId26"/><Relationship Type="http://schemas.openxmlformats.org/officeDocument/2006/relationships/hyperlink" Target="https://aifree.dev/offer/amd-ai-developer-program" TargetMode="External" Id="rId27"/><Relationship Type="http://schemas.openxmlformats.org/officeDocument/2006/relationships/hyperlink" Target="https://aifree.dev/startup-ai-credits" TargetMode="External" Id="rId28"/><Relationship Type="http://schemas.openxmlformats.org/officeDocument/2006/relationships/hyperlink" Target="https://aifree.dev/offer/anyscale-free-signup-credits" TargetMode="External" Id="rId29"/><Relationship Type="http://schemas.openxmlformats.org/officeDocument/2006/relationships/hyperlink" Target="https://aifree.dev/startup-ai-credits" TargetMode="External" Id="rId30"/><Relationship Type="http://schemas.openxmlformats.org/officeDocument/2006/relationships/hyperlink" Target="https://aifree.dev/offer/e2b-free-credits" TargetMode="External" Id="rId31"/><Relationship Type="http://schemas.openxmlformats.org/officeDocument/2006/relationships/hyperlink" Target="https://aifree.dev/startup-ai-credits" TargetMode="External" Id="rId32"/><Relationship Type="http://schemas.openxmlformats.org/officeDocument/2006/relationships/hyperlink" Target="https://aifree.dev/offer/embercloud-for-startups" TargetMode="External" Id="rId33"/><Relationship Type="http://schemas.openxmlformats.org/officeDocument/2006/relationships/hyperlink" Target="https://aifree.dev/startup-ai-credits" TargetMode="External" Id="rId34"/><Relationship Type="http://schemas.openxmlformats.org/officeDocument/2006/relationships/hyperlink" Target="https://aifree.dev/offer/novita-sandbox-free-credits" TargetMode="External" Id="rId35"/><Relationship Type="http://schemas.openxmlformats.org/officeDocument/2006/relationships/hyperlink" Target="https://aifree.dev/startup-ai-credits" TargetMode="External" Id="rId36"/><Relationship Type="http://schemas.openxmlformats.org/officeDocument/2006/relationships/hyperlink" Target="https://aifree.dev/offer/deepinfra-deepstart-free-tokens" TargetMode="External" Id="rId37"/><Relationship Type="http://schemas.openxmlformats.org/officeDocument/2006/relationships/hyperlink" Target="https://aifree.dev/startup-ai-credits" TargetMode="External" Id="rId38"/><Relationship Type="http://schemas.openxmlformats.org/officeDocument/2006/relationships/hyperlink" Target="https://aifree.dev/offer/free-ai-startup-tokens" TargetMode="External" Id="rId39"/><Relationship Type="http://schemas.openxmlformats.org/officeDocument/2006/relationships/hyperlink" Target="https://aifree.dev/startup-ai-credits" TargetMode="External" Id="rId40"/><Relationship Type="http://schemas.openxmlformats.org/officeDocument/2006/relationships/hyperlink" Target="https://aifree.dev/offer/kaggle-free-gpu-tpu" TargetMode="External" Id="rId41"/><Relationship Type="http://schemas.openxmlformats.org/officeDocument/2006/relationships/hyperlink" Target="https://aifree.dev/startup-ai-credits" TargetMode="External" Id="rId42"/><Relationship Type="http://schemas.openxmlformats.org/officeDocument/2006/relationships/hyperlink" Target="https://aifree.dev/offer/lightning-ai-free-plan" TargetMode="External" Id="rId43"/><Relationship Type="http://schemas.openxmlformats.org/officeDocument/2006/relationships/hyperlink" Target="https://aifree.dev/startup-ai-credits" TargetMode="External" Id="rId44"/><Relationship Type="http://schemas.openxmlformats.org/officeDocument/2006/relationships/hyperlink" Target="https://aifree.dev/offer/hugging-face-zerogpu-spaces" TargetMode="External" Id="rId45"/><Relationship Type="http://schemas.openxmlformats.org/officeDocument/2006/relationships/hyperlink" Target="https://aifree.dev/startup-ai-credits" TargetMode="External" Id="rId46"/><Relationship Type="http://schemas.openxmlformats.org/officeDocument/2006/relationships/hyperlink" Target="https://aifree.dev/offer/fireworks-ai-startup-program" TargetMode="External" Id="rId47"/><Relationship Type="http://schemas.openxmlformats.org/officeDocument/2006/relationships/hyperlink" Target="https://aifree.dev/startup-ai-credits" TargetMode="External" Id="rId48"/><Relationship Type="http://schemas.openxmlformats.org/officeDocument/2006/relationships/hyperlink" Target="https://aifree.dev/offer/modal-startup-program" TargetMode="External" Id="rId49"/><Relationship Type="http://schemas.openxmlformats.org/officeDocument/2006/relationships/hyperlink" Target="https://aifree.dev/startup-ai-credits" TargetMode="External" Id="rId50"/><Relationship Type="http://schemas.openxmlformats.org/officeDocument/2006/relationships/hyperlink" Target="https://aifree.dev/offer/openai-for-startups" TargetMode="External" Id="rId51"/><Relationship Type="http://schemas.openxmlformats.org/officeDocument/2006/relationships/hyperlink" Target="https://aifree.dev/startup-ai-credits" TargetMode="External" Id="rId52"/><Relationship Type="http://schemas.openxmlformats.org/officeDocument/2006/relationships/hyperlink" Target="https://aifree.dev/offer/paperspace-gradient-free-tier" TargetMode="External" Id="rId53"/><Relationship Type="http://schemas.openxmlformats.org/officeDocument/2006/relationships/hyperlink" Target="https://aifree.dev/startup-ai-credits" TargetMode="External" Id="rId54"/><Relationship Type="http://schemas.openxmlformats.org/officeDocument/2006/relationships/hyperlink" Target="https://aifree.dev/offer/pinecone-startup-program" TargetMode="External" Id="rId55"/><Relationship Type="http://schemas.openxmlformats.org/officeDocument/2006/relationships/hyperlink" Target="https://aifree.dev/startup-ai-credits" TargetMode="External" Id="rId56"/><Relationship Type="http://schemas.openxmlformats.org/officeDocument/2006/relationships/hyperlink" Target="https://aifree.dev/offer/sarvam-ai-startup-program" TargetMode="External" Id="rId57"/><Relationship Type="http://schemas.openxmlformats.org/officeDocument/2006/relationships/hyperlink" Target="https://aifree.dev/startup-ai-credits" TargetMode="External" Id="rId58"/><Relationship Type="http://schemas.openxmlformats.org/officeDocument/2006/relationships/hyperlink" Target="https://aifree.dev/offer/claude-for-startups" TargetMode="External" Id="rId59"/><Relationship Type="http://schemas.openxmlformats.org/officeDocument/2006/relationships/hyperlink" Target="https://aifree.dev/startup-ai-credits" TargetMode="External" Id="rId60"/><Relationship Type="http://schemas.openxmlformats.org/officeDocument/2006/relationships/table" Target="/xl/tables/table2.xml" Id="rId61"/></Relationships>
</file>

<file path=xl/worksheets/_rels/sheet4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aifree.dev/offer/aws-activate-credits" TargetMode="External" Id="rId3"/><Relationship Type="http://schemas.openxmlformats.org/officeDocument/2006/relationships/hyperlink" Target="https://aws.amazon.com/startups/credits/" TargetMode="External" Id="rId4"/><Relationship Type="http://schemas.openxmlformats.org/officeDocument/2006/relationships/hyperlink" Target="https://aws.amazon.com/startups/credits/" TargetMode="External" Id="rId5"/><Relationship Type="http://schemas.openxmlformats.org/officeDocument/2006/relationships/hyperlink" Target="https://aws.amazon.com/startups/providers" TargetMode="External" Id="rId6"/><Relationship Type="http://schemas.openxmlformats.org/officeDocument/2006/relationships/hyperlink" Target="https://aws.amazon.com/startups/credits/" TargetMode="External" Id="rId7"/><Relationship Type="http://schemas.openxmlformats.org/officeDocument/2006/relationships/hyperlink" Target="https://aws.amazon.com/startups/credits/" TargetMode="External" Id="rId8"/><Relationship Type="http://schemas.openxmlformats.org/officeDocument/2006/relationships/hyperlink" Target="https://cloud.google.com/startup" TargetMode="External" Id="rId9"/><Relationship Type="http://schemas.openxmlformats.org/officeDocument/2006/relationships/hyperlink" Target="https://cloud.google.com/startup" TargetMode="External" Id="rId10"/><Relationship Type="http://schemas.openxmlformats.org/officeDocument/2006/relationships/hyperlink" Target="https://aifree.dev/offer/google-cloud-ai-startup-program" TargetMode="External" Id="rId11"/><Relationship Type="http://schemas.openxmlformats.org/officeDocument/2006/relationships/hyperlink" Target="https://cloud.google.com/startup" TargetMode="External" Id="rId12"/><Relationship Type="http://schemas.openxmlformats.org/officeDocument/2006/relationships/hyperlink" Target="https://cloud.google.com/startup" TargetMode="External" Id="rId13"/><Relationship Type="http://schemas.openxmlformats.org/officeDocument/2006/relationships/hyperlink" Target="https://aifree.dev/offer/google-cloud-ai-startup-program" TargetMode="External" Id="rId14"/><Relationship Type="http://schemas.openxmlformats.org/officeDocument/2006/relationships/hyperlink" Target="https://www.microsoft.com/en-us/startups" TargetMode="External" Id="rId15"/><Relationship Type="http://schemas.openxmlformats.org/officeDocument/2006/relationships/hyperlink" Target="https://partner.microsoft.com/en-cy/partnership/founders-hub-benefits-guide" TargetMode="External" Id="rId16"/><Relationship Type="http://schemas.openxmlformats.org/officeDocument/2006/relationships/hyperlink" Target="https://guptadeepak.com/startup-offers/programs/microsoft-founders-hub" TargetMode="External" Id="rId17"/><Relationship Type="http://schemas.openxmlformats.org/officeDocument/2006/relationships/hyperlink" Target="https://www.cloudflare.com/forstartups/" TargetMode="External" Id="rId18"/><Relationship Type="http://schemas.openxmlformats.org/officeDocument/2006/relationships/hyperlink" Target="https://aifree.dev/offer/cloudflare-for-startups" TargetMode="External" Id="rId19"/><Relationship Type="http://schemas.openxmlformats.org/officeDocument/2006/relationships/hyperlink" Target="https://aifree.dev/startup-ai-credits" TargetMode="External" Id="rId20"/><Relationship Type="http://schemas.openxmlformats.org/officeDocument/2006/relationships/hyperlink" Target="https://aifree.dev/offer/databricks-for-startups" TargetMode="External" Id="rId21"/><Relationship Type="http://schemas.openxmlformats.org/officeDocument/2006/relationships/hyperlink" Target="https://aifree.dev/startup-ai-credits" TargetMode="External" Id="rId22"/><Relationship Type="http://schemas.openxmlformats.org/officeDocument/2006/relationships/hyperlink" Target="https://aifree.dev/offer/neon-startup-program" TargetMode="External" Id="rId23"/><Relationship Type="http://schemas.openxmlformats.org/officeDocument/2006/relationships/hyperlink" Target="https://aifree.dev/startup-ai-credits" TargetMode="External" Id="rId24"/><Relationship Type="http://schemas.openxmlformats.org/officeDocument/2006/relationships/hyperlink" Target="https://aifree.dev/offer/datadog-for-startups" TargetMode="External" Id="rId25"/><Relationship Type="http://schemas.openxmlformats.org/officeDocument/2006/relationships/hyperlink" Target="https://aifree.dev/startup-ai-credits" TargetMode="External" Id="rId26"/><Relationship Type="http://schemas.openxmlformats.org/officeDocument/2006/relationships/hyperlink" Target="https://aifree.dev/offer/grafana-for-startups" TargetMode="External" Id="rId27"/><Relationship Type="http://schemas.openxmlformats.org/officeDocument/2006/relationships/hyperlink" Target="https://aifree.dev/startup-ai-credits" TargetMode="External" Id="rId28"/><Relationship Type="http://schemas.openxmlformats.org/officeDocument/2006/relationships/hyperlink" Target="https://aifree.dev/offer/render-startup-program" TargetMode="External" Id="rId29"/><Relationship Type="http://schemas.openxmlformats.org/officeDocument/2006/relationships/hyperlink" Target="https://aifree.dev/startup-ai-credits" TargetMode="External" Id="rId30"/><Relationship Type="http://schemas.openxmlformats.org/officeDocument/2006/relationships/hyperlink" Target="https://aifree.dev/offer/vercel-startups" TargetMode="External" Id="rId31"/><Relationship Type="http://schemas.openxmlformats.org/officeDocument/2006/relationships/hyperlink" Target="https://aifree.dev/startup-ai-credits" TargetMode="External" Id="rId32"/><Relationship Type="http://schemas.openxmlformats.org/officeDocument/2006/relationships/hyperlink" Target="https://aifree.dev/offer/yandex-cloud-startup-credits" TargetMode="External" Id="rId33"/><Relationship Type="http://schemas.openxmlformats.org/officeDocument/2006/relationships/hyperlink" Target="https://aifree.dev/startup-ai-credits" TargetMode="External" Id="rId34"/><Relationship Type="http://schemas.openxmlformats.org/officeDocument/2006/relationships/hyperlink" Target="https://aifree.dev/offer/neo4j-startup-program" TargetMode="External" Id="rId35"/><Relationship Type="http://schemas.openxmlformats.org/officeDocument/2006/relationships/hyperlink" Target="https://aifree.dev/startup-ai-credits" TargetMode="External" Id="rId36"/><Relationship Type="http://schemas.openxmlformats.org/officeDocument/2006/relationships/hyperlink" Target="https://aifree.dev/offer/clickhouse-cloud-yc-credits" TargetMode="External" Id="rId37"/><Relationship Type="http://schemas.openxmlformats.org/officeDocument/2006/relationships/hyperlink" Target="https://aifree.dev/startup-ai-credits" TargetMode="External" Id="rId38"/><Relationship Type="http://schemas.openxmlformats.org/officeDocument/2006/relationships/hyperlink" Target="https://aifree.dev/offer/github-for-startups" TargetMode="External" Id="rId39"/><Relationship Type="http://schemas.openxmlformats.org/officeDocument/2006/relationships/hyperlink" Target="https://aifree.dev/startup-ai-credits" TargetMode="External" Id="rId40"/><Relationship Type="http://schemas.openxmlformats.org/officeDocument/2006/relationships/hyperlink" Target="https://aifree.dev/offer/indent-for-startups" TargetMode="External" Id="rId41"/><Relationship Type="http://schemas.openxmlformats.org/officeDocument/2006/relationships/hyperlink" Target="https://aifree.dev/startup-ai-credits" TargetMode="External" Id="rId42"/><Relationship Type="http://schemas.openxmlformats.org/officeDocument/2006/relationships/hyperlink" Target="https://aifree.dev/offer/sentry-for-startups" TargetMode="External" Id="rId43"/><Relationship Type="http://schemas.openxmlformats.org/officeDocument/2006/relationships/hyperlink" Target="https://aifree.dev/startup-ai-credits" TargetMode="External" Id="rId44"/><Relationship Type="http://schemas.openxmlformats.org/officeDocument/2006/relationships/hyperlink" Target="https://aifree.dev/offer/runpod-startup-program" TargetMode="External" Id="rId45"/><Relationship Type="http://schemas.openxmlformats.org/officeDocument/2006/relationships/hyperlink" Target="https://aifree.dev/startup-ai-credits" TargetMode="External" Id="rId46"/><Relationship Type="http://schemas.openxmlformats.org/officeDocument/2006/relationships/hyperlink" Target="https://aifree.dev/offer/upcloud-free-trial-credits" TargetMode="External" Id="rId47"/><Relationship Type="http://schemas.openxmlformats.org/officeDocument/2006/relationships/hyperlink" Target="https://aifree.dev/startup-ai-credits" TargetMode="External" Id="rId48"/><Relationship Type="http://schemas.openxmlformats.org/officeDocument/2006/relationships/hyperlink" Target="https://aifree.dev/offer/google-cloud-free-program" TargetMode="External" Id="rId49"/><Relationship Type="http://schemas.openxmlformats.org/officeDocument/2006/relationships/hyperlink" Target="https://aifree.dev/startup-ai-credits" TargetMode="External" Id="rId50"/><Relationship Type="http://schemas.openxmlformats.org/officeDocument/2006/relationships/hyperlink" Target="https://aifree.dev/offer/oracle-cloud-free-tier" TargetMode="External" Id="rId51"/><Relationship Type="http://schemas.openxmlformats.org/officeDocument/2006/relationships/hyperlink" Target="https://aifree.dev/startup-ai-credits" TargetMode="External" Id="rId52"/><Relationship Type="http://schemas.openxmlformats.org/officeDocument/2006/relationships/hyperlink" Target="https://aifree.dev/offer/vultr-free-trial-credits" TargetMode="External" Id="rId53"/><Relationship Type="http://schemas.openxmlformats.org/officeDocument/2006/relationships/hyperlink" Target="https://aifree.dev/startup-ai-credits" TargetMode="External" Id="rId54"/><Relationship Type="http://schemas.openxmlformats.org/officeDocument/2006/relationships/hyperlink" Target="https://aifree.dev/offer/civo-free-trial-credit" TargetMode="External" Id="rId55"/><Relationship Type="http://schemas.openxmlformats.org/officeDocument/2006/relationships/hyperlink" Target="https://aifree.dev/startup-ai-credits" TargetMode="External" Id="rId56"/><Relationship Type="http://schemas.openxmlformats.org/officeDocument/2006/relationships/hyperlink" Target="https://aifree.dev/offer/ibm-cloud-free-tier" TargetMode="External" Id="rId57"/><Relationship Type="http://schemas.openxmlformats.org/officeDocument/2006/relationships/hyperlink" Target="https://aifree.dev/startup-ai-credits" TargetMode="External" Id="rId58"/><Relationship Type="http://schemas.openxmlformats.org/officeDocument/2006/relationships/hyperlink" Target="https://aifree.dev/offer/ionos-cloud-free-trial-credit" TargetMode="External" Id="rId59"/><Relationship Type="http://schemas.openxmlformats.org/officeDocument/2006/relationships/hyperlink" Target="https://aifree.dev/startup-ai-credits" TargetMode="External" Id="rId60"/><Relationship Type="http://schemas.openxmlformats.org/officeDocument/2006/relationships/hyperlink" Target="https://aifree.dev/offer/akamai-cloud-100-free-credit" TargetMode="External" Id="rId61"/><Relationship Type="http://schemas.openxmlformats.org/officeDocument/2006/relationships/hyperlink" Target="https://aifree.dev/startup-ai-credits" TargetMode="External" Id="rId62"/><Relationship Type="http://schemas.openxmlformats.org/officeDocument/2006/relationships/hyperlink" Target="https://aifree.dev/offer/alibaba-cloud-free-trial" TargetMode="External" Id="rId63"/><Relationship Type="http://schemas.openxmlformats.org/officeDocument/2006/relationships/hyperlink" Target="https://aifree.dev/startup-ai-credits" TargetMode="External" Id="rId64"/><Relationship Type="http://schemas.openxmlformats.org/officeDocument/2006/relationships/hyperlink" Target="https://aifree.dev/offer/railway-free-plan-and-trial-credits" TargetMode="External" Id="rId65"/><Relationship Type="http://schemas.openxmlformats.org/officeDocument/2006/relationships/hyperlink" Target="https://aifree.dev/startup-ai-credits" TargetMode="External" Id="rId66"/><Relationship Type="http://schemas.openxmlformats.org/officeDocument/2006/relationships/hyperlink" Target="https://aifree.dev/offer/netlify-free-plan" TargetMode="External" Id="rId67"/><Relationship Type="http://schemas.openxmlformats.org/officeDocument/2006/relationships/hyperlink" Target="https://aifree.dev/startup-ai-credits" TargetMode="External" Id="rId68"/><Relationship Type="http://schemas.openxmlformats.org/officeDocument/2006/relationships/hyperlink" Target="https://aifree.dev/offer/convex-for-startups" TargetMode="External" Id="rId69"/><Relationship Type="http://schemas.openxmlformats.org/officeDocument/2006/relationships/hyperlink" Target="https://aifree.dev/startup-ai-credits" TargetMode="External" Id="rId70"/><Relationship Type="http://schemas.openxmlformats.org/officeDocument/2006/relationships/hyperlink" Target="https://aifree.dev/offer/digitalocean-hatch" TargetMode="External" Id="rId71"/><Relationship Type="http://schemas.openxmlformats.org/officeDocument/2006/relationships/hyperlink" Target="https://aifree.dev/startup-ai-credits" TargetMode="External" Id="rId72"/><Relationship Type="http://schemas.openxmlformats.org/officeDocument/2006/relationships/hyperlink" Target="https://aifree.dev/offer/exoscale-free-trial-credit" TargetMode="External" Id="rId73"/><Relationship Type="http://schemas.openxmlformats.org/officeDocument/2006/relationships/hyperlink" Target="https://aifree.dev/startup-ai-credits" TargetMode="External" Id="rId74"/><Relationship Type="http://schemas.openxmlformats.org/officeDocument/2006/relationships/hyperlink" Target="https://aifree.dev/offer/koyeb-free-tier" TargetMode="External" Id="rId75"/><Relationship Type="http://schemas.openxmlformats.org/officeDocument/2006/relationships/hyperlink" Target="https://aifree.dev/startup-ai-credits" TargetMode="External" Id="rId76"/><Relationship Type="http://schemas.openxmlformats.org/officeDocument/2006/relationships/hyperlink" Target="https://aifree.dev/offer/mongodb-for-startups" TargetMode="External" Id="rId77"/><Relationship Type="http://schemas.openxmlformats.org/officeDocument/2006/relationships/hyperlink" Target="https://aifree.dev/startup-ai-credits" TargetMode="External" Id="rId78"/><Relationship Type="http://schemas.openxmlformats.org/officeDocument/2006/relationships/hyperlink" Target="https://aifree.dev/offer/northflank-developer-sandbox" TargetMode="External" Id="rId79"/><Relationship Type="http://schemas.openxmlformats.org/officeDocument/2006/relationships/hyperlink" Target="https://aifree.dev/startup-ai-credits" TargetMode="External" Id="rId80"/><Relationship Type="http://schemas.openxmlformats.org/officeDocument/2006/relationships/hyperlink" Target="https://aifree.dev/offer/ovhcloud-startup-program" TargetMode="External" Id="rId81"/><Relationship Type="http://schemas.openxmlformats.org/officeDocument/2006/relationships/hyperlink" Target="https://aifree.dev/startup-ai-credits" TargetMode="External" Id="rId82"/><Relationship Type="http://schemas.openxmlformats.org/officeDocument/2006/relationships/hyperlink" Target="https://aifree.dev/offer/runpod-referral-bonus-credits" TargetMode="External" Id="rId83"/><Relationship Type="http://schemas.openxmlformats.org/officeDocument/2006/relationships/hyperlink" Target="https://aifree.dev/startup-ai-credits" TargetMode="External" Id="rId84"/><Relationship Type="http://schemas.openxmlformats.org/officeDocument/2006/relationships/hyperlink" Target="https://aifree.dev/offer/snowflake-for-startups" TargetMode="External" Id="rId85"/><Relationship Type="http://schemas.openxmlformats.org/officeDocument/2006/relationships/hyperlink" Target="https://aifree.dev/startup-ai-credits" TargetMode="External" Id="rId86"/><Relationship Type="http://schemas.openxmlformats.org/officeDocument/2006/relationships/hyperlink" Target="https://aifree.dev/offer/t-cloud-public-starter-credit" TargetMode="External" Id="rId87"/><Relationship Type="http://schemas.openxmlformats.org/officeDocument/2006/relationships/hyperlink" Target="https://aifree.dev/startup-ai-credits" TargetMode="External" Id="rId88"/><Relationship Type="http://schemas.openxmlformats.org/officeDocument/2006/relationships/hyperlink" Target="https://aifree.dev/offer/tencent-cloud-free-tier" TargetMode="External" Id="rId89"/><Relationship Type="http://schemas.openxmlformats.org/officeDocument/2006/relationships/hyperlink" Target="https://aifree.dev/startup-ai-credits" TargetMode="External" Id="rId90"/><Relationship Type="http://schemas.openxmlformats.org/officeDocument/2006/relationships/hyperlink" Target="https://aifree.dev/offer/vultr-free-tier-program" TargetMode="External" Id="rId91"/><Relationship Type="http://schemas.openxmlformats.org/officeDocument/2006/relationships/hyperlink" Target="https://aifree.dev/startup-ai-credits" TargetMode="External" Id="rId92"/><Relationship Type="http://schemas.openxmlformats.org/officeDocument/2006/relationships/hyperlink" Target="https://aifree.dev/offer/huawei-cloud-free-packages" TargetMode="External" Id="rId93"/><Relationship Type="http://schemas.openxmlformats.org/officeDocument/2006/relationships/hyperlink" Target="https://aifree.dev/startup-ai-credits" TargetMode="External" Id="rId94"/><Relationship Type="http://schemas.openxmlformats.org/officeDocument/2006/relationships/table" Target="/xl/tables/table3.xml" Id="rId95"/></Relationships>
</file>

<file path=xl/worksheets/_rels/sheet5.xml.rels><Relationships xmlns="http://schemas.openxmlformats.org/package/2006/relationships"><Relationship Type="http://schemas.openxmlformats.org/officeDocument/2006/relationships/hyperlink" Target="https://sendpulse.com/startup" TargetMode="External" Id="rId1"/><Relationship Type="http://schemas.openxmlformats.org/officeDocument/2006/relationships/hyperlink" Target="https://sendpulse.com/startup" TargetMode="External" Id="rId2"/><Relationship Type="http://schemas.openxmlformats.org/officeDocument/2006/relationships/hyperlink" Target="https://unione.io/en/email-service-for-startups/" TargetMode="External" Id="rId3"/><Relationship Type="http://schemas.openxmlformats.org/officeDocument/2006/relationships/hyperlink" Target="https://unione.io/en/email-service-for-startups/" TargetMode="External" Id="rId4"/><Relationship Type="http://schemas.openxmlformats.org/officeDocument/2006/relationships/hyperlink" Target="https://aifree.dev/offer/posthog-startup-program" TargetMode="External" Id="rId5"/><Relationship Type="http://schemas.openxmlformats.org/officeDocument/2006/relationships/hyperlink" Target="https://aifree.dev/startup-ai-credits" TargetMode="External" Id="rId6"/><Relationship Type="http://schemas.openxmlformats.org/officeDocument/2006/relationships/hyperlink" Target="https://aifree.dev/offer/notion-for-startups" TargetMode="External" Id="rId7"/><Relationship Type="http://schemas.openxmlformats.org/officeDocument/2006/relationships/hyperlink" Target="https://aifree.dev/startup-ai-credits" TargetMode="External" Id="rId8"/><Relationship Type="http://schemas.openxmlformats.org/officeDocument/2006/relationships/hyperlink" Target="https://aifree.dev/offer/algolia-startup-program" TargetMode="External" Id="rId9"/><Relationship Type="http://schemas.openxmlformats.org/officeDocument/2006/relationships/hyperlink" Target="https://aifree.dev/startup-ai-credits" TargetMode="External" Id="rId10"/><Relationship Type="http://schemas.openxmlformats.org/officeDocument/2006/relationships/hyperlink" Target="https://aifree.dev/offer/sanity-startup-program" TargetMode="External" Id="rId11"/><Relationship Type="http://schemas.openxmlformats.org/officeDocument/2006/relationships/hyperlink" Target="https://aifree.dev/startup-ai-credits" TargetMode="External" Id="rId12"/><Relationship Type="http://schemas.openxmlformats.org/officeDocument/2006/relationships/hyperlink" Target="https://aifree.dev/offer/atlassian-startup-program" TargetMode="External" Id="rId13"/><Relationship Type="http://schemas.openxmlformats.org/officeDocument/2006/relationships/hyperlink" Target="https://aifree.dev/startup-ai-credits" TargetMode="External" Id="rId14"/><Relationship Type="http://schemas.openxmlformats.org/officeDocument/2006/relationships/hyperlink" Target="https://aifree.dev/offer/auth0-for-startups" TargetMode="External" Id="rId15"/><Relationship Type="http://schemas.openxmlformats.org/officeDocument/2006/relationships/hyperlink" Target="https://aifree.dev/startup-ai-credits" TargetMode="External" Id="rId16"/><Relationship Type="http://schemas.openxmlformats.org/officeDocument/2006/relationships/hyperlink" Target="https://aifree.dev/offer/customer-io-startup-program" TargetMode="External" Id="rId17"/><Relationship Type="http://schemas.openxmlformats.org/officeDocument/2006/relationships/hyperlink" Target="https://aifree.dev/startup-ai-credits" TargetMode="External" Id="rId18"/><Relationship Type="http://schemas.openxmlformats.org/officeDocument/2006/relationships/hyperlink" Target="https://aifree.dev/offer/linear-startup-program" TargetMode="External" Id="rId19"/><Relationship Type="http://schemas.openxmlformats.org/officeDocument/2006/relationships/hyperlink" Target="https://aifree.dev/startup-ai-credits" TargetMode="External" Id="rId20"/><Relationship Type="http://schemas.openxmlformats.org/officeDocument/2006/relationships/hyperlink" Target="https://aifree.dev/offer/mintlify-startup-program" TargetMode="External" Id="rId21"/><Relationship Type="http://schemas.openxmlformats.org/officeDocument/2006/relationships/hyperlink" Target="https://aifree.dev/startup-ai-credits" TargetMode="External" Id="rId22"/><Relationship Type="http://schemas.openxmlformats.org/officeDocument/2006/relationships/hyperlink" Target="https://aifree.dev/offer/shortcut-startup-program" TargetMode="External" Id="rId23"/><Relationship Type="http://schemas.openxmlformats.org/officeDocument/2006/relationships/hyperlink" Target="https://aifree.dev/startup-ai-credits" TargetMode="External" Id="rId24"/><Relationship Type="http://schemas.openxmlformats.org/officeDocument/2006/relationships/hyperlink" Target="https://stripe.com/startup-benefits/aws-activate" TargetMode="External" Id="rId25"/><Relationship Type="http://schemas.openxmlformats.org/officeDocument/2006/relationships/hyperlink" Target="https://aifree.dev/offer/stripe-for-startups" TargetMode="External" Id="rId26"/><Relationship Type="http://schemas.openxmlformats.org/officeDocument/2006/relationships/hyperlink" Target="https://aifree.dev/startup-ai-credits" TargetMode="External" Id="rId27"/><Relationship Type="http://schemas.openxmlformats.org/officeDocument/2006/relationships/table" Target="/xl/tables/table4.xml" Id="rId28"/></Relationships>
</file>

<file path=xl/worksheets/_rels/sheet6.xml.rels><Relationships xmlns="http://schemas.openxmlformats.org/package/2006/relationships"><Relationship Type="http://schemas.openxmlformats.org/officeDocument/2006/relationships/hyperlink" Target="https://meatechwatch.com/?p=23538" TargetMode="External" Id="rId1"/><Relationship Type="http://schemas.openxmlformats.org/officeDocument/2006/relationships/hyperlink" Target="https://menastartupdigest.com/?p=40213" TargetMode="External" Id="rId2"/><Relationship Type="http://schemas.openxmlformats.org/officeDocument/2006/relationships/table" Target="/xl/tables/table5.xm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aifree.dev/offer/aws-activate-credits" TargetMode="External" Id="rId3"/><Relationship Type="http://schemas.openxmlformats.org/officeDocument/2006/relationships/hyperlink" Target="https://aws.amazon.com/startups/credits/" TargetMode="External" Id="rId4"/><Relationship Type="http://schemas.openxmlformats.org/officeDocument/2006/relationships/hyperlink" Target="https://aws.amazon.com/startups/credits/" TargetMode="External" Id="rId5"/><Relationship Type="http://schemas.openxmlformats.org/officeDocument/2006/relationships/hyperlink" Target="https://aws.amazon.com/startups/providers" TargetMode="External" Id="rId6"/><Relationship Type="http://schemas.openxmlformats.org/officeDocument/2006/relationships/hyperlink" Target="https://aws.amazon.com/startups/credits/" TargetMode="External" Id="rId7"/><Relationship Type="http://schemas.openxmlformats.org/officeDocument/2006/relationships/hyperlink" Target="https://aws.amazon.com/startups/credits/" TargetMode="External" Id="rId8"/><Relationship Type="http://schemas.openxmlformats.org/officeDocument/2006/relationships/hyperlink" Target="https://kiro.dev/startups/" TargetMode="External" Id="rId9"/><Relationship Type="http://schemas.openxmlformats.org/officeDocument/2006/relationships/hyperlink" Target="https://aws.amazon.com/startups/credits/" TargetMode="External" Id="rId10"/><Relationship Type="http://schemas.openxmlformats.org/officeDocument/2006/relationships/hyperlink" Target="https://kiro.dev/startups/" TargetMode="External" Id="rId11"/><Relationship Type="http://schemas.openxmlformats.org/officeDocument/2006/relationships/hyperlink" Target="https://cloud.google.com/startup" TargetMode="External" Id="rId12"/><Relationship Type="http://schemas.openxmlformats.org/officeDocument/2006/relationships/hyperlink" Target="https://cloud.google.com/startup" TargetMode="External" Id="rId13"/><Relationship Type="http://schemas.openxmlformats.org/officeDocument/2006/relationships/hyperlink" Target="https://aifree.dev/offer/google-cloud-ai-startup-program" TargetMode="External" Id="rId14"/><Relationship Type="http://schemas.openxmlformats.org/officeDocument/2006/relationships/hyperlink" Target="https://cloud.google.com/startup" TargetMode="External" Id="rId15"/><Relationship Type="http://schemas.openxmlformats.org/officeDocument/2006/relationships/hyperlink" Target="https://cloud.google.com/startup" TargetMode="External" Id="rId16"/><Relationship Type="http://schemas.openxmlformats.org/officeDocument/2006/relationships/hyperlink" Target="https://aifree.dev/offer/google-cloud-ai-startup-program" TargetMode="External" Id="rId17"/><Relationship Type="http://schemas.openxmlformats.org/officeDocument/2006/relationships/hyperlink" Target="https://www.microsoft.com/en-us/startups" TargetMode="External" Id="rId18"/><Relationship Type="http://schemas.openxmlformats.org/officeDocument/2006/relationships/hyperlink" Target="https://partner.microsoft.com/en-cy/partnership/founders-hub-benefits-guide" TargetMode="External" Id="rId19"/><Relationship Type="http://schemas.openxmlformats.org/officeDocument/2006/relationships/hyperlink" Target="https://guptadeepak.com/startup-offers/programs/microsoft-founders-hub" TargetMode="External" Id="rId20"/><Relationship Type="http://schemas.openxmlformats.org/officeDocument/2006/relationships/hyperlink" Target="https://elevenlabs.io/startup-grants" TargetMode="External" Id="rId21"/><Relationship Type="http://schemas.openxmlformats.org/officeDocument/2006/relationships/hyperlink" Target="https://elevenlabs.io/startup-grants" TargetMode="External" Id="rId22"/><Relationship Type="http://schemas.openxmlformats.org/officeDocument/2006/relationships/hyperlink" Target="https://aifree.dev/offer/elevenlabs-startup-program" TargetMode="External" Id="rId23"/><Relationship Type="http://schemas.openxmlformats.org/officeDocument/2006/relationships/hyperlink" Target="https://sendpulse.com/startup" TargetMode="External" Id="rId24"/><Relationship Type="http://schemas.openxmlformats.org/officeDocument/2006/relationships/hyperlink" Target="https://sendpulse.com/startup" TargetMode="External" Id="rId25"/><Relationship Type="http://schemas.openxmlformats.org/officeDocument/2006/relationships/hyperlink" Target="https://unione.io/en/email-service-for-startups/" TargetMode="External" Id="rId26"/><Relationship Type="http://schemas.openxmlformats.org/officeDocument/2006/relationships/hyperlink" Target="https://unione.io/en/email-service-for-startups/" TargetMode="External" Id="rId27"/><Relationship Type="http://schemas.openxmlformats.org/officeDocument/2006/relationships/hyperlink" Target="https://meatechwatch.com/?p=23538" TargetMode="External" Id="rId28"/><Relationship Type="http://schemas.openxmlformats.org/officeDocument/2006/relationships/hyperlink" Target="https://menastartupdigest.com/?p=40213" TargetMode="External" Id="rId29"/><Relationship Type="http://schemas.openxmlformats.org/officeDocument/2006/relationships/hyperlink" Target="https://itida.gov.eg/English/PressReleases/Pages/itida-launches-invest-it-startup-funding-program-egypt.aspx" TargetMode="External" Id="rId30"/><Relationship Type="http://schemas.openxmlformats.org/officeDocument/2006/relationships/hyperlink" Target="https://flat6labs.com/2024/11/" TargetMode="External" Id="rId31"/><Relationship Type="http://schemas.openxmlformats.org/officeDocument/2006/relationships/hyperlink" Target="https://itida.gov.eg/English/PressReleases/Pages/itida-launches-invest-it-startup-funding-program-egypt.aspx" TargetMode="External" Id="rId32"/><Relationship Type="http://schemas.openxmlformats.org/officeDocument/2006/relationships/hyperlink" Target="https://www.linkedin.com/company/itida/" TargetMode="External" Id="rId33"/><Relationship Type="http://schemas.openxmlformats.org/officeDocument/2006/relationships/hyperlink" Target="https://enterprise.press/?p=137230" TargetMode="External" Id="rId34"/><Relationship Type="http://schemas.openxmlformats.org/officeDocument/2006/relationships/hyperlink" Target="https://techcrunch.com/?p=2156316" TargetMode="External" Id="rId35"/><Relationship Type="http://schemas.openxmlformats.org/officeDocument/2006/relationships/table" Target="/xl/tables/table6.xml" Id="rId36"/></Relationships>
</file>

<file path=xl/worksheets/_rels/sheet8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aws.amazon.com/startups/credits/" TargetMode="External" Id="rId2"/><Relationship Type="http://schemas.openxmlformats.org/officeDocument/2006/relationships/hyperlink" Target="https://aws.amazon.com/startups/providers" TargetMode="External" Id="rId3"/><Relationship Type="http://schemas.openxmlformats.org/officeDocument/2006/relationships/hyperlink" Target="https://itida.gov.eg/English/PressReleases/Pages/itida-launches-invest-it-startup-funding-program-egypt.aspx" TargetMode="External" Id="rId4"/><Relationship Type="http://schemas.openxmlformats.org/officeDocument/2006/relationships/hyperlink" Target="https://flat6labs.com/2024/11/" TargetMode="External" Id="rId5"/><Relationship Type="http://schemas.openxmlformats.org/officeDocument/2006/relationships/hyperlink" Target="https://itida.gov.eg/English/PressReleases/Pages/itida-launches-invest-it-startup-funding-program-egypt.aspx" TargetMode="External" Id="rId6"/><Relationship Type="http://schemas.openxmlformats.org/officeDocument/2006/relationships/hyperlink" Target="https://www.linkedin.com/company/itida/" TargetMode="External" Id="rId7"/><Relationship Type="http://schemas.openxmlformats.org/officeDocument/2006/relationships/hyperlink" Target="https://enterprise.press/?p=137230" TargetMode="External" Id="rId8"/><Relationship Type="http://schemas.openxmlformats.org/officeDocument/2006/relationships/hyperlink" Target="https://techcrunch.com/?p=2156316" TargetMode="External" Id="rId9"/><Relationship Type="http://schemas.openxmlformats.org/officeDocument/2006/relationships/hyperlink" Target="https://aifree.dev/offer/antler-disrupt-ai-perks" TargetMode="External" Id="rId10"/><Relationship Type="http://schemas.openxmlformats.org/officeDocument/2006/relationships/hyperlink" Target="https://aifree.dev/startup-ai-credits" TargetMode="External" Id="rId11"/><Relationship Type="http://schemas.openxmlformats.org/officeDocument/2006/relationships/hyperlink" Target="https://aifree.dev/offer/datadog-for-startups" TargetMode="External" Id="rId12"/><Relationship Type="http://schemas.openxmlformats.org/officeDocument/2006/relationships/hyperlink" Target="https://aifree.dev/startup-ai-credits" TargetMode="External" Id="rId13"/><Relationship Type="http://schemas.openxmlformats.org/officeDocument/2006/relationships/hyperlink" Target="https://aifree.dev/offer/clickhouse-cloud-yc-credits" TargetMode="External" Id="rId14"/><Relationship Type="http://schemas.openxmlformats.org/officeDocument/2006/relationships/hyperlink" Target="https://aifree.dev/startup-ai-credits" TargetMode="External" Id="rId15"/><Relationship Type="http://schemas.openxmlformats.org/officeDocument/2006/relationships/hyperlink" Target="https://aifree.dev/offer/linear-startup-program" TargetMode="External" Id="rId16"/><Relationship Type="http://schemas.openxmlformats.org/officeDocument/2006/relationships/hyperlink" Target="https://aifree.dev/startup-ai-credits" TargetMode="External" Id="rId17"/><Relationship Type="http://schemas.openxmlformats.org/officeDocument/2006/relationships/hyperlink" Target="https://aifree.dev/offer/nvidia-inception" TargetMode="External" Id="rId18"/><Relationship Type="http://schemas.openxmlformats.org/officeDocument/2006/relationships/hyperlink" Target="https://aifree.dev/startup-ai-credits" TargetMode="External" Id="rId19"/><Relationship Type="http://schemas.openxmlformats.org/officeDocument/2006/relationships/table" Target="/xl/tables/table7.xml" Id="rId2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microsoft.com/en-us/startups" TargetMode="External" Id="rId1"/><Relationship Type="http://schemas.openxmlformats.org/officeDocument/2006/relationships/hyperlink" Target="https://aws.amazon.com/startups/join?destination=/credits/apply" TargetMode="External" Id="rId2"/><Relationship Type="http://schemas.openxmlformats.org/officeDocument/2006/relationships/hyperlink" Target="https://sendpulse.com/startup" TargetMode="External" Id="rId3"/><Relationship Type="http://schemas.openxmlformats.org/officeDocument/2006/relationships/hyperlink" Target="https://www.cloudflare.com/forstartups/" TargetMode="External" Id="rId4"/><Relationship Type="http://schemas.openxmlformats.org/officeDocument/2006/relationships/hyperlink" Target="https://elevenlabs.io/grants-application" TargetMode="External" Id="rId5"/><Relationship Type="http://schemas.openxmlformats.org/officeDocument/2006/relationships/table" Target="/xl/tables/table8.xml" Id="rId6"/></Relationships>
</file>

<file path=xl/worksheets/_rels/sheet10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cloud.google.com/startup" TargetMode="External" Id="rId2"/><Relationship Type="http://schemas.openxmlformats.org/officeDocument/2006/relationships/hyperlink" Target="https://elevenlabs.io/startup-grants" TargetMode="External" Id="rId3"/><Relationship Type="http://schemas.openxmlformats.org/officeDocument/2006/relationships/hyperlink" Target="https://sendpulse.com/startup" TargetMode="External" Id="rId4"/><Relationship Type="http://schemas.openxmlformats.org/officeDocument/2006/relationships/hyperlink" Target="https://unione.io/en/startup-offer" TargetMode="External" Id="rId5"/><Relationship Type="http://schemas.openxmlformats.org/officeDocument/2006/relationships/hyperlink" Target="https://aifree.dev/startup-ai-credits" TargetMode="External" Id="rId6"/><Relationship Type="http://schemas.openxmlformats.org/officeDocument/2006/relationships/hyperlink" Target="https://www.microsoft.com/en-us/startups" TargetMode="External" Id="rId7"/><Relationship Type="http://schemas.openxmlformats.org/officeDocument/2006/relationships/hyperlink" Target="https://partner.microsoft.com/en-cy/partnership/founders-hub-benefits-guide" TargetMode="External" Id="rId8"/><Relationship Type="http://schemas.openxmlformats.org/officeDocument/2006/relationships/hyperlink" Target="https://itida.gov.eg/English/PressReleases/Pages/itida-launches-invest-it-startup-funding-program-egypt.aspx" TargetMode="External" Id="rId9"/><Relationship Type="http://schemas.openxmlformats.org/officeDocument/2006/relationships/hyperlink" Target="https://flat6labs.com/2024/11/" TargetMode="External" Id="rId10"/><Relationship Type="http://schemas.openxmlformats.org/officeDocument/2006/relationships/hyperlink" Target="https://meatechwatch.com/?p=23538" TargetMode="External" Id="rId11"/><Relationship Type="http://schemas.openxmlformats.org/officeDocument/2006/relationships/hyperlink" Target="https://menastartupdigest.com/?p=40213" TargetMode="External" Id="rId12"/><Relationship Type="http://schemas.openxmlformats.org/officeDocument/2006/relationships/hyperlink" Target="https://openrouter.ai/" TargetMode="External" Id="rId13"/><Relationship Type="http://schemas.openxmlformats.org/officeDocument/2006/relationships/hyperlink" Target="https://agentrouter.org/" TargetMode="External" Id="rId14"/><Relationship Type="http://schemas.openxmlformats.org/officeDocument/2006/relationships/hyperlink" Target="https://firecrawl.dev/" TargetMode="External" Id="rId15"/><Relationship Type="http://schemas.openxmlformats.org/officeDocument/2006/relationships/hyperlink" Target="https://f.make.com/startups" TargetMode="External" Id="rId16"/><Relationship Type="http://schemas.openxmlformats.org/officeDocument/2006/relationships/hyperlink" Target="https://stripe.com/startup-benefits/aws-activate" TargetMode="External" Id="rId17"/><Relationship Type="http://schemas.openxmlformats.org/officeDocument/2006/relationships/hyperlink" Target="https://creditforstartups.com/companies" TargetMode="External" Id="rId18"/><Relationship Type="http://schemas.openxmlformats.org/officeDocument/2006/relationships/hyperlink" Target="https://www.cloudflare.com/forstartups/" TargetMode="External" Id="rId19"/><Relationship Type="http://schemas.openxmlformats.org/officeDocument/2006/relationships/hyperlink" Target="https://tokenthrift.io/credits" TargetMode="External" Id="rId20"/><Relationship Type="http://schemas.openxmlformats.org/officeDocument/2006/relationships/table" Target="/xl/tables/table9.xml" Id="rId2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icrosoft.com/en-us/startups" TargetMode="External" Id="rId1"/><Relationship Type="http://schemas.openxmlformats.org/officeDocument/2006/relationships/hyperlink" Target="https://aws.amazon.com/startups/join?destination=/credits/apply" TargetMode="External" Id="rId2"/><Relationship Type="http://schemas.openxmlformats.org/officeDocument/2006/relationships/hyperlink" Target="https://sendpulse.com/startup" TargetMode="External" Id="rId3"/><Relationship Type="http://schemas.openxmlformats.org/officeDocument/2006/relationships/hyperlink" Target="https://www.cloudflare.com/forstartups/" TargetMode="External" Id="rId4"/><Relationship Type="http://schemas.openxmlformats.org/officeDocument/2006/relationships/hyperlink" Target="https://elevenlabs.io/grants-application" TargetMode="External" Id="rId5"/><Relationship Type="http://schemas.openxmlformats.org/officeDocument/2006/relationships/hyperlink" Target="https://kiro.dev/startups/" TargetMode="External" Id="rId6"/><Relationship Type="http://schemas.openxmlformats.org/officeDocument/2006/relationships/table" Target="/xl/tables/table10.xml" Id="rId7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9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6" min="1" max="1"/>
  </cols>
  <sheetData>
    <row r="1" ht="17.35" customHeight="1" s="17">
      <c r="A1" s="18" t="inlineStr">
        <is>
          <t>Global Startup Grants, AI Credits, Cloud Credits &amp; SaaS Benefits Database</t>
        </is>
      </c>
    </row>
    <row r="2" ht="15" customHeight="1" s="17">
      <c r="A2" s="19" t="inlineStr">
        <is>
          <t>Build date: 2026-10-24 | Batch 1 (first research session)</t>
        </is>
      </c>
    </row>
    <row r="3" ht="15" customHeight="1" s="17">
      <c r="A3" s="19" t="n"/>
    </row>
    <row r="4" ht="15" customHeight="1" s="17">
      <c r="A4" s="20" t="inlineStr">
        <is>
          <t>PURPOSE</t>
        </is>
      </c>
    </row>
    <row r="5" ht="23.85" customHeight="1" s="17">
      <c r="A5" s="19" t="inlineStr">
        <is>
          <t>A research database of startup funding, AI/API credits, cloud credits, SaaS startup offers and accelerator perks, with Egypt-based and bootstrapped founders prioritised.</t>
        </is>
      </c>
    </row>
    <row r="6" ht="15" customHeight="1" s="17">
      <c r="A6" s="19" t="n"/>
    </row>
    <row r="7" ht="15" customHeight="1" s="17">
      <c r="A7" s="20" t="inlineStr">
        <is>
          <t>WHAT THIS BATCH CONTAINS</t>
        </is>
      </c>
    </row>
    <row r="8" ht="15" customHeight="1" s="17">
      <c r="A8" s="19" t="inlineStr">
        <is>
          <t>92 records. Only some were verified against official pages in this session. Verification Confidence is the honest signal:</t>
        </is>
      </c>
    </row>
    <row r="9" ht="23.85" customHeight="1" s="17">
      <c r="A9" s="19" t="inlineStr">
        <is>
          <t>High = the official program page was opened this session and the stated terms were read there (AWS Activate tiers, Google for Startups Cloud Program, SendPulse, UniOne).</t>
        </is>
      </c>
    </row>
    <row r="10" ht="23.85" customHeight="1" s="17">
      <c r="A10" s="19" t="inlineStr">
        <is>
          <t>Medium = official page partly read (e.g. ElevenLabs FAQ collapsed; Flat6Labs program page) OR the terms come from the aifree.dev directory, which dates its own verification (Oct 12, 2026) but whose provider page was NOT opened by me.</t>
        </is>
      </c>
    </row>
    <row r="11" ht="23.85" customHeight="1" s="17">
      <c r="A11" s="19" t="inlineStr">
        <is>
          <t>Low = press-only, directory 'Listed' badge only, flagged conflicts, or status unclear (TIEC Start IT, Plug and Play cohort, Flat6Labs, Claude for Startups, Yandex, Huawei, Free.ai).</t>
        </is>
      </c>
    </row>
    <row r="12" ht="15" customHeight="1" s="17">
      <c r="A12" s="19" t="n"/>
    </row>
    <row r="13" ht="15" customHeight="1" s="17">
      <c r="A13" s="20" t="inlineStr">
        <is>
          <t>DEFINITIONS</t>
        </is>
      </c>
    </row>
    <row r="14" ht="23.85" customHeight="1" s="17">
      <c r="A14" s="19" t="inlineStr">
        <is>
          <t>Credits = usage balance on the vendor platform, not cash. Cash = money paid to the startup. Discount = reduced price. In-Kind = free subscription or service. Unknown = value not stated.</t>
        </is>
      </c>
    </row>
    <row r="15" ht="23.85" customHeight="1" s="17">
      <c r="A15" s="19" t="inlineStr">
        <is>
          <t>Benefit Type separates startup-specific programs from generic free trials and free tiers. Trials/free tiers are kept in the database for completeness but are NOT startup funding.</t>
        </is>
      </c>
    </row>
    <row r="16" ht="23.85" customHeight="1" s="17">
      <c r="A16" s="19" t="inlineStr">
        <is>
          <t>Maximum Advertised Value is the headline ceiling, not what every startup receives. Never add values across rows: caps are shared in places (e.g. Databricks and Neon share one $200K cap).</t>
        </is>
      </c>
    </row>
    <row r="17" ht="23.85" customHeight="1" s="17">
      <c r="A17" s="19" t="inlineStr">
        <is>
          <t>Available to Egypt-Based Startups? = Confirmed only when the program is Egypt-based or states Egypt eligibility. 'Unverified' means no exclusion was seen but Egypt was not confirmed. Most global programs are Unverified.</t>
        </is>
      </c>
    </row>
    <row r="18" ht="15" customHeight="1" s="17">
      <c r="A18" s="19" t="n"/>
    </row>
    <row r="19" ht="15" customHeight="1" s="17">
      <c r="A19" s="20" t="inlineStr">
        <is>
          <t>PRIORITY SCORE (sheet 'Priority Scoring')</t>
        </is>
      </c>
    </row>
    <row r="20" ht="23.85" customHeight="1" s="17">
      <c r="A20" s="19" t="inlineStr">
        <is>
          <t>Total out of 100 = Value (0-20) + Eligibility likelihood (0-25) + Open status (0-15) + Relevance to AI/SaaS/software (0-10) + Ease of application (0-10) + Egypt access (0-20). Components are rule-based from the record fields and are editable (blue). The score ranks usefulness, it does not predict approval.</t>
        </is>
      </c>
    </row>
    <row r="21" ht="15" customHeight="1" s="17">
      <c r="A21" s="19" t="n"/>
    </row>
    <row r="22" ht="15" customHeight="1" s="17">
      <c r="A22" s="20" t="inlineStr">
        <is>
          <t>KEY LIMITATIONS</t>
        </is>
      </c>
    </row>
    <row r="23" ht="15" customHeight="1" s="17">
      <c r="A23" s="19" t="inlineStr">
        <is>
          <t>1. Batch 1 is not the 150-300 record target. It is a verified-as-far-as-possible first batch plus clearly labelled candidates.</t>
        </is>
      </c>
    </row>
    <row r="24" ht="15" customHeight="1" s="17">
      <c r="A24" s="19" t="inlineStr">
        <is>
          <t>2. Most directory-derived rows lack a confirmed application URL; those cells say 'Not verified this session'. No promo, referral or invitation codes were recorded.</t>
        </is>
      </c>
    </row>
    <row r="25" ht="23.85" customHeight="1" s="17">
      <c r="A25" s="19" t="inlineStr">
        <is>
          <t>3. Seed sources not yet opened: openrouter.ai, agentrouter.org, firecrawl.dev, f.make.com/startups, Stripe/AWS Activate page, creditforstartups.com, tokenthrift.io, Cloudflare official page, Microsoft official page.</t>
        </is>
      </c>
    </row>
    <row r="26" ht="15" customHeight="1" s="17">
      <c r="A26" s="19" t="inlineStr">
        <is>
          <t>4. Programs change often. Re-check the official page and your own eligibility before applying.</t>
        </is>
      </c>
    </row>
    <row r="27" ht="15" customHeight="1" s="17">
      <c r="A27" s="19" t="n"/>
    </row>
    <row r="28" ht="15" customHeight="1" s="17">
      <c r="A28" s="20" t="inlineStr">
        <is>
          <t>SHEETS</t>
        </is>
      </c>
    </row>
    <row r="29" ht="23.85" customHeight="1" s="17">
      <c r="A29" s="19" t="inlineStr">
        <is>
          <t>Master Database | AI &amp; LLM Credits | Cloud &amp; Infrastructure | SaaS &amp; Marketing Offers | Cash Grants &amp; Funding | Egypt &amp; MENA | Accelerators &amp; Networks | Application Tracker | Research Sources | Dashboard | Quick Wins | Priority Scoring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V9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22" customWidth="1" style="16" min="2" max="2"/>
    <col width="30" customWidth="1" style="16" min="3" max="3"/>
    <col width="16" customWidth="1" style="16" min="4" max="4"/>
    <col width="22" customWidth="1" style="16" min="5" max="6"/>
    <col width="24" customWidth="1" style="16" min="7" max="7"/>
    <col width="55" customWidth="1" style="16" min="8" max="8"/>
    <col width="14" customWidth="1" style="16" min="9" max="9"/>
    <col width="9" customWidth="1" style="16" min="10" max="10"/>
    <col width="11" customWidth="1" style="16" min="11" max="11"/>
    <col width="13" customWidth="1" style="16" min="12" max="13"/>
    <col width="10" customWidth="1" style="16" min="14" max="14"/>
    <col width="12" customWidth="1" style="16" min="15" max="15"/>
    <col width="18" customWidth="1" style="16" min="16" max="16"/>
    <col width="14" customWidth="1" style="16" min="17" max="17"/>
    <col width="11" customWidth="1" style="16" min="18" max="18"/>
    <col width="28" customWidth="1" style="16" min="19" max="20"/>
    <col width="24" customWidth="1" style="16" min="21" max="21"/>
    <col width="50" customWidth="1" style="16" min="22" max="22"/>
    <col width="24" customWidth="1" style="16" min="23" max="23"/>
    <col width="14" customWidth="1" style="16" min="24" max="24"/>
    <col width="18" customWidth="1" style="16" min="25" max="25"/>
    <col width="30" customWidth="1" style="16" min="26" max="26"/>
    <col width="18" customWidth="1" style="16" min="27" max="27"/>
    <col width="16" customWidth="1" style="16" min="28" max="28"/>
    <col width="14" customWidth="1" style="16" min="29" max="29"/>
    <col width="11" customWidth="1" style="16" min="30" max="30"/>
    <col width="16" customWidth="1" style="16" min="31" max="31"/>
    <col width="28" customWidth="1" style="16" min="32" max="33"/>
    <col width="34" customWidth="1" style="16" min="34" max="34"/>
    <col width="22" customWidth="1" style="16" min="35" max="35"/>
    <col width="14" customWidth="1" style="16" min="36" max="36"/>
    <col width="20" customWidth="1" style="16" min="37" max="37"/>
    <col width="38" customWidth="1" style="16" min="38" max="38"/>
    <col width="30" customWidth="1" style="16" min="39" max="40"/>
    <col width="42" customWidth="1" style="16" min="41" max="41"/>
    <col width="12" customWidth="1" style="16" min="42" max="43"/>
    <col width="11" customWidth="1" style="16" min="44" max="44"/>
    <col width="18" customWidth="1" style="16" min="45" max="45"/>
    <col width="20" customWidth="1" style="16" min="46" max="46"/>
    <col width="42" customWidth="1" style="16" min="47" max="47"/>
    <col width="14" customWidth="1" style="16" min="48" max="48"/>
  </cols>
  <sheetData>
    <row r="1" ht="42" customHeight="1" s="17">
      <c r="A1" s="21" t="inlineStr">
        <is>
          <t>Record ID</t>
        </is>
      </c>
      <c r="B1" s="21" t="inlineStr">
        <is>
          <t>Company Name</t>
        </is>
      </c>
      <c r="C1" s="21" t="inlineStr">
        <is>
          <t>Program Name</t>
        </is>
      </c>
      <c r="D1" s="21" t="inlineStr">
        <is>
          <t>Parent Company</t>
        </is>
      </c>
      <c r="E1" s="21" t="inlineStr">
        <is>
          <t>Main Category</t>
        </is>
      </c>
      <c r="F1" s="21" t="inlineStr">
        <is>
          <t>Subcategory</t>
        </is>
      </c>
      <c r="G1" s="21" t="inlineStr">
        <is>
          <t>Benefit Type</t>
        </is>
      </c>
      <c r="H1" s="21" t="inlineStr">
        <is>
          <t>Benefit Description</t>
        </is>
      </c>
      <c r="I1" s="21" t="inlineStr">
        <is>
          <t>Maximum Advertised Value</t>
        </is>
      </c>
      <c r="J1" s="21" t="inlineStr">
        <is>
          <t>Currency</t>
        </is>
      </c>
      <c r="K1" s="21" t="inlineStr">
        <is>
          <t>Value Type</t>
        </is>
      </c>
      <c r="L1" s="21" t="inlineStr">
        <is>
          <t>Minimum Guaranteed Value</t>
        </is>
      </c>
      <c r="M1" s="21" t="inlineStr">
        <is>
          <t>Free Credits Amount</t>
        </is>
      </c>
      <c r="N1" s="21" t="inlineStr">
        <is>
          <t>Discount Percentage</t>
        </is>
      </c>
      <c r="O1" s="21" t="inlineStr">
        <is>
          <t>Free Plan Availability</t>
        </is>
      </c>
      <c r="P1" s="21" t="inlineStr">
        <is>
          <t>Benefit Duration</t>
        </is>
      </c>
      <c r="Q1" s="21" t="inlineStr">
        <is>
          <t>Expiration or Application Deadline</t>
        </is>
      </c>
      <c r="R1" s="21" t="inlineStr">
        <is>
          <t>Program Status</t>
        </is>
      </c>
      <c r="S1" s="21" t="inlineStr">
        <is>
          <t>Application URL</t>
        </is>
      </c>
      <c r="T1" s="21" t="inlineStr">
        <is>
          <t>Official Program URL</t>
        </is>
      </c>
      <c r="U1" s="21" t="inlineStr">
        <is>
          <t>Redemption URL</t>
        </is>
      </c>
      <c r="V1" s="21" t="inlineStr">
        <is>
          <t>Eligibility Requirements</t>
        </is>
      </c>
      <c r="W1" s="21" t="inlineStr">
        <is>
          <t>Startup Stage Requirements</t>
        </is>
      </c>
      <c r="X1" s="21" t="inlineStr">
        <is>
          <t>Company Registration Required?</t>
        </is>
      </c>
      <c r="Y1" s="21" t="inlineStr">
        <is>
          <t>Funding or VC Backing Required?</t>
        </is>
      </c>
      <c r="Z1" s="21" t="inlineStr">
        <is>
          <t>Geographic Eligibility</t>
        </is>
      </c>
      <c r="AA1" s="21" t="inlineStr">
        <is>
          <t>Available to Egypt-Based Startups?</t>
        </is>
      </c>
      <c r="AB1" s="21" t="inlineStr">
        <is>
          <t>Available to Bootstrapped Startups?</t>
        </is>
      </c>
      <c r="AC1" s="21" t="inlineStr">
        <is>
          <t>Available to Solo Founders?</t>
        </is>
      </c>
      <c r="AD1" s="21" t="inlineStr">
        <is>
          <t>AI-Specific Program?</t>
        </is>
      </c>
      <c r="AE1" s="21" t="inlineStr">
        <is>
          <t>Partner or Accelerator Required?</t>
        </is>
      </c>
      <c r="AF1" s="21" t="inlineStr">
        <is>
          <t>Application Method</t>
        </is>
      </c>
      <c r="AG1" s="21" t="inlineStr">
        <is>
          <t>Required Documents</t>
        </is>
      </c>
      <c r="AH1" s="21" t="inlineStr">
        <is>
          <t>Usage Restrictions</t>
        </is>
      </c>
      <c r="AI1" s="21" t="inlineStr">
        <is>
          <t>Renewal Conditions</t>
        </is>
      </c>
      <c r="AJ1" s="21" t="inlineStr">
        <is>
          <t>Stacking Policy</t>
        </is>
      </c>
      <c r="AK1" s="21" t="inlineStr">
        <is>
          <t>Account or Payment Requirements</t>
        </is>
      </c>
      <c r="AL1" s="21" t="inlineStr">
        <is>
          <t>Key Limitations</t>
        </is>
      </c>
      <c r="AM1" s="21" t="inlineStr">
        <is>
          <t>Official Evidence URL</t>
        </is>
      </c>
      <c r="AN1" s="21" t="inlineStr">
        <is>
          <t>Secondary Evidence URL</t>
        </is>
      </c>
      <c r="AO1" s="21" t="inlineStr">
        <is>
          <t>Evidence Excerpt or Supporting Fact</t>
        </is>
      </c>
      <c r="AP1" s="21" t="inlineStr">
        <is>
          <t>Last Verified Date</t>
        </is>
      </c>
      <c r="AQ1" s="21" t="inlineStr">
        <is>
          <t>Verification Confidence</t>
        </is>
      </c>
      <c r="AR1" s="21" t="inlineStr">
        <is>
          <t>Source Type</t>
        </is>
      </c>
      <c r="AS1" s="21" t="inlineStr">
        <is>
          <t>Country or Region</t>
        </is>
      </c>
      <c r="AT1" s="21" t="inlineStr">
        <is>
          <t>Tags</t>
        </is>
      </c>
      <c r="AU1" s="21" t="inlineStr">
        <is>
          <t>Research Notes</t>
        </is>
      </c>
      <c r="AV1" s="21" t="inlineStr">
        <is>
          <t>Duplicate Group ID</t>
        </is>
      </c>
    </row>
    <row r="2" ht="46.25" customHeight="1" s="17">
      <c r="A2" s="19" t="inlineStr">
        <is>
          <t>SB-001</t>
        </is>
      </c>
      <c r="B2" s="19" t="inlineStr">
        <is>
          <t>Amazon Web Services</t>
        </is>
      </c>
      <c r="C2" s="19" t="inlineStr">
        <is>
          <t>AWS Activate Founders</t>
        </is>
      </c>
      <c r="D2" s="19" t="inlineStr">
        <is>
          <t>Amazon</t>
        </is>
      </c>
      <c r="E2" s="19" t="inlineStr">
        <is>
          <t>Cloud &amp; Infrastructure</t>
        </is>
      </c>
      <c r="F2" s="19" t="inlineStr">
        <is>
          <t>Cloud credits (self-funded tier)</t>
        </is>
      </c>
      <c r="G2" s="19" t="inlineStr">
        <is>
          <t>Startup credits (startup-specific)</t>
        </is>
      </c>
      <c r="H2" s="19" t="inlineStr">
        <is>
          <t>Promotional AWS credits for self-funded startups: start with $1,000; select participants may qualify for up to $5,000.</t>
        </is>
      </c>
      <c r="I2" s="22" t="n">
        <v>5000</v>
      </c>
      <c r="J2" s="19" t="inlineStr">
        <is>
          <t>USD</t>
        </is>
      </c>
      <c r="K2" s="19" t="inlineStr">
        <is>
          <t>Credits</t>
        </is>
      </c>
      <c r="L2" s="22" t="n">
        <v>1000</v>
      </c>
      <c r="M2" s="22" t="n">
        <v>5000</v>
      </c>
      <c r="N2" s="19" t="n"/>
      <c r="O2" s="19" t="inlineStr">
        <is>
          <t>Not stated</t>
        </is>
      </c>
      <c r="P2" s="19" t="inlineStr">
        <is>
          <t>Not stated on page (subject to AWS Promotional Credit T&amp;Cs)</t>
        </is>
      </c>
      <c r="Q2" s="23" t="n"/>
      <c r="R2" s="19" t="inlineStr">
        <is>
          <t>Open</t>
        </is>
      </c>
      <c r="S2" s="24" t="inlineStr">
        <is>
          <t>https://aws.amazon.com/startups/join?destination=/credits/apply</t>
        </is>
      </c>
      <c r="T2" s="24" t="inlineStr">
        <is>
          <t>https://aws.amazon.com/startups/credits/</t>
        </is>
      </c>
      <c r="U2" s="24" t="inlineStr">
        <is>
          <t>https://aws.amazon.com/startups/join?destination=/credits/apply</t>
        </is>
      </c>
      <c r="V2" s="19" t="inlineStr">
        <is>
          <t>Pre-Series B, founded in the last 10 years, AWS account on Paid Tier plan, and either new to Activate Credits or requesting more than previously received.</t>
        </is>
      </c>
      <c r="W2" s="19" t="inlineStr">
        <is>
          <t>Pre-seed to pre-Series B (self-funded tier)</t>
        </is>
      </c>
      <c r="X2" s="19" t="inlineStr">
        <is>
          <t>Unknown</t>
        </is>
      </c>
      <c r="Y2" s="19" t="inlineStr">
        <is>
          <t>No</t>
        </is>
      </c>
      <c r="Z2" s="19" t="inlineStr">
        <is>
          <t>No country list on page (not confirmed)</t>
        </is>
      </c>
      <c r="AA2" s="19" t="inlineStr">
        <is>
          <t>Unverified</t>
        </is>
      </c>
      <c r="AB2" s="19" t="inlineStr">
        <is>
          <t>Yes</t>
        </is>
      </c>
      <c r="AC2" s="19" t="inlineStr">
        <is>
          <t>Unknown</t>
        </is>
      </c>
      <c r="AD2" s="19" t="inlineStr">
        <is>
          <t>No</t>
        </is>
      </c>
      <c r="AE2" s="19" t="inlineStr">
        <is>
          <t>No</t>
        </is>
      </c>
      <c r="AF2" s="19" t="inlineStr">
        <is>
          <t>Create AWS Builder ID, choose tier, describe startup, link AWS account and submit</t>
        </is>
      </c>
      <c r="AG2" s="19" t="inlineStr">
        <is>
          <t>Builder ID; AWS account on Paid Tier plan; startup profile details</t>
        </is>
      </c>
      <c r="AH2" s="19" t="inlineStr">
        <is>
          <t>Credits subject to AWS Promotional Credit Terms</t>
        </is>
      </c>
      <c r="AI2" s="19" t="inlineStr">
        <is>
          <t>Not stated</t>
        </is>
      </c>
      <c r="AJ2" s="19" t="inlineStr">
        <is>
          <t>Not stated</t>
        </is>
      </c>
      <c r="AK2" s="19" t="inlineStr">
        <is>
          <t>Paid Tier AWS account required</t>
        </is>
      </c>
      <c r="AL2" s="19" t="inlineStr">
        <is>
          <t>Starts at $1,000; the $5,000 ceiling is for select participants only. Decision in 5-10 business days.</t>
        </is>
      </c>
      <c r="AM2" s="24" t="inlineStr">
        <is>
          <t>https://aws.amazon.com/startups/credits/</t>
        </is>
      </c>
      <c r="AN2" s="24" t="inlineStr">
        <is>
          <t>https://aifree.dev/offer/aws-activate-credits</t>
        </is>
      </c>
      <c r="AO2" s="19" t="inlineStr">
        <is>
          <t>Official page: Activate Founders tier for self-funded startups; up to $5,000 USD; start with $1,000.</t>
        </is>
      </c>
      <c r="AP2" s="23" t="n">
        <v>46319</v>
      </c>
      <c r="AQ2" s="19" t="inlineStr">
        <is>
          <t>High</t>
        </is>
      </c>
      <c r="AR2" s="19" t="inlineStr">
        <is>
          <t>Official</t>
        </is>
      </c>
      <c r="AS2" s="19" t="inlineStr">
        <is>
          <t>Global (country list not stated)</t>
        </is>
      </c>
      <c r="AT2" s="19" t="inlineStr">
        <is>
          <t>aws,cloud,credits,bootstrapped,self-funded</t>
        </is>
      </c>
      <c r="AU2" s="19" t="inlineStr">
        <is>
          <t>Country availability not listed on the page; confirm Egypt during application.</t>
        </is>
      </c>
      <c r="AV2" s="19" t="inlineStr">
        <is>
          <t>DG-AWS-F</t>
        </is>
      </c>
    </row>
    <row r="3" ht="35.05" customHeight="1" s="17">
      <c r="A3" s="19" t="inlineStr">
        <is>
          <t>SB-002</t>
        </is>
      </c>
      <c r="B3" s="19" t="inlineStr">
        <is>
          <t>Amazon Web Services</t>
        </is>
      </c>
      <c r="C3" s="19" t="inlineStr">
        <is>
          <t>AWS Activate Portfolio</t>
        </is>
      </c>
      <c r="D3" s="19" t="inlineStr">
        <is>
          <t>Amazon</t>
        </is>
      </c>
      <c r="E3" s="19" t="inlineStr">
        <is>
          <t>Cloud &amp; Infrastructure</t>
        </is>
      </c>
      <c r="F3" s="19" t="inlineStr">
        <is>
          <t>Cloud credits (provider-referred tier)</t>
        </is>
      </c>
      <c r="G3" s="19" t="inlineStr">
        <is>
          <t>Startup credits (startup-specific)</t>
        </is>
      </c>
      <c r="H3" s="19" t="inlineStr">
        <is>
          <t>Up to $200,000 in AWS Activate Credits for pre-Series B startups, applied for using an Org ID from an Activate Provider (accelerator, angel, VC).</t>
        </is>
      </c>
      <c r="I3" s="22" t="n">
        <v>200000</v>
      </c>
      <c r="J3" s="19" t="inlineStr">
        <is>
          <t>USD</t>
        </is>
      </c>
      <c r="K3" s="19" t="inlineStr">
        <is>
          <t>Credits</t>
        </is>
      </c>
      <c r="L3" s="22" t="n"/>
      <c r="M3" s="22" t="n">
        <v>200000</v>
      </c>
      <c r="N3" s="19" t="n"/>
      <c r="O3" s="19" t="inlineStr">
        <is>
          <t>Not stated</t>
        </is>
      </c>
      <c r="P3" s="19" t="inlineStr">
        <is>
          <t>Not stated</t>
        </is>
      </c>
      <c r="Q3" s="23" t="n"/>
      <c r="R3" s="19" t="inlineStr">
        <is>
          <t>Open</t>
        </is>
      </c>
      <c r="S3" s="24" t="inlineStr">
        <is>
          <t>https://aws.amazon.com/startups/join?destination=/credits/apply</t>
        </is>
      </c>
      <c r="T3" s="24" t="inlineStr">
        <is>
          <t>https://aws.amazon.com/startups/credits/</t>
        </is>
      </c>
      <c r="U3" s="24" t="inlineStr">
        <is>
          <t>https://aws.amazon.com/startups/join?destination=/credits/apply</t>
        </is>
      </c>
      <c r="V3" s="19" t="inlineStr">
        <is>
          <t>Pre-Series B, founded within 10 years, Paid Tier AWS account, valid Org ID from an Activate Provider.</t>
        </is>
      </c>
      <c r="W3" s="19" t="inlineStr">
        <is>
          <t>Pre-Series B</t>
        </is>
      </c>
      <c r="X3" s="19" t="inlineStr">
        <is>
          <t>Unknown</t>
        </is>
      </c>
      <c r="Y3" s="19" t="inlineStr">
        <is>
          <t>Not required, but needs an Activate Provider Org ID</t>
        </is>
      </c>
      <c r="Z3" s="19" t="inlineStr">
        <is>
          <t>No country list on page (not confirmed)</t>
        </is>
      </c>
      <c r="AA3" s="19" t="inlineStr">
        <is>
          <t>Unverified</t>
        </is>
      </c>
      <c r="AB3" s="19" t="inlineStr">
        <is>
          <t>No (needs provider)</t>
        </is>
      </c>
      <c r="AC3" s="19" t="inlineStr">
        <is>
          <t>Unknown</t>
        </is>
      </c>
      <c r="AD3" s="19" t="inlineStr">
        <is>
          <t>No</t>
        </is>
      </c>
      <c r="AE3" s="19" t="inlineStr">
        <is>
          <t>Yes</t>
        </is>
      </c>
      <c r="AF3" s="19" t="inlineStr">
        <is>
          <t>Apply with Activate Provider Org ID via AWS startups portal</t>
        </is>
      </c>
      <c r="AG3" s="19" t="inlineStr">
        <is>
          <t>Org ID from Activate Provider; Builder ID; AWS account</t>
        </is>
      </c>
      <c r="AH3" s="19" t="inlineStr">
        <is>
          <t>Subject to AWS Promotional Credit Terms</t>
        </is>
      </c>
      <c r="AI3" s="19" t="inlineStr">
        <is>
          <t>Not stated</t>
        </is>
      </c>
      <c r="AJ3" s="19" t="inlineStr">
        <is>
          <t>Not stated</t>
        </is>
      </c>
      <c r="AK3" s="19" t="inlineStr">
        <is>
          <t>Paid Tier AWS account</t>
        </is>
      </c>
      <c r="AL3" s="19" t="inlineStr">
        <is>
          <t>Requires an Activate Provider (accelerator/VC/angel); not available to unaffiliated founders.</t>
        </is>
      </c>
      <c r="AM3" s="24" t="inlineStr">
        <is>
          <t>https://aws.amazon.com/startups/credits/</t>
        </is>
      </c>
      <c r="AN3" s="24" t="inlineStr">
        <is>
          <t>https://aws.amazon.com/startups/providers</t>
        </is>
      </c>
      <c r="AO3" s="19" t="inlineStr">
        <is>
          <t>Official page: Activate Portfolio, up to $200,000 USD, requires Org ID from an Activate Provider.</t>
        </is>
      </c>
      <c r="AP3" s="23" t="n">
        <v>46319</v>
      </c>
      <c r="AQ3" s="19" t="inlineStr">
        <is>
          <t>High</t>
        </is>
      </c>
      <c r="AR3" s="19" t="inlineStr">
        <is>
          <t>Official</t>
        </is>
      </c>
      <c r="AS3" s="19" t="inlineStr">
        <is>
          <t>Global (country list not stated)</t>
        </is>
      </c>
      <c r="AT3" s="19" t="inlineStr">
        <is>
          <t>aws,cloud,credits,accelerator-required</t>
        </is>
      </c>
      <c r="AU3" s="19" t="inlineStr">
        <is>
          <t>Providers directory link seen on official page, not opened.</t>
        </is>
      </c>
      <c r="AV3" s="19" t="inlineStr">
        <is>
          <t>DG-AWS-P</t>
        </is>
      </c>
    </row>
    <row r="4" ht="23.85" customHeight="1" s="17">
      <c r="A4" s="19" t="inlineStr">
        <is>
          <t>SB-003</t>
        </is>
      </c>
      <c r="B4" s="19" t="inlineStr">
        <is>
          <t>Amazon Web Services</t>
        </is>
      </c>
      <c r="C4" s="19" t="inlineStr">
        <is>
          <t>AWS Credits for AI Startups</t>
        </is>
      </c>
      <c r="D4" s="19" t="inlineStr">
        <is>
          <t>Amazon</t>
        </is>
      </c>
      <c r="E4" s="19" t="inlineStr">
        <is>
          <t>Cloud &amp; Infrastructure</t>
        </is>
      </c>
      <c r="F4" s="19" t="inlineStr">
        <is>
          <t>AI cloud credits (invite only)</t>
        </is>
      </c>
      <c r="G4" s="19" t="inlineStr">
        <is>
          <t>Startup credits (startup-specific)</t>
        </is>
      </c>
      <c r="H4" s="19" t="inlineStr">
        <is>
          <t>$200,000+ in AWS credits for AI startups ready to scale after Activate Portfolio; invite-only via account manager.</t>
        </is>
      </c>
      <c r="I4" s="22" t="n">
        <v>200000</v>
      </c>
      <c r="J4" s="19" t="inlineStr">
        <is>
          <t>USD</t>
        </is>
      </c>
      <c r="K4" s="19" t="inlineStr">
        <is>
          <t>Credits</t>
        </is>
      </c>
      <c r="L4" s="22" t="n"/>
      <c r="M4" s="22" t="n">
        <v>200000</v>
      </c>
      <c r="N4" s="19" t="n"/>
      <c r="O4" s="19" t="inlineStr">
        <is>
          <t>Not stated</t>
        </is>
      </c>
      <c r="P4" s="19" t="inlineStr">
        <is>
          <t>Not stated</t>
        </is>
      </c>
      <c r="Q4" s="23" t="n"/>
      <c r="R4" s="19" t="inlineStr">
        <is>
          <t>Waitlist</t>
        </is>
      </c>
      <c r="S4" s="19" t="inlineStr">
        <is>
          <t>Not verified this session</t>
        </is>
      </c>
      <c r="T4" s="24" t="inlineStr">
        <is>
          <t>https://aws.amazon.com/startups/credits/</t>
        </is>
      </c>
      <c r="U4" s="19" t="inlineStr">
        <is>
          <t>Not stated</t>
        </is>
      </c>
      <c r="V4" s="19" t="inlineStr">
        <is>
          <t>Invite only; startups ready to scale after Activate Portfolio.</t>
        </is>
      </c>
      <c r="W4" s="19" t="inlineStr">
        <is>
          <t>Growth stage after Activate Portfolio</t>
        </is>
      </c>
      <c r="X4" s="19" t="inlineStr">
        <is>
          <t>Unknown</t>
        </is>
      </c>
      <c r="Y4" s="19" t="inlineStr">
        <is>
          <t>Unknown</t>
        </is>
      </c>
      <c r="Z4" s="19" t="inlineStr">
        <is>
          <t>Not stated</t>
        </is>
      </c>
      <c r="AA4" s="19" t="inlineStr">
        <is>
          <t>Unverified</t>
        </is>
      </c>
      <c r="AB4" s="19" t="inlineStr">
        <is>
          <t>No</t>
        </is>
      </c>
      <c r="AC4" s="19" t="inlineStr">
        <is>
          <t>No</t>
        </is>
      </c>
      <c r="AD4" s="19" t="inlineStr">
        <is>
          <t>Yes</t>
        </is>
      </c>
      <c r="AE4" s="19" t="inlineStr">
        <is>
          <t>Unknown</t>
        </is>
      </c>
      <c r="AF4" s="19" t="inlineStr">
        <is>
          <t>Talk to AWS Account Manager or contact the AWS startups team</t>
        </is>
      </c>
      <c r="AG4" s="19" t="inlineStr">
        <is>
          <t>Not stated</t>
        </is>
      </c>
      <c r="AH4" s="19" t="inlineStr">
        <is>
          <t>Not stated</t>
        </is>
      </c>
      <c r="AI4" s="19" t="inlineStr">
        <is>
          <t>Not stated</t>
        </is>
      </c>
      <c r="AJ4" s="19" t="inlineStr">
        <is>
          <t>Not stated</t>
        </is>
      </c>
      <c r="AK4" s="19" t="inlineStr">
        <is>
          <t>Not stated</t>
        </is>
      </c>
      <c r="AL4" s="19" t="inlineStr">
        <is>
          <t>Cannot be applied for directly; invite only.</t>
        </is>
      </c>
      <c r="AM4" s="24" t="inlineStr">
        <is>
          <t>https://aws.amazon.com/startups/credits/</t>
        </is>
      </c>
      <c r="AN4" s="19" t="n"/>
      <c r="AO4" s="19" t="inlineStr">
        <is>
          <t>Official page: invite-only tier for post-Portfolio startups, $200,000+.</t>
        </is>
      </c>
      <c r="AP4" s="23" t="n">
        <v>46319</v>
      </c>
      <c r="AQ4" s="19" t="inlineStr">
        <is>
          <t>High</t>
        </is>
      </c>
      <c r="AR4" s="19" t="inlineStr">
        <is>
          <t>Official</t>
        </is>
      </c>
      <c r="AS4" s="19" t="inlineStr">
        <is>
          <t>Global (not stated)</t>
        </is>
      </c>
      <c r="AT4" s="19" t="inlineStr">
        <is>
          <t>aws,ai,invite-only</t>
        </is>
      </c>
      <c r="AU4" s="19" t="inlineStr">
        <is>
          <t>Status set to Waitlist because access is by invitation only (no public application).</t>
        </is>
      </c>
      <c r="AV4" s="19" t="inlineStr">
        <is>
          <t>DG-AWS-AI</t>
        </is>
      </c>
    </row>
    <row r="5" ht="35.05" customHeight="1" s="17">
      <c r="A5" s="19" t="inlineStr">
        <is>
          <t>SB-004</t>
        </is>
      </c>
      <c r="B5" s="19" t="inlineStr">
        <is>
          <t>Amazon Web Services (Kiro)</t>
        </is>
      </c>
      <c r="C5" s="19" t="inlineStr">
        <is>
          <t>Kiro Startup Credits</t>
        </is>
      </c>
      <c r="D5" s="19" t="inlineStr">
        <is>
          <t>Amazon</t>
        </is>
      </c>
      <c r="E5" s="19" t="inlineStr">
        <is>
          <t>AI &amp; LLM Credits</t>
        </is>
      </c>
      <c r="F5" s="19" t="inlineStr">
        <is>
          <t>AI coding assistant credits</t>
        </is>
      </c>
      <c r="G5" s="19" t="inlineStr">
        <is>
          <t>Startup credits (startup-specific)</t>
        </is>
      </c>
      <c r="H5" s="19" t="inlineStr">
        <is>
          <t>Credits for the Kiro agentic development environment, for eligible startups without current Activate Credits; amount not stated on the AWS page.</t>
        </is>
      </c>
      <c r="I5" s="22" t="n"/>
      <c r="J5" s="19" t="inlineStr">
        <is>
          <t>USD</t>
        </is>
      </c>
      <c r="K5" s="19" t="inlineStr">
        <is>
          <t>Credits</t>
        </is>
      </c>
      <c r="L5" s="22" t="n"/>
      <c r="M5" s="22" t="n"/>
      <c r="N5" s="19" t="n"/>
      <c r="O5" s="19" t="inlineStr">
        <is>
          <t>Not stated</t>
        </is>
      </c>
      <c r="P5" s="19" t="inlineStr">
        <is>
          <t>Not stated</t>
        </is>
      </c>
      <c r="Q5" s="23" t="n"/>
      <c r="R5" s="19" t="inlineStr">
        <is>
          <t>Open</t>
        </is>
      </c>
      <c r="S5" s="24" t="inlineStr">
        <is>
          <t>https://kiro.dev/startups/</t>
        </is>
      </c>
      <c r="T5" s="24" t="inlineStr">
        <is>
          <t>https://kiro.dev/startups/</t>
        </is>
      </c>
      <c r="U5" s="24" t="inlineStr">
        <is>
          <t>https://kiro.dev/startups/</t>
        </is>
      </c>
      <c r="V5" s="19" t="inlineStr">
        <is>
          <t>Eligible startups without current AWS Activate Credits (per AWS page).</t>
        </is>
      </c>
      <c r="W5" s="19" t="inlineStr">
        <is>
          <t>Not stated</t>
        </is>
      </c>
      <c r="X5" s="19" t="inlineStr">
        <is>
          <t>Unknown</t>
        </is>
      </c>
      <c r="Y5" s="19" t="inlineStr">
        <is>
          <t>Unknown</t>
        </is>
      </c>
      <c r="Z5" s="19" t="inlineStr">
        <is>
          <t>Not stated</t>
        </is>
      </c>
      <c r="AA5" s="19" t="inlineStr">
        <is>
          <t>Unverified</t>
        </is>
      </c>
      <c r="AB5" s="19" t="inlineStr">
        <is>
          <t>Unknown</t>
        </is>
      </c>
      <c r="AC5" s="19" t="inlineStr">
        <is>
          <t>Unknown</t>
        </is>
      </c>
      <c r="AD5" s="19" t="inlineStr">
        <is>
          <t>Yes</t>
        </is>
      </c>
      <c r="AE5" s="19" t="inlineStr">
        <is>
          <t>No</t>
        </is>
      </c>
      <c r="AF5" s="19" t="inlineStr">
        <is>
          <t>Apply on kiro.dev/startups (link on AWS page)</t>
        </is>
      </c>
      <c r="AG5" s="19" t="inlineStr">
        <is>
          <t>Not stated</t>
        </is>
      </c>
      <c r="AH5" s="19" t="inlineStr">
        <is>
          <t>Not stated</t>
        </is>
      </c>
      <c r="AI5" s="19" t="inlineStr">
        <is>
          <t>Not stated</t>
        </is>
      </c>
      <c r="AJ5" s="19" t="inlineStr">
        <is>
          <t>Not stated</t>
        </is>
      </c>
      <c r="AK5" s="19" t="inlineStr">
        <is>
          <t>Not stated</t>
        </is>
      </c>
      <c r="AL5" s="19" t="inlineStr">
        <is>
          <t>Not available to startups that currently hold Activate Credits.</t>
        </is>
      </c>
      <c r="AM5" s="24" t="inlineStr">
        <is>
          <t>https://aws.amazon.com/startups/credits/</t>
        </is>
      </c>
      <c r="AN5" s="24" t="inlineStr">
        <is>
          <t>https://kiro.dev/startups/</t>
        </is>
      </c>
      <c r="AO5" s="19" t="inlineStr">
        <is>
          <t>AWS Activate page lists Kiro Startup Credits for eligible startups without current Activate Credits.</t>
        </is>
      </c>
      <c r="AP5" s="23" t="n">
        <v>46319</v>
      </c>
      <c r="AQ5" s="19" t="inlineStr">
        <is>
          <t>Medium</t>
        </is>
      </c>
      <c r="AR5" s="19" t="inlineStr">
        <is>
          <t>Official</t>
        </is>
      </c>
      <c r="AS5" s="19" t="inlineStr">
        <is>
          <t>Global (not stated)</t>
        </is>
      </c>
      <c r="AT5" s="19" t="inlineStr">
        <is>
          <t>aws,kiro,ai-coding</t>
        </is>
      </c>
      <c r="AU5" s="19" t="inlineStr">
        <is>
          <t>kiro.dev page itself was NOT opened; amount unknown.</t>
        </is>
      </c>
      <c r="AV5" s="19" t="inlineStr">
        <is>
          <t>DG-KIRO</t>
        </is>
      </c>
    </row>
    <row r="6" ht="57.45" customHeight="1" s="17">
      <c r="A6" s="19" t="inlineStr">
        <is>
          <t>SB-005</t>
        </is>
      </c>
      <c r="B6" s="19" t="inlineStr">
        <is>
          <t>Google Cloud</t>
        </is>
      </c>
      <c r="C6" s="19" t="inlineStr">
        <is>
          <t>Google for Startups Cloud Program - Start tier</t>
        </is>
      </c>
      <c r="D6" s="19" t="inlineStr">
        <is>
          <t>Alphabet</t>
        </is>
      </c>
      <c r="E6" s="19" t="inlineStr">
        <is>
          <t>Cloud &amp; Infrastructure</t>
        </is>
      </c>
      <c r="F6" s="19" t="inlineStr">
        <is>
          <t>Cloud credits (entry tier)</t>
        </is>
      </c>
      <c r="G6" s="19" t="inlineStr">
        <is>
          <t>Startup credits (startup-specific)</t>
        </is>
      </c>
      <c r="H6" s="19" t="inlineStr">
        <is>
          <t>Entry tier with $2,000 in credits for startups founded in the past 2 years with a working MVP and plans to seek venture funding.</t>
        </is>
      </c>
      <c r="I6" s="22" t="n">
        <v>2000</v>
      </c>
      <c r="J6" s="19" t="inlineStr">
        <is>
          <t>USD</t>
        </is>
      </c>
      <c r="K6" s="19" t="inlineStr">
        <is>
          <t>Credits</t>
        </is>
      </c>
      <c r="L6" s="22" t="n"/>
      <c r="M6" s="22" t="n">
        <v>2000</v>
      </c>
      <c r="N6" s="19" t="n"/>
      <c r="O6" s="19" t="inlineStr">
        <is>
          <t>Not stated</t>
        </is>
      </c>
      <c r="P6" s="19" t="inlineStr">
        <is>
          <t>Not stated</t>
        </is>
      </c>
      <c r="Q6" s="23" t="n"/>
      <c r="R6" s="19" t="inlineStr">
        <is>
          <t>Open</t>
        </is>
      </c>
      <c r="S6" s="19" t="inlineStr">
        <is>
          <t>Not verified this session</t>
        </is>
      </c>
      <c r="T6" s="24" t="inlineStr">
        <is>
          <t>https://cloud.google.com/startup</t>
        </is>
      </c>
      <c r="U6" s="24" t="inlineStr">
        <is>
          <t>https://cloud.google.com/startup</t>
        </is>
      </c>
      <c r="V6" s="19" t="inlineStr">
        <is>
          <t>Founded within 2 years, working MVP, clear business model, plans to seek venture funding. Business email must match website domain; active website required; GCP billing account owned by a company-domain user.</t>
        </is>
      </c>
      <c r="W6" s="19" t="inlineStr">
        <is>
          <t>Pre-funded to early</t>
        </is>
      </c>
      <c r="X6" s="19" t="inlineStr">
        <is>
          <t>Unknown</t>
        </is>
      </c>
      <c r="Y6" s="19" t="inlineStr">
        <is>
          <t>No (Start tier)</t>
        </is>
      </c>
      <c r="Z6" s="19" t="inlineStr">
        <is>
          <t>Region where Google Cloud is generally available and self-service purchasable</t>
        </is>
      </c>
      <c r="AA6" s="19" t="inlineStr">
        <is>
          <t>Unverified (regional restrictions noted)</t>
        </is>
      </c>
      <c r="AB6" s="19" t="inlineStr">
        <is>
          <t>Likely (Start tier not funding-gated)</t>
        </is>
      </c>
      <c r="AC6" s="19" t="inlineStr">
        <is>
          <t>Unknown</t>
        </is>
      </c>
      <c r="AD6" s="19" t="inlineStr">
        <is>
          <t>No</t>
        </is>
      </c>
      <c r="AE6" s="19" t="inlineStr">
        <is>
          <t>No</t>
        </is>
      </c>
      <c r="AF6" s="19" t="inlineStr">
        <is>
          <t>Online application</t>
        </is>
      </c>
      <c r="AG6" s="19" t="inlineStr">
        <is>
          <t>18-character Google Cloud billing account ID; business email on company domain; live website</t>
        </is>
      </c>
      <c r="AH6" s="19" t="inlineStr">
        <is>
          <t>No dev shops, consultancies, agencies, crypto mining, nonprofits, government or educational institutions; credits non-transferable; first-party pay-as-you-go products only</t>
        </is>
      </c>
      <c r="AI6" s="19" t="inlineStr">
        <is>
          <t>Past or present credit usage can affect acceptance; re-enrollment not guaranteed</t>
        </is>
      </c>
      <c r="AJ6" s="19" t="inlineStr">
        <is>
          <t>Not stated</t>
        </is>
      </c>
      <c r="AK6" s="19" t="inlineStr">
        <is>
          <t>Billing account required</t>
        </is>
      </c>
      <c r="AL6" s="19" t="inlineStr">
        <is>
          <t>Website screened for AI-generated content; acceptance at Google's discretion; response typically 5-7 days.</t>
        </is>
      </c>
      <c r="AM6" s="24" t="inlineStr">
        <is>
          <t>https://cloud.google.com/startup</t>
        </is>
      </c>
      <c r="AN6" s="24" t="inlineStr">
        <is>
          <t>https://aifree.dev/offer/google-cloud-ai-startup-program</t>
        </is>
      </c>
      <c r="AO6" s="19" t="inlineStr">
        <is>
          <t>Official FAQ: Start tier is $2k for startups founded in the past 2 years with an MVP.</t>
        </is>
      </c>
      <c r="AP6" s="23" t="n">
        <v>46319</v>
      </c>
      <c r="AQ6" s="19" t="inlineStr">
        <is>
          <t>High</t>
        </is>
      </c>
      <c r="AR6" s="19" t="inlineStr">
        <is>
          <t>Official</t>
        </is>
      </c>
      <c r="AS6" s="19" t="inlineStr">
        <is>
          <t>Regions where Google Cloud is GA</t>
        </is>
      </c>
      <c r="AT6" s="19" t="inlineStr">
        <is>
          <t>google,cloud,credits,entry-tier</t>
        </is>
      </c>
      <c r="AU6" s="19" t="inlineStr">
        <is>
          <t>Application button URL not captured; use the Apply button on the official page.</t>
        </is>
      </c>
      <c r="AV6" s="19" t="inlineStr">
        <is>
          <t>DG-GCP-S</t>
        </is>
      </c>
    </row>
    <row r="7" ht="46.25" customHeight="1" s="17">
      <c r="A7" s="19" t="inlineStr">
        <is>
          <t>SB-006</t>
        </is>
      </c>
      <c r="B7" s="19" t="inlineStr">
        <is>
          <t>Google Cloud</t>
        </is>
      </c>
      <c r="C7" s="19" t="inlineStr">
        <is>
          <t>Google for Startups Cloud Program - Scale / Scale AI</t>
        </is>
      </c>
      <c r="D7" s="19" t="inlineStr">
        <is>
          <t>Alphabet</t>
        </is>
      </c>
      <c r="E7" s="19" t="inlineStr">
        <is>
          <t>Cloud &amp; Infrastructure</t>
        </is>
      </c>
      <c r="F7" s="19" t="inlineStr">
        <is>
          <t>Cloud + AI credits (funded tiers)</t>
        </is>
      </c>
      <c r="G7" s="19" t="inlineStr">
        <is>
          <t>Startup credits (startup-specific)</t>
        </is>
      </c>
      <c r="H7" s="19" t="inlineStr">
        <is>
          <t>Up to $350,000 over two years: AI startups Year 1 100% up to $250,000, Year 2 20% up to $100,000; other startups Year 1 up to $100,000, Year 2 up to $100,000; plus 12 months Workspace Business Plus and monthly Maps credits (separate applications).</t>
        </is>
      </c>
      <c r="I7" s="22" t="n">
        <v>350000</v>
      </c>
      <c r="J7" s="19" t="inlineStr">
        <is>
          <t>USD</t>
        </is>
      </c>
      <c r="K7" s="19" t="inlineStr">
        <is>
          <t>Credits</t>
        </is>
      </c>
      <c r="L7" s="22" t="n"/>
      <c r="M7" s="22" t="n">
        <v>350000</v>
      </c>
      <c r="N7" s="19" t="n"/>
      <c r="O7" s="19" t="inlineStr">
        <is>
          <t>Not stated</t>
        </is>
      </c>
      <c r="P7" s="19" t="inlineStr">
        <is>
          <t>2 years</t>
        </is>
      </c>
      <c r="Q7" s="23" t="n"/>
      <c r="R7" s="19" t="inlineStr">
        <is>
          <t>Open</t>
        </is>
      </c>
      <c r="S7" s="19" t="inlineStr">
        <is>
          <t>Not verified this session</t>
        </is>
      </c>
      <c r="T7" s="24" t="inlineStr">
        <is>
          <t>https://cloud.google.com/startup</t>
        </is>
      </c>
      <c r="U7" s="24" t="inlineStr">
        <is>
          <t>https://cloud.google.com/startup</t>
        </is>
      </c>
      <c r="V7" s="19" t="inlineStr">
        <is>
          <t>Verifiable Pre-Seed to Series A funding from a known investor, founded within the last 3-5 years depending on tier. Grants, loans, crowdfunding and friends-and-family money do not qualify for Scale tier.</t>
        </is>
      </c>
      <c r="W7" s="19" t="inlineStr">
        <is>
          <t>Pre-Seed to Series A</t>
        </is>
      </c>
      <c r="X7" s="19" t="inlineStr">
        <is>
          <t>Unknown</t>
        </is>
      </c>
      <c r="Y7" s="19" t="inlineStr">
        <is>
          <t>Yes (Scale tiers)</t>
        </is>
      </c>
      <c r="Z7" s="19" t="inlineStr">
        <is>
          <t>Region where Google Cloud is generally available and self-service purchasable</t>
        </is>
      </c>
      <c r="AA7" s="19" t="inlineStr">
        <is>
          <t>Unverified (regional restrictions noted)</t>
        </is>
      </c>
      <c r="AB7" s="19" t="inlineStr">
        <is>
          <t>No (Scale tiers need funding)</t>
        </is>
      </c>
      <c r="AC7" s="19" t="inlineStr">
        <is>
          <t>No</t>
        </is>
      </c>
      <c r="AD7" s="19" t="inlineStr">
        <is>
          <t>Yes (AI track)</t>
        </is>
      </c>
      <c r="AE7" s="19" t="inlineStr">
        <is>
          <t>No (investor referral helps stealth startups)</t>
        </is>
      </c>
      <c r="AF7" s="19" t="inlineStr">
        <is>
          <t>Online application</t>
        </is>
      </c>
      <c r="AG7" s="19" t="inlineStr">
        <is>
          <t>Billing account ID; business email on company domain; active website</t>
        </is>
      </c>
      <c r="AH7" s="19" t="inlineStr">
        <is>
          <t>Same exclusions as Start tier; third-party Marketplace/Model Garden products not covered</t>
        </is>
      </c>
      <c r="AI7" s="19" t="inlineStr">
        <is>
          <t>Re-enrollment not guaranteed; qualifications change annually</t>
        </is>
      </c>
      <c r="AJ7" s="19" t="inlineStr">
        <is>
          <t>Not stated</t>
        </is>
      </c>
      <c r="AK7" s="19" t="inlineStr">
        <is>
          <t>Billing account required</t>
        </is>
      </c>
      <c r="AL7" s="19" t="inlineStr">
        <is>
          <t>Needs verifiable funding; not suitable for bootstrapped founders.</t>
        </is>
      </c>
      <c r="AM7" s="24" t="inlineStr">
        <is>
          <t>https://cloud.google.com/startup</t>
        </is>
      </c>
      <c r="AN7" s="24" t="inlineStr">
        <is>
          <t>https://aifree.dev/offer/google-cloud-ai-startup-program</t>
        </is>
      </c>
      <c r="AO7" s="19" t="inlineStr">
        <is>
          <t>Official footnotes: AI startups $250k year 1 + $100k year 2; others $100k + $100k.</t>
        </is>
      </c>
      <c r="AP7" s="23" t="n">
        <v>46319</v>
      </c>
      <c r="AQ7" s="19" t="inlineStr">
        <is>
          <t>High</t>
        </is>
      </c>
      <c r="AR7" s="19" t="inlineStr">
        <is>
          <t>Official</t>
        </is>
      </c>
      <c r="AS7" s="19" t="inlineStr">
        <is>
          <t>Regions where Google Cloud is GA</t>
        </is>
      </c>
      <c r="AT7" s="19" t="inlineStr">
        <is>
          <t>google,cloud,ai,funded</t>
        </is>
      </c>
      <c r="AU7" s="19" t="inlineStr">
        <is>
          <t>Egypt eligibility depends on Google Cloud GA region rule.</t>
        </is>
      </c>
      <c r="AV7" s="19" t="inlineStr">
        <is>
          <t>DG-GCP-SC</t>
        </is>
      </c>
    </row>
    <row r="8" ht="46.25" customHeight="1" s="17">
      <c r="A8" s="19" t="inlineStr">
        <is>
          <t>SB-007</t>
        </is>
      </c>
      <c r="B8" s="19" t="inlineStr">
        <is>
          <t>Microsoft</t>
        </is>
      </c>
      <c r="C8" s="19" t="inlineStr">
        <is>
          <t>Microsoft for Startups Founders Hub</t>
        </is>
      </c>
      <c r="D8" s="19" t="inlineStr">
        <is>
          <t>Microsoft</t>
        </is>
      </c>
      <c r="E8" s="19" t="inlineStr">
        <is>
          <t>Cloud &amp; Infrastructure</t>
        </is>
      </c>
      <c r="F8" s="19" t="inlineStr">
        <is>
          <t>Azure credits + Microsoft tools</t>
        </is>
      </c>
      <c r="G8" s="19" t="inlineStr">
        <is>
          <t>Startup credits (startup-specific)</t>
        </is>
      </c>
      <c r="H8" s="19" t="inlineStr">
        <is>
          <t>Tiered Azure credits unlocked progressively (Microsoft partner guide shows core levels of $1,000 / $5,000 / $25,000; up to $150,000 at the top tier per secondary sources) plus GitHub, Microsoft 365 and partner offers.</t>
        </is>
      </c>
      <c r="I8" s="22" t="n">
        <v>150000</v>
      </c>
      <c r="J8" s="19" t="inlineStr">
        <is>
          <t>USD</t>
        </is>
      </c>
      <c r="K8" s="19" t="inlineStr">
        <is>
          <t>Credits</t>
        </is>
      </c>
      <c r="L8" s="22" t="n"/>
      <c r="M8" s="22" t="n">
        <v>150000</v>
      </c>
      <c r="N8" s="19" t="n"/>
      <c r="O8" s="19" t="inlineStr">
        <is>
          <t>Not stated</t>
        </is>
      </c>
      <c r="P8" s="19" t="inlineStr">
        <is>
          <t>Per allocation; one secondary source says about 12 months</t>
        </is>
      </c>
      <c r="Q8" s="23" t="n"/>
      <c r="R8" s="19" t="inlineStr">
        <is>
          <t>Open</t>
        </is>
      </c>
      <c r="S8" s="24" t="inlineStr">
        <is>
          <t>https://www.microsoft.com/en-us/startups</t>
        </is>
      </c>
      <c r="T8" s="24" t="inlineStr">
        <is>
          <t>https://www.microsoft.com/en-us/startups</t>
        </is>
      </c>
      <c r="U8" s="24" t="inlineStr">
        <is>
          <t>https://www.microsoft.com/en-us/startups</t>
        </is>
      </c>
      <c r="V8" s="19" t="inlineStr">
        <is>
          <t>Entry reportedly open without VC backing. Secondary source lists rejection reasons: existing paid Azure customer, ineligible company type (agency, consultancy, crypto mining), unsupported region.</t>
        </is>
      </c>
      <c r="W8" s="19" t="inlineStr">
        <is>
          <t>Idea to growth</t>
        </is>
      </c>
      <c r="X8" s="19" t="inlineStr">
        <is>
          <t>Unknown</t>
        </is>
      </c>
      <c r="Y8" s="19" t="inlineStr">
        <is>
          <t>No (reported)</t>
        </is>
      </c>
      <c r="Z8" s="19" t="inlineStr">
        <is>
          <t>Unsupported regions exist (secondary source)</t>
        </is>
      </c>
      <c r="AA8" s="19" t="inlineStr">
        <is>
          <t>Unverified (regional restrictions noted)</t>
        </is>
      </c>
      <c r="AB8" s="19" t="inlineStr">
        <is>
          <t>Yes (reported)</t>
        </is>
      </c>
      <c r="AC8" s="19" t="inlineStr">
        <is>
          <t>Yes (reported)</t>
        </is>
      </c>
      <c r="AD8" s="19" t="inlineStr">
        <is>
          <t>No</t>
        </is>
      </c>
      <c r="AE8" s="19" t="inlineStr">
        <is>
          <t>No</t>
        </is>
      </c>
      <c r="AF8" s="19" t="inlineStr">
        <is>
          <t>Online application via Founders Hub portal</t>
        </is>
      </c>
      <c r="AG8" s="19" t="inlineStr">
        <is>
          <t>Not stated</t>
        </is>
      </c>
      <c r="AH8" s="19" t="inlineStr">
        <is>
          <t>Not stated</t>
        </is>
      </c>
      <c r="AI8" s="19" t="inlineStr">
        <is>
          <t>Lifetime cap on free Azure credits reported by FounderPass</t>
        </is>
      </c>
      <c r="AJ8" s="19" t="inlineStr">
        <is>
          <t>Not stated</t>
        </is>
      </c>
      <c r="AK8" s="19" t="inlineStr">
        <is>
          <t>Not stated</t>
        </is>
      </c>
      <c r="AL8" s="19" t="inlineStr">
        <is>
          <t>Top levels depend on progress or investor referral; credits are time-bound.</t>
        </is>
      </c>
      <c r="AM8" s="24" t="inlineStr">
        <is>
          <t>https://partner.microsoft.com/en-cy/partnership/founders-hub-benefits-guide</t>
        </is>
      </c>
      <c r="AN8" s="24" t="inlineStr">
        <is>
          <t>https://guptadeepak.com/startup-offers/programs/microsoft-founders-hub</t>
        </is>
      </c>
      <c r="AO8" s="19" t="inlineStr">
        <is>
          <t>Microsoft partner benefits guide lists Level 1 $1,000, Level 2 $5,000, Level 3 $25,000 Azure credits.</t>
        </is>
      </c>
      <c r="AP8" s="23" t="n">
        <v>46319</v>
      </c>
      <c r="AQ8" s="19" t="inlineStr">
        <is>
          <t>Medium</t>
        </is>
      </c>
      <c r="AR8" s="19" t="inlineStr">
        <is>
          <t>Official</t>
        </is>
      </c>
      <c r="AS8" s="19" t="inlineStr">
        <is>
          <t>Global (unsupported regions exist)</t>
        </is>
      </c>
      <c r="AT8" s="19" t="inlineStr">
        <is>
          <t>microsoft,azure,github,bootstrapped</t>
        </is>
      </c>
      <c r="AU8" s="19" t="inlineStr">
        <is>
          <t>Official microsoft.com/startups page was NOT opened. The $150k top level and no-VC claim come from secondary sites. Verify Egypt support before applying.</t>
        </is>
      </c>
      <c r="AV8" s="19" t="inlineStr">
        <is>
          <t>DG-MS-FH</t>
        </is>
      </c>
    </row>
    <row r="9" ht="35.05" customHeight="1" s="17">
      <c r="A9" s="19" t="inlineStr">
        <is>
          <t>SB-008</t>
        </is>
      </c>
      <c r="B9" s="19" t="inlineStr">
        <is>
          <t>ElevenLabs</t>
        </is>
      </c>
      <c r="C9" s="19" t="inlineStr">
        <is>
          <t>ElevenLabs Startup Grants</t>
        </is>
      </c>
      <c r="D9" s="19" t="inlineStr">
        <is>
          <t>Not stated</t>
        </is>
      </c>
      <c r="E9" s="19" t="inlineStr">
        <is>
          <t>AI &amp; LLM Credits</t>
        </is>
      </c>
      <c r="F9" s="19" t="inlineStr">
        <is>
          <t>Voice AI credits (TTS/STT/Agents)</t>
        </is>
      </c>
      <c r="G9" s="19" t="inlineStr">
        <is>
          <t>Startup credits (startup-specific)</t>
        </is>
      </c>
      <c r="H9" s="19" t="inlineStr">
        <is>
          <t>12 months of free access to the ElevenLabs platform: 33,000,000 characters (over 680 hours of Agents usage, valued at $5,500+), plus community access and events.</t>
        </is>
      </c>
      <c r="I9" s="22" t="n">
        <v>5500</v>
      </c>
      <c r="J9" s="19" t="inlineStr">
        <is>
          <t>USD</t>
        </is>
      </c>
      <c r="K9" s="19" t="inlineStr">
        <is>
          <t>Credits</t>
        </is>
      </c>
      <c r="L9" s="22" t="n"/>
      <c r="M9" s="22" t="n">
        <v>5500</v>
      </c>
      <c r="N9" s="19" t="n"/>
      <c r="O9" s="19" t="inlineStr">
        <is>
          <t>Not stated</t>
        </is>
      </c>
      <c r="P9" s="19" t="inlineStr">
        <is>
          <t>12 months</t>
        </is>
      </c>
      <c r="Q9" s="23" t="n"/>
      <c r="R9" s="19" t="inlineStr">
        <is>
          <t>Open</t>
        </is>
      </c>
      <c r="S9" s="24" t="inlineStr">
        <is>
          <t>https://elevenlabs.io/grants-application</t>
        </is>
      </c>
      <c r="T9" s="24" t="inlineStr">
        <is>
          <t>https://elevenlabs.io/startup-grants</t>
        </is>
      </c>
      <c r="U9" s="24" t="inlineStr">
        <is>
          <t>https://elevenlabs.io/grants-application</t>
        </is>
      </c>
      <c r="V9" s="19" t="inlineStr">
        <is>
          <t>Eligibility FAQ is collapsed on the fetched page; page says decisions within one week.</t>
        </is>
      </c>
      <c r="W9" s="19" t="inlineStr">
        <is>
          <t>Not stated</t>
        </is>
      </c>
      <c r="X9" s="19" t="inlineStr">
        <is>
          <t>Unknown</t>
        </is>
      </c>
      <c r="Y9" s="19" t="inlineStr">
        <is>
          <t>Unknown</t>
        </is>
      </c>
      <c r="Z9" s="19" t="inlineStr">
        <is>
          <t>Not stated</t>
        </is>
      </c>
      <c r="AA9" s="19" t="inlineStr">
        <is>
          <t>Unverified</t>
        </is>
      </c>
      <c r="AB9" s="19" t="inlineStr">
        <is>
          <t>Unknown</t>
        </is>
      </c>
      <c r="AC9" s="19" t="inlineStr">
        <is>
          <t>Unknown</t>
        </is>
      </c>
      <c r="AD9" s="19" t="inlineStr">
        <is>
          <t>Yes</t>
        </is>
      </c>
      <c r="AE9" s="19" t="inlineStr">
        <is>
          <t>No</t>
        </is>
      </c>
      <c r="AF9" s="19" t="inlineStr">
        <is>
          <t>Online grant application</t>
        </is>
      </c>
      <c r="AG9" s="19" t="inlineStr">
        <is>
          <t>Not stated</t>
        </is>
      </c>
      <c r="AH9" s="19" t="inlineStr">
        <is>
          <t>Grants cannot be resold or exchanged for cash (FAQ heading)</t>
        </is>
      </c>
      <c r="AI9" s="19" t="inlineStr">
        <is>
          <t>Not stated</t>
        </is>
      </c>
      <c r="AJ9" s="19" t="inlineStr">
        <is>
          <t>Not stated</t>
        </is>
      </c>
      <c r="AK9" s="19" t="inlineStr">
        <is>
          <t>Not stated</t>
        </is>
      </c>
      <c r="AL9" s="19" t="inlineStr">
        <is>
          <t>Eligibility details not captured; allowance is characters, not cash.</t>
        </is>
      </c>
      <c r="AM9" s="24" t="inlineStr">
        <is>
          <t>https://elevenlabs.io/startup-grants</t>
        </is>
      </c>
      <c r="AN9" s="24" t="inlineStr">
        <is>
          <t>https://aifree.dev/offer/elevenlabs-startup-program</t>
        </is>
      </c>
      <c r="AO9" s="19" t="inlineStr">
        <is>
          <t>Official page: 12-month grant, 33M characters, valued over $5,500; acceptance within one week.</t>
        </is>
      </c>
      <c r="AP9" s="23" t="n">
        <v>46319</v>
      </c>
      <c r="AQ9" s="19" t="inlineStr">
        <is>
          <t>Medium</t>
        </is>
      </c>
      <c r="AR9" s="19" t="inlineStr">
        <is>
          <t>Official</t>
        </is>
      </c>
      <c r="AS9" s="19" t="inlineStr">
        <is>
          <t>Unknown</t>
        </is>
      </c>
      <c r="AT9" s="19" t="inlineStr">
        <is>
          <t>voice,tts,agents,grant</t>
        </is>
      </c>
      <c r="AU9" s="19" t="inlineStr">
        <is>
          <t>Seed URL. Eligibility FAQ answers not visible in fetched text.</t>
        </is>
      </c>
      <c r="AV9" s="19" t="inlineStr">
        <is>
          <t>DG-EL</t>
        </is>
      </c>
    </row>
    <row r="10" ht="46.25" customHeight="1" s="17">
      <c r="A10" s="19" t="inlineStr">
        <is>
          <t>SB-009</t>
        </is>
      </c>
      <c r="B10" s="19" t="inlineStr">
        <is>
          <t>SendPulse</t>
        </is>
      </c>
      <c r="C10" s="19" t="inlineStr">
        <is>
          <t>SendPulse Startup Grant</t>
        </is>
      </c>
      <c r="D10" s="19" t="inlineStr">
        <is>
          <t>Not stated</t>
        </is>
      </c>
      <c r="E10" s="19" t="inlineStr">
        <is>
          <t>SaaS &amp; Marketing</t>
        </is>
      </c>
      <c r="F10" s="19" t="inlineStr">
        <is>
          <t>Email/chatbot/CRM marketing credits</t>
        </is>
      </c>
      <c r="G10" s="19" t="inlineStr">
        <is>
          <t>Startup credits (startup-specific)</t>
        </is>
      </c>
      <c r="H10" s="19" t="inlineStr">
        <is>
          <t>$5,000 in SendPulse bonus-balance credits valid one year for email, chatbots, CRM, landing pages and automation (not usable for email verifier, SMS marketing, WhatsApp and Viber campaigns).</t>
        </is>
      </c>
      <c r="I10" s="22" t="n">
        <v>5000</v>
      </c>
      <c r="J10" s="19" t="inlineStr">
        <is>
          <t>USD</t>
        </is>
      </c>
      <c r="K10" s="19" t="inlineStr">
        <is>
          <t>Credits</t>
        </is>
      </c>
      <c r="L10" s="22" t="n"/>
      <c r="M10" s="22" t="n">
        <v>5000</v>
      </c>
      <c r="N10" s="19" t="n"/>
      <c r="O10" s="19" t="inlineStr">
        <is>
          <t>Not stated</t>
        </is>
      </c>
      <c r="P10" s="19" t="inlineStr">
        <is>
          <t>1 year (unused credit expires)</t>
        </is>
      </c>
      <c r="Q10" s="23" t="n"/>
      <c r="R10" s="19" t="inlineStr">
        <is>
          <t>Open</t>
        </is>
      </c>
      <c r="S10" s="24" t="inlineStr">
        <is>
          <t>https://sendpulse.com/startup#request-form</t>
        </is>
      </c>
      <c r="T10" s="24" t="inlineStr">
        <is>
          <t>https://sendpulse.com/startup</t>
        </is>
      </c>
      <c r="U10" s="24" t="inlineStr">
        <is>
          <t>https://sendpulse.com/startup#request-form</t>
        </is>
      </c>
      <c r="V10" s="19" t="inlineStr">
        <is>
          <t>Startup launched within the past 3 years; innovative product; not an eCommerce project or online business; no history of paid SendPulse plans.</t>
        </is>
      </c>
      <c r="W10" s="19" t="inlineStr">
        <is>
          <t>Launched within 3 years</t>
        </is>
      </c>
      <c r="X10" s="19" t="inlineStr">
        <is>
          <t>Unknown</t>
        </is>
      </c>
      <c r="Y10" s="19" t="inlineStr">
        <is>
          <t>No (not stated as required)</t>
        </is>
      </c>
      <c r="Z10" s="19" t="inlineStr">
        <is>
          <t>Form asks country of registration; the signup form shows a 'region not supported' message for some locations</t>
        </is>
      </c>
      <c r="AA10" s="19" t="inlineStr">
        <is>
          <t>Unverified (regional restrictions noted)</t>
        </is>
      </c>
      <c r="AB10" s="19" t="inlineStr">
        <is>
          <t>Yes (no funding requirement stated)</t>
        </is>
      </c>
      <c r="AC10" s="19" t="inlineStr">
        <is>
          <t>Unknown</t>
        </is>
      </c>
      <c r="AD10" s="19" t="inlineStr">
        <is>
          <t>No</t>
        </is>
      </c>
      <c r="AE10" s="19" t="inlineStr">
        <is>
          <t>No (accelerator field optional)</t>
        </is>
      </c>
      <c r="AF10" s="19" t="inlineStr">
        <is>
          <t>Online form on sendpulse.com/startup</t>
        </is>
      </c>
      <c r="AG10" s="19" t="inlineStr">
        <is>
          <t>Startup name, website, applicant name, team size, country of registration, SendPulse account email</t>
        </is>
      </c>
      <c r="AH10" s="19" t="inlineStr">
        <is>
          <t>Excludes email verifier, SMS marketing, WhatsApp and Viber campaigns</t>
        </is>
      </c>
      <c r="AI10" s="19" t="inlineStr">
        <is>
          <t>Not stated</t>
        </is>
      </c>
      <c r="AJ10" s="19" t="inlineStr">
        <is>
          <t>Not stated</t>
        </is>
      </c>
      <c r="AK10" s="19" t="inlineStr">
        <is>
          <t>SendPulse account email (free plans only)</t>
        </is>
      </c>
      <c r="AL10" s="19" t="inlineStr">
        <is>
          <t>Review takes 1-3 business days; eCommerce projects excluded.</t>
        </is>
      </c>
      <c r="AM10" s="24" t="inlineStr">
        <is>
          <t>https://sendpulse.com/startup</t>
        </is>
      </c>
      <c r="AN10" s="19" t="n"/>
      <c r="AO10" s="19" t="inlineStr">
        <is>
          <t>Official page: $5,000 grant, one year, four eligibility criteria, review in 1-3 business days.</t>
        </is>
      </c>
      <c r="AP10" s="23" t="n">
        <v>46319</v>
      </c>
      <c r="AQ10" s="19" t="inlineStr">
        <is>
          <t>High</t>
        </is>
      </c>
      <c r="AR10" s="19" t="inlineStr">
        <is>
          <t>Official</t>
        </is>
      </c>
      <c r="AS10" s="19" t="inlineStr">
        <is>
          <t>Global (some regions unsupported)</t>
        </is>
      </c>
      <c r="AT10" s="19" t="inlineStr">
        <is>
          <t>sendpulse,crm,chatbot,email</t>
        </is>
      </c>
      <c r="AU10" s="19" t="inlineStr">
        <is>
          <t>Check no paid-plan history before applying.</t>
        </is>
      </c>
      <c r="AV10" s="19" t="inlineStr">
        <is>
          <t>DG-SP</t>
        </is>
      </c>
    </row>
    <row r="11" ht="23.85" customHeight="1" s="17">
      <c r="A11" s="19" t="inlineStr">
        <is>
          <t>SB-010</t>
        </is>
      </c>
      <c r="B11" s="19" t="inlineStr">
        <is>
          <t>UniOne</t>
        </is>
      </c>
      <c r="C11" s="19" t="inlineStr">
        <is>
          <t>UniOne email trial for startups</t>
        </is>
      </c>
      <c r="D11" s="19" t="inlineStr">
        <is>
          <t>Not stated</t>
        </is>
      </c>
      <c r="E11" s="19" t="inlineStr">
        <is>
          <t>SaaS &amp; Marketing</t>
        </is>
      </c>
      <c r="F11" s="19" t="inlineStr">
        <is>
          <t>Transactional email</t>
        </is>
      </c>
      <c r="G11" s="19" t="inlineStr">
        <is>
          <t>Free trial credit (not startup-exclusive)</t>
        </is>
      </c>
      <c r="H11" s="19" t="inlineStr">
        <is>
          <t>Free trial: 6,000 emails/month for 4 months, then from $4/month; the startup landing page markets this trial (it is not a grant).</t>
        </is>
      </c>
      <c r="I11" s="22" t="n"/>
      <c r="J11" s="19" t="inlineStr">
        <is>
          <t>USD</t>
        </is>
      </c>
      <c r="K11" s="19" t="inlineStr">
        <is>
          <t>Unknown</t>
        </is>
      </c>
      <c r="L11" s="22" t="n"/>
      <c r="M11" s="22" t="n"/>
      <c r="N11" s="19" t="n"/>
      <c r="O11" s="19" t="inlineStr">
        <is>
          <t>Yes (trial)</t>
        </is>
      </c>
      <c r="P11" s="19" t="inlineStr">
        <is>
          <t>4 months</t>
        </is>
      </c>
      <c r="Q11" s="23" t="n"/>
      <c r="R11" s="19" t="inlineStr">
        <is>
          <t>Open</t>
        </is>
      </c>
      <c r="S11" s="24" t="inlineStr">
        <is>
          <t>https://cp.unione.io/en/user/registration/</t>
        </is>
      </c>
      <c r="T11" s="24" t="inlineStr">
        <is>
          <t>https://unione.io/en/email-service-for-startups/</t>
        </is>
      </c>
      <c r="U11" s="24" t="inlineStr">
        <is>
          <t>https://cp.unione.io/en/user/registration/</t>
        </is>
      </c>
      <c r="V11" s="19" t="inlineStr">
        <is>
          <t>Open registration; no startup verification stated.</t>
        </is>
      </c>
      <c r="W11" s="19" t="inlineStr">
        <is>
          <t>Not stated</t>
        </is>
      </c>
      <c r="X11" s="19" t="inlineStr">
        <is>
          <t>Unknown</t>
        </is>
      </c>
      <c r="Y11" s="19" t="inlineStr">
        <is>
          <t>No</t>
        </is>
      </c>
      <c r="Z11" s="19" t="inlineStr">
        <is>
          <t>Not stated</t>
        </is>
      </c>
      <c r="AA11" s="19" t="inlineStr">
        <is>
          <t>Unverified</t>
        </is>
      </c>
      <c r="AB11" s="19" t="inlineStr">
        <is>
          <t>Yes</t>
        </is>
      </c>
      <c r="AC11" s="19" t="inlineStr">
        <is>
          <t>Yes</t>
        </is>
      </c>
      <c r="AD11" s="19" t="inlineStr">
        <is>
          <t>No</t>
        </is>
      </c>
      <c r="AE11" s="19" t="inlineStr">
        <is>
          <t>No</t>
        </is>
      </c>
      <c r="AF11" s="19" t="inlineStr">
        <is>
          <t>Self-service sign up</t>
        </is>
      </c>
      <c r="AG11" s="19" t="inlineStr">
        <is>
          <t>Not stated</t>
        </is>
      </c>
      <c r="AH11" s="19" t="inlineStr">
        <is>
          <t>Not stated</t>
        </is>
      </c>
      <c r="AI11" s="19" t="inlineStr">
        <is>
          <t>Not stated</t>
        </is>
      </c>
      <c r="AJ11" s="19" t="inlineStr">
        <is>
          <t>Not stated</t>
        </is>
      </c>
      <c r="AK11" s="19" t="inlineStr">
        <is>
          <t>Not stated</t>
        </is>
      </c>
      <c r="AL11" s="19" t="inlineStr">
        <is>
          <t>A free trial, not a startup-exclusive grant or credit; about $4/month after trial.</t>
        </is>
      </c>
      <c r="AM11" s="24" t="inlineStr">
        <is>
          <t>https://unione.io/en/email-service-for-startups/</t>
        </is>
      </c>
      <c r="AN11" s="19" t="n"/>
      <c r="AO11" s="19" t="inlineStr">
        <is>
          <t>Official page: 6,000 emails/month free for 4 months; $4/month after.</t>
        </is>
      </c>
      <c r="AP11" s="23" t="n">
        <v>46319</v>
      </c>
      <c r="AQ11" s="19" t="inlineStr">
        <is>
          <t>High</t>
        </is>
      </c>
      <c r="AR11" s="19" t="inlineStr">
        <is>
          <t>Official</t>
        </is>
      </c>
      <c r="AS11" s="19" t="inlineStr">
        <is>
          <t>Global (not stated)</t>
        </is>
      </c>
      <c r="AT11" s="19" t="inlineStr">
        <is>
          <t>email,smtp,trial</t>
        </is>
      </c>
      <c r="AU11" s="19" t="inlineStr">
        <is>
          <t>Classified as trial, not funding.</t>
        </is>
      </c>
      <c r="AV11" s="19" t="inlineStr">
        <is>
          <t>DG-UNI</t>
        </is>
      </c>
    </row>
    <row r="12" ht="46.25" customHeight="1" s="17">
      <c r="A12" s="19" t="inlineStr">
        <is>
          <t>SB-011</t>
        </is>
      </c>
      <c r="B12" s="19" t="inlineStr">
        <is>
          <t>TIEC (ITIDA)</t>
        </is>
      </c>
      <c r="C12" s="19" t="inlineStr">
        <is>
          <t>Start IT incubation program (TIEC)</t>
        </is>
      </c>
      <c r="D12" s="19" t="inlineStr">
        <is>
          <t>ITIDA</t>
        </is>
      </c>
      <c r="E12" s="19" t="inlineStr">
        <is>
          <t>Cash Grants &amp; Non-Dilutive</t>
        </is>
      </c>
      <c r="F12" s="19" t="inlineStr">
        <is>
          <t>Equity-free funding + incubation</t>
        </is>
      </c>
      <c r="G12" s="19" t="inlineStr">
        <is>
          <t>Cash grant + incubation + AWS support</t>
        </is>
      </c>
      <c r="H12" s="19" t="inlineStr">
        <is>
          <t>Reported package of up to EGP 480,000 in non-refundable funding, USD 10,000 AWS support and 12-month incubation in TIEC centres; reported open year-round with quarterly evaluation.</t>
        </is>
      </c>
      <c r="I12" s="22" t="n">
        <v>480000</v>
      </c>
      <c r="J12" s="19" t="inlineStr">
        <is>
          <t>EGP</t>
        </is>
      </c>
      <c r="K12" s="19" t="inlineStr">
        <is>
          <t>Cash</t>
        </is>
      </c>
      <c r="L12" s="22" t="n"/>
      <c r="M12" s="22" t="n"/>
      <c r="N12" s="19" t="n"/>
      <c r="O12" s="19" t="inlineStr">
        <is>
          <t>Not stated</t>
        </is>
      </c>
      <c r="P12" s="19" t="inlineStr">
        <is>
          <t>12 months incubation</t>
        </is>
      </c>
      <c r="Q12" s="23" t="n"/>
      <c r="R12" s="19" t="inlineStr">
        <is>
          <t>Rolling</t>
        </is>
      </c>
      <c r="S12" s="19" t="inlineStr">
        <is>
          <t>Not verified this session</t>
        </is>
      </c>
      <c r="T12" s="19" t="inlineStr">
        <is>
          <t>Not verified this session</t>
        </is>
      </c>
      <c r="U12" s="19" t="inlineStr">
        <is>
          <t>Not stated</t>
        </is>
      </c>
      <c r="V12" s="19" t="inlineStr">
        <is>
          <t>Early-stage startups with scalable ICT-based solutions or tech-enabled prototypes (per the round announcement).</t>
        </is>
      </c>
      <c r="W12" s="19" t="inlineStr">
        <is>
          <t>Early stage / prototype</t>
        </is>
      </c>
      <c r="X12" s="19" t="inlineStr">
        <is>
          <t>Unknown</t>
        </is>
      </c>
      <c r="Y12" s="19" t="inlineStr">
        <is>
          <t>No (not stated)</t>
        </is>
      </c>
      <c r="Z12" s="19" t="inlineStr">
        <is>
          <t>Egypt-based program</t>
        </is>
      </c>
      <c r="AA12" s="19" t="inlineStr">
        <is>
          <t>Confirmed</t>
        </is>
      </c>
      <c r="AB12" s="19" t="inlineStr">
        <is>
          <t>Unknown</t>
        </is>
      </c>
      <c r="AC12" s="19" t="inlineStr">
        <is>
          <t>Unknown</t>
        </is>
      </c>
      <c r="AD12" s="19" t="inlineStr">
        <is>
          <t>No</t>
        </is>
      </c>
      <c r="AE12" s="19" t="inlineStr">
        <is>
          <t>No (TIEC/ITIDA is the program owner)</t>
        </is>
      </c>
      <c r="AF12" s="19" t="inlineStr">
        <is>
          <t>Online application on TIEC website (URL not captured)</t>
        </is>
      </c>
      <c r="AG12" s="19" t="inlineStr">
        <is>
          <t>Not stated</t>
        </is>
      </c>
      <c r="AH12" s="19" t="inlineStr">
        <is>
          <t>Funding covers operational, marketing and legal expenses (reported)</t>
        </is>
      </c>
      <c r="AI12" s="19" t="inlineStr">
        <is>
          <t>Not stated</t>
        </is>
      </c>
      <c r="AJ12" s="19" t="inlineStr">
        <is>
          <t>Not stated</t>
        </is>
      </c>
      <c r="AK12" s="19" t="inlineStr">
        <is>
          <t>Not stated</t>
        </is>
      </c>
      <c r="AL12" s="19" t="inlineStr">
        <is>
          <t>Figures come from press reprints of ITIDA's round 47 announcement (May 2025) and a MENA digest; confirm current round terms at TIEC.</t>
        </is>
      </c>
      <c r="AM12" s="24" t="inlineStr">
        <is>
          <t>https://meatechwatch.com/?p=23538</t>
        </is>
      </c>
      <c r="AN12" s="24" t="inlineStr">
        <is>
          <t>https://menastartupdigest.com/?p=40213</t>
        </is>
      </c>
      <c r="AO12" s="19" t="inlineStr">
        <is>
          <t>Press: TIEC round 47 offered EGP 480K funding and USD 10K AWS support; a digest says applications are open year-round.</t>
        </is>
      </c>
      <c r="AP12" s="23" t="n">
        <v>46319</v>
      </c>
      <c r="AQ12" s="19" t="inlineStr">
        <is>
          <t>Low</t>
        </is>
      </c>
      <c r="AR12" s="19" t="inlineStr">
        <is>
          <t>Community</t>
        </is>
      </c>
      <c r="AS12" s="19" t="inlineStr">
        <is>
          <t>Egypt</t>
        </is>
      </c>
      <c r="AT12" s="19" t="inlineStr">
        <is>
          <t>egypt,grant,incubator,tiec,itida</t>
        </is>
      </c>
      <c r="AU12" s="19" t="inlineStr">
        <is>
          <t>Top priority for an Egypt-based founder. Find the official TIEC application page and the current round.</t>
        </is>
      </c>
      <c r="AV12" s="19" t="inlineStr">
        <is>
          <t>DG-TIEC</t>
        </is>
      </c>
    </row>
    <row r="13" ht="35.05" customHeight="1" s="17">
      <c r="A13" s="19" t="inlineStr">
        <is>
          <t>SB-012</t>
        </is>
      </c>
      <c r="B13" s="19" t="inlineStr">
        <is>
          <t>ITIDA / TIEC / Flat6Labs</t>
        </is>
      </c>
      <c r="C13" s="19" t="inlineStr">
        <is>
          <t>Invest-IT investment readiness program</t>
        </is>
      </c>
      <c r="D13" s="19" t="inlineStr">
        <is>
          <t>ITIDA</t>
        </is>
      </c>
      <c r="E13" s="19" t="inlineStr">
        <is>
          <t>Accelerators &amp; Partner Networks</t>
        </is>
      </c>
      <c r="F13" s="19" t="inlineStr">
        <is>
          <t>Investment-readiness program</t>
        </is>
      </c>
      <c r="G13" s="19" t="inlineStr">
        <is>
          <t>Program (benefit value not stated)</t>
        </is>
      </c>
      <c r="H13" s="19" t="inlineStr">
        <is>
          <t>Two-phase investment readiness program for Egyptian ICT startups run by TIEC with Flat6Labs; financial terms not captured.</t>
        </is>
      </c>
      <c r="I13" s="22" t="n"/>
      <c r="J13" s="19" t="inlineStr">
        <is>
          <t>EGP</t>
        </is>
      </c>
      <c r="K13" s="19" t="inlineStr">
        <is>
          <t>Unknown</t>
        </is>
      </c>
      <c r="L13" s="22" t="n"/>
      <c r="M13" s="22" t="n"/>
      <c r="N13" s="19" t="n"/>
      <c r="O13" s="19" t="inlineStr">
        <is>
          <t>Not stated</t>
        </is>
      </c>
      <c r="P13" s="19" t="inlineStr">
        <is>
          <t>Not stated</t>
        </is>
      </c>
      <c r="Q13" s="23" t="n"/>
      <c r="R13" s="19" t="inlineStr">
        <is>
          <t>Unknown</t>
        </is>
      </c>
      <c r="S13" s="19" t="inlineStr">
        <is>
          <t>Not verified this session</t>
        </is>
      </c>
      <c r="T13" s="24" t="inlineStr">
        <is>
          <t>https://itida.gov.eg/English/PressReleases/Pages/itida-launches-invest-it-startup-funding-program-egypt.aspx</t>
        </is>
      </c>
      <c r="U13" s="19" t="inlineStr">
        <is>
          <t>Not stated</t>
        </is>
      </c>
      <c r="V13" s="19" t="inlineStr">
        <is>
          <t>ICT-enabled startups at seed or pre-Series A with a launched product; operating in Egypt at least two years; founding team of two or more.</t>
        </is>
      </c>
      <c r="W13" s="19" t="inlineStr">
        <is>
          <t>Seed / pre-Series A</t>
        </is>
      </c>
      <c r="X13" s="19" t="inlineStr">
        <is>
          <t>Yes (Egypt operations)</t>
        </is>
      </c>
      <c r="Y13" s="19" t="inlineStr">
        <is>
          <t>Unknown</t>
        </is>
      </c>
      <c r="Z13" s="19" t="inlineStr">
        <is>
          <t>Egypt-based startups</t>
        </is>
      </c>
      <c r="AA13" s="19" t="inlineStr">
        <is>
          <t>Confirmed</t>
        </is>
      </c>
      <c r="AB13" s="19" t="inlineStr">
        <is>
          <t>Unknown</t>
        </is>
      </c>
      <c r="AC13" s="19" t="inlineStr">
        <is>
          <t>No (team of 2+)</t>
        </is>
      </c>
      <c r="AD13" s="19" t="inlineStr">
        <is>
          <t>No</t>
        </is>
      </c>
      <c r="AE13" s="19" t="inlineStr">
        <is>
          <t>No (Flat6Labs/TIEC run the program)</t>
        </is>
      </c>
      <c r="AF13" s="19" t="inlineStr">
        <is>
          <t>Application link on the Flat6Labs program page</t>
        </is>
      </c>
      <c r="AG13" s="19" t="inlineStr">
        <is>
          <t>Not stated</t>
        </is>
      </c>
      <c r="AH13" s="19" t="inlineStr">
        <is>
          <t>Not stated</t>
        </is>
      </c>
      <c r="AI13" s="19" t="inlineStr">
        <is>
          <t>Not stated</t>
        </is>
      </c>
      <c r="AJ13" s="19" t="inlineStr">
        <is>
          <t>Not stated</t>
        </is>
      </c>
      <c r="AK13" s="19" t="inlineStr">
        <is>
          <t>Not stated</t>
        </is>
      </c>
      <c r="AL13" s="19" t="inlineStr">
        <is>
          <t>Edition status unknown (first edition 2024-25).</t>
        </is>
      </c>
      <c r="AM13" s="24" t="inlineStr">
        <is>
          <t>https://flat6labs.com/2024/11/</t>
        </is>
      </c>
      <c r="AN13" s="24" t="inlineStr">
        <is>
          <t>https://itida.gov.eg/English/PressReleases/Pages/itida-launches-invest-it-startup-funding-program-egypt.aspx</t>
        </is>
      </c>
      <c r="AO13" s="19" t="inlineStr">
        <is>
          <t>Flat6Labs page: open to ICT-enabled seed/pre-Series A startups operating in Egypt 2+ years with 2+ founders.</t>
        </is>
      </c>
      <c r="AP13" s="23" t="n">
        <v>46319</v>
      </c>
      <c r="AQ13" s="19" t="inlineStr">
        <is>
          <t>Medium</t>
        </is>
      </c>
      <c r="AR13" s="19" t="inlineStr">
        <is>
          <t>Official</t>
        </is>
      </c>
      <c r="AS13" s="19" t="inlineStr">
        <is>
          <t>Egypt</t>
        </is>
      </c>
      <c r="AT13" s="19" t="inlineStr">
        <is>
          <t>egypt,flat6labs,tiec,investment-readiness</t>
        </is>
      </c>
      <c r="AU13" s="19" t="inlineStr">
        <is>
          <t>A 2026 Arabic news item mentions the partnership; confirm whether a new edition is open.</t>
        </is>
      </c>
      <c r="AV13" s="19" t="inlineStr">
        <is>
          <t>DG-INVEST-IT</t>
        </is>
      </c>
    </row>
    <row r="14" ht="35.05" customHeight="1" s="17">
      <c r="A14" s="19" t="inlineStr">
        <is>
          <t>SB-013</t>
        </is>
      </c>
      <c r="B14" s="19" t="inlineStr">
        <is>
          <t>ITIDA x Plug and Play</t>
        </is>
      </c>
      <c r="C14" s="19" t="inlineStr">
        <is>
          <t>ITIDA x Plug and Play Cairo Program - Cohort 8</t>
        </is>
      </c>
      <c r="D14" s="19" t="inlineStr">
        <is>
          <t>ITIDA</t>
        </is>
      </c>
      <c r="E14" s="19" t="inlineStr">
        <is>
          <t>Accelerators &amp; Partner Networks</t>
        </is>
      </c>
      <c r="F14" s="19" t="inlineStr">
        <is>
          <t>Three-month accelerator cohort</t>
        </is>
      </c>
      <c r="G14" s="19" t="inlineStr">
        <is>
          <t>Accelerator program</t>
        </is>
      </c>
      <c r="H14" s="19" t="inlineStr">
        <is>
          <t>Three-month cohort program for early- to growth-stage Egyptian startups; ITIDA's LinkedIn page reported applications open for Cohort 8.</t>
        </is>
      </c>
      <c r="I14" s="22" t="n"/>
      <c r="J14" s="19" t="inlineStr">
        <is>
          <t>USD</t>
        </is>
      </c>
      <c r="K14" s="19" t="inlineStr">
        <is>
          <t>Unknown</t>
        </is>
      </c>
      <c r="L14" s="22" t="n"/>
      <c r="M14" s="22" t="n"/>
      <c r="N14" s="19" t="n"/>
      <c r="O14" s="19" t="inlineStr">
        <is>
          <t>Not stated</t>
        </is>
      </c>
      <c r="P14" s="19" t="inlineStr">
        <is>
          <t>3 months</t>
        </is>
      </c>
      <c r="Q14" s="23" t="n"/>
      <c r="R14" s="19" t="inlineStr">
        <is>
          <t>Unknown</t>
        </is>
      </c>
      <c r="S14" s="19" t="inlineStr">
        <is>
          <t>Not verified this session</t>
        </is>
      </c>
      <c r="T14" s="19" t="inlineStr">
        <is>
          <t>Not verified this session</t>
        </is>
      </c>
      <c r="U14" s="19" t="inlineStr">
        <is>
          <t>Not stated</t>
        </is>
      </c>
      <c r="V14" s="19" t="inlineStr">
        <is>
          <t>Early- to growth-stage Egyptian startups (per ITIDA post).</t>
        </is>
      </c>
      <c r="W14" s="19" t="inlineStr">
        <is>
          <t>Early to growth</t>
        </is>
      </c>
      <c r="X14" s="19" t="inlineStr">
        <is>
          <t>Unknown</t>
        </is>
      </c>
      <c r="Y14" s="19" t="inlineStr">
        <is>
          <t>Unknown</t>
        </is>
      </c>
      <c r="Z14" s="19" t="inlineStr">
        <is>
          <t>Egypt-based</t>
        </is>
      </c>
      <c r="AA14" s="19" t="inlineStr">
        <is>
          <t>Confirmed</t>
        </is>
      </c>
      <c r="AB14" s="19" t="inlineStr">
        <is>
          <t>Unknown</t>
        </is>
      </c>
      <c r="AC14" s="19" t="inlineStr">
        <is>
          <t>Unknown</t>
        </is>
      </c>
      <c r="AD14" s="19" t="inlineStr">
        <is>
          <t>No</t>
        </is>
      </c>
      <c r="AE14" s="19" t="inlineStr">
        <is>
          <t>No (program itself)</t>
        </is>
      </c>
      <c r="AF14" s="19" t="inlineStr">
        <is>
          <t>Not stated</t>
        </is>
      </c>
      <c r="AG14" s="19" t="inlineStr">
        <is>
          <t>Not stated</t>
        </is>
      </c>
      <c r="AH14" s="19" t="inlineStr">
        <is>
          <t>Not stated</t>
        </is>
      </c>
      <c r="AI14" s="19" t="inlineStr">
        <is>
          <t>Not stated</t>
        </is>
      </c>
      <c r="AJ14" s="19" t="inlineStr">
        <is>
          <t>Not stated</t>
        </is>
      </c>
      <c r="AK14" s="19" t="inlineStr">
        <is>
          <t>Not stated</t>
        </is>
      </c>
      <c r="AL14" s="19" t="inlineStr">
        <is>
          <t>Deadline and benefits not captured; the cohort may have closed.</t>
        </is>
      </c>
      <c r="AM14" s="24" t="inlineStr">
        <is>
          <t>https://www.linkedin.com/company/itida/</t>
        </is>
      </c>
      <c r="AN14" s="19" t="n"/>
      <c r="AO14" s="19" t="inlineStr">
        <is>
          <t>ITIDA LinkedIn snippet: applications open for Cohort 8 of ITIDA x Plug and Play Cairo.</t>
        </is>
      </c>
      <c r="AP14" s="23" t="n">
        <v>46319</v>
      </c>
      <c r="AQ14" s="19" t="inlineStr">
        <is>
          <t>Low</t>
        </is>
      </c>
      <c r="AR14" s="19" t="inlineStr">
        <is>
          <t>Community</t>
        </is>
      </c>
      <c r="AS14" s="19" t="inlineStr">
        <is>
          <t>Egypt</t>
        </is>
      </c>
      <c r="AT14" s="19" t="inlineStr">
        <is>
          <t>egypt,accelerator,plug-and-play</t>
        </is>
      </c>
      <c r="AU14" s="19" t="inlineStr">
        <is>
          <t>Check ITIDA's site for current cohort status.</t>
        </is>
      </c>
      <c r="AV14" s="19" t="inlineStr">
        <is>
          <t>DG-PNP</t>
        </is>
      </c>
    </row>
    <row r="15" ht="23.85" customHeight="1" s="17">
      <c r="A15" s="19" t="inlineStr">
        <is>
          <t>SB-014</t>
        </is>
      </c>
      <c r="B15" s="19" t="inlineStr">
        <is>
          <t>Flat6Labs</t>
        </is>
      </c>
      <c r="C15" s="19" t="inlineStr">
        <is>
          <t>Flat6Labs seed accelerator (Egypt)</t>
        </is>
      </c>
      <c r="D15" s="19" t="inlineStr">
        <is>
          <t>Flat6Labs</t>
        </is>
      </c>
      <c r="E15" s="19" t="inlineStr">
        <is>
          <t>Accelerators &amp; Partner Networks</t>
        </is>
      </c>
      <c r="F15" s="19" t="inlineStr">
        <is>
          <t>Seed accelerator (equity-based)</t>
        </is>
      </c>
      <c r="G15" s="19" t="inlineStr">
        <is>
          <t>Equity investment + accelerator (dilutive)</t>
        </is>
      </c>
      <c r="H15" s="19" t="inlineStr">
        <is>
          <t>Seed-stage accelerator with an Egypt-focused fund (reported EGP 207 million). Investment is equity-based, so not non-dilutive.</t>
        </is>
      </c>
      <c r="I15" s="22" t="n"/>
      <c r="J15" s="19" t="inlineStr">
        <is>
          <t>EGP</t>
        </is>
      </c>
      <c r="K15" s="19" t="inlineStr">
        <is>
          <t>Cash</t>
        </is>
      </c>
      <c r="L15" s="22" t="n"/>
      <c r="M15" s="22" t="n"/>
      <c r="N15" s="19" t="n"/>
      <c r="O15" s="19" t="inlineStr">
        <is>
          <t>Not stated</t>
        </is>
      </c>
      <c r="P15" s="19" t="inlineStr">
        <is>
          <t>Not stated</t>
        </is>
      </c>
      <c r="Q15" s="23" t="n"/>
      <c r="R15" s="19" t="inlineStr">
        <is>
          <t>Unknown</t>
        </is>
      </c>
      <c r="S15" s="19" t="inlineStr">
        <is>
          <t>Not verified this session</t>
        </is>
      </c>
      <c r="T15" s="19" t="inlineStr">
        <is>
          <t>Not verified this session</t>
        </is>
      </c>
      <c r="U15" s="19" t="inlineStr">
        <is>
          <t>Not stated</t>
        </is>
      </c>
      <c r="V15" s="19" t="inlineStr">
        <is>
          <t>Not stated</t>
        </is>
      </c>
      <c r="W15" s="19" t="inlineStr">
        <is>
          <t>Seed</t>
        </is>
      </c>
      <c r="X15" s="19" t="inlineStr">
        <is>
          <t>Unknown</t>
        </is>
      </c>
      <c r="Y15" s="19" t="inlineStr">
        <is>
          <t>Unknown</t>
        </is>
      </c>
      <c r="Z15" s="19" t="inlineStr">
        <is>
          <t>Egypt / MENA</t>
        </is>
      </c>
      <c r="AA15" s="19" t="inlineStr">
        <is>
          <t>Confirmed</t>
        </is>
      </c>
      <c r="AB15" s="19" t="inlineStr">
        <is>
          <t>Unknown</t>
        </is>
      </c>
      <c r="AC15" s="19" t="inlineStr">
        <is>
          <t>Unknown</t>
        </is>
      </c>
      <c r="AD15" s="19" t="inlineStr">
        <is>
          <t>No</t>
        </is>
      </c>
      <c r="AE15" s="19" t="inlineStr">
        <is>
          <t>No (program itself)</t>
        </is>
      </c>
      <c r="AF15" s="19" t="inlineStr">
        <is>
          <t>Not stated</t>
        </is>
      </c>
      <c r="AG15" s="19" t="inlineStr">
        <is>
          <t>Not stated</t>
        </is>
      </c>
      <c r="AH15" s="19" t="inlineStr">
        <is>
          <t>Not stated</t>
        </is>
      </c>
      <c r="AI15" s="19" t="inlineStr">
        <is>
          <t>Not stated</t>
        </is>
      </c>
      <c r="AJ15" s="19" t="inlineStr">
        <is>
          <t>Not stated</t>
        </is>
      </c>
      <c r="AK15" s="19" t="inlineStr">
        <is>
          <t>Not stated</t>
        </is>
      </c>
      <c r="AL15" s="19" t="inlineStr">
        <is>
          <t>Equity-based; program status and terms not captured.</t>
        </is>
      </c>
      <c r="AM15" s="24" t="inlineStr">
        <is>
          <t>https://enterprise.press/?p=137230</t>
        </is>
      </c>
      <c r="AN15" s="24" t="inlineStr">
        <is>
          <t>https://techcrunch.com/?p=2156316</t>
        </is>
      </c>
      <c r="AO15" s="19" t="inlineStr">
        <is>
          <t>Press: Flat6Labs Egypt fund raised to EGP 207 mn.</t>
        </is>
      </c>
      <c r="AP15" s="23" t="n">
        <v>46319</v>
      </c>
      <c r="AQ15" s="19" t="inlineStr">
        <is>
          <t>Low</t>
        </is>
      </c>
      <c r="AR15" s="19" t="inlineStr">
        <is>
          <t>Community</t>
        </is>
      </c>
      <c r="AS15" s="19" t="inlineStr">
        <is>
          <t>Egypt / MENA</t>
        </is>
      </c>
      <c r="AT15" s="19" t="inlineStr">
        <is>
          <t>egypt,accelerator,equity</t>
        </is>
      </c>
      <c r="AU15" s="19" t="inlineStr">
        <is>
          <t>Included as an ecosystem entry; verify the application window.</t>
        </is>
      </c>
      <c r="AV15" s="19" t="inlineStr">
        <is>
          <t>DG-F6L</t>
        </is>
      </c>
    </row>
    <row r="16" ht="46.25" customHeight="1" s="17">
      <c r="A16" s="19" t="inlineStr">
        <is>
          <t>SB-015</t>
        </is>
      </c>
      <c r="B16" s="19" t="inlineStr">
        <is>
          <t>Together AI</t>
        </is>
      </c>
      <c r="C16" s="19" t="inlineStr">
        <is>
          <t>Together AI Startup Accelerator</t>
        </is>
      </c>
      <c r="D16" s="19" t="inlineStr">
        <is>
          <t>Not stated</t>
        </is>
      </c>
      <c r="E16" s="19" t="inlineStr">
        <is>
          <t>AI &amp; LLM Credits</t>
        </is>
      </c>
      <c r="F16" s="19" t="inlineStr">
        <is>
          <t>Inference credits</t>
        </is>
      </c>
      <c r="G16" s="19" t="inlineStr">
        <is>
          <t>Startup credits (startup-specific)</t>
        </is>
      </c>
      <c r="H16" s="19" t="inlineStr">
        <is>
          <t>Up to $50,000 inference credits; Build tier (up to $5M raised) up to $15K credits plus 3 hours engineering; Scale tier for $5M-$10M raised.</t>
        </is>
      </c>
      <c r="I16" s="22" t="n">
        <v>50000</v>
      </c>
      <c r="J16" s="19" t="inlineStr">
        <is>
          <t>USD</t>
        </is>
      </c>
      <c r="K16" s="19" t="inlineStr">
        <is>
          <t>Credits</t>
        </is>
      </c>
      <c r="L16" s="22" t="n"/>
      <c r="M16" s="22" t="n">
        <v>50000</v>
      </c>
      <c r="N16" s="19" t="n"/>
      <c r="O16" s="19" t="inlineStr">
        <is>
          <t>Not stated</t>
        </is>
      </c>
      <c r="P16" s="19" t="inlineStr">
        <is>
          <t>Not stated</t>
        </is>
      </c>
      <c r="Q16" s="23" t="n"/>
      <c r="R16" s="19" t="inlineStr">
        <is>
          <t>Open</t>
        </is>
      </c>
      <c r="S16" s="19" t="inlineStr">
        <is>
          <t>Not verified this session</t>
        </is>
      </c>
      <c r="T16" s="19" t="inlineStr">
        <is>
          <t>Not verified this session</t>
        </is>
      </c>
      <c r="U16" s="19" t="inlineStr">
        <is>
          <t>Not stated</t>
        </is>
      </c>
      <c r="V16" s="19" t="inlineStr">
        <is>
          <t>Not stated</t>
        </is>
      </c>
      <c r="W16" s="19" t="inlineStr">
        <is>
          <t>Funding-banded tiers (up to $10M raised)</t>
        </is>
      </c>
      <c r="X16" s="19" t="inlineStr">
        <is>
          <t>Unknown</t>
        </is>
      </c>
      <c r="Y16" s="19" t="inlineStr">
        <is>
          <t>Unknown</t>
        </is>
      </c>
      <c r="Z16" s="19" t="inlineStr">
        <is>
          <t>Not stated</t>
        </is>
      </c>
      <c r="AA16" s="19" t="inlineStr">
        <is>
          <t>Unverified</t>
        </is>
      </c>
      <c r="AB16" s="19" t="inlineStr">
        <is>
          <t>Unknown</t>
        </is>
      </c>
      <c r="AC16" s="19" t="inlineStr">
        <is>
          <t>Unknown</t>
        </is>
      </c>
      <c r="AD16" s="19" t="inlineStr">
        <is>
          <t>Yes</t>
        </is>
      </c>
      <c r="AE16" s="19" t="inlineStr">
        <is>
          <t>Unknown</t>
        </is>
      </c>
      <c r="AF16" s="19" t="inlineStr">
        <is>
          <t>Not stated</t>
        </is>
      </c>
      <c r="AG16" s="19" t="inlineStr">
        <is>
          <t>Not stated</t>
        </is>
      </c>
      <c r="AH16" s="19" t="inlineStr">
        <is>
          <t>Not stated</t>
        </is>
      </c>
      <c r="AI16" s="19" t="inlineStr">
        <is>
          <t>Not stated</t>
        </is>
      </c>
      <c r="AJ16" s="19" t="inlineStr">
        <is>
          <t>Not stated</t>
        </is>
      </c>
      <c r="AK16" s="19" t="inlineStr">
        <is>
          <t>No card required</t>
        </is>
      </c>
      <c r="AL16" s="19" t="inlineStr">
        <is>
          <t>Not stated</t>
        </is>
      </c>
      <c r="AM16" s="24" t="inlineStr">
        <is>
          <t>https://aifree.dev/offer/together-ai-startup-accelerator</t>
        </is>
      </c>
      <c r="AN16" s="24" t="inlineStr">
        <is>
          <t>https://aifree.dev/startup-ai-credits</t>
        </is>
      </c>
      <c r="AO16" s="19" t="inlineStr">
        <is>
          <t>Directory listing (verified Oct 2026 per directory): Up to $50,000 inference credits; Build tier (up to $5M raised) up to $15K credits plus 3 hours engineering; Scale tier for $5M-$10M raised.</t>
        </is>
      </c>
      <c r="AP16" s="23" t="n">
        <v>46319</v>
      </c>
      <c r="AQ16" s="19" t="inlineStr">
        <is>
          <t>Medium</t>
        </is>
      </c>
      <c r="AR16" s="19" t="inlineStr">
        <is>
          <t>Directory</t>
        </is>
      </c>
      <c r="AS16" s="19" t="inlineStr">
        <is>
          <t>Global (unverified)</t>
        </is>
      </c>
      <c r="AT16" s="19" t="inlineStr">
        <is>
          <t>ai,inference,credits</t>
        </is>
      </c>
      <c r="AU16" s="19" t="inlineStr">
        <is>
          <t>Terms taken from aifree.dev directory; official program page not opened this session. Confirm on provider site before applying.</t>
        </is>
      </c>
      <c r="AV16" s="19" t="inlineStr">
        <is>
          <t>DG-TOGETHER</t>
        </is>
      </c>
    </row>
    <row r="17" ht="46.25" customHeight="1" s="17">
      <c r="A17" s="19" t="inlineStr">
        <is>
          <t>SB-016</t>
        </is>
      </c>
      <c r="B17" s="19" t="inlineStr">
        <is>
          <t>Cognition (Devin)</t>
        </is>
      </c>
      <c r="C17" s="19" t="inlineStr">
        <is>
          <t>Devin for Startups</t>
        </is>
      </c>
      <c r="D17" s="19" t="inlineStr">
        <is>
          <t>Not stated</t>
        </is>
      </c>
      <c r="E17" s="19" t="inlineStr">
        <is>
          <t>AI &amp; LLM Credits</t>
        </is>
      </c>
      <c r="F17" s="19" t="inlineStr">
        <is>
          <t>AI coding agent credits</t>
        </is>
      </c>
      <c r="G17" s="19" t="inlineStr">
        <is>
          <t>Startup credits (startup-specific)</t>
        </is>
      </c>
      <c r="H17" s="19" t="inlineStr">
        <is>
          <t>$15,000 in Devin credits on approval; up to $65,000 with matching (directory short answer says $65K; table says up to $50K matching - conflict noted).</t>
        </is>
      </c>
      <c r="I17" s="22" t="n">
        <v>65000</v>
      </c>
      <c r="J17" s="19" t="inlineStr">
        <is>
          <t>USD</t>
        </is>
      </c>
      <c r="K17" s="19" t="inlineStr">
        <is>
          <t>Credits</t>
        </is>
      </c>
      <c r="L17" s="22" t="n">
        <v>15000</v>
      </c>
      <c r="M17" s="22" t="n">
        <v>15000</v>
      </c>
      <c r="N17" s="19" t="n"/>
      <c r="O17" s="19" t="inlineStr">
        <is>
          <t>Not stated</t>
        </is>
      </c>
      <c r="P17" s="19" t="inlineStr">
        <is>
          <t>Not stated</t>
        </is>
      </c>
      <c r="Q17" s="23" t="n"/>
      <c r="R17" s="19" t="inlineStr">
        <is>
          <t>Open</t>
        </is>
      </c>
      <c r="S17" s="19" t="inlineStr">
        <is>
          <t>Not verified this session</t>
        </is>
      </c>
      <c r="T17" s="19" t="inlineStr">
        <is>
          <t>Not verified this session</t>
        </is>
      </c>
      <c r="U17" s="19" t="inlineStr">
        <is>
          <t>Not stated</t>
        </is>
      </c>
      <c r="V17" s="19" t="inlineStr">
        <is>
          <t>Not stated</t>
        </is>
      </c>
      <c r="W17" s="19" t="inlineStr">
        <is>
          <t>Not stated</t>
        </is>
      </c>
      <c r="X17" s="19" t="inlineStr">
        <is>
          <t>Unknown</t>
        </is>
      </c>
      <c r="Y17" s="19" t="inlineStr">
        <is>
          <t>Unknown</t>
        </is>
      </c>
      <c r="Z17" s="19" t="inlineStr">
        <is>
          <t>Not stated</t>
        </is>
      </c>
      <c r="AA17" s="19" t="inlineStr">
        <is>
          <t>Unverified</t>
        </is>
      </c>
      <c r="AB17" s="19" t="inlineStr">
        <is>
          <t>Unknown</t>
        </is>
      </c>
      <c r="AC17" s="19" t="inlineStr">
        <is>
          <t>Unknown</t>
        </is>
      </c>
      <c r="AD17" s="19" t="inlineStr">
        <is>
          <t>Yes</t>
        </is>
      </c>
      <c r="AE17" s="19" t="inlineStr">
        <is>
          <t>Unknown</t>
        </is>
      </c>
      <c r="AF17" s="19" t="inlineStr">
        <is>
          <t>Not stated</t>
        </is>
      </c>
      <c r="AG17" s="19" t="inlineStr">
        <is>
          <t>Not stated</t>
        </is>
      </c>
      <c r="AH17" s="19" t="inlineStr">
        <is>
          <t>Not stated</t>
        </is>
      </c>
      <c r="AI17" s="19" t="inlineStr">
        <is>
          <t>Not stated</t>
        </is>
      </c>
      <c r="AJ17" s="19" t="inlineStr">
        <is>
          <t>Not stated</t>
        </is>
      </c>
      <c r="AK17" s="19" t="inlineStr">
        <is>
          <t>No card required</t>
        </is>
      </c>
      <c r="AL17" s="19" t="inlineStr">
        <is>
          <t>Matching amount differs between two places on the directory page.</t>
        </is>
      </c>
      <c r="AM17" s="24" t="inlineStr">
        <is>
          <t>https://aifree.dev/offer/devin-for-startups</t>
        </is>
      </c>
      <c r="AN17" s="24" t="inlineStr">
        <is>
          <t>https://aifree.dev/startup-ai-credits</t>
        </is>
      </c>
      <c r="AO17" s="19" t="inlineStr">
        <is>
          <t>Directory listing (verified Oct 2026 per directory): $15,000 in Devin credits on approval; up to $65,000 with matching (directory short answer says $65K; table says up to $50K matching - confli</t>
        </is>
      </c>
      <c r="AP17" s="23" t="n">
        <v>46319</v>
      </c>
      <c r="AQ17" s="19" t="inlineStr">
        <is>
          <t>Medium</t>
        </is>
      </c>
      <c r="AR17" s="19" t="inlineStr">
        <is>
          <t>Directory</t>
        </is>
      </c>
      <c r="AS17" s="19" t="inlineStr">
        <is>
          <t>Global (unverified)</t>
        </is>
      </c>
      <c r="AT17" s="19" t="inlineStr">
        <is>
          <t>ai,coding-agent</t>
        </is>
      </c>
      <c r="AU17" s="19" t="inlineStr">
        <is>
          <t>Terms taken from aifree.dev directory; official program page not opened this session. Confirm on provider site before applying.</t>
        </is>
      </c>
      <c r="AV17" s="19" t="inlineStr">
        <is>
          <t>DG-DEVIN</t>
        </is>
      </c>
    </row>
    <row r="18" ht="46.25" customHeight="1" s="17">
      <c r="A18" s="19" t="inlineStr">
        <is>
          <t>SB-017</t>
        </is>
      </c>
      <c r="B18" s="19" t="inlineStr">
        <is>
          <t>Antler</t>
        </is>
      </c>
      <c r="C18" s="19" t="inlineStr">
        <is>
          <t>Antler Disrupt AI Credits and Perks</t>
        </is>
      </c>
      <c r="D18" s="19" t="inlineStr">
        <is>
          <t>Not stated</t>
        </is>
      </c>
      <c r="E18" s="19" t="inlineStr">
        <is>
          <t>Accelerators &amp; Partner Networks</t>
        </is>
      </c>
      <c r="F18" s="19" t="inlineStr">
        <is>
          <t>Accelerator AI perks bundle</t>
        </is>
      </c>
      <c r="G18" s="19" t="inlineStr">
        <is>
          <t>Startup credits (startup-specific)</t>
        </is>
      </c>
      <c r="H18" s="19" t="inlineStr">
        <is>
          <t>$650K+ of AI perks from day one (NVIDIA, OpenAI, AWS, Nebius, GCP, Azure and others) for Antler participants.</t>
        </is>
      </c>
      <c r="I18" s="22" t="n">
        <v>650000</v>
      </c>
      <c r="J18" s="19" t="inlineStr">
        <is>
          <t>USD</t>
        </is>
      </c>
      <c r="K18" s="19" t="inlineStr">
        <is>
          <t>Credits</t>
        </is>
      </c>
      <c r="L18" s="22" t="n"/>
      <c r="M18" s="22" t="n">
        <v>650000</v>
      </c>
      <c r="N18" s="19" t="n"/>
      <c r="O18" s="19" t="inlineStr">
        <is>
          <t>Not stated</t>
        </is>
      </c>
      <c r="P18" s="19" t="inlineStr">
        <is>
          <t>Not stated</t>
        </is>
      </c>
      <c r="Q18" s="23" t="n"/>
      <c r="R18" s="19" t="inlineStr">
        <is>
          <t>Open</t>
        </is>
      </c>
      <c r="S18" s="19" t="inlineStr">
        <is>
          <t>Not verified this session</t>
        </is>
      </c>
      <c r="T18" s="19" t="inlineStr">
        <is>
          <t>Not verified this session</t>
        </is>
      </c>
      <c r="U18" s="19" t="inlineStr">
        <is>
          <t>Not stated</t>
        </is>
      </c>
      <c r="V18" s="19" t="inlineStr">
        <is>
          <t>Not stated</t>
        </is>
      </c>
      <c r="W18" s="19" t="inlineStr">
        <is>
          <t>Not stated</t>
        </is>
      </c>
      <c r="X18" s="19" t="inlineStr">
        <is>
          <t>Unknown</t>
        </is>
      </c>
      <c r="Y18" s="19" t="inlineStr">
        <is>
          <t>Unknown</t>
        </is>
      </c>
      <c r="Z18" s="19" t="inlineStr">
        <is>
          <t>Not stated</t>
        </is>
      </c>
      <c r="AA18" s="19" t="inlineStr">
        <is>
          <t>Unverified</t>
        </is>
      </c>
      <c r="AB18" s="19" t="inlineStr">
        <is>
          <t>Unknown</t>
        </is>
      </c>
      <c r="AC18" s="19" t="inlineStr">
        <is>
          <t>Unknown</t>
        </is>
      </c>
      <c r="AD18" s="19" t="inlineStr">
        <is>
          <t>Yes</t>
        </is>
      </c>
      <c r="AE18" s="19" t="inlineStr">
        <is>
          <t>Yes</t>
        </is>
      </c>
      <c r="AF18" s="19" t="inlineStr">
        <is>
          <t>Not stated</t>
        </is>
      </c>
      <c r="AG18" s="19" t="inlineStr">
        <is>
          <t>Not stated</t>
        </is>
      </c>
      <c r="AH18" s="19" t="inlineStr">
        <is>
          <t>Not stated</t>
        </is>
      </c>
      <c r="AI18" s="19" t="inlineStr">
        <is>
          <t>Not stated</t>
        </is>
      </c>
      <c r="AJ18" s="19" t="inlineStr">
        <is>
          <t>Not stated</t>
        </is>
      </c>
      <c r="AK18" s="19" t="inlineStr">
        <is>
          <t>No card required</t>
        </is>
      </c>
      <c r="AL18" s="19" t="inlineStr">
        <is>
          <t>Requires participation in Antler's program.</t>
        </is>
      </c>
      <c r="AM18" s="24" t="inlineStr">
        <is>
          <t>https://aifree.dev/offer/antler-disrupt-ai-perks</t>
        </is>
      </c>
      <c r="AN18" s="24" t="inlineStr">
        <is>
          <t>https://aifree.dev/startup-ai-credits</t>
        </is>
      </c>
      <c r="AO18" s="19" t="inlineStr">
        <is>
          <t>Directory listing (verified Oct 2026 per directory): $650K+ of AI perks from day one (NVIDIA, OpenAI, AWS, Nebius, GCP, Azure and others) for Antler participants.</t>
        </is>
      </c>
      <c r="AP18" s="23" t="n">
        <v>46319</v>
      </c>
      <c r="AQ18" s="19" t="inlineStr">
        <is>
          <t>Medium</t>
        </is>
      </c>
      <c r="AR18" s="19" t="inlineStr">
        <is>
          <t>Directory</t>
        </is>
      </c>
      <c r="AS18" s="19" t="inlineStr">
        <is>
          <t>Global (unverified)</t>
        </is>
      </c>
      <c r="AT18" s="19" t="inlineStr">
        <is>
          <t>accelerator,ai-perks</t>
        </is>
      </c>
      <c r="AU18" s="19" t="inlineStr">
        <is>
          <t>Terms taken from aifree.dev directory; official program page not opened this session. Confirm on provider site before applying.</t>
        </is>
      </c>
      <c r="AV18" s="19" t="inlineStr">
        <is>
          <t>DG-ANTLER</t>
        </is>
      </c>
    </row>
    <row r="19" ht="35.05" customHeight="1" s="17">
      <c r="A19" s="19" t="inlineStr">
        <is>
          <t>SB-018</t>
        </is>
      </c>
      <c r="B19" s="19" t="inlineStr">
        <is>
          <t>Cloudflare</t>
        </is>
      </c>
      <c r="C19" s="19" t="inlineStr">
        <is>
          <t>Cloudflare for Startups</t>
        </is>
      </c>
      <c r="D19" s="19" t="inlineStr">
        <is>
          <t>Not stated</t>
        </is>
      </c>
      <c r="E19" s="19" t="inlineStr">
        <is>
          <t>Cloud &amp; Infrastructure</t>
        </is>
      </c>
      <c r="F19" s="19" t="inlineStr">
        <is>
          <t>Cloud/edge credits</t>
        </is>
      </c>
      <c r="G19" s="19" t="inlineStr">
        <is>
          <t>Startup credits (startup-specific)</t>
        </is>
      </c>
      <c r="H19" s="19" t="inlineStr">
        <is>
          <t>Up to $350,000 in credits valid one year or until fully consumed; payment method required.</t>
        </is>
      </c>
      <c r="I19" s="22" t="n">
        <v>350000</v>
      </c>
      <c r="J19" s="19" t="inlineStr">
        <is>
          <t>USD</t>
        </is>
      </c>
      <c r="K19" s="19" t="inlineStr">
        <is>
          <t>Credits</t>
        </is>
      </c>
      <c r="L19" s="22" t="n"/>
      <c r="M19" s="22" t="n">
        <v>350000</v>
      </c>
      <c r="N19" s="19" t="n"/>
      <c r="O19" s="19" t="inlineStr">
        <is>
          <t>Not stated</t>
        </is>
      </c>
      <c r="P19" s="19" t="inlineStr">
        <is>
          <t>1 year or until consumed</t>
        </is>
      </c>
      <c r="Q19" s="23" t="n"/>
      <c r="R19" s="19" t="inlineStr">
        <is>
          <t>Open</t>
        </is>
      </c>
      <c r="S19" s="24" t="inlineStr">
        <is>
          <t>https://www.cloudflare.com/forstartups/</t>
        </is>
      </c>
      <c r="T19" s="24" t="inlineStr">
        <is>
          <t>https://www.cloudflare.com/forstartups/</t>
        </is>
      </c>
      <c r="U19" s="19" t="inlineStr">
        <is>
          <t>Not stated</t>
        </is>
      </c>
      <c r="V19" s="19" t="inlineStr">
        <is>
          <t>Not stated</t>
        </is>
      </c>
      <c r="W19" s="19" t="inlineStr">
        <is>
          <t>Not stated</t>
        </is>
      </c>
      <c r="X19" s="19" t="inlineStr">
        <is>
          <t>Unknown</t>
        </is>
      </c>
      <c r="Y19" s="19" t="inlineStr">
        <is>
          <t>Unknown</t>
        </is>
      </c>
      <c r="Z19" s="19" t="inlineStr">
        <is>
          <t>Not stated</t>
        </is>
      </c>
      <c r="AA19" s="19" t="inlineStr">
        <is>
          <t>Unverified</t>
        </is>
      </c>
      <c r="AB19" s="19" t="inlineStr">
        <is>
          <t>Unknown</t>
        </is>
      </c>
      <c r="AC19" s="19" t="inlineStr">
        <is>
          <t>Unknown</t>
        </is>
      </c>
      <c r="AD19" s="19" t="inlineStr">
        <is>
          <t>No</t>
        </is>
      </c>
      <c r="AE19" s="19" t="inlineStr">
        <is>
          <t>Unknown</t>
        </is>
      </c>
      <c r="AF19" s="19" t="inlineStr">
        <is>
          <t>Not stated</t>
        </is>
      </c>
      <c r="AG19" s="19" t="inlineStr">
        <is>
          <t>Not stated</t>
        </is>
      </c>
      <c r="AH19" s="19" t="inlineStr">
        <is>
          <t>Not stated</t>
        </is>
      </c>
      <c r="AI19" s="19" t="inlineStr">
        <is>
          <t>Not stated</t>
        </is>
      </c>
      <c r="AJ19" s="19" t="inlineStr">
        <is>
          <t>Not stated</t>
        </is>
      </c>
      <c r="AK19" s="19" t="inlineStr">
        <is>
          <t>Card required</t>
        </is>
      </c>
      <c r="AL19" s="19" t="inlineStr">
        <is>
          <t>Not stated</t>
        </is>
      </c>
      <c r="AM19" s="24" t="inlineStr">
        <is>
          <t>https://aifree.dev/offer/cloudflare-for-startups</t>
        </is>
      </c>
      <c r="AN19" s="24" t="inlineStr">
        <is>
          <t>https://aifree.dev/startup-ai-credits</t>
        </is>
      </c>
      <c r="AO19" s="19" t="inlineStr">
        <is>
          <t>Directory listing (verified Oct 2026 per directory): Up to $350,000 in credits valid one year or until fully consumed; payment method required.</t>
        </is>
      </c>
      <c r="AP19" s="23" t="n">
        <v>46319</v>
      </c>
      <c r="AQ19" s="19" t="inlineStr">
        <is>
          <t>Medium</t>
        </is>
      </c>
      <c r="AR19" s="19" t="inlineStr">
        <is>
          <t>Directory</t>
        </is>
      </c>
      <c r="AS19" s="19" t="inlineStr">
        <is>
          <t>Global (unverified)</t>
        </is>
      </c>
      <c r="AT19" s="19" t="inlineStr">
        <is>
          <t>cloud,edge,workers</t>
        </is>
      </c>
      <c r="AU19" s="19" t="inlineStr">
        <is>
          <t>Seed URL from your list (cloudflare.com/forstartups) was NOT opened; amounts from directory. Confirm funding-tier rules.</t>
        </is>
      </c>
      <c r="AV19" s="19" t="inlineStr">
        <is>
          <t>DG-CF</t>
        </is>
      </c>
    </row>
    <row r="20" ht="46.25" customHeight="1" s="17">
      <c r="A20" s="19" t="inlineStr">
        <is>
          <t>SB-019</t>
        </is>
      </c>
      <c r="B20" s="19" t="inlineStr">
        <is>
          <t>Databricks</t>
        </is>
      </c>
      <c r="C20" s="19" t="inlineStr">
        <is>
          <t>Databricks for Startups</t>
        </is>
      </c>
      <c r="D20" s="19" t="inlineStr">
        <is>
          <t>Not stated</t>
        </is>
      </c>
      <c r="E20" s="19" t="inlineStr">
        <is>
          <t>Cloud &amp; Infrastructure</t>
        </is>
      </c>
      <c r="F20" s="19" t="inlineStr">
        <is>
          <t>Data/AI platform credits</t>
        </is>
      </c>
      <c r="G20" s="19" t="inlineStr">
        <is>
          <t>Startup credits (startup-specific)</t>
        </is>
      </c>
      <c r="H20" s="19" t="inlineStr">
        <is>
          <t>Up to $200,000, which is the combined maximum across Databricks and Neon credits; qualification details truncated on directory.</t>
        </is>
      </c>
      <c r="I20" s="22" t="n">
        <v>200000</v>
      </c>
      <c r="J20" s="19" t="inlineStr">
        <is>
          <t>USD</t>
        </is>
      </c>
      <c r="K20" s="19" t="inlineStr">
        <is>
          <t>Credits</t>
        </is>
      </c>
      <c r="L20" s="22" t="n"/>
      <c r="M20" s="22" t="n">
        <v>200000</v>
      </c>
      <c r="N20" s="19" t="n"/>
      <c r="O20" s="19" t="inlineStr">
        <is>
          <t>Not stated</t>
        </is>
      </c>
      <c r="P20" s="19" t="inlineStr">
        <is>
          <t>Not stated</t>
        </is>
      </c>
      <c r="Q20" s="23" t="n"/>
      <c r="R20" s="19" t="inlineStr">
        <is>
          <t>Open</t>
        </is>
      </c>
      <c r="S20" s="19" t="inlineStr">
        <is>
          <t>Not verified this session</t>
        </is>
      </c>
      <c r="T20" s="19" t="inlineStr">
        <is>
          <t>Not verified this session</t>
        </is>
      </c>
      <c r="U20" s="19" t="inlineStr">
        <is>
          <t>Not stated</t>
        </is>
      </c>
      <c r="V20" s="19" t="inlineStr">
        <is>
          <t>Not stated</t>
        </is>
      </c>
      <c r="W20" s="19" t="inlineStr">
        <is>
          <t>Not stated</t>
        </is>
      </c>
      <c r="X20" s="19" t="inlineStr">
        <is>
          <t>Unknown</t>
        </is>
      </c>
      <c r="Y20" s="19" t="inlineStr">
        <is>
          <t>Likely required for top tier (directory FAQ, unverified)</t>
        </is>
      </c>
      <c r="Z20" s="19" t="inlineStr">
        <is>
          <t>Not stated</t>
        </is>
      </c>
      <c r="AA20" s="19" t="inlineStr">
        <is>
          <t>Unverified</t>
        </is>
      </c>
      <c r="AB20" s="19" t="inlineStr">
        <is>
          <t>Unknown</t>
        </is>
      </c>
      <c r="AC20" s="19" t="inlineStr">
        <is>
          <t>Unknown</t>
        </is>
      </c>
      <c r="AD20" s="19" t="inlineStr">
        <is>
          <t>No</t>
        </is>
      </c>
      <c r="AE20" s="19" t="inlineStr">
        <is>
          <t>Unknown</t>
        </is>
      </c>
      <c r="AF20" s="19" t="inlineStr">
        <is>
          <t>Not stated</t>
        </is>
      </c>
      <c r="AG20" s="19" t="inlineStr">
        <is>
          <t>Not stated</t>
        </is>
      </c>
      <c r="AH20" s="19" t="inlineStr">
        <is>
          <t>Not stated</t>
        </is>
      </c>
      <c r="AI20" s="19" t="inlineStr">
        <is>
          <t>Not stated</t>
        </is>
      </c>
      <c r="AJ20" s="19" t="inlineStr">
        <is>
          <t>Not stated</t>
        </is>
      </c>
      <c r="AK20" s="19" t="inlineStr">
        <is>
          <t>No card required</t>
        </is>
      </c>
      <c r="AL20" s="19" t="inlineStr">
        <is>
          <t>Cap is shared with Neon program.</t>
        </is>
      </c>
      <c r="AM20" s="24" t="inlineStr">
        <is>
          <t>https://aifree.dev/offer/databricks-for-startups</t>
        </is>
      </c>
      <c r="AN20" s="24" t="inlineStr">
        <is>
          <t>https://aifree.dev/startup-ai-credits</t>
        </is>
      </c>
      <c r="AO20" s="19" t="inlineStr">
        <is>
          <t>Directory listing (verified Oct 2026 per directory): Up to $200,000, which is the combined maximum across Databricks and Neon credits; qualification details truncated on directory.</t>
        </is>
      </c>
      <c r="AP20" s="23" t="n">
        <v>46319</v>
      </c>
      <c r="AQ20" s="19" t="inlineStr">
        <is>
          <t>Medium</t>
        </is>
      </c>
      <c r="AR20" s="19" t="inlineStr">
        <is>
          <t>Directory</t>
        </is>
      </c>
      <c r="AS20" s="19" t="inlineStr">
        <is>
          <t>Global (unverified)</t>
        </is>
      </c>
      <c r="AT20" s="19" t="inlineStr">
        <is>
          <t>data,ai,credits</t>
        </is>
      </c>
      <c r="AU20" s="19" t="inlineStr">
        <is>
          <t>Terms taken from aifree.dev directory; official program page not opened this session. Confirm on provider site before applying.</t>
        </is>
      </c>
      <c r="AV20" s="19" t="inlineStr">
        <is>
          <t>DG-DBX</t>
        </is>
      </c>
    </row>
    <row r="21" ht="46.25" customHeight="1" s="17">
      <c r="A21" s="19" t="inlineStr">
        <is>
          <t>SB-020</t>
        </is>
      </c>
      <c r="B21" s="19" t="inlineStr">
        <is>
          <t>Neon (Databricks)</t>
        </is>
      </c>
      <c r="C21" s="19" t="inlineStr">
        <is>
          <t>Neon Startup Program</t>
        </is>
      </c>
      <c r="D21" s="19" t="inlineStr">
        <is>
          <t>Not stated</t>
        </is>
      </c>
      <c r="E21" s="19" t="inlineStr">
        <is>
          <t>Cloud &amp; Infrastructure</t>
        </is>
      </c>
      <c r="F21" s="19" t="inlineStr">
        <is>
          <t>Serverless Postgres credits</t>
        </is>
      </c>
      <c r="G21" s="19" t="inlineStr">
        <is>
          <t>Startup credits (startup-specific)</t>
        </is>
      </c>
      <c r="H21" s="19" t="inlineStr">
        <is>
          <t>Credits valid 12 months from acceptance; self-funded tier up to $1,000; larger amounts share the $200K Databricks-Neon cap.</t>
        </is>
      </c>
      <c r="I21" s="22" t="n"/>
      <c r="J21" s="19" t="inlineStr">
        <is>
          <t>USD</t>
        </is>
      </c>
      <c r="K21" s="19" t="inlineStr">
        <is>
          <t>Credits</t>
        </is>
      </c>
      <c r="L21" s="22" t="n"/>
      <c r="M21" s="22" t="n"/>
      <c r="N21" s="19" t="n"/>
      <c r="O21" s="19" t="inlineStr">
        <is>
          <t>Not stated</t>
        </is>
      </c>
      <c r="P21" s="19" t="inlineStr">
        <is>
          <t>12 months from acceptance</t>
        </is>
      </c>
      <c r="Q21" s="23" t="n"/>
      <c r="R21" s="19" t="inlineStr">
        <is>
          <t>Open</t>
        </is>
      </c>
      <c r="S21" s="19" t="inlineStr">
        <is>
          <t>Not verified this session</t>
        </is>
      </c>
      <c r="T21" s="19" t="inlineStr">
        <is>
          <t>Not verified this session</t>
        </is>
      </c>
      <c r="U21" s="19" t="inlineStr">
        <is>
          <t>Not stated</t>
        </is>
      </c>
      <c r="V21" s="19" t="inlineStr">
        <is>
          <t>Not stated</t>
        </is>
      </c>
      <c r="W21" s="19" t="inlineStr">
        <is>
          <t>Not stated</t>
        </is>
      </c>
      <c r="X21" s="19" t="inlineStr">
        <is>
          <t>Unknown</t>
        </is>
      </c>
      <c r="Y21" s="19" t="inlineStr">
        <is>
          <t>Unknown</t>
        </is>
      </c>
      <c r="Z21" s="19" t="inlineStr">
        <is>
          <t>Not stated</t>
        </is>
      </c>
      <c r="AA21" s="19" t="inlineStr">
        <is>
          <t>Unverified</t>
        </is>
      </c>
      <c r="AB21" s="19" t="inlineStr">
        <is>
          <t>Yes (self-funded tier)</t>
        </is>
      </c>
      <c r="AC21" s="19" t="inlineStr">
        <is>
          <t>Unknown</t>
        </is>
      </c>
      <c r="AD21" s="19" t="inlineStr">
        <is>
          <t>No</t>
        </is>
      </c>
      <c r="AE21" s="19" t="inlineStr">
        <is>
          <t>Unknown</t>
        </is>
      </c>
      <c r="AF21" s="19" t="inlineStr">
        <is>
          <t>Not stated</t>
        </is>
      </c>
      <c r="AG21" s="19" t="inlineStr">
        <is>
          <t>Not stated</t>
        </is>
      </c>
      <c r="AH21" s="19" t="inlineStr">
        <is>
          <t>Not stated</t>
        </is>
      </c>
      <c r="AI21" s="19" t="inlineStr">
        <is>
          <t>Not stated</t>
        </is>
      </c>
      <c r="AJ21" s="19" t="inlineStr">
        <is>
          <t>Not stated</t>
        </is>
      </c>
      <c r="AK21" s="19" t="inlineStr">
        <is>
          <t>No card required</t>
        </is>
      </c>
      <c r="AL21" s="19" t="inlineStr">
        <is>
          <t>Max value left blank to avoid double-counting the shared $200K cap with Databricks.</t>
        </is>
      </c>
      <c r="AM21" s="24" t="inlineStr">
        <is>
          <t>https://aifree.dev/offer/neon-startup-program</t>
        </is>
      </c>
      <c r="AN21" s="24" t="inlineStr">
        <is>
          <t>https://aifree.dev/startup-ai-credits</t>
        </is>
      </c>
      <c r="AO21" s="19" t="inlineStr">
        <is>
          <t>Directory listing (verified Oct 2026 per directory): Credits valid 12 months from acceptance; self-funded tier up to $1,000; larger amounts share the $200K Databricks-Neon cap.</t>
        </is>
      </c>
      <c r="AP21" s="23" t="n">
        <v>46319</v>
      </c>
      <c r="AQ21" s="19" t="inlineStr">
        <is>
          <t>Medium</t>
        </is>
      </c>
      <c r="AR21" s="19" t="inlineStr">
        <is>
          <t>Directory</t>
        </is>
      </c>
      <c r="AS21" s="19" t="inlineStr">
        <is>
          <t>Global (unverified)</t>
        </is>
      </c>
      <c r="AT21" s="19" t="inlineStr">
        <is>
          <t>database,postgres,self-funded</t>
        </is>
      </c>
      <c r="AU21" s="19" t="inlineStr">
        <is>
          <t>Terms taken from aifree.dev directory; official program page not opened this session. Confirm on provider site before applying.</t>
        </is>
      </c>
      <c r="AV21" s="19" t="inlineStr">
        <is>
          <t>DG-NEON</t>
        </is>
      </c>
    </row>
    <row r="22" ht="35.05" customHeight="1" s="17">
      <c r="A22" s="19" t="inlineStr">
        <is>
          <t>SB-021</t>
        </is>
      </c>
      <c r="B22" s="19" t="inlineStr">
        <is>
          <t>Datadog</t>
        </is>
      </c>
      <c r="C22" s="19" t="inlineStr">
        <is>
          <t>Datadog for Startups</t>
        </is>
      </c>
      <c r="D22" s="19" t="inlineStr">
        <is>
          <t>Not stated</t>
        </is>
      </c>
      <c r="E22" s="19" t="inlineStr">
        <is>
          <t>Cloud &amp; Infrastructure</t>
        </is>
      </c>
      <c r="F22" s="19" t="inlineStr">
        <is>
          <t>Observability credits</t>
        </is>
      </c>
      <c r="G22" s="19" t="inlineStr">
        <is>
          <t>Startup credits (startup-specific)</t>
        </is>
      </c>
      <c r="H22" s="19" t="inlineStr">
        <is>
          <t>Up to $100,000; referral by a Datadog partner is required, no direct applications.</t>
        </is>
      </c>
      <c r="I22" s="22" t="n">
        <v>100000</v>
      </c>
      <c r="J22" s="19" t="inlineStr">
        <is>
          <t>USD</t>
        </is>
      </c>
      <c r="K22" s="19" t="inlineStr">
        <is>
          <t>Credits</t>
        </is>
      </c>
      <c r="L22" s="22" t="n"/>
      <c r="M22" s="22" t="n">
        <v>100000</v>
      </c>
      <c r="N22" s="19" t="n"/>
      <c r="O22" s="19" t="inlineStr">
        <is>
          <t>Not stated</t>
        </is>
      </c>
      <c r="P22" s="19" t="inlineStr">
        <is>
          <t>Not stated</t>
        </is>
      </c>
      <c r="Q22" s="23" t="n"/>
      <c r="R22" s="19" t="inlineStr">
        <is>
          <t>Open</t>
        </is>
      </c>
      <c r="S22" s="19" t="inlineStr">
        <is>
          <t>Not verified this session</t>
        </is>
      </c>
      <c r="T22" s="19" t="inlineStr">
        <is>
          <t>Not verified this session</t>
        </is>
      </c>
      <c r="U22" s="19" t="inlineStr">
        <is>
          <t>Not stated</t>
        </is>
      </c>
      <c r="V22" s="19" t="inlineStr">
        <is>
          <t>Not stated</t>
        </is>
      </c>
      <c r="W22" s="19" t="inlineStr">
        <is>
          <t>Not stated</t>
        </is>
      </c>
      <c r="X22" s="19" t="inlineStr">
        <is>
          <t>Unknown</t>
        </is>
      </c>
      <c r="Y22" s="19" t="inlineStr">
        <is>
          <t>Unknown</t>
        </is>
      </c>
      <c r="Z22" s="19" t="inlineStr">
        <is>
          <t>Not stated</t>
        </is>
      </c>
      <c r="AA22" s="19" t="inlineStr">
        <is>
          <t>Unverified</t>
        </is>
      </c>
      <c r="AB22" s="19" t="inlineStr">
        <is>
          <t>Unknown</t>
        </is>
      </c>
      <c r="AC22" s="19" t="inlineStr">
        <is>
          <t>Unknown</t>
        </is>
      </c>
      <c r="AD22" s="19" t="inlineStr">
        <is>
          <t>No</t>
        </is>
      </c>
      <c r="AE22" s="19" t="inlineStr">
        <is>
          <t>Yes</t>
        </is>
      </c>
      <c r="AF22" s="19" t="inlineStr">
        <is>
          <t>Not stated</t>
        </is>
      </c>
      <c r="AG22" s="19" t="inlineStr">
        <is>
          <t>Not stated</t>
        </is>
      </c>
      <c r="AH22" s="19" t="inlineStr">
        <is>
          <t>Not stated</t>
        </is>
      </c>
      <c r="AI22" s="19" t="inlineStr">
        <is>
          <t>Not stated</t>
        </is>
      </c>
      <c r="AJ22" s="19" t="inlineStr">
        <is>
          <t>Not stated</t>
        </is>
      </c>
      <c r="AK22" s="19" t="inlineStr">
        <is>
          <t>No card required</t>
        </is>
      </c>
      <c r="AL22" s="19" t="inlineStr">
        <is>
          <t>No direct applications; partner referral only.</t>
        </is>
      </c>
      <c r="AM22" s="24" t="inlineStr">
        <is>
          <t>https://aifree.dev/offer/datadog-for-startups</t>
        </is>
      </c>
      <c r="AN22" s="24" t="inlineStr">
        <is>
          <t>https://aifree.dev/startup-ai-credits</t>
        </is>
      </c>
      <c r="AO22" s="19" t="inlineStr">
        <is>
          <t>Directory listing (verified Oct 2026 per directory): Up to $100,000; referral by a Datadog partner is required, no direct applications.</t>
        </is>
      </c>
      <c r="AP22" s="23" t="n">
        <v>46319</v>
      </c>
      <c r="AQ22" s="19" t="inlineStr">
        <is>
          <t>Medium</t>
        </is>
      </c>
      <c r="AR22" s="19" t="inlineStr">
        <is>
          <t>Directory</t>
        </is>
      </c>
      <c r="AS22" s="19" t="inlineStr">
        <is>
          <t>Global (unverified)</t>
        </is>
      </c>
      <c r="AT22" s="19" t="inlineStr">
        <is>
          <t>observability</t>
        </is>
      </c>
      <c r="AU22" s="19" t="inlineStr">
        <is>
          <t>Terms taken from aifree.dev directory; official program page not opened this session. Confirm on provider site before applying.</t>
        </is>
      </c>
      <c r="AV22" s="19" t="inlineStr">
        <is>
          <t>DG-DDOG</t>
        </is>
      </c>
    </row>
    <row r="23" ht="35.05" customHeight="1" s="17">
      <c r="A23" s="19" t="inlineStr">
        <is>
          <t>SB-022</t>
        </is>
      </c>
      <c r="B23" s="19" t="inlineStr">
        <is>
          <t>Grafana Labs</t>
        </is>
      </c>
      <c r="C23" s="19" t="inlineStr">
        <is>
          <t>Grafana for Startups</t>
        </is>
      </c>
      <c r="D23" s="19" t="inlineStr">
        <is>
          <t>Not stated</t>
        </is>
      </c>
      <c r="E23" s="19" t="inlineStr">
        <is>
          <t>Cloud &amp; Infrastructure</t>
        </is>
      </c>
      <c r="F23" s="19" t="inlineStr">
        <is>
          <t>Observability credits</t>
        </is>
      </c>
      <c r="G23" s="19" t="inlineStr">
        <is>
          <t>Startup credits (startup-specific)</t>
        </is>
      </c>
      <c r="H23" s="19" t="inlineStr">
        <is>
          <t>Up to $100,000 in Grafana Cloud credits valid 12 months or until the next funding round.</t>
        </is>
      </c>
      <c r="I23" s="22" t="n">
        <v>100000</v>
      </c>
      <c r="J23" s="19" t="inlineStr">
        <is>
          <t>USD</t>
        </is>
      </c>
      <c r="K23" s="19" t="inlineStr">
        <is>
          <t>Credits</t>
        </is>
      </c>
      <c r="L23" s="22" t="n"/>
      <c r="M23" s="22" t="n">
        <v>100000</v>
      </c>
      <c r="N23" s="19" t="n"/>
      <c r="O23" s="19" t="inlineStr">
        <is>
          <t>Not stated</t>
        </is>
      </c>
      <c r="P23" s="19" t="inlineStr">
        <is>
          <t>12 months</t>
        </is>
      </c>
      <c r="Q23" s="23" t="n"/>
      <c r="R23" s="19" t="inlineStr">
        <is>
          <t>Open</t>
        </is>
      </c>
      <c r="S23" s="19" t="inlineStr">
        <is>
          <t>Not verified this session</t>
        </is>
      </c>
      <c r="T23" s="19" t="inlineStr">
        <is>
          <t>Not verified this session</t>
        </is>
      </c>
      <c r="U23" s="19" t="inlineStr">
        <is>
          <t>Not stated</t>
        </is>
      </c>
      <c r="V23" s="19" t="inlineStr">
        <is>
          <t>Not stated</t>
        </is>
      </c>
      <c r="W23" s="19" t="inlineStr">
        <is>
          <t>Not stated</t>
        </is>
      </c>
      <c r="X23" s="19" t="inlineStr">
        <is>
          <t>Unknown</t>
        </is>
      </c>
      <c r="Y23" s="19" t="inlineStr">
        <is>
          <t>Unknown</t>
        </is>
      </c>
      <c r="Z23" s="19" t="inlineStr">
        <is>
          <t>Not stated</t>
        </is>
      </c>
      <c r="AA23" s="19" t="inlineStr">
        <is>
          <t>Unverified</t>
        </is>
      </c>
      <c r="AB23" s="19" t="inlineStr">
        <is>
          <t>Unknown</t>
        </is>
      </c>
      <c r="AC23" s="19" t="inlineStr">
        <is>
          <t>Unknown</t>
        </is>
      </c>
      <c r="AD23" s="19" t="inlineStr">
        <is>
          <t>No</t>
        </is>
      </c>
      <c r="AE23" s="19" t="inlineStr">
        <is>
          <t>Unknown</t>
        </is>
      </c>
      <c r="AF23" s="19" t="inlineStr">
        <is>
          <t>Not stated</t>
        </is>
      </c>
      <c r="AG23" s="19" t="inlineStr">
        <is>
          <t>Not stated</t>
        </is>
      </c>
      <c r="AH23" s="19" t="inlineStr">
        <is>
          <t>Not stated</t>
        </is>
      </c>
      <c r="AI23" s="19" t="inlineStr">
        <is>
          <t>Not stated</t>
        </is>
      </c>
      <c r="AJ23" s="19" t="inlineStr">
        <is>
          <t>Not stated</t>
        </is>
      </c>
      <c r="AK23" s="19" t="inlineStr">
        <is>
          <t>No card required</t>
        </is>
      </c>
      <c r="AL23" s="19" t="inlineStr">
        <is>
          <t>Not stated</t>
        </is>
      </c>
      <c r="AM23" s="24" t="inlineStr">
        <is>
          <t>https://aifree.dev/offer/grafana-for-startups</t>
        </is>
      </c>
      <c r="AN23" s="24" t="inlineStr">
        <is>
          <t>https://aifree.dev/startup-ai-credits</t>
        </is>
      </c>
      <c r="AO23" s="19" t="inlineStr">
        <is>
          <t>Directory listing (verified Oct 2026 per directory): Up to $100,000 in Grafana Cloud credits valid 12 months or until the next funding round.</t>
        </is>
      </c>
      <c r="AP23" s="23" t="n">
        <v>46319</v>
      </c>
      <c r="AQ23" s="19" t="inlineStr">
        <is>
          <t>Medium</t>
        </is>
      </c>
      <c r="AR23" s="19" t="inlineStr">
        <is>
          <t>Directory</t>
        </is>
      </c>
      <c r="AS23" s="19" t="inlineStr">
        <is>
          <t>Global (unverified)</t>
        </is>
      </c>
      <c r="AT23" s="19" t="inlineStr">
        <is>
          <t>observability</t>
        </is>
      </c>
      <c r="AU23" s="19" t="inlineStr">
        <is>
          <t>Terms taken from aifree.dev directory; official program page not opened this session. Confirm on provider site before applying.</t>
        </is>
      </c>
      <c r="AV23" s="19" t="inlineStr">
        <is>
          <t>DG-GRAF</t>
        </is>
      </c>
    </row>
    <row r="24" ht="35.05" customHeight="1" s="17">
      <c r="A24" s="19" t="inlineStr">
        <is>
          <t>SB-023</t>
        </is>
      </c>
      <c r="B24" s="19" t="inlineStr">
        <is>
          <t>Render</t>
        </is>
      </c>
      <c r="C24" s="19" t="inlineStr">
        <is>
          <t>Render Startup Program</t>
        </is>
      </c>
      <c r="D24" s="19" t="inlineStr">
        <is>
          <t>Not stated</t>
        </is>
      </c>
      <c r="E24" s="19" t="inlineStr">
        <is>
          <t>Cloud &amp; Infrastructure</t>
        </is>
      </c>
      <c r="F24" s="19" t="inlineStr">
        <is>
          <t>Hosting credits</t>
        </is>
      </c>
      <c r="G24" s="19" t="inlineStr">
        <is>
          <t>Startup credits (startup-specific)</t>
        </is>
      </c>
      <c r="H24" s="19" t="inlineStr">
        <is>
          <t>Up to $100,000 across Build, Scale and AI tiers; the $500 direct tier needs $25,000+ in outside funding.</t>
        </is>
      </c>
      <c r="I24" s="22" t="n">
        <v>100000</v>
      </c>
      <c r="J24" s="19" t="inlineStr">
        <is>
          <t>USD</t>
        </is>
      </c>
      <c r="K24" s="19" t="inlineStr">
        <is>
          <t>Credits</t>
        </is>
      </c>
      <c r="L24" s="22" t="n"/>
      <c r="M24" s="22" t="n">
        <v>100000</v>
      </c>
      <c r="N24" s="19" t="n"/>
      <c r="O24" s="19" t="inlineStr">
        <is>
          <t>Not stated</t>
        </is>
      </c>
      <c r="P24" s="19" t="inlineStr">
        <is>
          <t>Not stated</t>
        </is>
      </c>
      <c r="Q24" s="23" t="n"/>
      <c r="R24" s="19" t="inlineStr">
        <is>
          <t>Open</t>
        </is>
      </c>
      <c r="S24" s="19" t="inlineStr">
        <is>
          <t>Not verified this session</t>
        </is>
      </c>
      <c r="T24" s="19" t="inlineStr">
        <is>
          <t>Not verified this session</t>
        </is>
      </c>
      <c r="U24" s="19" t="inlineStr">
        <is>
          <t>Not stated</t>
        </is>
      </c>
      <c r="V24" s="19" t="inlineStr">
        <is>
          <t>Not stated</t>
        </is>
      </c>
      <c r="W24" s="19" t="inlineStr">
        <is>
          <t>Not stated</t>
        </is>
      </c>
      <c r="X24" s="19" t="inlineStr">
        <is>
          <t>Unknown</t>
        </is>
      </c>
      <c r="Y24" s="19" t="inlineStr">
        <is>
          <t>Yes (direct tier needs $25K+ outside funding)</t>
        </is>
      </c>
      <c r="Z24" s="19" t="inlineStr">
        <is>
          <t>Not stated</t>
        </is>
      </c>
      <c r="AA24" s="19" t="inlineStr">
        <is>
          <t>Unverified</t>
        </is>
      </c>
      <c r="AB24" s="19" t="inlineStr">
        <is>
          <t>Unknown</t>
        </is>
      </c>
      <c r="AC24" s="19" t="inlineStr">
        <is>
          <t>Unknown</t>
        </is>
      </c>
      <c r="AD24" s="19" t="inlineStr">
        <is>
          <t>No</t>
        </is>
      </c>
      <c r="AE24" s="19" t="inlineStr">
        <is>
          <t>Unknown</t>
        </is>
      </c>
      <c r="AF24" s="19" t="inlineStr">
        <is>
          <t>Not stated</t>
        </is>
      </c>
      <c r="AG24" s="19" t="inlineStr">
        <is>
          <t>Not stated</t>
        </is>
      </c>
      <c r="AH24" s="19" t="inlineStr">
        <is>
          <t>Not stated</t>
        </is>
      </c>
      <c r="AI24" s="19" t="inlineStr">
        <is>
          <t>Not stated</t>
        </is>
      </c>
      <c r="AJ24" s="19" t="inlineStr">
        <is>
          <t>Not stated</t>
        </is>
      </c>
      <c r="AK24" s="19" t="inlineStr">
        <is>
          <t>No card required</t>
        </is>
      </c>
      <c r="AL24" s="19" t="inlineStr">
        <is>
          <t>Not stated</t>
        </is>
      </c>
      <c r="AM24" s="24" t="inlineStr">
        <is>
          <t>https://aifree.dev/offer/render-startup-program</t>
        </is>
      </c>
      <c r="AN24" s="24" t="inlineStr">
        <is>
          <t>https://aifree.dev/startup-ai-credits</t>
        </is>
      </c>
      <c r="AO24" s="19" t="inlineStr">
        <is>
          <t>Directory listing (verified Oct 2026 per directory): Up to $100,000 across Build, Scale and AI tiers; the $500 direct tier needs $25,000+ in outside funding.</t>
        </is>
      </c>
      <c r="AP24" s="23" t="n">
        <v>46319</v>
      </c>
      <c r="AQ24" s="19" t="inlineStr">
        <is>
          <t>Medium</t>
        </is>
      </c>
      <c r="AR24" s="19" t="inlineStr">
        <is>
          <t>Directory</t>
        </is>
      </c>
      <c r="AS24" s="19" t="inlineStr">
        <is>
          <t>Global (unverified)</t>
        </is>
      </c>
      <c r="AT24" s="19" t="inlineStr">
        <is>
          <t>hosting,paas</t>
        </is>
      </c>
      <c r="AU24" s="19" t="inlineStr">
        <is>
          <t>Terms taken from aifree.dev directory; official program page not opened this session. Confirm on provider site before applying.</t>
        </is>
      </c>
      <c r="AV24" s="19" t="inlineStr">
        <is>
          <t>DG-RENDER</t>
        </is>
      </c>
    </row>
    <row r="25" ht="35.05" customHeight="1" s="17">
      <c r="A25" s="19" t="inlineStr">
        <is>
          <t>SB-024</t>
        </is>
      </c>
      <c r="B25" s="19" t="inlineStr">
        <is>
          <t>PostHog</t>
        </is>
      </c>
      <c r="C25" s="19" t="inlineStr">
        <is>
          <t>PostHog Startup Program</t>
        </is>
      </c>
      <c r="D25" s="19" t="inlineStr">
        <is>
          <t>Not stated</t>
        </is>
      </c>
      <c r="E25" s="19" t="inlineStr">
        <is>
          <t>SaaS &amp; Marketing</t>
        </is>
      </c>
      <c r="F25" s="19" t="inlineStr">
        <is>
          <t>Product analytics credits</t>
        </is>
      </c>
      <c r="G25" s="19" t="inlineStr">
        <is>
          <t>Startup credits (startup-specific)</t>
        </is>
      </c>
      <c r="H25" s="19" t="inlineStr">
        <is>
          <t>$50,000 in credits valid 12 months for startups under $5M funding and fewer than 2 years old.</t>
        </is>
      </c>
      <c r="I25" s="22" t="n">
        <v>50000</v>
      </c>
      <c r="J25" s="19" t="inlineStr">
        <is>
          <t>USD</t>
        </is>
      </c>
      <c r="K25" s="19" t="inlineStr">
        <is>
          <t>Credits</t>
        </is>
      </c>
      <c r="L25" s="22" t="n"/>
      <c r="M25" s="22" t="n">
        <v>50000</v>
      </c>
      <c r="N25" s="19" t="n"/>
      <c r="O25" s="19" t="inlineStr">
        <is>
          <t>Not stated</t>
        </is>
      </c>
      <c r="P25" s="19" t="inlineStr">
        <is>
          <t>12 months</t>
        </is>
      </c>
      <c r="Q25" s="23" t="n"/>
      <c r="R25" s="19" t="inlineStr">
        <is>
          <t>Open</t>
        </is>
      </c>
      <c r="S25" s="19" t="inlineStr">
        <is>
          <t>Not verified this session</t>
        </is>
      </c>
      <c r="T25" s="19" t="inlineStr">
        <is>
          <t>Not verified this session</t>
        </is>
      </c>
      <c r="U25" s="19" t="inlineStr">
        <is>
          <t>Not stated</t>
        </is>
      </c>
      <c r="V25" s="19" t="inlineStr">
        <is>
          <t>Not stated</t>
        </is>
      </c>
      <c r="W25" s="19" t="inlineStr">
        <is>
          <t>Under $5M funding, under 2 years old</t>
        </is>
      </c>
      <c r="X25" s="19" t="inlineStr">
        <is>
          <t>Unknown</t>
        </is>
      </c>
      <c r="Y25" s="19" t="inlineStr">
        <is>
          <t>Unknown</t>
        </is>
      </c>
      <c r="Z25" s="19" t="inlineStr">
        <is>
          <t>Not stated</t>
        </is>
      </c>
      <c r="AA25" s="19" t="inlineStr">
        <is>
          <t>Unverified</t>
        </is>
      </c>
      <c r="AB25" s="19" t="inlineStr">
        <is>
          <t>Unknown</t>
        </is>
      </c>
      <c r="AC25" s="19" t="inlineStr">
        <is>
          <t>Unknown</t>
        </is>
      </c>
      <c r="AD25" s="19" t="inlineStr">
        <is>
          <t>No</t>
        </is>
      </c>
      <c r="AE25" s="19" t="inlineStr">
        <is>
          <t>Unknown</t>
        </is>
      </c>
      <c r="AF25" s="19" t="inlineStr">
        <is>
          <t>Not stated</t>
        </is>
      </c>
      <c r="AG25" s="19" t="inlineStr">
        <is>
          <t>Not stated</t>
        </is>
      </c>
      <c r="AH25" s="19" t="inlineStr">
        <is>
          <t>Not stated</t>
        </is>
      </c>
      <c r="AI25" s="19" t="inlineStr">
        <is>
          <t>Not stated</t>
        </is>
      </c>
      <c r="AJ25" s="19" t="inlineStr">
        <is>
          <t>Not stated</t>
        </is>
      </c>
      <c r="AK25" s="19" t="inlineStr">
        <is>
          <t>Card required</t>
        </is>
      </c>
      <c r="AL25" s="19" t="inlineStr">
        <is>
          <t>Not stated</t>
        </is>
      </c>
      <c r="AM25" s="24" t="inlineStr">
        <is>
          <t>https://aifree.dev/offer/posthog-startup-program</t>
        </is>
      </c>
      <c r="AN25" s="24" t="inlineStr">
        <is>
          <t>https://aifree.dev/startup-ai-credits</t>
        </is>
      </c>
      <c r="AO25" s="19" t="inlineStr">
        <is>
          <t>Directory listing (verified Oct 2026 per directory): $50,000 in credits valid 12 months for startups under $5M funding and fewer than 2 years old.</t>
        </is>
      </c>
      <c r="AP25" s="23" t="n">
        <v>46319</v>
      </c>
      <c r="AQ25" s="19" t="inlineStr">
        <is>
          <t>Medium</t>
        </is>
      </c>
      <c r="AR25" s="19" t="inlineStr">
        <is>
          <t>Directory</t>
        </is>
      </c>
      <c r="AS25" s="19" t="inlineStr">
        <is>
          <t>Global (unverified)</t>
        </is>
      </c>
      <c r="AT25" s="19" t="inlineStr">
        <is>
          <t>analytics</t>
        </is>
      </c>
      <c r="AU25" s="19" t="inlineStr">
        <is>
          <t>Terms taken from aifree.dev directory; official program page not opened this session. Confirm on provider site before applying.</t>
        </is>
      </c>
      <c r="AV25" s="19" t="inlineStr">
        <is>
          <t>DG-PH</t>
        </is>
      </c>
    </row>
    <row r="26" ht="35.05" customHeight="1" s="17">
      <c r="A26" s="19" t="inlineStr">
        <is>
          <t>SB-025</t>
        </is>
      </c>
      <c r="B26" s="19" t="inlineStr">
        <is>
          <t>Vercel</t>
        </is>
      </c>
      <c r="C26" s="19" t="inlineStr">
        <is>
          <t>Vercel for Startups</t>
        </is>
      </c>
      <c r="D26" s="19" t="inlineStr">
        <is>
          <t>Not stated</t>
        </is>
      </c>
      <c r="E26" s="19" t="inlineStr">
        <is>
          <t>Cloud &amp; Infrastructure</t>
        </is>
      </c>
      <c r="F26" s="19" t="inlineStr">
        <is>
          <t>Hosting/deployment credits</t>
        </is>
      </c>
      <c r="G26" s="19" t="inlineStr">
        <is>
          <t>Startup credits (startup-specific)</t>
        </is>
      </c>
      <c r="H26" s="19" t="inlineStr">
        <is>
          <t>Up to $30,000 in Flexible Commitment Amount plus enterprise-tier access.</t>
        </is>
      </c>
      <c r="I26" s="22" t="n">
        <v>30000</v>
      </c>
      <c r="J26" s="19" t="inlineStr">
        <is>
          <t>USD</t>
        </is>
      </c>
      <c r="K26" s="19" t="inlineStr">
        <is>
          <t>Credits</t>
        </is>
      </c>
      <c r="L26" s="22" t="n"/>
      <c r="M26" s="22" t="n">
        <v>30000</v>
      </c>
      <c r="N26" s="19" t="n"/>
      <c r="O26" s="19" t="inlineStr">
        <is>
          <t>Not stated</t>
        </is>
      </c>
      <c r="P26" s="19" t="inlineStr">
        <is>
          <t>Not stated</t>
        </is>
      </c>
      <c r="Q26" s="23" t="n"/>
      <c r="R26" s="19" t="inlineStr">
        <is>
          <t>Open</t>
        </is>
      </c>
      <c r="S26" s="19" t="inlineStr">
        <is>
          <t>Not verified this session</t>
        </is>
      </c>
      <c r="T26" s="19" t="inlineStr">
        <is>
          <t>Not verified this session</t>
        </is>
      </c>
      <c r="U26" s="19" t="inlineStr">
        <is>
          <t>Not stated</t>
        </is>
      </c>
      <c r="V26" s="19" t="inlineStr">
        <is>
          <t>Not stated</t>
        </is>
      </c>
      <c r="W26" s="19" t="inlineStr">
        <is>
          <t>Not stated</t>
        </is>
      </c>
      <c r="X26" s="19" t="inlineStr">
        <is>
          <t>Unknown</t>
        </is>
      </c>
      <c r="Y26" s="19" t="inlineStr">
        <is>
          <t>Unknown</t>
        </is>
      </c>
      <c r="Z26" s="19" t="inlineStr">
        <is>
          <t>Not stated</t>
        </is>
      </c>
      <c r="AA26" s="19" t="inlineStr">
        <is>
          <t>Unverified</t>
        </is>
      </c>
      <c r="AB26" s="19" t="inlineStr">
        <is>
          <t>Unknown</t>
        </is>
      </c>
      <c r="AC26" s="19" t="inlineStr">
        <is>
          <t>Unknown</t>
        </is>
      </c>
      <c r="AD26" s="19" t="inlineStr">
        <is>
          <t>No</t>
        </is>
      </c>
      <c r="AE26" s="19" t="inlineStr">
        <is>
          <t>Unknown</t>
        </is>
      </c>
      <c r="AF26" s="19" t="inlineStr">
        <is>
          <t>Not stated</t>
        </is>
      </c>
      <c r="AG26" s="19" t="inlineStr">
        <is>
          <t>Not stated</t>
        </is>
      </c>
      <c r="AH26" s="19" t="inlineStr">
        <is>
          <t>Not stated</t>
        </is>
      </c>
      <c r="AI26" s="19" t="inlineStr">
        <is>
          <t>Not stated</t>
        </is>
      </c>
      <c r="AJ26" s="19" t="inlineStr">
        <is>
          <t>Not stated</t>
        </is>
      </c>
      <c r="AK26" s="19" t="inlineStr">
        <is>
          <t>No card required</t>
        </is>
      </c>
      <c r="AL26" s="19" t="inlineStr">
        <is>
          <t>Not stated</t>
        </is>
      </c>
      <c r="AM26" s="24" t="inlineStr">
        <is>
          <t>https://aifree.dev/offer/vercel-startups</t>
        </is>
      </c>
      <c r="AN26" s="24" t="inlineStr">
        <is>
          <t>https://aifree.dev/startup-ai-credits</t>
        </is>
      </c>
      <c r="AO26" s="19" t="inlineStr">
        <is>
          <t>Directory listing (verified Oct 2026 per directory): Up to $30,000 in Flexible Commitment Amount plus enterprise-tier access.</t>
        </is>
      </c>
      <c r="AP26" s="23" t="n">
        <v>46319</v>
      </c>
      <c r="AQ26" s="19" t="inlineStr">
        <is>
          <t>Medium</t>
        </is>
      </c>
      <c r="AR26" s="19" t="inlineStr">
        <is>
          <t>Directory</t>
        </is>
      </c>
      <c r="AS26" s="19" t="inlineStr">
        <is>
          <t>Global (unverified)</t>
        </is>
      </c>
      <c r="AT26" s="19" t="inlineStr">
        <is>
          <t>hosting,frontend</t>
        </is>
      </c>
      <c r="AU26" s="19" t="inlineStr">
        <is>
          <t>Terms taken from aifree.dev directory; official program page not opened this session. Confirm on provider site before applying.</t>
        </is>
      </c>
      <c r="AV26" s="19" t="inlineStr">
        <is>
          <t>DG-VERCEL</t>
        </is>
      </c>
    </row>
    <row r="27" ht="35.05" customHeight="1" s="17">
      <c r="A27" s="19" t="inlineStr">
        <is>
          <t>SB-026</t>
        </is>
      </c>
      <c r="B27" s="19" t="inlineStr">
        <is>
          <t>Baseten</t>
        </is>
      </c>
      <c r="C27" s="19" t="inlineStr">
        <is>
          <t>Baseten AI Startup Program</t>
        </is>
      </c>
      <c r="D27" s="19" t="inlineStr">
        <is>
          <t>Not stated</t>
        </is>
      </c>
      <c r="E27" s="19" t="inlineStr">
        <is>
          <t>AI &amp; LLM Credits</t>
        </is>
      </c>
      <c r="F27" s="19" t="inlineStr">
        <is>
          <t>Model inference/training credits</t>
        </is>
      </c>
      <c r="G27" s="19" t="inlineStr">
        <is>
          <t>Startup credits (startup-specific)</t>
        </is>
      </c>
      <c r="H27" s="19" t="inlineStr">
        <is>
          <t>Up to $25,000 for dedicated deployments or training and up to $2,500 for Model APIs.</t>
        </is>
      </c>
      <c r="I27" s="22" t="n">
        <v>25000</v>
      </c>
      <c r="J27" s="19" t="inlineStr">
        <is>
          <t>USD</t>
        </is>
      </c>
      <c r="K27" s="19" t="inlineStr">
        <is>
          <t>Credits</t>
        </is>
      </c>
      <c r="L27" s="22" t="n"/>
      <c r="M27" s="22" t="n">
        <v>25000</v>
      </c>
      <c r="N27" s="19" t="n"/>
      <c r="O27" s="19" t="inlineStr">
        <is>
          <t>Not stated</t>
        </is>
      </c>
      <c r="P27" s="19" t="inlineStr">
        <is>
          <t>Not stated</t>
        </is>
      </c>
      <c r="Q27" s="23" t="n"/>
      <c r="R27" s="19" t="inlineStr">
        <is>
          <t>Open</t>
        </is>
      </c>
      <c r="S27" s="19" t="inlineStr">
        <is>
          <t>Not verified this session</t>
        </is>
      </c>
      <c r="T27" s="19" t="inlineStr">
        <is>
          <t>Not verified this session</t>
        </is>
      </c>
      <c r="U27" s="19" t="inlineStr">
        <is>
          <t>Not stated</t>
        </is>
      </c>
      <c r="V27" s="19" t="inlineStr">
        <is>
          <t>Not stated</t>
        </is>
      </c>
      <c r="W27" s="19" t="inlineStr">
        <is>
          <t>Not stated</t>
        </is>
      </c>
      <c r="X27" s="19" t="inlineStr">
        <is>
          <t>Unknown</t>
        </is>
      </c>
      <c r="Y27" s="19" t="inlineStr">
        <is>
          <t>Unknown</t>
        </is>
      </c>
      <c r="Z27" s="19" t="inlineStr">
        <is>
          <t>Not stated</t>
        </is>
      </c>
      <c r="AA27" s="19" t="inlineStr">
        <is>
          <t>Unverified</t>
        </is>
      </c>
      <c r="AB27" s="19" t="inlineStr">
        <is>
          <t>Unknown</t>
        </is>
      </c>
      <c r="AC27" s="19" t="inlineStr">
        <is>
          <t>Unknown</t>
        </is>
      </c>
      <c r="AD27" s="19" t="inlineStr">
        <is>
          <t>Yes</t>
        </is>
      </c>
      <c r="AE27" s="19" t="inlineStr">
        <is>
          <t>Unknown</t>
        </is>
      </c>
      <c r="AF27" s="19" t="inlineStr">
        <is>
          <t>Not stated</t>
        </is>
      </c>
      <c r="AG27" s="19" t="inlineStr">
        <is>
          <t>Not stated</t>
        </is>
      </c>
      <c r="AH27" s="19" t="inlineStr">
        <is>
          <t>Not stated</t>
        </is>
      </c>
      <c r="AI27" s="19" t="inlineStr">
        <is>
          <t>Not stated</t>
        </is>
      </c>
      <c r="AJ27" s="19" t="inlineStr">
        <is>
          <t>Not stated</t>
        </is>
      </c>
      <c r="AK27" s="19" t="inlineStr">
        <is>
          <t>No card required</t>
        </is>
      </c>
      <c r="AL27" s="19" t="inlineStr">
        <is>
          <t>Not stated</t>
        </is>
      </c>
      <c r="AM27" s="24" t="inlineStr">
        <is>
          <t>https://aifree.dev/offer/baseten-ai-startup-program</t>
        </is>
      </c>
      <c r="AN27" s="24" t="inlineStr">
        <is>
          <t>https://aifree.dev/startup-ai-credits</t>
        </is>
      </c>
      <c r="AO27" s="19" t="inlineStr">
        <is>
          <t>Directory listing (verified Oct 2026 per directory): Up to $25,000 for dedicated deployments or training and up to $2,500 for Model APIs.</t>
        </is>
      </c>
      <c r="AP27" s="23" t="n">
        <v>46319</v>
      </c>
      <c r="AQ27" s="19" t="inlineStr">
        <is>
          <t>Medium</t>
        </is>
      </c>
      <c r="AR27" s="19" t="inlineStr">
        <is>
          <t>Directory</t>
        </is>
      </c>
      <c r="AS27" s="19" t="inlineStr">
        <is>
          <t>Global (unverified)</t>
        </is>
      </c>
      <c r="AT27" s="19" t="inlineStr">
        <is>
          <t>ai,inference</t>
        </is>
      </c>
      <c r="AU27" s="19" t="inlineStr">
        <is>
          <t>Terms taken from aifree.dev directory; official program page not opened this session. Confirm on provider site before applying.</t>
        </is>
      </c>
      <c r="AV27" s="19" t="inlineStr">
        <is>
          <t>DG-BASETEN</t>
        </is>
      </c>
    </row>
    <row r="28" ht="35.05" customHeight="1" s="17">
      <c r="A28" s="19" t="inlineStr">
        <is>
          <t>SB-027</t>
        </is>
      </c>
      <c r="B28" s="19" t="inlineStr">
        <is>
          <t>Yandex Cloud</t>
        </is>
      </c>
      <c r="C28" s="19" t="inlineStr">
        <is>
          <t>Yandex Cloud Startup Credits</t>
        </is>
      </c>
      <c r="D28" s="19" t="inlineStr">
        <is>
          <t>Not stated</t>
        </is>
      </c>
      <c r="E28" s="19" t="inlineStr">
        <is>
          <t>Cloud &amp; Infrastructure</t>
        </is>
      </c>
      <c r="F28" s="19" t="inlineStr">
        <is>
          <t>Cloud credits</t>
        </is>
      </c>
      <c r="G28" s="19" t="inlineStr">
        <is>
          <t>Startup credits (startup-specific)</t>
        </is>
      </c>
      <c r="H28" s="19" t="inlineStr">
        <is>
          <t>$5,000 over 6 months for TRL 1-7 teams; $20,000 over 12 months for TRL 8-9 teams.</t>
        </is>
      </c>
      <c r="I28" s="22" t="n">
        <v>20000</v>
      </c>
      <c r="J28" s="19" t="inlineStr">
        <is>
          <t>USD</t>
        </is>
      </c>
      <c r="K28" s="19" t="inlineStr">
        <is>
          <t>Credits</t>
        </is>
      </c>
      <c r="L28" s="22" t="n"/>
      <c r="M28" s="22" t="n">
        <v>20000</v>
      </c>
      <c r="N28" s="19" t="n"/>
      <c r="O28" s="19" t="inlineStr">
        <is>
          <t>Not stated</t>
        </is>
      </c>
      <c r="P28" s="19" t="inlineStr">
        <is>
          <t>Not stated</t>
        </is>
      </c>
      <c r="Q28" s="23" t="n"/>
      <c r="R28" s="19" t="inlineStr">
        <is>
          <t>Open</t>
        </is>
      </c>
      <c r="S28" s="19" t="inlineStr">
        <is>
          <t>Not verified this session</t>
        </is>
      </c>
      <c r="T28" s="19" t="inlineStr">
        <is>
          <t>Not verified this session</t>
        </is>
      </c>
      <c r="U28" s="19" t="inlineStr">
        <is>
          <t>Not stated</t>
        </is>
      </c>
      <c r="V28" s="19" t="inlineStr">
        <is>
          <t>Not stated</t>
        </is>
      </c>
      <c r="W28" s="19" t="inlineStr">
        <is>
          <t>Not stated</t>
        </is>
      </c>
      <c r="X28" s="19" t="inlineStr">
        <is>
          <t>Unknown</t>
        </is>
      </c>
      <c r="Y28" s="19" t="inlineStr">
        <is>
          <t>Unknown</t>
        </is>
      </c>
      <c r="Z28" s="19" t="inlineStr">
        <is>
          <t>Russia-based provider; sanctions and payment risk</t>
        </is>
      </c>
      <c r="AA28" s="19" t="inlineStr">
        <is>
          <t>Unverified (regional restrictions noted)</t>
        </is>
      </c>
      <c r="AB28" s="19" t="inlineStr">
        <is>
          <t>Unknown</t>
        </is>
      </c>
      <c r="AC28" s="19" t="inlineStr">
        <is>
          <t>Unknown</t>
        </is>
      </c>
      <c r="AD28" s="19" t="inlineStr">
        <is>
          <t>No</t>
        </is>
      </c>
      <c r="AE28" s="19" t="inlineStr">
        <is>
          <t>Unknown</t>
        </is>
      </c>
      <c r="AF28" s="19" t="inlineStr">
        <is>
          <t>Not stated</t>
        </is>
      </c>
      <c r="AG28" s="19" t="inlineStr">
        <is>
          <t>Not stated</t>
        </is>
      </c>
      <c r="AH28" s="19" t="inlineStr">
        <is>
          <t>Not stated</t>
        </is>
      </c>
      <c r="AI28" s="19" t="inlineStr">
        <is>
          <t>Not stated</t>
        </is>
      </c>
      <c r="AJ28" s="19" t="inlineStr">
        <is>
          <t>Not stated</t>
        </is>
      </c>
      <c r="AK28" s="19" t="inlineStr">
        <is>
          <t>No card required</t>
        </is>
      </c>
      <c r="AL28" s="19" t="inlineStr">
        <is>
          <t>Not stated</t>
        </is>
      </c>
      <c r="AM28" s="24" t="inlineStr">
        <is>
          <t>https://aifree.dev/offer/yandex-cloud-startup-credits</t>
        </is>
      </c>
      <c r="AN28" s="24" t="inlineStr">
        <is>
          <t>https://aifree.dev/startup-ai-credits</t>
        </is>
      </c>
      <c r="AO28" s="19" t="inlineStr">
        <is>
          <t>Directory listing (verified Oct 2026 per directory): $5,000 over 6 months for TRL 1-7 teams; $20,000 over 12 months for TRL 8-9 teams.</t>
        </is>
      </c>
      <c r="AP28" s="23" t="n">
        <v>46319</v>
      </c>
      <c r="AQ28" s="19" t="inlineStr">
        <is>
          <t>Low</t>
        </is>
      </c>
      <c r="AR28" s="19" t="inlineStr">
        <is>
          <t>Directory</t>
        </is>
      </c>
      <c r="AS28" s="19" t="inlineStr">
        <is>
          <t>Global (unverified)</t>
        </is>
      </c>
      <c r="AT28" s="19" t="inlineStr">
        <is>
          <t>cloud</t>
        </is>
      </c>
      <c r="AU28" s="19" t="inlineStr">
        <is>
          <t>Russia-based provider: sanctions, payment and compliance risk. Confirm before applying. Official page not opened.</t>
        </is>
      </c>
      <c r="AV28" s="19" t="inlineStr">
        <is>
          <t>DG-YANDEX</t>
        </is>
      </c>
    </row>
    <row r="29" ht="35.05" customHeight="1" s="17">
      <c r="A29" s="19" t="inlineStr">
        <is>
          <t>SB-028</t>
        </is>
      </c>
      <c r="B29" s="19" t="inlineStr">
        <is>
          <t>Neo4j</t>
        </is>
      </c>
      <c r="C29" s="19" t="inlineStr">
        <is>
          <t>Neo4j Startup Program</t>
        </is>
      </c>
      <c r="D29" s="19" t="inlineStr">
        <is>
          <t>Not stated</t>
        </is>
      </c>
      <c r="E29" s="19" t="inlineStr">
        <is>
          <t>Cloud &amp; Infrastructure</t>
        </is>
      </c>
      <c r="F29" s="19" t="inlineStr">
        <is>
          <t>Graph database credits</t>
        </is>
      </c>
      <c r="G29" s="19" t="inlineStr">
        <is>
          <t>Startup credits (startup-specific)</t>
        </is>
      </c>
      <c r="H29" s="19" t="inlineStr">
        <is>
          <t>Up to $16,000 in Aura credits for startups at Series B or earlier.</t>
        </is>
      </c>
      <c r="I29" s="22" t="n">
        <v>16000</v>
      </c>
      <c r="J29" s="19" t="inlineStr">
        <is>
          <t>USD</t>
        </is>
      </c>
      <c r="K29" s="19" t="inlineStr">
        <is>
          <t>Credits</t>
        </is>
      </c>
      <c r="L29" s="22" t="n"/>
      <c r="M29" s="22" t="n">
        <v>16000</v>
      </c>
      <c r="N29" s="19" t="n"/>
      <c r="O29" s="19" t="inlineStr">
        <is>
          <t>Not stated</t>
        </is>
      </c>
      <c r="P29" s="19" t="inlineStr">
        <is>
          <t>Not stated</t>
        </is>
      </c>
      <c r="Q29" s="23" t="n"/>
      <c r="R29" s="19" t="inlineStr">
        <is>
          <t>Open</t>
        </is>
      </c>
      <c r="S29" s="19" t="inlineStr">
        <is>
          <t>Not verified this session</t>
        </is>
      </c>
      <c r="T29" s="19" t="inlineStr">
        <is>
          <t>Not verified this session</t>
        </is>
      </c>
      <c r="U29" s="19" t="inlineStr">
        <is>
          <t>Not stated</t>
        </is>
      </c>
      <c r="V29" s="19" t="inlineStr">
        <is>
          <t>Not stated</t>
        </is>
      </c>
      <c r="W29" s="19" t="inlineStr">
        <is>
          <t>Series B or earlier</t>
        </is>
      </c>
      <c r="X29" s="19" t="inlineStr">
        <is>
          <t>Unknown</t>
        </is>
      </c>
      <c r="Y29" s="19" t="inlineStr">
        <is>
          <t>Unknown</t>
        </is>
      </c>
      <c r="Z29" s="19" t="inlineStr">
        <is>
          <t>Not stated</t>
        </is>
      </c>
      <c r="AA29" s="19" t="inlineStr">
        <is>
          <t>Unverified</t>
        </is>
      </c>
      <c r="AB29" s="19" t="inlineStr">
        <is>
          <t>Unknown</t>
        </is>
      </c>
      <c r="AC29" s="19" t="inlineStr">
        <is>
          <t>Unknown</t>
        </is>
      </c>
      <c r="AD29" s="19" t="inlineStr">
        <is>
          <t>No</t>
        </is>
      </c>
      <c r="AE29" s="19" t="inlineStr">
        <is>
          <t>Unknown</t>
        </is>
      </c>
      <c r="AF29" s="19" t="inlineStr">
        <is>
          <t>Not stated</t>
        </is>
      </c>
      <c r="AG29" s="19" t="inlineStr">
        <is>
          <t>Not stated</t>
        </is>
      </c>
      <c r="AH29" s="19" t="inlineStr">
        <is>
          <t>Not stated</t>
        </is>
      </c>
      <c r="AI29" s="19" t="inlineStr">
        <is>
          <t>Not stated</t>
        </is>
      </c>
      <c r="AJ29" s="19" t="inlineStr">
        <is>
          <t>Not stated</t>
        </is>
      </c>
      <c r="AK29" s="19" t="inlineStr">
        <is>
          <t>No card required</t>
        </is>
      </c>
      <c r="AL29" s="19" t="inlineStr">
        <is>
          <t>Not stated</t>
        </is>
      </c>
      <c r="AM29" s="24" t="inlineStr">
        <is>
          <t>https://aifree.dev/offer/neo4j-startup-program</t>
        </is>
      </c>
      <c r="AN29" s="24" t="inlineStr">
        <is>
          <t>https://aifree.dev/startup-ai-credits</t>
        </is>
      </c>
      <c r="AO29" s="19" t="inlineStr">
        <is>
          <t>Directory listing (verified Oct 2026 per directory): Up to $16,000 in Aura credits for startups at Series B or earlier.</t>
        </is>
      </c>
      <c r="AP29" s="23" t="n">
        <v>46319</v>
      </c>
      <c r="AQ29" s="19" t="inlineStr">
        <is>
          <t>Medium</t>
        </is>
      </c>
      <c r="AR29" s="19" t="inlineStr">
        <is>
          <t>Directory</t>
        </is>
      </c>
      <c r="AS29" s="19" t="inlineStr">
        <is>
          <t>Global (unverified)</t>
        </is>
      </c>
      <c r="AT29" s="19" t="inlineStr">
        <is>
          <t>database,graph</t>
        </is>
      </c>
      <c r="AU29" s="19" t="inlineStr">
        <is>
          <t>Terms taken from aifree.dev directory; official program page not opened this session. Confirm on provider site before applying.</t>
        </is>
      </c>
      <c r="AV29" s="19" t="inlineStr">
        <is>
          <t>DG-NEO4J</t>
        </is>
      </c>
    </row>
    <row r="30" ht="46.25" customHeight="1" s="17">
      <c r="A30" s="19" t="inlineStr">
        <is>
          <t>SB-029</t>
        </is>
      </c>
      <c r="B30" s="19" t="inlineStr">
        <is>
          <t>Notion</t>
        </is>
      </c>
      <c r="C30" s="19" t="inlineStr">
        <is>
          <t>Notion for Startups</t>
        </is>
      </c>
      <c r="D30" s="19" t="inlineStr">
        <is>
          <t>Not stated</t>
        </is>
      </c>
      <c r="E30" s="19" t="inlineStr">
        <is>
          <t>SaaS &amp; Marketing</t>
        </is>
      </c>
      <c r="F30" s="19" t="inlineStr">
        <is>
          <t>Workspace subscription</t>
        </is>
      </c>
      <c r="G30" s="19" t="inlineStr">
        <is>
          <t>Startup plan / free subscription period</t>
        </is>
      </c>
      <c r="H30" s="19" t="inlineStr">
        <is>
          <t>Directory states $12,000 value: 6 months free via select startup partners (VCs/accelerators); shorter free period without a partner.</t>
        </is>
      </c>
      <c r="I30" s="22" t="n">
        <v>12000</v>
      </c>
      <c r="J30" s="19" t="inlineStr">
        <is>
          <t>USD</t>
        </is>
      </c>
      <c r="K30" s="19" t="inlineStr">
        <is>
          <t>In-Kind</t>
        </is>
      </c>
      <c r="L30" s="22" t="n"/>
      <c r="M30" s="22" t="n"/>
      <c r="N30" s="19" t="n"/>
      <c r="O30" s="19" t="inlineStr">
        <is>
          <t>Not stated</t>
        </is>
      </c>
      <c r="P30" s="19" t="inlineStr">
        <is>
          <t>Not stated</t>
        </is>
      </c>
      <c r="Q30" s="23" t="n"/>
      <c r="R30" s="19" t="inlineStr">
        <is>
          <t>Open</t>
        </is>
      </c>
      <c r="S30" s="19" t="inlineStr">
        <is>
          <t>Not verified this session</t>
        </is>
      </c>
      <c r="T30" s="19" t="inlineStr">
        <is>
          <t>Not verified this session</t>
        </is>
      </c>
      <c r="U30" s="19" t="inlineStr">
        <is>
          <t>Not stated</t>
        </is>
      </c>
      <c r="V30" s="19" t="inlineStr">
        <is>
          <t>Not stated</t>
        </is>
      </c>
      <c r="W30" s="19" t="inlineStr">
        <is>
          <t>Not stated</t>
        </is>
      </c>
      <c r="X30" s="19" t="inlineStr">
        <is>
          <t>Unknown</t>
        </is>
      </c>
      <c r="Y30" s="19" t="inlineStr">
        <is>
          <t>Unknown</t>
        </is>
      </c>
      <c r="Z30" s="19" t="inlineStr">
        <is>
          <t>Not stated</t>
        </is>
      </c>
      <c r="AA30" s="19" t="inlineStr">
        <is>
          <t>Unverified</t>
        </is>
      </c>
      <c r="AB30" s="19" t="inlineStr">
        <is>
          <t>Unknown</t>
        </is>
      </c>
      <c r="AC30" s="19" t="inlineStr">
        <is>
          <t>Unknown</t>
        </is>
      </c>
      <c r="AD30" s="19" t="inlineStr">
        <is>
          <t>No</t>
        </is>
      </c>
      <c r="AE30" s="19" t="inlineStr">
        <is>
          <t>Partial (6 months needs partner)</t>
        </is>
      </c>
      <c r="AF30" s="19" t="inlineStr">
        <is>
          <t>Not stated</t>
        </is>
      </c>
      <c r="AG30" s="19" t="inlineStr">
        <is>
          <t>Not stated</t>
        </is>
      </c>
      <c r="AH30" s="19" t="inlineStr">
        <is>
          <t>Not stated</t>
        </is>
      </c>
      <c r="AI30" s="19" t="inlineStr">
        <is>
          <t>Not stated</t>
        </is>
      </c>
      <c r="AJ30" s="19" t="inlineStr">
        <is>
          <t>Not stated</t>
        </is>
      </c>
      <c r="AK30" s="19" t="inlineStr">
        <is>
          <t>No card required</t>
        </is>
      </c>
      <c r="AL30" s="19" t="inlineStr">
        <is>
          <t>Longest free period requires a partner organization.</t>
        </is>
      </c>
      <c r="AM30" s="24" t="inlineStr">
        <is>
          <t>https://aifree.dev/offer/notion-for-startups</t>
        </is>
      </c>
      <c r="AN30" s="24" t="inlineStr">
        <is>
          <t>https://aifree.dev/startup-ai-credits</t>
        </is>
      </c>
      <c r="AO30" s="19" t="inlineStr">
        <is>
          <t>Directory listing (verified Oct 2026 per directory): Directory states $12,000 value: 6 months free via select startup partners (VCs/accelerators); shorter free period without a partner.</t>
        </is>
      </c>
      <c r="AP30" s="23" t="n">
        <v>46319</v>
      </c>
      <c r="AQ30" s="19" t="inlineStr">
        <is>
          <t>Medium</t>
        </is>
      </c>
      <c r="AR30" s="19" t="inlineStr">
        <is>
          <t>Directory</t>
        </is>
      </c>
      <c r="AS30" s="19" t="inlineStr">
        <is>
          <t>Global (unverified)</t>
        </is>
      </c>
      <c r="AT30" s="19" t="inlineStr">
        <is>
          <t>productivity</t>
        </is>
      </c>
      <c r="AU30" s="19" t="inlineStr">
        <is>
          <t>Terms taken from aifree.dev directory; official program page not opened this session. Confirm on provider site before applying.</t>
        </is>
      </c>
      <c r="AV30" s="19" t="inlineStr">
        <is>
          <t>DG-NOTION</t>
        </is>
      </c>
    </row>
    <row r="31" ht="35.05" customHeight="1" s="17">
      <c r="A31" s="19" t="inlineStr">
        <is>
          <t>SB-030</t>
        </is>
      </c>
      <c r="B31" s="19" t="inlineStr">
        <is>
          <t>Algolia</t>
        </is>
      </c>
      <c r="C31" s="19" t="inlineStr">
        <is>
          <t>Algolia Startup Program</t>
        </is>
      </c>
      <c r="D31" s="19" t="inlineStr">
        <is>
          <t>Not stated</t>
        </is>
      </c>
      <c r="E31" s="19" t="inlineStr">
        <is>
          <t>SaaS &amp; Marketing</t>
        </is>
      </c>
      <c r="F31" s="19" t="inlineStr">
        <is>
          <t>Search API credits</t>
        </is>
      </c>
      <c r="G31" s="19" t="inlineStr">
        <is>
          <t>Startup credits (startup-specific)</t>
        </is>
      </c>
      <c r="H31" s="19" t="inlineStr">
        <is>
          <t>$10,000 in credits valid 12 months for new Algolia customers only.</t>
        </is>
      </c>
      <c r="I31" s="22" t="n">
        <v>10000</v>
      </c>
      <c r="J31" s="19" t="inlineStr">
        <is>
          <t>USD</t>
        </is>
      </c>
      <c r="K31" s="19" t="inlineStr">
        <is>
          <t>Credits</t>
        </is>
      </c>
      <c r="L31" s="22" t="n"/>
      <c r="M31" s="22" t="n">
        <v>10000</v>
      </c>
      <c r="N31" s="19" t="n"/>
      <c r="O31" s="19" t="inlineStr">
        <is>
          <t>Not stated</t>
        </is>
      </c>
      <c r="P31" s="19" t="inlineStr">
        <is>
          <t>12 months</t>
        </is>
      </c>
      <c r="Q31" s="23" t="n"/>
      <c r="R31" s="19" t="inlineStr">
        <is>
          <t>Open</t>
        </is>
      </c>
      <c r="S31" s="19" t="inlineStr">
        <is>
          <t>Not verified this session</t>
        </is>
      </c>
      <c r="T31" s="19" t="inlineStr">
        <is>
          <t>Not verified this session</t>
        </is>
      </c>
      <c r="U31" s="19" t="inlineStr">
        <is>
          <t>Not stated</t>
        </is>
      </c>
      <c r="V31" s="19" t="inlineStr">
        <is>
          <t>Not stated</t>
        </is>
      </c>
      <c r="W31" s="19" t="inlineStr">
        <is>
          <t>Not stated</t>
        </is>
      </c>
      <c r="X31" s="19" t="inlineStr">
        <is>
          <t>Unknown</t>
        </is>
      </c>
      <c r="Y31" s="19" t="inlineStr">
        <is>
          <t>Unknown</t>
        </is>
      </c>
      <c r="Z31" s="19" t="inlineStr">
        <is>
          <t>Not stated</t>
        </is>
      </c>
      <c r="AA31" s="19" t="inlineStr">
        <is>
          <t>Unverified</t>
        </is>
      </c>
      <c r="AB31" s="19" t="inlineStr">
        <is>
          <t>Unknown</t>
        </is>
      </c>
      <c r="AC31" s="19" t="inlineStr">
        <is>
          <t>Unknown</t>
        </is>
      </c>
      <c r="AD31" s="19" t="inlineStr">
        <is>
          <t>No</t>
        </is>
      </c>
      <c r="AE31" s="19" t="inlineStr">
        <is>
          <t>Unknown</t>
        </is>
      </c>
      <c r="AF31" s="19" t="inlineStr">
        <is>
          <t>Not stated</t>
        </is>
      </c>
      <c r="AG31" s="19" t="inlineStr">
        <is>
          <t>Not stated</t>
        </is>
      </c>
      <c r="AH31" s="19" t="inlineStr">
        <is>
          <t>Not stated</t>
        </is>
      </c>
      <c r="AI31" s="19" t="inlineStr">
        <is>
          <t>Not stated</t>
        </is>
      </c>
      <c r="AJ31" s="19" t="inlineStr">
        <is>
          <t>Not stated</t>
        </is>
      </c>
      <c r="AK31" s="19" t="inlineStr">
        <is>
          <t>No card required</t>
        </is>
      </c>
      <c r="AL31" s="19" t="inlineStr">
        <is>
          <t>Not stated</t>
        </is>
      </c>
      <c r="AM31" s="24" t="inlineStr">
        <is>
          <t>https://aifree.dev/offer/algolia-startup-program</t>
        </is>
      </c>
      <c r="AN31" s="24" t="inlineStr">
        <is>
          <t>https://aifree.dev/startup-ai-credits</t>
        </is>
      </c>
      <c r="AO31" s="19" t="inlineStr">
        <is>
          <t>Directory listing (verified Oct 2026 per directory): $10,000 in credits valid 12 months for new Algolia customers only.</t>
        </is>
      </c>
      <c r="AP31" s="23" t="n">
        <v>46319</v>
      </c>
      <c r="AQ31" s="19" t="inlineStr">
        <is>
          <t>Medium</t>
        </is>
      </c>
      <c r="AR31" s="19" t="inlineStr">
        <is>
          <t>Directory</t>
        </is>
      </c>
      <c r="AS31" s="19" t="inlineStr">
        <is>
          <t>Global (unverified)</t>
        </is>
      </c>
      <c r="AT31" s="19" t="inlineStr">
        <is>
          <t>search</t>
        </is>
      </c>
      <c r="AU31" s="19" t="inlineStr">
        <is>
          <t>Terms taken from aifree.dev directory; official program page not opened this session. Confirm on provider site before applying.</t>
        </is>
      </c>
      <c r="AV31" s="19" t="inlineStr">
        <is>
          <t>DG-ALGOLIA</t>
        </is>
      </c>
    </row>
    <row r="32" ht="35.05" customHeight="1" s="17">
      <c r="A32" s="19" t="inlineStr">
        <is>
          <t>SB-031</t>
        </is>
      </c>
      <c r="B32" s="19" t="inlineStr">
        <is>
          <t>ClickHouse</t>
        </is>
      </c>
      <c r="C32" s="19" t="inlineStr">
        <is>
          <t>ClickHouse Cloud for Y Combinator</t>
        </is>
      </c>
      <c r="D32" s="19" t="inlineStr">
        <is>
          <t>Not stated</t>
        </is>
      </c>
      <c r="E32" s="19" t="inlineStr">
        <is>
          <t>Cloud &amp; Infrastructure</t>
        </is>
      </c>
      <c r="F32" s="19" t="inlineStr">
        <is>
          <t>Analytics database credits</t>
        </is>
      </c>
      <c r="G32" s="19" t="inlineStr">
        <is>
          <t>Startup credits (startup-specific)</t>
        </is>
      </c>
      <c r="H32" s="19" t="inlineStr">
        <is>
          <t>$10,000 for 24 months; must be in the current Y Combinator program.</t>
        </is>
      </c>
      <c r="I32" s="22" t="n">
        <v>10000</v>
      </c>
      <c r="J32" s="19" t="inlineStr">
        <is>
          <t>USD</t>
        </is>
      </c>
      <c r="K32" s="19" t="inlineStr">
        <is>
          <t>Credits</t>
        </is>
      </c>
      <c r="L32" s="22" t="n"/>
      <c r="M32" s="22" t="n">
        <v>10000</v>
      </c>
      <c r="N32" s="19" t="n"/>
      <c r="O32" s="19" t="inlineStr">
        <is>
          <t>Not stated</t>
        </is>
      </c>
      <c r="P32" s="19" t="inlineStr">
        <is>
          <t>24 months</t>
        </is>
      </c>
      <c r="Q32" s="23" t="n"/>
      <c r="R32" s="19" t="inlineStr">
        <is>
          <t>Open</t>
        </is>
      </c>
      <c r="S32" s="19" t="inlineStr">
        <is>
          <t>Not verified this session</t>
        </is>
      </c>
      <c r="T32" s="19" t="inlineStr">
        <is>
          <t>Not verified this session</t>
        </is>
      </c>
      <c r="U32" s="19" t="inlineStr">
        <is>
          <t>Not stated</t>
        </is>
      </c>
      <c r="V32" s="19" t="inlineStr">
        <is>
          <t>Not stated</t>
        </is>
      </c>
      <c r="W32" s="19" t="inlineStr">
        <is>
          <t>Not stated</t>
        </is>
      </c>
      <c r="X32" s="19" t="inlineStr">
        <is>
          <t>Unknown</t>
        </is>
      </c>
      <c r="Y32" s="19" t="inlineStr">
        <is>
          <t>Unknown</t>
        </is>
      </c>
      <c r="Z32" s="19" t="inlineStr">
        <is>
          <t>Not stated</t>
        </is>
      </c>
      <c r="AA32" s="19" t="inlineStr">
        <is>
          <t>Unverified</t>
        </is>
      </c>
      <c r="AB32" s="19" t="inlineStr">
        <is>
          <t>Unknown</t>
        </is>
      </c>
      <c r="AC32" s="19" t="inlineStr">
        <is>
          <t>Unknown</t>
        </is>
      </c>
      <c r="AD32" s="19" t="inlineStr">
        <is>
          <t>No</t>
        </is>
      </c>
      <c r="AE32" s="19" t="inlineStr">
        <is>
          <t>Yes (Y Combinator)</t>
        </is>
      </c>
      <c r="AF32" s="19" t="inlineStr">
        <is>
          <t>Not stated</t>
        </is>
      </c>
      <c r="AG32" s="19" t="inlineStr">
        <is>
          <t>Not stated</t>
        </is>
      </c>
      <c r="AH32" s="19" t="inlineStr">
        <is>
          <t>Not stated</t>
        </is>
      </c>
      <c r="AI32" s="19" t="inlineStr">
        <is>
          <t>Not stated</t>
        </is>
      </c>
      <c r="AJ32" s="19" t="inlineStr">
        <is>
          <t>Not stated</t>
        </is>
      </c>
      <c r="AK32" s="19" t="inlineStr">
        <is>
          <t>No card required</t>
        </is>
      </c>
      <c r="AL32" s="19" t="inlineStr">
        <is>
          <t>Not stated</t>
        </is>
      </c>
      <c r="AM32" s="24" t="inlineStr">
        <is>
          <t>https://aifree.dev/offer/clickhouse-cloud-yc-credits</t>
        </is>
      </c>
      <c r="AN32" s="24" t="inlineStr">
        <is>
          <t>https://aifree.dev/startup-ai-credits</t>
        </is>
      </c>
      <c r="AO32" s="19" t="inlineStr">
        <is>
          <t>Directory listing (verified Oct 2026 per directory): $10,000 for 24 months; must be in the current Y Combinator program.</t>
        </is>
      </c>
      <c r="AP32" s="23" t="n">
        <v>46319</v>
      </c>
      <c r="AQ32" s="19" t="inlineStr">
        <is>
          <t>Medium</t>
        </is>
      </c>
      <c r="AR32" s="19" t="inlineStr">
        <is>
          <t>Directory</t>
        </is>
      </c>
      <c r="AS32" s="19" t="inlineStr">
        <is>
          <t>Global (unverified)</t>
        </is>
      </c>
      <c r="AT32" s="19" t="inlineStr">
        <is>
          <t>database,yc</t>
        </is>
      </c>
      <c r="AU32" s="19" t="inlineStr">
        <is>
          <t>Terms taken from aifree.dev directory; official program page not opened this session. Confirm on provider site before applying.</t>
        </is>
      </c>
      <c r="AV32" s="19" t="inlineStr">
        <is>
          <t>DG-CLICK</t>
        </is>
      </c>
    </row>
    <row r="33" ht="35.05" customHeight="1" s="17">
      <c r="A33" s="19" t="inlineStr">
        <is>
          <t>SB-032</t>
        </is>
      </c>
      <c r="B33" s="19" t="inlineStr">
        <is>
          <t>Daytona</t>
        </is>
      </c>
      <c r="C33" s="19" t="inlineStr">
        <is>
          <t>Daytona Startup Grid</t>
        </is>
      </c>
      <c r="D33" s="19" t="inlineStr">
        <is>
          <t>Not stated</t>
        </is>
      </c>
      <c r="E33" s="19" t="inlineStr">
        <is>
          <t>AI &amp; LLM Credits</t>
        </is>
      </c>
      <c r="F33" s="19" t="inlineStr">
        <is>
          <t>Sandbox compute credits</t>
        </is>
      </c>
      <c r="G33" s="19" t="inlineStr">
        <is>
          <t>Startup credits (startup-specific)</t>
        </is>
      </c>
      <c r="H33" s="19" t="inlineStr">
        <is>
          <t>$10K granted on acceptance; up to $100K total credits as the startup scales.</t>
        </is>
      </c>
      <c r="I33" s="22" t="n">
        <v>10000</v>
      </c>
      <c r="J33" s="19" t="inlineStr">
        <is>
          <t>USD</t>
        </is>
      </c>
      <c r="K33" s="19" t="inlineStr">
        <is>
          <t>Credits</t>
        </is>
      </c>
      <c r="L33" s="22" t="n"/>
      <c r="M33" s="22" t="n">
        <v>10000</v>
      </c>
      <c r="N33" s="19" t="n"/>
      <c r="O33" s="19" t="inlineStr">
        <is>
          <t>Not stated</t>
        </is>
      </c>
      <c r="P33" s="19" t="inlineStr">
        <is>
          <t>Not stated</t>
        </is>
      </c>
      <c r="Q33" s="23" t="n"/>
      <c r="R33" s="19" t="inlineStr">
        <is>
          <t>Open</t>
        </is>
      </c>
      <c r="S33" s="19" t="inlineStr">
        <is>
          <t>Not verified this session</t>
        </is>
      </c>
      <c r="T33" s="19" t="inlineStr">
        <is>
          <t>Not verified this session</t>
        </is>
      </c>
      <c r="U33" s="19" t="inlineStr">
        <is>
          <t>Not stated</t>
        </is>
      </c>
      <c r="V33" s="19" t="inlineStr">
        <is>
          <t>Not stated</t>
        </is>
      </c>
      <c r="W33" s="19" t="inlineStr">
        <is>
          <t>Not stated</t>
        </is>
      </c>
      <c r="X33" s="19" t="inlineStr">
        <is>
          <t>Unknown</t>
        </is>
      </c>
      <c r="Y33" s="19" t="inlineStr">
        <is>
          <t>Unknown</t>
        </is>
      </c>
      <c r="Z33" s="19" t="inlineStr">
        <is>
          <t>Not stated</t>
        </is>
      </c>
      <c r="AA33" s="19" t="inlineStr">
        <is>
          <t>Unverified</t>
        </is>
      </c>
      <c r="AB33" s="19" t="inlineStr">
        <is>
          <t>Unknown</t>
        </is>
      </c>
      <c r="AC33" s="19" t="inlineStr">
        <is>
          <t>Unknown</t>
        </is>
      </c>
      <c r="AD33" s="19" t="inlineStr">
        <is>
          <t>Yes</t>
        </is>
      </c>
      <c r="AE33" s="19" t="inlineStr">
        <is>
          <t>Unknown</t>
        </is>
      </c>
      <c r="AF33" s="19" t="inlineStr">
        <is>
          <t>Not stated</t>
        </is>
      </c>
      <c r="AG33" s="19" t="inlineStr">
        <is>
          <t>Not stated</t>
        </is>
      </c>
      <c r="AH33" s="19" t="inlineStr">
        <is>
          <t>Not stated</t>
        </is>
      </c>
      <c r="AI33" s="19" t="inlineStr">
        <is>
          <t>Not stated</t>
        </is>
      </c>
      <c r="AJ33" s="19" t="inlineStr">
        <is>
          <t>Not stated</t>
        </is>
      </c>
      <c r="AK33" s="19" t="inlineStr">
        <is>
          <t>No card required</t>
        </is>
      </c>
      <c r="AL33" s="19" t="inlineStr">
        <is>
          <t>Not stated</t>
        </is>
      </c>
      <c r="AM33" s="24" t="inlineStr">
        <is>
          <t>https://aifree.dev/offer/daytona-startup-grid</t>
        </is>
      </c>
      <c r="AN33" s="24" t="inlineStr">
        <is>
          <t>https://aifree.dev/startup-ai-credits</t>
        </is>
      </c>
      <c r="AO33" s="19" t="inlineStr">
        <is>
          <t>Directory listing (verified Oct 2026 per directory): $10K granted on acceptance; up to $100K total credits as the startup scales.</t>
        </is>
      </c>
      <c r="AP33" s="23" t="n">
        <v>46319</v>
      </c>
      <c r="AQ33" s="19" t="inlineStr">
        <is>
          <t>Medium</t>
        </is>
      </c>
      <c r="AR33" s="19" t="inlineStr">
        <is>
          <t>Directory</t>
        </is>
      </c>
      <c r="AS33" s="19" t="inlineStr">
        <is>
          <t>Global (unverified)</t>
        </is>
      </c>
      <c r="AT33" s="19" t="inlineStr">
        <is>
          <t>sandbox,agents</t>
        </is>
      </c>
      <c r="AU33" s="19" t="inlineStr">
        <is>
          <t>Possible duplicate of 'Daytona Startup Program' below (same terms); kept as two rows because the directory lists both. Confirm on official page.</t>
        </is>
      </c>
      <c r="AV33" s="19" t="inlineStr">
        <is>
          <t>DG-DAYTONA</t>
        </is>
      </c>
    </row>
    <row r="34" ht="35.05" customHeight="1" s="17">
      <c r="A34" s="19" t="inlineStr">
        <is>
          <t>SB-033</t>
        </is>
      </c>
      <c r="B34" s="19" t="inlineStr">
        <is>
          <t>Daytona</t>
        </is>
      </c>
      <c r="C34" s="19" t="inlineStr">
        <is>
          <t>Daytona Startup Program</t>
        </is>
      </c>
      <c r="D34" s="19" t="inlineStr">
        <is>
          <t>Not stated</t>
        </is>
      </c>
      <c r="E34" s="19" t="inlineStr">
        <is>
          <t>AI &amp; LLM Credits</t>
        </is>
      </c>
      <c r="F34" s="19" t="inlineStr">
        <is>
          <t>Sandbox compute credits</t>
        </is>
      </c>
      <c r="G34" s="19" t="inlineStr">
        <is>
          <t>Startup credits (startup-specific)</t>
        </is>
      </c>
      <c r="H34" s="19" t="inlineStr">
        <is>
          <t>$10K credits granted on acceptance; up to $100K total as the startup scales.</t>
        </is>
      </c>
      <c r="I34" s="22" t="n"/>
      <c r="J34" s="19" t="inlineStr">
        <is>
          <t>USD</t>
        </is>
      </c>
      <c r="K34" s="19" t="inlineStr">
        <is>
          <t>Credits</t>
        </is>
      </c>
      <c r="L34" s="22" t="n"/>
      <c r="M34" s="22" t="n"/>
      <c r="N34" s="19" t="n"/>
      <c r="O34" s="19" t="inlineStr">
        <is>
          <t>Not stated</t>
        </is>
      </c>
      <c r="P34" s="19" t="inlineStr">
        <is>
          <t>Not stated</t>
        </is>
      </c>
      <c r="Q34" s="23" t="n"/>
      <c r="R34" s="19" t="inlineStr">
        <is>
          <t>Open</t>
        </is>
      </c>
      <c r="S34" s="19" t="inlineStr">
        <is>
          <t>Not verified this session</t>
        </is>
      </c>
      <c r="T34" s="19" t="inlineStr">
        <is>
          <t>Not verified this session</t>
        </is>
      </c>
      <c r="U34" s="19" t="inlineStr">
        <is>
          <t>Not stated</t>
        </is>
      </c>
      <c r="V34" s="19" t="inlineStr">
        <is>
          <t>Not stated</t>
        </is>
      </c>
      <c r="W34" s="19" t="inlineStr">
        <is>
          <t>Not stated</t>
        </is>
      </c>
      <c r="X34" s="19" t="inlineStr">
        <is>
          <t>Unknown</t>
        </is>
      </c>
      <c r="Y34" s="19" t="inlineStr">
        <is>
          <t>Unknown</t>
        </is>
      </c>
      <c r="Z34" s="19" t="inlineStr">
        <is>
          <t>Not stated</t>
        </is>
      </c>
      <c r="AA34" s="19" t="inlineStr">
        <is>
          <t>Unverified</t>
        </is>
      </c>
      <c r="AB34" s="19" t="inlineStr">
        <is>
          <t>Unknown</t>
        </is>
      </c>
      <c r="AC34" s="19" t="inlineStr">
        <is>
          <t>Unknown</t>
        </is>
      </c>
      <c r="AD34" s="19" t="inlineStr">
        <is>
          <t>Yes</t>
        </is>
      </c>
      <c r="AE34" s="19" t="inlineStr">
        <is>
          <t>Unknown</t>
        </is>
      </c>
      <c r="AF34" s="19" t="inlineStr">
        <is>
          <t>Not stated</t>
        </is>
      </c>
      <c r="AG34" s="19" t="inlineStr">
        <is>
          <t>Not stated</t>
        </is>
      </c>
      <c r="AH34" s="19" t="inlineStr">
        <is>
          <t>Not stated</t>
        </is>
      </c>
      <c r="AI34" s="19" t="inlineStr">
        <is>
          <t>Not stated</t>
        </is>
      </c>
      <c r="AJ34" s="19" t="inlineStr">
        <is>
          <t>Not stated</t>
        </is>
      </c>
      <c r="AK34" s="19" t="inlineStr">
        <is>
          <t>No card required</t>
        </is>
      </c>
      <c r="AL34" s="19" t="inlineStr">
        <is>
          <t>Max value blank to avoid double-counting with Startup Grid.</t>
        </is>
      </c>
      <c r="AM34" s="24" t="inlineStr">
        <is>
          <t>https://aifree.dev/offer/daytona-startup-program</t>
        </is>
      </c>
      <c r="AN34" s="24" t="inlineStr">
        <is>
          <t>https://aifree.dev/startup-ai-credits</t>
        </is>
      </c>
      <c r="AO34" s="19" t="inlineStr">
        <is>
          <t>Directory listing (verified Oct 2026 per directory): $10K credits granted on acceptance; up to $100K total as the startup scales.</t>
        </is>
      </c>
      <c r="AP34" s="23" t="n">
        <v>46319</v>
      </c>
      <c r="AQ34" s="19" t="inlineStr">
        <is>
          <t>Medium</t>
        </is>
      </c>
      <c r="AR34" s="19" t="inlineStr">
        <is>
          <t>Directory</t>
        </is>
      </c>
      <c r="AS34" s="19" t="inlineStr">
        <is>
          <t>Global (unverified)</t>
        </is>
      </c>
      <c r="AT34" s="19" t="inlineStr">
        <is>
          <t>sandbox,agents</t>
        </is>
      </c>
      <c r="AU34" s="19" t="inlineStr">
        <is>
          <t>Possible duplicate of 'Daytona Startup Grid'; shares Duplicate Group ID.</t>
        </is>
      </c>
      <c r="AV34" s="19" t="inlineStr">
        <is>
          <t>DG-DAYTONA</t>
        </is>
      </c>
    </row>
    <row r="35" ht="35.05" customHeight="1" s="17">
      <c r="A35" s="19" t="inlineStr">
        <is>
          <t>SB-034</t>
        </is>
      </c>
      <c r="B35" s="19" t="inlineStr">
        <is>
          <t>GitHub (Microsoft)</t>
        </is>
      </c>
      <c r="C35" s="19" t="inlineStr">
        <is>
          <t>GitHub for Startups</t>
        </is>
      </c>
      <c r="D35" s="19" t="inlineStr">
        <is>
          <t>Not stated</t>
        </is>
      </c>
      <c r="E35" s="19" t="inlineStr">
        <is>
          <t>Cloud &amp; Infrastructure</t>
        </is>
      </c>
      <c r="F35" s="19" t="inlineStr">
        <is>
          <t>Developer platform credits</t>
        </is>
      </c>
      <c r="G35" s="19" t="inlineStr">
        <is>
          <t>Startup credits (startup-specific)</t>
        </is>
      </c>
      <c r="H35" s="19" t="inlineStr">
        <is>
          <t>$10,000 flexible platform credits valid up to 12 months from approval or until used.</t>
        </is>
      </c>
      <c r="I35" s="22" t="n">
        <v>10000</v>
      </c>
      <c r="J35" s="19" t="inlineStr">
        <is>
          <t>USD</t>
        </is>
      </c>
      <c r="K35" s="19" t="inlineStr">
        <is>
          <t>Credits</t>
        </is>
      </c>
      <c r="L35" s="22" t="n"/>
      <c r="M35" s="22" t="n">
        <v>10000</v>
      </c>
      <c r="N35" s="19" t="n"/>
      <c r="O35" s="19" t="inlineStr">
        <is>
          <t>Not stated</t>
        </is>
      </c>
      <c r="P35" s="19" t="inlineStr">
        <is>
          <t>Up to 12 months</t>
        </is>
      </c>
      <c r="Q35" s="23" t="n"/>
      <c r="R35" s="19" t="inlineStr">
        <is>
          <t>Open</t>
        </is>
      </c>
      <c r="S35" s="19" t="inlineStr">
        <is>
          <t>Not verified this session</t>
        </is>
      </c>
      <c r="T35" s="19" t="inlineStr">
        <is>
          <t>Not verified this session</t>
        </is>
      </c>
      <c r="U35" s="19" t="inlineStr">
        <is>
          <t>Not stated</t>
        </is>
      </c>
      <c r="V35" s="19" t="inlineStr">
        <is>
          <t>Not stated</t>
        </is>
      </c>
      <c r="W35" s="19" t="inlineStr">
        <is>
          <t>Not stated</t>
        </is>
      </c>
      <c r="X35" s="19" t="inlineStr">
        <is>
          <t>Unknown</t>
        </is>
      </c>
      <c r="Y35" s="19" t="inlineStr">
        <is>
          <t>Unknown</t>
        </is>
      </c>
      <c r="Z35" s="19" t="inlineStr">
        <is>
          <t>Not stated</t>
        </is>
      </c>
      <c r="AA35" s="19" t="inlineStr">
        <is>
          <t>Unverified</t>
        </is>
      </c>
      <c r="AB35" s="19" t="inlineStr">
        <is>
          <t>Unknown</t>
        </is>
      </c>
      <c r="AC35" s="19" t="inlineStr">
        <is>
          <t>Unknown</t>
        </is>
      </c>
      <c r="AD35" s="19" t="inlineStr">
        <is>
          <t>No</t>
        </is>
      </c>
      <c r="AE35" s="19" t="inlineStr">
        <is>
          <t>Unknown</t>
        </is>
      </c>
      <c r="AF35" s="19" t="inlineStr">
        <is>
          <t>Not stated</t>
        </is>
      </c>
      <c r="AG35" s="19" t="inlineStr">
        <is>
          <t>Not stated</t>
        </is>
      </c>
      <c r="AH35" s="19" t="inlineStr">
        <is>
          <t>Not stated</t>
        </is>
      </c>
      <c r="AI35" s="19" t="inlineStr">
        <is>
          <t>Not stated</t>
        </is>
      </c>
      <c r="AJ35" s="19" t="inlineStr">
        <is>
          <t>Not stated</t>
        </is>
      </c>
      <c r="AK35" s="19" t="inlineStr">
        <is>
          <t>Card required</t>
        </is>
      </c>
      <c r="AL35" s="19" t="inlineStr">
        <is>
          <t>Not stated</t>
        </is>
      </c>
      <c r="AM35" s="24" t="inlineStr">
        <is>
          <t>https://aifree.dev/offer/github-for-startups</t>
        </is>
      </c>
      <c r="AN35" s="24" t="inlineStr">
        <is>
          <t>https://aifree.dev/startup-ai-credits</t>
        </is>
      </c>
      <c r="AO35" s="19" t="inlineStr">
        <is>
          <t>Directory listing (verified Oct 2026 per directory): $10,000 flexible platform credits valid up to 12 months from approval or until used.</t>
        </is>
      </c>
      <c r="AP35" s="23" t="n">
        <v>46319</v>
      </c>
      <c r="AQ35" s="19" t="inlineStr">
        <is>
          <t>Medium</t>
        </is>
      </c>
      <c r="AR35" s="19" t="inlineStr">
        <is>
          <t>Directory</t>
        </is>
      </c>
      <c r="AS35" s="19" t="inlineStr">
        <is>
          <t>Global (unverified)</t>
        </is>
      </c>
      <c r="AT35" s="19" t="inlineStr">
        <is>
          <t>devtools,github</t>
        </is>
      </c>
      <c r="AU35" s="19" t="inlineStr">
        <is>
          <t>Terms taken from aifree.dev directory; official program page not opened this session. Confirm on provider site before applying.</t>
        </is>
      </c>
      <c r="AV35" s="19" t="inlineStr">
        <is>
          <t>DG-GH</t>
        </is>
      </c>
    </row>
    <row r="36" ht="35.05" customHeight="1" s="17">
      <c r="A36" s="19" t="inlineStr">
        <is>
          <t>SB-035</t>
        </is>
      </c>
      <c r="B36" s="19" t="inlineStr">
        <is>
          <t>Indent</t>
        </is>
      </c>
      <c r="C36" s="19" t="inlineStr">
        <is>
          <t>Indent for Startups</t>
        </is>
      </c>
      <c r="D36" s="19" t="inlineStr">
        <is>
          <t>Not stated</t>
        </is>
      </c>
      <c r="E36" s="19" t="inlineStr">
        <is>
          <t>Cloud &amp; Infrastructure</t>
        </is>
      </c>
      <c r="F36" s="19" t="inlineStr">
        <is>
          <t>Access management credits</t>
        </is>
      </c>
      <c r="G36" s="19" t="inlineStr">
        <is>
          <t>Startup credits (startup-specific)</t>
        </is>
      </c>
      <c r="H36" s="19" t="inlineStr">
        <is>
          <t>$10,000 in Indent credits on approval; application through a Google Form.</t>
        </is>
      </c>
      <c r="I36" s="22" t="n">
        <v>10000</v>
      </c>
      <c r="J36" s="19" t="inlineStr">
        <is>
          <t>USD</t>
        </is>
      </c>
      <c r="K36" s="19" t="inlineStr">
        <is>
          <t>Credits</t>
        </is>
      </c>
      <c r="L36" s="22" t="n"/>
      <c r="M36" s="22" t="n">
        <v>10000</v>
      </c>
      <c r="N36" s="19" t="n"/>
      <c r="O36" s="19" t="inlineStr">
        <is>
          <t>Not stated</t>
        </is>
      </c>
      <c r="P36" s="19" t="inlineStr">
        <is>
          <t>Not stated</t>
        </is>
      </c>
      <c r="Q36" s="23" t="n"/>
      <c r="R36" s="19" t="inlineStr">
        <is>
          <t>Open</t>
        </is>
      </c>
      <c r="S36" s="19" t="inlineStr">
        <is>
          <t>Not verified this session</t>
        </is>
      </c>
      <c r="T36" s="19" t="inlineStr">
        <is>
          <t>Not verified this session</t>
        </is>
      </c>
      <c r="U36" s="19" t="inlineStr">
        <is>
          <t>Not stated</t>
        </is>
      </c>
      <c r="V36" s="19" t="inlineStr">
        <is>
          <t>Not stated</t>
        </is>
      </c>
      <c r="W36" s="19" t="inlineStr">
        <is>
          <t>Not stated</t>
        </is>
      </c>
      <c r="X36" s="19" t="inlineStr">
        <is>
          <t>Unknown</t>
        </is>
      </c>
      <c r="Y36" s="19" t="inlineStr">
        <is>
          <t>Unknown</t>
        </is>
      </c>
      <c r="Z36" s="19" t="inlineStr">
        <is>
          <t>Not stated</t>
        </is>
      </c>
      <c r="AA36" s="19" t="inlineStr">
        <is>
          <t>Unverified</t>
        </is>
      </c>
      <c r="AB36" s="19" t="inlineStr">
        <is>
          <t>Unknown</t>
        </is>
      </c>
      <c r="AC36" s="19" t="inlineStr">
        <is>
          <t>Unknown</t>
        </is>
      </c>
      <c r="AD36" s="19" t="inlineStr">
        <is>
          <t>No</t>
        </is>
      </c>
      <c r="AE36" s="19" t="inlineStr">
        <is>
          <t>Unknown</t>
        </is>
      </c>
      <c r="AF36" s="19" t="inlineStr">
        <is>
          <t>Not stated</t>
        </is>
      </c>
      <c r="AG36" s="19" t="inlineStr">
        <is>
          <t>Not stated</t>
        </is>
      </c>
      <c r="AH36" s="19" t="inlineStr">
        <is>
          <t>Not stated</t>
        </is>
      </c>
      <c r="AI36" s="19" t="inlineStr">
        <is>
          <t>Not stated</t>
        </is>
      </c>
      <c r="AJ36" s="19" t="inlineStr">
        <is>
          <t>Not stated</t>
        </is>
      </c>
      <c r="AK36" s="19" t="inlineStr">
        <is>
          <t>No card required</t>
        </is>
      </c>
      <c r="AL36" s="19" t="inlineStr">
        <is>
          <t>Not stated</t>
        </is>
      </c>
      <c r="AM36" s="24" t="inlineStr">
        <is>
          <t>https://aifree.dev/offer/indent-for-startups</t>
        </is>
      </c>
      <c r="AN36" s="24" t="inlineStr">
        <is>
          <t>https://aifree.dev/startup-ai-credits</t>
        </is>
      </c>
      <c r="AO36" s="19" t="inlineStr">
        <is>
          <t>Directory listing (verified Oct 2026 per directory): $10,000 in Indent credits on approval; application through a Google Form.</t>
        </is>
      </c>
      <c r="AP36" s="23" t="n">
        <v>46319</v>
      </c>
      <c r="AQ36" s="19" t="inlineStr">
        <is>
          <t>Medium</t>
        </is>
      </c>
      <c r="AR36" s="19" t="inlineStr">
        <is>
          <t>Directory</t>
        </is>
      </c>
      <c r="AS36" s="19" t="inlineStr">
        <is>
          <t>Global (unverified)</t>
        </is>
      </c>
      <c r="AT36" s="19" t="inlineStr">
        <is>
          <t>security,access</t>
        </is>
      </c>
      <c r="AU36" s="19" t="inlineStr">
        <is>
          <t>Terms taken from aifree.dev directory; official program page not opened this session. Confirm on provider site before applying.</t>
        </is>
      </c>
      <c r="AV36" s="19" t="inlineStr">
        <is>
          <t>DG-INDENT</t>
        </is>
      </c>
    </row>
    <row r="37" ht="35.05" customHeight="1" s="17">
      <c r="A37" s="19" t="inlineStr">
        <is>
          <t>SB-036</t>
        </is>
      </c>
      <c r="B37" s="19" t="inlineStr">
        <is>
          <t>LangChain (LangSmith)</t>
        </is>
      </c>
      <c r="C37" s="19" t="inlineStr">
        <is>
          <t>LangSmith for Startups</t>
        </is>
      </c>
      <c r="D37" s="19" t="inlineStr">
        <is>
          <t>Not stated</t>
        </is>
      </c>
      <c r="E37" s="19" t="inlineStr">
        <is>
          <t>AI &amp; LLM Credits</t>
        </is>
      </c>
      <c r="F37" s="19" t="inlineStr">
        <is>
          <t>LLM observability/evals credits</t>
        </is>
      </c>
      <c r="G37" s="19" t="inlineStr">
        <is>
          <t>Startup credits (startup-specific)</t>
        </is>
      </c>
      <c r="H37" s="19" t="inlineStr">
        <is>
          <t>$10K credits valid 1 year (2 years for YC companies); first-time LangSmith customers.</t>
        </is>
      </c>
      <c r="I37" s="22" t="n">
        <v>10000</v>
      </c>
      <c r="J37" s="19" t="inlineStr">
        <is>
          <t>USD</t>
        </is>
      </c>
      <c r="K37" s="19" t="inlineStr">
        <is>
          <t>Credits</t>
        </is>
      </c>
      <c r="L37" s="22" t="n"/>
      <c r="M37" s="22" t="n">
        <v>10000</v>
      </c>
      <c r="N37" s="19" t="n"/>
      <c r="O37" s="19" t="inlineStr">
        <is>
          <t>Not stated</t>
        </is>
      </c>
      <c r="P37" s="19" t="inlineStr">
        <is>
          <t>1 year (2 for YC)</t>
        </is>
      </c>
      <c r="Q37" s="23" t="n"/>
      <c r="R37" s="19" t="inlineStr">
        <is>
          <t>Open</t>
        </is>
      </c>
      <c r="S37" s="19" t="inlineStr">
        <is>
          <t>Not verified this session</t>
        </is>
      </c>
      <c r="T37" s="19" t="inlineStr">
        <is>
          <t>Not verified this session</t>
        </is>
      </c>
      <c r="U37" s="19" t="inlineStr">
        <is>
          <t>Not stated</t>
        </is>
      </c>
      <c r="V37" s="19" t="inlineStr">
        <is>
          <t>Not stated</t>
        </is>
      </c>
      <c r="W37" s="19" t="inlineStr">
        <is>
          <t>Not stated</t>
        </is>
      </c>
      <c r="X37" s="19" t="inlineStr">
        <is>
          <t>Unknown</t>
        </is>
      </c>
      <c r="Y37" s="19" t="inlineStr">
        <is>
          <t>Unknown</t>
        </is>
      </c>
      <c r="Z37" s="19" t="inlineStr">
        <is>
          <t>Not stated</t>
        </is>
      </c>
      <c r="AA37" s="19" t="inlineStr">
        <is>
          <t>Unverified</t>
        </is>
      </c>
      <c r="AB37" s="19" t="inlineStr">
        <is>
          <t>Unknown</t>
        </is>
      </c>
      <c r="AC37" s="19" t="inlineStr">
        <is>
          <t>Unknown</t>
        </is>
      </c>
      <c r="AD37" s="19" t="inlineStr">
        <is>
          <t>Yes</t>
        </is>
      </c>
      <c r="AE37" s="19" t="inlineStr">
        <is>
          <t>Unknown</t>
        </is>
      </c>
      <c r="AF37" s="19" t="inlineStr">
        <is>
          <t>Not stated</t>
        </is>
      </c>
      <c r="AG37" s="19" t="inlineStr">
        <is>
          <t>Not stated</t>
        </is>
      </c>
      <c r="AH37" s="19" t="inlineStr">
        <is>
          <t>Not stated</t>
        </is>
      </c>
      <c r="AI37" s="19" t="inlineStr">
        <is>
          <t>Not stated</t>
        </is>
      </c>
      <c r="AJ37" s="19" t="inlineStr">
        <is>
          <t>Not stated</t>
        </is>
      </c>
      <c r="AK37" s="19" t="inlineStr">
        <is>
          <t>No card required</t>
        </is>
      </c>
      <c r="AL37" s="19" t="inlineStr">
        <is>
          <t>Not stated</t>
        </is>
      </c>
      <c r="AM37" s="24" t="inlineStr">
        <is>
          <t>https://aifree.dev/offer/langsmith-for-startups</t>
        </is>
      </c>
      <c r="AN37" s="24" t="inlineStr">
        <is>
          <t>https://aifree.dev/startup-ai-credits</t>
        </is>
      </c>
      <c r="AO37" s="19" t="inlineStr">
        <is>
          <t>Directory listing (verified Oct 2026 per directory): $10K credits valid 1 year (2 years for YC companies); first-time LangSmith customers.</t>
        </is>
      </c>
      <c r="AP37" s="23" t="n">
        <v>46319</v>
      </c>
      <c r="AQ37" s="19" t="inlineStr">
        <is>
          <t>Medium</t>
        </is>
      </c>
      <c r="AR37" s="19" t="inlineStr">
        <is>
          <t>Directory</t>
        </is>
      </c>
      <c r="AS37" s="19" t="inlineStr">
        <is>
          <t>Global (unverified)</t>
        </is>
      </c>
      <c r="AT37" s="19" t="inlineStr">
        <is>
          <t>ai,observability,evals</t>
        </is>
      </c>
      <c r="AU37" s="19" t="inlineStr">
        <is>
          <t>Terms taken from aifree.dev directory; official program page not opened this session. Confirm on provider site before applying.</t>
        </is>
      </c>
      <c r="AV37" s="19" t="inlineStr">
        <is>
          <t>DG-LANGSMITH</t>
        </is>
      </c>
    </row>
    <row r="38" ht="46.25" customHeight="1" s="17">
      <c r="A38" s="19" t="inlineStr">
        <is>
          <t>SB-037</t>
        </is>
      </c>
      <c r="B38" s="19" t="inlineStr">
        <is>
          <t>Sanity</t>
        </is>
      </c>
      <c r="C38" s="19" t="inlineStr">
        <is>
          <t>Sanity Startup Program</t>
        </is>
      </c>
      <c r="D38" s="19" t="inlineStr">
        <is>
          <t>Not stated</t>
        </is>
      </c>
      <c r="E38" s="19" t="inlineStr">
        <is>
          <t>SaaS &amp; Marketing</t>
        </is>
      </c>
      <c r="F38" s="19" t="inlineStr">
        <is>
          <t>Headless CMS credits</t>
        </is>
      </c>
      <c r="G38" s="19" t="inlineStr">
        <is>
          <t>Startup credits (startup-specific)</t>
        </is>
      </c>
      <c r="H38" s="19" t="inlineStr">
        <is>
          <t>$9,000 for companies with fewer than 20 employees, under $5M funding, not a current paying customer.</t>
        </is>
      </c>
      <c r="I38" s="22" t="n">
        <v>9000</v>
      </c>
      <c r="J38" s="19" t="inlineStr">
        <is>
          <t>USD</t>
        </is>
      </c>
      <c r="K38" s="19" t="inlineStr">
        <is>
          <t>Credits</t>
        </is>
      </c>
      <c r="L38" s="22" t="n"/>
      <c r="M38" s="22" t="n">
        <v>9000</v>
      </c>
      <c r="N38" s="19" t="n"/>
      <c r="O38" s="19" t="inlineStr">
        <is>
          <t>Not stated</t>
        </is>
      </c>
      <c r="P38" s="19" t="inlineStr">
        <is>
          <t>Not stated</t>
        </is>
      </c>
      <c r="Q38" s="23" t="n"/>
      <c r="R38" s="19" t="inlineStr">
        <is>
          <t>Open</t>
        </is>
      </c>
      <c r="S38" s="19" t="inlineStr">
        <is>
          <t>Not verified this session</t>
        </is>
      </c>
      <c r="T38" s="19" t="inlineStr">
        <is>
          <t>Not verified this session</t>
        </is>
      </c>
      <c r="U38" s="19" t="inlineStr">
        <is>
          <t>Not stated</t>
        </is>
      </c>
      <c r="V38" s="19" t="inlineStr">
        <is>
          <t>Not stated</t>
        </is>
      </c>
      <c r="W38" s="19" t="inlineStr">
        <is>
          <t>&lt;20 employees, &lt;$5M funding</t>
        </is>
      </c>
      <c r="X38" s="19" t="inlineStr">
        <is>
          <t>Unknown</t>
        </is>
      </c>
      <c r="Y38" s="19" t="inlineStr">
        <is>
          <t>Unknown</t>
        </is>
      </c>
      <c r="Z38" s="19" t="inlineStr">
        <is>
          <t>Not stated</t>
        </is>
      </c>
      <c r="AA38" s="19" t="inlineStr">
        <is>
          <t>Unverified</t>
        </is>
      </c>
      <c r="AB38" s="19" t="inlineStr">
        <is>
          <t>Unknown</t>
        </is>
      </c>
      <c r="AC38" s="19" t="inlineStr">
        <is>
          <t>Unknown</t>
        </is>
      </c>
      <c r="AD38" s="19" t="inlineStr">
        <is>
          <t>No</t>
        </is>
      </c>
      <c r="AE38" s="19" t="inlineStr">
        <is>
          <t>Unknown</t>
        </is>
      </c>
      <c r="AF38" s="19" t="inlineStr">
        <is>
          <t>Not stated</t>
        </is>
      </c>
      <c r="AG38" s="19" t="inlineStr">
        <is>
          <t>Not stated</t>
        </is>
      </c>
      <c r="AH38" s="19" t="inlineStr">
        <is>
          <t>Not stated</t>
        </is>
      </c>
      <c r="AI38" s="19" t="inlineStr">
        <is>
          <t>Not stated</t>
        </is>
      </c>
      <c r="AJ38" s="19" t="inlineStr">
        <is>
          <t>Not stated</t>
        </is>
      </c>
      <c r="AK38" s="19" t="inlineStr">
        <is>
          <t>No card required</t>
        </is>
      </c>
      <c r="AL38" s="19" t="inlineStr">
        <is>
          <t>Not stated</t>
        </is>
      </c>
      <c r="AM38" s="24" t="inlineStr">
        <is>
          <t>https://aifree.dev/offer/sanity-startup-program</t>
        </is>
      </c>
      <c r="AN38" s="24" t="inlineStr">
        <is>
          <t>https://aifree.dev/startup-ai-credits</t>
        </is>
      </c>
      <c r="AO38" s="19" t="inlineStr">
        <is>
          <t>Directory listing (verified Oct 2026 per directory): $9,000 for companies with fewer than 20 employees, under $5M funding, not a current paying customer.</t>
        </is>
      </c>
      <c r="AP38" s="23" t="n">
        <v>46319</v>
      </c>
      <c r="AQ38" s="19" t="inlineStr">
        <is>
          <t>Medium</t>
        </is>
      </c>
      <c r="AR38" s="19" t="inlineStr">
        <is>
          <t>Directory</t>
        </is>
      </c>
      <c r="AS38" s="19" t="inlineStr">
        <is>
          <t>Global (unverified)</t>
        </is>
      </c>
      <c r="AT38" s="19" t="inlineStr">
        <is>
          <t>cms</t>
        </is>
      </c>
      <c r="AU38" s="19" t="inlineStr">
        <is>
          <t>Terms taken from aifree.dev directory; official program page not opened this session. Confirm on provider site before applying.</t>
        </is>
      </c>
      <c r="AV38" s="19" t="inlineStr">
        <is>
          <t>DG-SANITY</t>
        </is>
      </c>
    </row>
    <row r="39" ht="35.05" customHeight="1" s="17">
      <c r="A39" s="19" t="inlineStr">
        <is>
          <t>SB-038</t>
        </is>
      </c>
      <c r="B39" s="19" t="inlineStr">
        <is>
          <t>Sentry</t>
        </is>
      </c>
      <c r="C39" s="19" t="inlineStr">
        <is>
          <t>Sentry for Startups</t>
        </is>
      </c>
      <c r="D39" s="19" t="inlineStr">
        <is>
          <t>Not stated</t>
        </is>
      </c>
      <c r="E39" s="19" t="inlineStr">
        <is>
          <t>Cloud &amp; Infrastructure</t>
        </is>
      </c>
      <c r="F39" s="19" t="inlineStr">
        <is>
          <t>Error monitoring credits</t>
        </is>
      </c>
      <c r="G39" s="19" t="inlineStr">
        <is>
          <t>Startup credits (startup-specific)</t>
        </is>
      </c>
      <c r="H39" s="19" t="inlineStr">
        <is>
          <t>$5,000 credits expiring after 12 months; founded in the last 2 years with under $5M raised.</t>
        </is>
      </c>
      <c r="I39" s="22" t="n">
        <v>5000</v>
      </c>
      <c r="J39" s="19" t="inlineStr">
        <is>
          <t>USD</t>
        </is>
      </c>
      <c r="K39" s="19" t="inlineStr">
        <is>
          <t>Credits</t>
        </is>
      </c>
      <c r="L39" s="22" t="n"/>
      <c r="M39" s="22" t="n">
        <v>5000</v>
      </c>
      <c r="N39" s="19" t="n"/>
      <c r="O39" s="19" t="inlineStr">
        <is>
          <t>Not stated</t>
        </is>
      </c>
      <c r="P39" s="19" t="inlineStr">
        <is>
          <t>12 months</t>
        </is>
      </c>
      <c r="Q39" s="23" t="n"/>
      <c r="R39" s="19" t="inlineStr">
        <is>
          <t>Open</t>
        </is>
      </c>
      <c r="S39" s="19" t="inlineStr">
        <is>
          <t>Not verified this session</t>
        </is>
      </c>
      <c r="T39" s="19" t="inlineStr">
        <is>
          <t>Not verified this session</t>
        </is>
      </c>
      <c r="U39" s="19" t="inlineStr">
        <is>
          <t>Not stated</t>
        </is>
      </c>
      <c r="V39" s="19" t="inlineStr">
        <is>
          <t>Not stated</t>
        </is>
      </c>
      <c r="W39" s="19" t="inlineStr">
        <is>
          <t>Founded &lt;2 years, &lt;$5M raised</t>
        </is>
      </c>
      <c r="X39" s="19" t="inlineStr">
        <is>
          <t>Unknown</t>
        </is>
      </c>
      <c r="Y39" s="19" t="inlineStr">
        <is>
          <t>Unknown</t>
        </is>
      </c>
      <c r="Z39" s="19" t="inlineStr">
        <is>
          <t>Not stated</t>
        </is>
      </c>
      <c r="AA39" s="19" t="inlineStr">
        <is>
          <t>Unverified</t>
        </is>
      </c>
      <c r="AB39" s="19" t="inlineStr">
        <is>
          <t>Unknown</t>
        </is>
      </c>
      <c r="AC39" s="19" t="inlineStr">
        <is>
          <t>Unknown</t>
        </is>
      </c>
      <c r="AD39" s="19" t="inlineStr">
        <is>
          <t>No</t>
        </is>
      </c>
      <c r="AE39" s="19" t="inlineStr">
        <is>
          <t>Unknown</t>
        </is>
      </c>
      <c r="AF39" s="19" t="inlineStr">
        <is>
          <t>Not stated</t>
        </is>
      </c>
      <c r="AG39" s="19" t="inlineStr">
        <is>
          <t>Not stated</t>
        </is>
      </c>
      <c r="AH39" s="19" t="inlineStr">
        <is>
          <t>Not stated</t>
        </is>
      </c>
      <c r="AI39" s="19" t="inlineStr">
        <is>
          <t>Not stated</t>
        </is>
      </c>
      <c r="AJ39" s="19" t="inlineStr">
        <is>
          <t>Not stated</t>
        </is>
      </c>
      <c r="AK39" s="19" t="inlineStr">
        <is>
          <t>No card required</t>
        </is>
      </c>
      <c r="AL39" s="19" t="inlineStr">
        <is>
          <t>Not stated</t>
        </is>
      </c>
      <c r="AM39" s="24" t="inlineStr">
        <is>
          <t>https://aifree.dev/offer/sentry-for-startups</t>
        </is>
      </c>
      <c r="AN39" s="24" t="inlineStr">
        <is>
          <t>https://aifree.dev/startup-ai-credits</t>
        </is>
      </c>
      <c r="AO39" s="19" t="inlineStr">
        <is>
          <t>Directory listing (verified Oct 2026 per directory): $5,000 credits expiring after 12 months; founded in the last 2 years with under $5M raised.</t>
        </is>
      </c>
      <c r="AP39" s="23" t="n">
        <v>46319</v>
      </c>
      <c r="AQ39" s="19" t="inlineStr">
        <is>
          <t>Medium</t>
        </is>
      </c>
      <c r="AR39" s="19" t="inlineStr">
        <is>
          <t>Directory</t>
        </is>
      </c>
      <c r="AS39" s="19" t="inlineStr">
        <is>
          <t>Global (unverified)</t>
        </is>
      </c>
      <c r="AT39" s="19" t="inlineStr">
        <is>
          <t>monitoring</t>
        </is>
      </c>
      <c r="AU39" s="19" t="inlineStr">
        <is>
          <t>Terms taken from aifree.dev directory; official program page not opened this session. Confirm on provider site before applying.</t>
        </is>
      </c>
      <c r="AV39" s="19" t="inlineStr">
        <is>
          <t>DG-SENTRY</t>
        </is>
      </c>
    </row>
    <row r="40" ht="35.05" customHeight="1" s="17">
      <c r="A40" s="19" t="inlineStr">
        <is>
          <t>SB-039</t>
        </is>
      </c>
      <c r="B40" s="19" t="inlineStr">
        <is>
          <t>fal</t>
        </is>
      </c>
      <c r="C40" s="19" t="inlineStr">
        <is>
          <t>fal Startup Program</t>
        </is>
      </c>
      <c r="D40" s="19" t="inlineStr">
        <is>
          <t>Not stated</t>
        </is>
      </c>
      <c r="E40" s="19" t="inlineStr">
        <is>
          <t>AI &amp; LLM Credits</t>
        </is>
      </c>
      <c r="F40" s="19" t="inlineStr">
        <is>
          <t>Generative media inference credits</t>
        </is>
      </c>
      <c r="G40" s="19" t="inlineStr">
        <is>
          <t>Startup credits (startup-specific)</t>
        </is>
      </c>
      <c r="H40" s="19" t="inlineStr">
        <is>
          <t>Starts at $1,000; $2,500 unlocks at $1,000/month spend; $5,000 at $2,500/month spend.</t>
        </is>
      </c>
      <c r="I40" s="22" t="n">
        <v>5000</v>
      </c>
      <c r="J40" s="19" t="inlineStr">
        <is>
          <t>USD</t>
        </is>
      </c>
      <c r="K40" s="19" t="inlineStr">
        <is>
          <t>Credits</t>
        </is>
      </c>
      <c r="L40" s="22" t="n">
        <v>1000</v>
      </c>
      <c r="M40" s="22" t="n">
        <v>1000</v>
      </c>
      <c r="N40" s="19" t="n"/>
      <c r="O40" s="19" t="inlineStr">
        <is>
          <t>Not stated</t>
        </is>
      </c>
      <c r="P40" s="19" t="inlineStr">
        <is>
          <t>Not stated</t>
        </is>
      </c>
      <c r="Q40" s="23" t="n"/>
      <c r="R40" s="19" t="inlineStr">
        <is>
          <t>Open</t>
        </is>
      </c>
      <c r="S40" s="19" t="inlineStr">
        <is>
          <t>Not verified this session</t>
        </is>
      </c>
      <c r="T40" s="19" t="inlineStr">
        <is>
          <t>Not verified this session</t>
        </is>
      </c>
      <c r="U40" s="19" t="inlineStr">
        <is>
          <t>Not stated</t>
        </is>
      </c>
      <c r="V40" s="19" t="inlineStr">
        <is>
          <t>Not stated</t>
        </is>
      </c>
      <c r="W40" s="19" t="inlineStr">
        <is>
          <t>Not stated</t>
        </is>
      </c>
      <c r="X40" s="19" t="inlineStr">
        <is>
          <t>Unknown</t>
        </is>
      </c>
      <c r="Y40" s="19" t="inlineStr">
        <is>
          <t>Unknown</t>
        </is>
      </c>
      <c r="Z40" s="19" t="inlineStr">
        <is>
          <t>Not stated</t>
        </is>
      </c>
      <c r="AA40" s="19" t="inlineStr">
        <is>
          <t>Unverified</t>
        </is>
      </c>
      <c r="AB40" s="19" t="inlineStr">
        <is>
          <t>Unknown</t>
        </is>
      </c>
      <c r="AC40" s="19" t="inlineStr">
        <is>
          <t>Unknown</t>
        </is>
      </c>
      <c r="AD40" s="19" t="inlineStr">
        <is>
          <t>Yes</t>
        </is>
      </c>
      <c r="AE40" s="19" t="inlineStr">
        <is>
          <t>Unknown</t>
        </is>
      </c>
      <c r="AF40" s="19" t="inlineStr">
        <is>
          <t>Not stated</t>
        </is>
      </c>
      <c r="AG40" s="19" t="inlineStr">
        <is>
          <t>Not stated</t>
        </is>
      </c>
      <c r="AH40" s="19" t="inlineStr">
        <is>
          <t>Not stated</t>
        </is>
      </c>
      <c r="AI40" s="19" t="inlineStr">
        <is>
          <t>Not stated</t>
        </is>
      </c>
      <c r="AJ40" s="19" t="inlineStr">
        <is>
          <t>Not stated</t>
        </is>
      </c>
      <c r="AK40" s="19" t="inlineStr">
        <is>
          <t>No card required</t>
        </is>
      </c>
      <c r="AL40" s="19" t="inlineStr">
        <is>
          <t>Not stated</t>
        </is>
      </c>
      <c r="AM40" s="24" t="inlineStr">
        <is>
          <t>https://aifree.dev/offer/fal-startup-program</t>
        </is>
      </c>
      <c r="AN40" s="24" t="inlineStr">
        <is>
          <t>https://aifree.dev/startup-ai-credits</t>
        </is>
      </c>
      <c r="AO40" s="19" t="inlineStr">
        <is>
          <t>Directory listing (verified Oct 2026 per directory): Starts at $1,000; $2,500 unlocks at $1,000/month spend; $5,000 at $2,500/month spend.</t>
        </is>
      </c>
      <c r="AP40" s="23" t="n">
        <v>46319</v>
      </c>
      <c r="AQ40" s="19" t="inlineStr">
        <is>
          <t>Medium</t>
        </is>
      </c>
      <c r="AR40" s="19" t="inlineStr">
        <is>
          <t>Directory</t>
        </is>
      </c>
      <c r="AS40" s="19" t="inlineStr">
        <is>
          <t>Global (unverified)</t>
        </is>
      </c>
      <c r="AT40" s="19" t="inlineStr">
        <is>
          <t>ai,image,video</t>
        </is>
      </c>
      <c r="AU40" s="19" t="inlineStr">
        <is>
          <t>Terms taken from aifree.dev directory; official program page not opened this session. Confirm on provider site before applying.</t>
        </is>
      </c>
      <c r="AV40" s="19" t="inlineStr">
        <is>
          <t>DG-FAL</t>
        </is>
      </c>
    </row>
    <row r="41" ht="35.05" customHeight="1" s="17">
      <c r="A41" s="19" t="inlineStr">
        <is>
          <t>SB-040</t>
        </is>
      </c>
      <c r="B41" s="19" t="inlineStr">
        <is>
          <t>RunPod</t>
        </is>
      </c>
      <c r="C41" s="19" t="inlineStr">
        <is>
          <t>RunPod Startup Program</t>
        </is>
      </c>
      <c r="D41" s="19" t="inlineStr">
        <is>
          <t>Not stated</t>
        </is>
      </c>
      <c r="E41" s="19" t="inlineStr">
        <is>
          <t>Cloud &amp; Infrastructure</t>
        </is>
      </c>
      <c r="F41" s="19" t="inlineStr">
        <is>
          <t>GPU cloud credits</t>
        </is>
      </c>
      <c r="G41" s="19" t="inlineStr">
        <is>
          <t>Startup credits (startup-specific)</t>
        </is>
      </c>
      <c r="H41" s="19" t="inlineStr">
        <is>
          <t>Starter $1,000 in credits, aimed at pre-Series A startups.</t>
        </is>
      </c>
      <c r="I41" s="22" t="n">
        <v>1000</v>
      </c>
      <c r="J41" s="19" t="inlineStr">
        <is>
          <t>USD</t>
        </is>
      </c>
      <c r="K41" s="19" t="inlineStr">
        <is>
          <t>Credits</t>
        </is>
      </c>
      <c r="L41" s="22" t="n"/>
      <c r="M41" s="22" t="n">
        <v>1000</v>
      </c>
      <c r="N41" s="19" t="n"/>
      <c r="O41" s="19" t="inlineStr">
        <is>
          <t>Not stated</t>
        </is>
      </c>
      <c r="P41" s="19" t="inlineStr">
        <is>
          <t>Not stated</t>
        </is>
      </c>
      <c r="Q41" s="23" t="n"/>
      <c r="R41" s="19" t="inlineStr">
        <is>
          <t>Open</t>
        </is>
      </c>
      <c r="S41" s="19" t="inlineStr">
        <is>
          <t>Not verified this session</t>
        </is>
      </c>
      <c r="T41" s="19" t="inlineStr">
        <is>
          <t>Not verified this session</t>
        </is>
      </c>
      <c r="U41" s="19" t="inlineStr">
        <is>
          <t>Not stated</t>
        </is>
      </c>
      <c r="V41" s="19" t="inlineStr">
        <is>
          <t>Not stated</t>
        </is>
      </c>
      <c r="W41" s="19" t="inlineStr">
        <is>
          <t>Pre-Series A</t>
        </is>
      </c>
      <c r="X41" s="19" t="inlineStr">
        <is>
          <t>Unknown</t>
        </is>
      </c>
      <c r="Y41" s="19" t="inlineStr">
        <is>
          <t>Unknown</t>
        </is>
      </c>
      <c r="Z41" s="19" t="inlineStr">
        <is>
          <t>Not stated</t>
        </is>
      </c>
      <c r="AA41" s="19" t="inlineStr">
        <is>
          <t>Unverified</t>
        </is>
      </c>
      <c r="AB41" s="19" t="inlineStr">
        <is>
          <t>Unknown</t>
        </is>
      </c>
      <c r="AC41" s="19" t="inlineStr">
        <is>
          <t>Unknown</t>
        </is>
      </c>
      <c r="AD41" s="19" t="inlineStr">
        <is>
          <t>No</t>
        </is>
      </c>
      <c r="AE41" s="19" t="inlineStr">
        <is>
          <t>Unknown</t>
        </is>
      </c>
      <c r="AF41" s="19" t="inlineStr">
        <is>
          <t>Not stated</t>
        </is>
      </c>
      <c r="AG41" s="19" t="inlineStr">
        <is>
          <t>Not stated</t>
        </is>
      </c>
      <c r="AH41" s="19" t="inlineStr">
        <is>
          <t>Not stated</t>
        </is>
      </c>
      <c r="AI41" s="19" t="inlineStr">
        <is>
          <t>Not stated</t>
        </is>
      </c>
      <c r="AJ41" s="19" t="inlineStr">
        <is>
          <t>Not stated</t>
        </is>
      </c>
      <c r="AK41" s="19" t="inlineStr">
        <is>
          <t>No card required</t>
        </is>
      </c>
      <c r="AL41" s="19" t="inlineStr">
        <is>
          <t>Not stated</t>
        </is>
      </c>
      <c r="AM41" s="24" t="inlineStr">
        <is>
          <t>https://aifree.dev/offer/runpod-startup-program</t>
        </is>
      </c>
      <c r="AN41" s="24" t="inlineStr">
        <is>
          <t>https://aifree.dev/startup-ai-credits</t>
        </is>
      </c>
      <c r="AO41" s="19" t="inlineStr">
        <is>
          <t>Directory listing (verified Oct 2026 per directory): Starter $1,000 in credits, aimed at pre-Series A startups.</t>
        </is>
      </c>
      <c r="AP41" s="23" t="n">
        <v>46319</v>
      </c>
      <c r="AQ41" s="19" t="inlineStr">
        <is>
          <t>Medium</t>
        </is>
      </c>
      <c r="AR41" s="19" t="inlineStr">
        <is>
          <t>Directory</t>
        </is>
      </c>
      <c r="AS41" s="19" t="inlineStr">
        <is>
          <t>Global (unverified)</t>
        </is>
      </c>
      <c r="AT41" s="19" t="inlineStr">
        <is>
          <t>gpu</t>
        </is>
      </c>
      <c r="AU41" s="19" t="inlineStr">
        <is>
          <t>Terms taken from aifree.dev directory; official program page not opened this session. Confirm on provider site before applying.</t>
        </is>
      </c>
      <c r="AV41" s="19" t="inlineStr">
        <is>
          <t>DG-RUNPOD</t>
        </is>
      </c>
    </row>
    <row r="42" ht="35.05" customHeight="1" s="17">
      <c r="A42" s="19" t="inlineStr">
        <is>
          <t>SB-041</t>
        </is>
      </c>
      <c r="B42" s="19" t="inlineStr">
        <is>
          <t>Runware</t>
        </is>
      </c>
      <c r="C42" s="19" t="inlineStr">
        <is>
          <t>Runware Startup Program</t>
        </is>
      </c>
      <c r="D42" s="19" t="inlineStr">
        <is>
          <t>Not stated</t>
        </is>
      </c>
      <c r="E42" s="19" t="inlineStr">
        <is>
          <t>AI &amp; LLM Credits</t>
        </is>
      </c>
      <c r="F42" s="19" t="inlineStr">
        <is>
          <t>Image/video API credits</t>
        </is>
      </c>
      <c r="G42" s="19" t="inlineStr">
        <is>
          <t>Startup credits (startup-specific)</t>
        </is>
      </c>
      <c r="H42" s="19" t="inlineStr">
        <is>
          <t>Starter: up to $1,000 free credits, no deposit, awarded in $100 steps.</t>
        </is>
      </c>
      <c r="I42" s="22" t="n">
        <v>1000</v>
      </c>
      <c r="J42" s="19" t="inlineStr">
        <is>
          <t>USD</t>
        </is>
      </c>
      <c r="K42" s="19" t="inlineStr">
        <is>
          <t>Credits</t>
        </is>
      </c>
      <c r="L42" s="22" t="n"/>
      <c r="M42" s="22" t="n">
        <v>1000</v>
      </c>
      <c r="N42" s="19" t="n"/>
      <c r="O42" s="19" t="inlineStr">
        <is>
          <t>Not stated</t>
        </is>
      </c>
      <c r="P42" s="19" t="inlineStr">
        <is>
          <t>Not stated</t>
        </is>
      </c>
      <c r="Q42" s="23" t="n"/>
      <c r="R42" s="19" t="inlineStr">
        <is>
          <t>Open</t>
        </is>
      </c>
      <c r="S42" s="19" t="inlineStr">
        <is>
          <t>Not verified this session</t>
        </is>
      </c>
      <c r="T42" s="19" t="inlineStr">
        <is>
          <t>Not verified this session</t>
        </is>
      </c>
      <c r="U42" s="19" t="inlineStr">
        <is>
          <t>Not stated</t>
        </is>
      </c>
      <c r="V42" s="19" t="inlineStr">
        <is>
          <t>Not stated</t>
        </is>
      </c>
      <c r="W42" s="19" t="inlineStr">
        <is>
          <t>Not stated</t>
        </is>
      </c>
      <c r="X42" s="19" t="inlineStr">
        <is>
          <t>Unknown</t>
        </is>
      </c>
      <c r="Y42" s="19" t="inlineStr">
        <is>
          <t>Unknown</t>
        </is>
      </c>
      <c r="Z42" s="19" t="inlineStr">
        <is>
          <t>Not stated</t>
        </is>
      </c>
      <c r="AA42" s="19" t="inlineStr">
        <is>
          <t>Unverified</t>
        </is>
      </c>
      <c r="AB42" s="19" t="inlineStr">
        <is>
          <t>Unknown</t>
        </is>
      </c>
      <c r="AC42" s="19" t="inlineStr">
        <is>
          <t>Unknown</t>
        </is>
      </c>
      <c r="AD42" s="19" t="inlineStr">
        <is>
          <t>Yes</t>
        </is>
      </c>
      <c r="AE42" s="19" t="inlineStr">
        <is>
          <t>Unknown</t>
        </is>
      </c>
      <c r="AF42" s="19" t="inlineStr">
        <is>
          <t>Not stated</t>
        </is>
      </c>
      <c r="AG42" s="19" t="inlineStr">
        <is>
          <t>Not stated</t>
        </is>
      </c>
      <c r="AH42" s="19" t="inlineStr">
        <is>
          <t>Not stated</t>
        </is>
      </c>
      <c r="AI42" s="19" t="inlineStr">
        <is>
          <t>Not stated</t>
        </is>
      </c>
      <c r="AJ42" s="19" t="inlineStr">
        <is>
          <t>Not stated</t>
        </is>
      </c>
      <c r="AK42" s="19" t="inlineStr">
        <is>
          <t>No card required</t>
        </is>
      </c>
      <c r="AL42" s="19" t="inlineStr">
        <is>
          <t>Not stated</t>
        </is>
      </c>
      <c r="AM42" s="24" t="inlineStr">
        <is>
          <t>https://aifree.dev/offer/runware-grant-program</t>
        </is>
      </c>
      <c r="AN42" s="24" t="inlineStr">
        <is>
          <t>https://aifree.dev/startup-ai-credits</t>
        </is>
      </c>
      <c r="AO42" s="19" t="inlineStr">
        <is>
          <t>Directory listing (verified Oct 2026 per directory): Starter: up to $1,000 free credits, no deposit, awarded in $100 steps.</t>
        </is>
      </c>
      <c r="AP42" s="23" t="n">
        <v>46319</v>
      </c>
      <c r="AQ42" s="19" t="inlineStr">
        <is>
          <t>Medium</t>
        </is>
      </c>
      <c r="AR42" s="19" t="inlineStr">
        <is>
          <t>Directory</t>
        </is>
      </c>
      <c r="AS42" s="19" t="inlineStr">
        <is>
          <t>Global (unverified)</t>
        </is>
      </c>
      <c r="AT42" s="19" t="inlineStr">
        <is>
          <t>ai,image</t>
        </is>
      </c>
      <c r="AU42" s="19" t="inlineStr">
        <is>
          <t>Terms taken from aifree.dev directory; official program page not opened this session. Confirm on provider site before applying.</t>
        </is>
      </c>
      <c r="AV42" s="19" t="inlineStr">
        <is>
          <t>DG-RUNWARE</t>
        </is>
      </c>
    </row>
    <row r="43" ht="35.05" customHeight="1" s="17">
      <c r="A43" s="19" t="inlineStr">
        <is>
          <t>SB-042</t>
        </is>
      </c>
      <c r="B43" s="19" t="inlineStr">
        <is>
          <t>UpCloud</t>
        </is>
      </c>
      <c r="C43" s="19" t="inlineStr">
        <is>
          <t>UpCloud free trial credits</t>
        </is>
      </c>
      <c r="D43" s="19" t="inlineStr">
        <is>
          <t>Not stated</t>
        </is>
      </c>
      <c r="E43" s="19" t="inlineStr">
        <is>
          <t>Cloud &amp; Infrastructure</t>
        </is>
      </c>
      <c r="F43" s="19" t="inlineStr">
        <is>
          <t>Trial credit</t>
        </is>
      </c>
      <c r="G43" s="19" t="inlineStr">
        <is>
          <t>Free trial credit (not startup-exclusive)</t>
        </is>
      </c>
      <c r="H43" s="19" t="inlineStr">
        <is>
          <t>Up to $500 trial credit; standard trial 7 days, promotion may extend to 30 days.</t>
        </is>
      </c>
      <c r="I43" s="22" t="n">
        <v>500</v>
      </c>
      <c r="J43" s="19" t="inlineStr">
        <is>
          <t>USD</t>
        </is>
      </c>
      <c r="K43" s="19" t="inlineStr">
        <is>
          <t>Credits</t>
        </is>
      </c>
      <c r="L43" s="22" t="n"/>
      <c r="M43" s="22" t="n"/>
      <c r="N43" s="19" t="n"/>
      <c r="O43" s="19" t="inlineStr">
        <is>
          <t>Yes</t>
        </is>
      </c>
      <c r="P43" s="19" t="inlineStr">
        <is>
          <t>1 month (promo)</t>
        </is>
      </c>
      <c r="Q43" s="23" t="n"/>
      <c r="R43" s="19" t="inlineStr">
        <is>
          <t>Open</t>
        </is>
      </c>
      <c r="S43" s="19" t="inlineStr">
        <is>
          <t>Not verified this session</t>
        </is>
      </c>
      <c r="T43" s="19" t="inlineStr">
        <is>
          <t>Not verified this session</t>
        </is>
      </c>
      <c r="U43" s="19" t="inlineStr">
        <is>
          <t>Not stated</t>
        </is>
      </c>
      <c r="V43" s="19" t="inlineStr">
        <is>
          <t>Not stated</t>
        </is>
      </c>
      <c r="W43" s="19" t="inlineStr">
        <is>
          <t>Not stated</t>
        </is>
      </c>
      <c r="X43" s="19" t="inlineStr">
        <is>
          <t>Unknown</t>
        </is>
      </c>
      <c r="Y43" s="19" t="inlineStr">
        <is>
          <t>Unknown</t>
        </is>
      </c>
      <c r="Z43" s="19" t="inlineStr">
        <is>
          <t>Not stated</t>
        </is>
      </c>
      <c r="AA43" s="19" t="inlineStr">
        <is>
          <t>Unverified</t>
        </is>
      </c>
      <c r="AB43" s="19" t="inlineStr">
        <is>
          <t>Unknown</t>
        </is>
      </c>
      <c r="AC43" s="19" t="inlineStr">
        <is>
          <t>Unknown</t>
        </is>
      </c>
      <c r="AD43" s="19" t="inlineStr">
        <is>
          <t>No</t>
        </is>
      </c>
      <c r="AE43" s="19" t="inlineStr">
        <is>
          <t>Unknown</t>
        </is>
      </c>
      <c r="AF43" s="19" t="inlineStr">
        <is>
          <t>Not stated</t>
        </is>
      </c>
      <c r="AG43" s="19" t="inlineStr">
        <is>
          <t>Not stated</t>
        </is>
      </c>
      <c r="AH43" s="19" t="inlineStr">
        <is>
          <t>Not stated</t>
        </is>
      </c>
      <c r="AI43" s="19" t="inlineStr">
        <is>
          <t>Not stated</t>
        </is>
      </c>
      <c r="AJ43" s="19" t="inlineStr">
        <is>
          <t>Not stated</t>
        </is>
      </c>
      <c r="AK43" s="19" t="inlineStr">
        <is>
          <t>Card required</t>
        </is>
      </c>
      <c r="AL43" s="19" t="inlineStr">
        <is>
          <t>Not stated</t>
        </is>
      </c>
      <c r="AM43" s="24" t="inlineStr">
        <is>
          <t>https://aifree.dev/offer/upcloud-free-trial-credits</t>
        </is>
      </c>
      <c r="AN43" s="24" t="inlineStr">
        <is>
          <t>https://aifree.dev/startup-ai-credits</t>
        </is>
      </c>
      <c r="AO43" s="19" t="inlineStr">
        <is>
          <t>Directory listing (verified Oct 2026 per directory): Up to $500 trial credit; standard trial 7 days, promotion may extend to 30 days.</t>
        </is>
      </c>
      <c r="AP43" s="23" t="n">
        <v>46319</v>
      </c>
      <c r="AQ43" s="19" t="inlineStr">
        <is>
          <t>Medium</t>
        </is>
      </c>
      <c r="AR43" s="19" t="inlineStr">
        <is>
          <t>Directory</t>
        </is>
      </c>
      <c r="AS43" s="19" t="inlineStr">
        <is>
          <t>Global (unverified)</t>
        </is>
      </c>
      <c r="AT43" s="19" t="inlineStr">
        <is>
          <t>Not stated</t>
        </is>
      </c>
      <c r="AU43" s="19" t="inlineStr">
        <is>
          <t>Terms taken from aifree.dev directory; official program page not opened this session. Confirm on provider site before applying.</t>
        </is>
      </c>
      <c r="AV43" s="19" t="inlineStr">
        <is>
          <t>DG-T-UPCLOUD-FREE-T</t>
        </is>
      </c>
    </row>
    <row r="44" ht="35.05" customHeight="1" s="17">
      <c r="A44" s="19" t="inlineStr">
        <is>
          <t>SB-043</t>
        </is>
      </c>
      <c r="B44" s="19" t="inlineStr">
        <is>
          <t>Google Cloud</t>
        </is>
      </c>
      <c r="C44" s="19" t="inlineStr">
        <is>
          <t>Google Cloud Free Program ($300)</t>
        </is>
      </c>
      <c r="D44" s="19" t="inlineStr">
        <is>
          <t>Not stated</t>
        </is>
      </c>
      <c r="E44" s="19" t="inlineStr">
        <is>
          <t>Cloud &amp; Infrastructure</t>
        </is>
      </c>
      <c r="F44" s="19" t="inlineStr">
        <is>
          <t>Trial credit</t>
        </is>
      </c>
      <c r="G44" s="19" t="inlineStr">
        <is>
          <t>Free trial credit (not startup-exclusive)</t>
        </is>
      </c>
      <c r="H44" s="19" t="inlineStr">
        <is>
          <t>$300 welcome credit consumed within 90 days; no automatic charges unless upgraded.</t>
        </is>
      </c>
      <c r="I44" s="22" t="n">
        <v>300</v>
      </c>
      <c r="J44" s="19" t="inlineStr">
        <is>
          <t>USD</t>
        </is>
      </c>
      <c r="K44" s="19" t="inlineStr">
        <is>
          <t>Credits</t>
        </is>
      </c>
      <c r="L44" s="22" t="n"/>
      <c r="M44" s="22" t="n"/>
      <c r="N44" s="19" t="n"/>
      <c r="O44" s="19" t="inlineStr">
        <is>
          <t>Yes</t>
        </is>
      </c>
      <c r="P44" s="19" t="inlineStr">
        <is>
          <t>90 days</t>
        </is>
      </c>
      <c r="Q44" s="23" t="n"/>
      <c r="R44" s="19" t="inlineStr">
        <is>
          <t>Open</t>
        </is>
      </c>
      <c r="S44" s="19" t="inlineStr">
        <is>
          <t>Not verified this session</t>
        </is>
      </c>
      <c r="T44" s="19" t="inlineStr">
        <is>
          <t>Not verified this session</t>
        </is>
      </c>
      <c r="U44" s="19" t="inlineStr">
        <is>
          <t>Not stated</t>
        </is>
      </c>
      <c r="V44" s="19" t="inlineStr">
        <is>
          <t>Not stated</t>
        </is>
      </c>
      <c r="W44" s="19" t="inlineStr">
        <is>
          <t>Not stated</t>
        </is>
      </c>
      <c r="X44" s="19" t="inlineStr">
        <is>
          <t>Unknown</t>
        </is>
      </c>
      <c r="Y44" s="19" t="inlineStr">
        <is>
          <t>Unknown</t>
        </is>
      </c>
      <c r="Z44" s="19" t="inlineStr">
        <is>
          <t>Not stated</t>
        </is>
      </c>
      <c r="AA44" s="19" t="inlineStr">
        <is>
          <t>Unverified</t>
        </is>
      </c>
      <c r="AB44" s="19" t="inlineStr">
        <is>
          <t>Unknown</t>
        </is>
      </c>
      <c r="AC44" s="19" t="inlineStr">
        <is>
          <t>Unknown</t>
        </is>
      </c>
      <c r="AD44" s="19" t="inlineStr">
        <is>
          <t>No</t>
        </is>
      </c>
      <c r="AE44" s="19" t="inlineStr">
        <is>
          <t>Unknown</t>
        </is>
      </c>
      <c r="AF44" s="19" t="inlineStr">
        <is>
          <t>Not stated</t>
        </is>
      </c>
      <c r="AG44" s="19" t="inlineStr">
        <is>
          <t>Not stated</t>
        </is>
      </c>
      <c r="AH44" s="19" t="inlineStr">
        <is>
          <t>Not stated</t>
        </is>
      </c>
      <c r="AI44" s="19" t="inlineStr">
        <is>
          <t>Not stated</t>
        </is>
      </c>
      <c r="AJ44" s="19" t="inlineStr">
        <is>
          <t>Not stated</t>
        </is>
      </c>
      <c r="AK44" s="19" t="inlineStr">
        <is>
          <t>Card required</t>
        </is>
      </c>
      <c r="AL44" s="19" t="inlineStr">
        <is>
          <t>Not stated</t>
        </is>
      </c>
      <c r="AM44" s="24" t="inlineStr">
        <is>
          <t>https://aifree.dev/offer/google-cloud-free-program</t>
        </is>
      </c>
      <c r="AN44" s="24" t="inlineStr">
        <is>
          <t>https://aifree.dev/startup-ai-credits</t>
        </is>
      </c>
      <c r="AO44" s="19" t="inlineStr">
        <is>
          <t>Directory listing (verified Oct 2026 per directory): $300 welcome credit consumed within 90 days; no automatic charges unless upgraded.</t>
        </is>
      </c>
      <c r="AP44" s="23" t="n">
        <v>46319</v>
      </c>
      <c r="AQ44" s="19" t="inlineStr">
        <is>
          <t>Medium</t>
        </is>
      </c>
      <c r="AR44" s="19" t="inlineStr">
        <is>
          <t>Directory</t>
        </is>
      </c>
      <c r="AS44" s="19" t="inlineStr">
        <is>
          <t>Global (unverified)</t>
        </is>
      </c>
      <c r="AT44" s="19" t="inlineStr">
        <is>
          <t>Not stated</t>
        </is>
      </c>
      <c r="AU44" s="19" t="inlineStr">
        <is>
          <t>Terms taken from aifree.dev directory; official program page not opened this session. Confirm on provider site before applying.</t>
        </is>
      </c>
      <c r="AV44" s="19" t="inlineStr">
        <is>
          <t>DG-T-GOOGLE-CLOUD-F</t>
        </is>
      </c>
    </row>
    <row r="45" ht="35.05" customHeight="1" s="17">
      <c r="A45" s="19" t="inlineStr">
        <is>
          <t>SB-044</t>
        </is>
      </c>
      <c r="B45" s="19" t="inlineStr">
        <is>
          <t>Oracle</t>
        </is>
      </c>
      <c r="C45" s="19" t="inlineStr">
        <is>
          <t>Oracle Cloud Free Tier</t>
        </is>
      </c>
      <c r="D45" s="19" t="inlineStr">
        <is>
          <t>Not stated</t>
        </is>
      </c>
      <c r="E45" s="19" t="inlineStr">
        <is>
          <t>Cloud &amp; Infrastructure</t>
        </is>
      </c>
      <c r="F45" s="19" t="inlineStr">
        <is>
          <t>Trial credit + Always Free</t>
        </is>
      </c>
      <c r="G45" s="19" t="inlineStr">
        <is>
          <t>Free trial credit (not startup-exclusive)</t>
        </is>
      </c>
      <c r="H45" s="19" t="inlineStr">
        <is>
          <t>$300 credit for up to 30 days plus Always Free resources; one account per person.</t>
        </is>
      </c>
      <c r="I45" s="22" t="n">
        <v>300</v>
      </c>
      <c r="J45" s="19" t="inlineStr">
        <is>
          <t>USD</t>
        </is>
      </c>
      <c r="K45" s="19" t="inlineStr">
        <is>
          <t>Credits</t>
        </is>
      </c>
      <c r="L45" s="22" t="n"/>
      <c r="M45" s="22" t="n"/>
      <c r="N45" s="19" t="n"/>
      <c r="O45" s="19" t="inlineStr">
        <is>
          <t>Yes</t>
        </is>
      </c>
      <c r="P45" s="19" t="inlineStr">
        <is>
          <t>30 days</t>
        </is>
      </c>
      <c r="Q45" s="23" t="n"/>
      <c r="R45" s="19" t="inlineStr">
        <is>
          <t>Open</t>
        </is>
      </c>
      <c r="S45" s="19" t="inlineStr">
        <is>
          <t>Not verified this session</t>
        </is>
      </c>
      <c r="T45" s="19" t="inlineStr">
        <is>
          <t>Not verified this session</t>
        </is>
      </c>
      <c r="U45" s="19" t="inlineStr">
        <is>
          <t>Not stated</t>
        </is>
      </c>
      <c r="V45" s="19" t="inlineStr">
        <is>
          <t>Not stated</t>
        </is>
      </c>
      <c r="W45" s="19" t="inlineStr">
        <is>
          <t>Not stated</t>
        </is>
      </c>
      <c r="X45" s="19" t="inlineStr">
        <is>
          <t>Unknown</t>
        </is>
      </c>
      <c r="Y45" s="19" t="inlineStr">
        <is>
          <t>Unknown</t>
        </is>
      </c>
      <c r="Z45" s="19" t="inlineStr">
        <is>
          <t>Not stated</t>
        </is>
      </c>
      <c r="AA45" s="19" t="inlineStr">
        <is>
          <t>Unverified</t>
        </is>
      </c>
      <c r="AB45" s="19" t="inlineStr">
        <is>
          <t>Unknown</t>
        </is>
      </c>
      <c r="AC45" s="19" t="inlineStr">
        <is>
          <t>Unknown</t>
        </is>
      </c>
      <c r="AD45" s="19" t="inlineStr">
        <is>
          <t>No</t>
        </is>
      </c>
      <c r="AE45" s="19" t="inlineStr">
        <is>
          <t>Unknown</t>
        </is>
      </c>
      <c r="AF45" s="19" t="inlineStr">
        <is>
          <t>Not stated</t>
        </is>
      </c>
      <c r="AG45" s="19" t="inlineStr">
        <is>
          <t>Not stated</t>
        </is>
      </c>
      <c r="AH45" s="19" t="inlineStr">
        <is>
          <t>Not stated</t>
        </is>
      </c>
      <c r="AI45" s="19" t="inlineStr">
        <is>
          <t>Not stated</t>
        </is>
      </c>
      <c r="AJ45" s="19" t="inlineStr">
        <is>
          <t>Not stated</t>
        </is>
      </c>
      <c r="AK45" s="19" t="inlineStr">
        <is>
          <t>Card required</t>
        </is>
      </c>
      <c r="AL45" s="19" t="inlineStr">
        <is>
          <t>Not stated</t>
        </is>
      </c>
      <c r="AM45" s="24" t="inlineStr">
        <is>
          <t>https://aifree.dev/offer/oracle-cloud-free-tier</t>
        </is>
      </c>
      <c r="AN45" s="24" t="inlineStr">
        <is>
          <t>https://aifree.dev/startup-ai-credits</t>
        </is>
      </c>
      <c r="AO45" s="19" t="inlineStr">
        <is>
          <t>Directory listing (verified Oct 2026 per directory): $300 credit for up to 30 days plus Always Free resources; one account per person.</t>
        </is>
      </c>
      <c r="AP45" s="23" t="n">
        <v>46319</v>
      </c>
      <c r="AQ45" s="19" t="inlineStr">
        <is>
          <t>Medium</t>
        </is>
      </c>
      <c r="AR45" s="19" t="inlineStr">
        <is>
          <t>Directory</t>
        </is>
      </c>
      <c r="AS45" s="19" t="inlineStr">
        <is>
          <t>Global (unverified)</t>
        </is>
      </c>
      <c r="AT45" s="19" t="inlineStr">
        <is>
          <t>Not stated</t>
        </is>
      </c>
      <c r="AU45" s="19" t="inlineStr">
        <is>
          <t>Terms taken from aifree.dev directory; official program page not opened this session. Confirm on provider site before applying.</t>
        </is>
      </c>
      <c r="AV45" s="19" t="inlineStr">
        <is>
          <t>DG-T-ORACLE-CLOUD-F</t>
        </is>
      </c>
    </row>
    <row r="46" ht="35.05" customHeight="1" s="17">
      <c r="A46" s="19" t="inlineStr">
        <is>
          <t>SB-045</t>
        </is>
      </c>
      <c r="B46" s="19" t="inlineStr">
        <is>
          <t>Vultr</t>
        </is>
      </c>
      <c r="C46" s="19" t="inlineStr">
        <is>
          <t>Vultr free trial credits</t>
        </is>
      </c>
      <c r="D46" s="19" t="inlineStr">
        <is>
          <t>Not stated</t>
        </is>
      </c>
      <c r="E46" s="19" t="inlineStr">
        <is>
          <t>Cloud &amp; Infrastructure</t>
        </is>
      </c>
      <c r="F46" s="19" t="inlineStr">
        <is>
          <t>Trial credit</t>
        </is>
      </c>
      <c r="G46" s="19" t="inlineStr">
        <is>
          <t>Free trial credit (not startup-exclusive)</t>
        </is>
      </c>
      <c r="H46" s="19" t="inlineStr">
        <is>
          <t>Up to $300 trial credit; separate deposit-match promotion up to $100 for new accounts.</t>
        </is>
      </c>
      <c r="I46" s="22" t="n">
        <v>300</v>
      </c>
      <c r="J46" s="19" t="inlineStr">
        <is>
          <t>USD</t>
        </is>
      </c>
      <c r="K46" s="19" t="inlineStr">
        <is>
          <t>Credits</t>
        </is>
      </c>
      <c r="L46" s="22" t="n"/>
      <c r="M46" s="22" t="n"/>
      <c r="N46" s="19" t="n"/>
      <c r="O46" s="19" t="inlineStr">
        <is>
          <t>Yes</t>
        </is>
      </c>
      <c r="P46" s="19" t="inlineStr">
        <is>
          <t>Not stated</t>
        </is>
      </c>
      <c r="Q46" s="23" t="n"/>
      <c r="R46" s="19" t="inlineStr">
        <is>
          <t>Open</t>
        </is>
      </c>
      <c r="S46" s="19" t="inlineStr">
        <is>
          <t>Not verified this session</t>
        </is>
      </c>
      <c r="T46" s="19" t="inlineStr">
        <is>
          <t>Not verified this session</t>
        </is>
      </c>
      <c r="U46" s="19" t="inlineStr">
        <is>
          <t>Not stated</t>
        </is>
      </c>
      <c r="V46" s="19" t="inlineStr">
        <is>
          <t>Not stated</t>
        </is>
      </c>
      <c r="W46" s="19" t="inlineStr">
        <is>
          <t>Not stated</t>
        </is>
      </c>
      <c r="X46" s="19" t="inlineStr">
        <is>
          <t>Unknown</t>
        </is>
      </c>
      <c r="Y46" s="19" t="inlineStr">
        <is>
          <t>Unknown</t>
        </is>
      </c>
      <c r="Z46" s="19" t="inlineStr">
        <is>
          <t>Not stated</t>
        </is>
      </c>
      <c r="AA46" s="19" t="inlineStr">
        <is>
          <t>Unverified</t>
        </is>
      </c>
      <c r="AB46" s="19" t="inlineStr">
        <is>
          <t>Unknown</t>
        </is>
      </c>
      <c r="AC46" s="19" t="inlineStr">
        <is>
          <t>Unknown</t>
        </is>
      </c>
      <c r="AD46" s="19" t="inlineStr">
        <is>
          <t>No</t>
        </is>
      </c>
      <c r="AE46" s="19" t="inlineStr">
        <is>
          <t>Unknown</t>
        </is>
      </c>
      <c r="AF46" s="19" t="inlineStr">
        <is>
          <t>Not stated</t>
        </is>
      </c>
      <c r="AG46" s="19" t="inlineStr">
        <is>
          <t>Not stated</t>
        </is>
      </c>
      <c r="AH46" s="19" t="inlineStr">
        <is>
          <t>Not stated</t>
        </is>
      </c>
      <c r="AI46" s="19" t="inlineStr">
        <is>
          <t>Not stated</t>
        </is>
      </c>
      <c r="AJ46" s="19" t="inlineStr">
        <is>
          <t>Not stated</t>
        </is>
      </c>
      <c r="AK46" s="19" t="inlineStr">
        <is>
          <t>Card required</t>
        </is>
      </c>
      <c r="AL46" s="19" t="inlineStr">
        <is>
          <t>Not stated</t>
        </is>
      </c>
      <c r="AM46" s="24" t="inlineStr">
        <is>
          <t>https://aifree.dev/offer/vultr-free-trial-credits</t>
        </is>
      </c>
      <c r="AN46" s="24" t="inlineStr">
        <is>
          <t>https://aifree.dev/startup-ai-credits</t>
        </is>
      </c>
      <c r="AO46" s="19" t="inlineStr">
        <is>
          <t>Directory listing (verified Oct 2026 per directory): Up to $300 trial credit; separate deposit-match promotion up to $100 for new accounts.</t>
        </is>
      </c>
      <c r="AP46" s="23" t="n">
        <v>46319</v>
      </c>
      <c r="AQ46" s="19" t="inlineStr">
        <is>
          <t>Medium</t>
        </is>
      </c>
      <c r="AR46" s="19" t="inlineStr">
        <is>
          <t>Directory</t>
        </is>
      </c>
      <c r="AS46" s="19" t="inlineStr">
        <is>
          <t>Global (unverified)</t>
        </is>
      </c>
      <c r="AT46" s="19" t="inlineStr">
        <is>
          <t>Not stated</t>
        </is>
      </c>
      <c r="AU46" s="19" t="inlineStr">
        <is>
          <t>Terms taken from aifree.dev directory; official program page not opened this session. Confirm on provider site before applying.</t>
        </is>
      </c>
      <c r="AV46" s="19" t="inlineStr">
        <is>
          <t>DG-T-VULTR-FREE-TRI</t>
        </is>
      </c>
    </row>
    <row r="47" ht="35.05" customHeight="1" s="17">
      <c r="A47" s="19" t="inlineStr">
        <is>
          <t>SB-046</t>
        </is>
      </c>
      <c r="B47" s="19" t="inlineStr">
        <is>
          <t>Civo</t>
        </is>
      </c>
      <c r="C47" s="19" t="inlineStr">
        <is>
          <t>Civo $250 free trial credit</t>
        </is>
      </c>
      <c r="D47" s="19" t="inlineStr">
        <is>
          <t>Not stated</t>
        </is>
      </c>
      <c r="E47" s="19" t="inlineStr">
        <is>
          <t>Cloud &amp; Infrastructure</t>
        </is>
      </c>
      <c r="F47" s="19" t="inlineStr">
        <is>
          <t>Trial credit</t>
        </is>
      </c>
      <c r="G47" s="19" t="inlineStr">
        <is>
          <t>Free trial credit (not startup-exclusive)</t>
        </is>
      </c>
      <c r="H47" s="19" t="inlineStr">
        <is>
          <t>$250 non-transferable credit; no cash alternative; card must be added within a short window.</t>
        </is>
      </c>
      <c r="I47" s="22" t="n">
        <v>250</v>
      </c>
      <c r="J47" s="19" t="inlineStr">
        <is>
          <t>USD</t>
        </is>
      </c>
      <c r="K47" s="19" t="inlineStr">
        <is>
          <t>Credits</t>
        </is>
      </c>
      <c r="L47" s="22" t="n"/>
      <c r="M47" s="22" t="n"/>
      <c r="N47" s="19" t="n"/>
      <c r="O47" s="19" t="inlineStr">
        <is>
          <t>Yes</t>
        </is>
      </c>
      <c r="P47" s="19" t="inlineStr">
        <is>
          <t>Not stated</t>
        </is>
      </c>
      <c r="Q47" s="23" t="n"/>
      <c r="R47" s="19" t="inlineStr">
        <is>
          <t>Open</t>
        </is>
      </c>
      <c r="S47" s="19" t="inlineStr">
        <is>
          <t>Not verified this session</t>
        </is>
      </c>
      <c r="T47" s="19" t="inlineStr">
        <is>
          <t>Not verified this session</t>
        </is>
      </c>
      <c r="U47" s="19" t="inlineStr">
        <is>
          <t>Not stated</t>
        </is>
      </c>
      <c r="V47" s="19" t="inlineStr">
        <is>
          <t>Not stated</t>
        </is>
      </c>
      <c r="W47" s="19" t="inlineStr">
        <is>
          <t>Not stated</t>
        </is>
      </c>
      <c r="X47" s="19" t="inlineStr">
        <is>
          <t>Unknown</t>
        </is>
      </c>
      <c r="Y47" s="19" t="inlineStr">
        <is>
          <t>Unknown</t>
        </is>
      </c>
      <c r="Z47" s="19" t="inlineStr">
        <is>
          <t>Not stated</t>
        </is>
      </c>
      <c r="AA47" s="19" t="inlineStr">
        <is>
          <t>Unverified</t>
        </is>
      </c>
      <c r="AB47" s="19" t="inlineStr">
        <is>
          <t>Unknown</t>
        </is>
      </c>
      <c r="AC47" s="19" t="inlineStr">
        <is>
          <t>Unknown</t>
        </is>
      </c>
      <c r="AD47" s="19" t="inlineStr">
        <is>
          <t>No</t>
        </is>
      </c>
      <c r="AE47" s="19" t="inlineStr">
        <is>
          <t>Unknown</t>
        </is>
      </c>
      <c r="AF47" s="19" t="inlineStr">
        <is>
          <t>Not stated</t>
        </is>
      </c>
      <c r="AG47" s="19" t="inlineStr">
        <is>
          <t>Not stated</t>
        </is>
      </c>
      <c r="AH47" s="19" t="inlineStr">
        <is>
          <t>Not stated</t>
        </is>
      </c>
      <c r="AI47" s="19" t="inlineStr">
        <is>
          <t>Not stated</t>
        </is>
      </c>
      <c r="AJ47" s="19" t="inlineStr">
        <is>
          <t>Not stated</t>
        </is>
      </c>
      <c r="AK47" s="19" t="inlineStr">
        <is>
          <t>Card required</t>
        </is>
      </c>
      <c r="AL47" s="19" t="inlineStr">
        <is>
          <t>Not stated</t>
        </is>
      </c>
      <c r="AM47" s="24" t="inlineStr">
        <is>
          <t>https://aifree.dev/offer/civo-free-trial-credit</t>
        </is>
      </c>
      <c r="AN47" s="24" t="inlineStr">
        <is>
          <t>https://aifree.dev/startup-ai-credits</t>
        </is>
      </c>
      <c r="AO47" s="19" t="inlineStr">
        <is>
          <t>Directory listing (verified Oct 2026 per directory): $250 non-transferable credit; no cash alternative; card must be added within a short window.</t>
        </is>
      </c>
      <c r="AP47" s="23" t="n">
        <v>46319</v>
      </c>
      <c r="AQ47" s="19" t="inlineStr">
        <is>
          <t>Medium</t>
        </is>
      </c>
      <c r="AR47" s="19" t="inlineStr">
        <is>
          <t>Directory</t>
        </is>
      </c>
      <c r="AS47" s="19" t="inlineStr">
        <is>
          <t>Global (unverified)</t>
        </is>
      </c>
      <c r="AT47" s="19" t="inlineStr">
        <is>
          <t>Not stated</t>
        </is>
      </c>
      <c r="AU47" s="19" t="inlineStr">
        <is>
          <t>Terms taken from aifree.dev directory; official program page not opened this session. Confirm on provider site before applying.</t>
        </is>
      </c>
      <c r="AV47" s="19" t="inlineStr">
        <is>
          <t>DG-T-CIVO-FREE-TRIA</t>
        </is>
      </c>
    </row>
    <row r="48" ht="35.05" customHeight="1" s="17">
      <c r="A48" s="19" t="inlineStr">
        <is>
          <t>SB-047</t>
        </is>
      </c>
      <c r="B48" s="19" t="inlineStr">
        <is>
          <t>IBM</t>
        </is>
      </c>
      <c r="C48" s="19" t="inlineStr">
        <is>
          <t>IBM Cloud free tier</t>
        </is>
      </c>
      <c r="D48" s="19" t="inlineStr">
        <is>
          <t>Not stated</t>
        </is>
      </c>
      <c r="E48" s="19" t="inlineStr">
        <is>
          <t>Cloud &amp; Infrastructure</t>
        </is>
      </c>
      <c r="F48" s="19" t="inlineStr">
        <is>
          <t>Trial credit + Lite plans</t>
        </is>
      </c>
      <c r="G48" s="19" t="inlineStr">
        <is>
          <t>Free trial credit (not startup-exclusive)</t>
        </is>
      </c>
      <c r="H48" s="19" t="inlineStr">
        <is>
          <t>$200 credit valid 30 days; 40+ Lite-plan products free indefinitely.</t>
        </is>
      </c>
      <c r="I48" s="22" t="n">
        <v>200</v>
      </c>
      <c r="J48" s="19" t="inlineStr">
        <is>
          <t>USD</t>
        </is>
      </c>
      <c r="K48" s="19" t="inlineStr">
        <is>
          <t>Credits</t>
        </is>
      </c>
      <c r="L48" s="22" t="n"/>
      <c r="M48" s="22" t="n"/>
      <c r="N48" s="19" t="n"/>
      <c r="O48" s="19" t="inlineStr">
        <is>
          <t>Yes</t>
        </is>
      </c>
      <c r="P48" s="19" t="inlineStr">
        <is>
          <t>30 days</t>
        </is>
      </c>
      <c r="Q48" s="23" t="n"/>
      <c r="R48" s="19" t="inlineStr">
        <is>
          <t>Open</t>
        </is>
      </c>
      <c r="S48" s="19" t="inlineStr">
        <is>
          <t>Not verified this session</t>
        </is>
      </c>
      <c r="T48" s="19" t="inlineStr">
        <is>
          <t>Not verified this session</t>
        </is>
      </c>
      <c r="U48" s="19" t="inlineStr">
        <is>
          <t>Not stated</t>
        </is>
      </c>
      <c r="V48" s="19" t="inlineStr">
        <is>
          <t>Not stated</t>
        </is>
      </c>
      <c r="W48" s="19" t="inlineStr">
        <is>
          <t>Not stated</t>
        </is>
      </c>
      <c r="X48" s="19" t="inlineStr">
        <is>
          <t>Unknown</t>
        </is>
      </c>
      <c r="Y48" s="19" t="inlineStr">
        <is>
          <t>Unknown</t>
        </is>
      </c>
      <c r="Z48" s="19" t="inlineStr">
        <is>
          <t>Not stated</t>
        </is>
      </c>
      <c r="AA48" s="19" t="inlineStr">
        <is>
          <t>Unverified</t>
        </is>
      </c>
      <c r="AB48" s="19" t="inlineStr">
        <is>
          <t>Unknown</t>
        </is>
      </c>
      <c r="AC48" s="19" t="inlineStr">
        <is>
          <t>Unknown</t>
        </is>
      </c>
      <c r="AD48" s="19" t="inlineStr">
        <is>
          <t>No</t>
        </is>
      </c>
      <c r="AE48" s="19" t="inlineStr">
        <is>
          <t>Unknown</t>
        </is>
      </c>
      <c r="AF48" s="19" t="inlineStr">
        <is>
          <t>Not stated</t>
        </is>
      </c>
      <c r="AG48" s="19" t="inlineStr">
        <is>
          <t>Not stated</t>
        </is>
      </c>
      <c r="AH48" s="19" t="inlineStr">
        <is>
          <t>Not stated</t>
        </is>
      </c>
      <c r="AI48" s="19" t="inlineStr">
        <is>
          <t>Not stated</t>
        </is>
      </c>
      <c r="AJ48" s="19" t="inlineStr">
        <is>
          <t>Not stated</t>
        </is>
      </c>
      <c r="AK48" s="19" t="inlineStr">
        <is>
          <t>Card required</t>
        </is>
      </c>
      <c r="AL48" s="19" t="inlineStr">
        <is>
          <t>Not stated</t>
        </is>
      </c>
      <c r="AM48" s="24" t="inlineStr">
        <is>
          <t>https://aifree.dev/offer/ibm-cloud-free-tier</t>
        </is>
      </c>
      <c r="AN48" s="24" t="inlineStr">
        <is>
          <t>https://aifree.dev/startup-ai-credits</t>
        </is>
      </c>
      <c r="AO48" s="19" t="inlineStr">
        <is>
          <t>Directory listing (verified Oct 2026 per directory): $200 credit valid 30 days; 40+ Lite-plan products free indefinitely.</t>
        </is>
      </c>
      <c r="AP48" s="23" t="n">
        <v>46319</v>
      </c>
      <c r="AQ48" s="19" t="inlineStr">
        <is>
          <t>Medium</t>
        </is>
      </c>
      <c r="AR48" s="19" t="inlineStr">
        <is>
          <t>Directory</t>
        </is>
      </c>
      <c r="AS48" s="19" t="inlineStr">
        <is>
          <t>Global (unverified)</t>
        </is>
      </c>
      <c r="AT48" s="19" t="inlineStr">
        <is>
          <t>Not stated</t>
        </is>
      </c>
      <c r="AU48" s="19" t="inlineStr">
        <is>
          <t>Terms taken from aifree.dev directory; official program page not opened this session. Confirm on provider site before applying.</t>
        </is>
      </c>
      <c r="AV48" s="19" t="inlineStr">
        <is>
          <t>DG-T-IBM-CLOUD-FREE</t>
        </is>
      </c>
    </row>
    <row r="49" ht="35.05" customHeight="1" s="17">
      <c r="A49" s="19" t="inlineStr">
        <is>
          <t>SB-048</t>
        </is>
      </c>
      <c r="B49" s="19" t="inlineStr">
        <is>
          <t>Daytona</t>
        </is>
      </c>
      <c r="C49" s="19" t="inlineStr">
        <is>
          <t>Daytona free compute credits</t>
        </is>
      </c>
      <c r="D49" s="19" t="inlineStr">
        <is>
          <t>Not stated</t>
        </is>
      </c>
      <c r="E49" s="19" t="inlineStr">
        <is>
          <t>AI &amp; LLM Credits</t>
        </is>
      </c>
      <c r="F49" s="19" t="inlineStr">
        <is>
          <t>Sandbox compute</t>
        </is>
      </c>
      <c r="G49" s="19" t="inlineStr">
        <is>
          <t>Free trial credit (not startup-exclusive)</t>
        </is>
      </c>
      <c r="H49" s="19" t="inlineStr">
        <is>
          <t>$200 free compute at sign-up; storage free up to 5 GiB.</t>
        </is>
      </c>
      <c r="I49" s="22" t="n">
        <v>200</v>
      </c>
      <c r="J49" s="19" t="inlineStr">
        <is>
          <t>USD</t>
        </is>
      </c>
      <c r="K49" s="19" t="inlineStr">
        <is>
          <t>Credits</t>
        </is>
      </c>
      <c r="L49" s="22" t="n"/>
      <c r="M49" s="22" t="n"/>
      <c r="N49" s="19" t="n"/>
      <c r="O49" s="19" t="inlineStr">
        <is>
          <t>Yes</t>
        </is>
      </c>
      <c r="P49" s="19" t="inlineStr">
        <is>
          <t>Not stated</t>
        </is>
      </c>
      <c r="Q49" s="23" t="n"/>
      <c r="R49" s="19" t="inlineStr">
        <is>
          <t>Open</t>
        </is>
      </c>
      <c r="S49" s="19" t="inlineStr">
        <is>
          <t>Not verified this session</t>
        </is>
      </c>
      <c r="T49" s="19" t="inlineStr">
        <is>
          <t>Not verified this session</t>
        </is>
      </c>
      <c r="U49" s="19" t="inlineStr">
        <is>
          <t>Not stated</t>
        </is>
      </c>
      <c r="V49" s="19" t="inlineStr">
        <is>
          <t>Not stated</t>
        </is>
      </c>
      <c r="W49" s="19" t="inlineStr">
        <is>
          <t>Not stated</t>
        </is>
      </c>
      <c r="X49" s="19" t="inlineStr">
        <is>
          <t>Unknown</t>
        </is>
      </c>
      <c r="Y49" s="19" t="inlineStr">
        <is>
          <t>Unknown</t>
        </is>
      </c>
      <c r="Z49" s="19" t="inlineStr">
        <is>
          <t>Not stated</t>
        </is>
      </c>
      <c r="AA49" s="19" t="inlineStr">
        <is>
          <t>Unverified</t>
        </is>
      </c>
      <c r="AB49" s="19" t="inlineStr">
        <is>
          <t>Unknown</t>
        </is>
      </c>
      <c r="AC49" s="19" t="inlineStr">
        <is>
          <t>Unknown</t>
        </is>
      </c>
      <c r="AD49" s="19" t="inlineStr">
        <is>
          <t>Yes</t>
        </is>
      </c>
      <c r="AE49" s="19" t="inlineStr">
        <is>
          <t>Unknown</t>
        </is>
      </c>
      <c r="AF49" s="19" t="inlineStr">
        <is>
          <t>Not stated</t>
        </is>
      </c>
      <c r="AG49" s="19" t="inlineStr">
        <is>
          <t>Not stated</t>
        </is>
      </c>
      <c r="AH49" s="19" t="inlineStr">
        <is>
          <t>Not stated</t>
        </is>
      </c>
      <c r="AI49" s="19" t="inlineStr">
        <is>
          <t>Not stated</t>
        </is>
      </c>
      <c r="AJ49" s="19" t="inlineStr">
        <is>
          <t>Not stated</t>
        </is>
      </c>
      <c r="AK49" s="19" t="inlineStr">
        <is>
          <t>No card required</t>
        </is>
      </c>
      <c r="AL49" s="19" t="inlineStr">
        <is>
          <t>Not stated</t>
        </is>
      </c>
      <c r="AM49" s="24" t="inlineStr">
        <is>
          <t>https://aifree.dev/offer/daytona-free-compute-credits</t>
        </is>
      </c>
      <c r="AN49" s="24" t="inlineStr">
        <is>
          <t>https://aifree.dev/startup-ai-credits</t>
        </is>
      </c>
      <c r="AO49" s="19" t="inlineStr">
        <is>
          <t>Directory listing (verified Oct 2026 per directory): $200 free compute at sign-up; storage free up to 5 GiB.</t>
        </is>
      </c>
      <c r="AP49" s="23" t="n">
        <v>46319</v>
      </c>
      <c r="AQ49" s="19" t="inlineStr">
        <is>
          <t>Medium</t>
        </is>
      </c>
      <c r="AR49" s="19" t="inlineStr">
        <is>
          <t>Directory</t>
        </is>
      </c>
      <c r="AS49" s="19" t="inlineStr">
        <is>
          <t>Global (unverified)</t>
        </is>
      </c>
      <c r="AT49" s="19" t="inlineStr">
        <is>
          <t>Not stated</t>
        </is>
      </c>
      <c r="AU49" s="19" t="inlineStr">
        <is>
          <t>Terms taken from aifree.dev directory; official program page not opened this session. Confirm on provider site before applying.</t>
        </is>
      </c>
      <c r="AV49" s="19" t="inlineStr">
        <is>
          <t>DG-T-DAYTONA-FREE-C</t>
        </is>
      </c>
    </row>
    <row r="50" ht="35.05" customHeight="1" s="17">
      <c r="A50" s="19" t="inlineStr">
        <is>
          <t>SB-049</t>
        </is>
      </c>
      <c r="B50" s="19" t="inlineStr">
        <is>
          <t>IONOS</t>
        </is>
      </c>
      <c r="C50" s="19" t="inlineStr">
        <is>
          <t>IONOS Cloud free trial credit</t>
        </is>
      </c>
      <c r="D50" s="19" t="inlineStr">
        <is>
          <t>Not stated</t>
        </is>
      </c>
      <c r="E50" s="19" t="inlineStr">
        <is>
          <t>Cloud &amp; Infrastructure</t>
        </is>
      </c>
      <c r="F50" s="19" t="inlineStr">
        <is>
          <t>Trial credit</t>
        </is>
      </c>
      <c r="G50" s="19" t="inlineStr">
        <is>
          <t>Free trial credit (not startup-exclusive)</t>
        </is>
      </c>
      <c r="H50" s="19" t="inlineStr">
        <is>
          <t>$200 free credit for 30 days; starts as limited-access test account.</t>
        </is>
      </c>
      <c r="I50" s="22" t="n">
        <v>200</v>
      </c>
      <c r="J50" s="19" t="inlineStr">
        <is>
          <t>USD</t>
        </is>
      </c>
      <c r="K50" s="19" t="inlineStr">
        <is>
          <t>Credits</t>
        </is>
      </c>
      <c r="L50" s="22" t="n"/>
      <c r="M50" s="22" t="n"/>
      <c r="N50" s="19" t="n"/>
      <c r="O50" s="19" t="inlineStr">
        <is>
          <t>Yes</t>
        </is>
      </c>
      <c r="P50" s="19" t="inlineStr">
        <is>
          <t>30 days</t>
        </is>
      </c>
      <c r="Q50" s="23" t="n"/>
      <c r="R50" s="19" t="inlineStr">
        <is>
          <t>Open</t>
        </is>
      </c>
      <c r="S50" s="19" t="inlineStr">
        <is>
          <t>Not verified this session</t>
        </is>
      </c>
      <c r="T50" s="19" t="inlineStr">
        <is>
          <t>Not verified this session</t>
        </is>
      </c>
      <c r="U50" s="19" t="inlineStr">
        <is>
          <t>Not stated</t>
        </is>
      </c>
      <c r="V50" s="19" t="inlineStr">
        <is>
          <t>Not stated</t>
        </is>
      </c>
      <c r="W50" s="19" t="inlineStr">
        <is>
          <t>Not stated</t>
        </is>
      </c>
      <c r="X50" s="19" t="inlineStr">
        <is>
          <t>Unknown</t>
        </is>
      </c>
      <c r="Y50" s="19" t="inlineStr">
        <is>
          <t>Unknown</t>
        </is>
      </c>
      <c r="Z50" s="19" t="inlineStr">
        <is>
          <t>Not stated</t>
        </is>
      </c>
      <c r="AA50" s="19" t="inlineStr">
        <is>
          <t>Unverified</t>
        </is>
      </c>
      <c r="AB50" s="19" t="inlineStr">
        <is>
          <t>Unknown</t>
        </is>
      </c>
      <c r="AC50" s="19" t="inlineStr">
        <is>
          <t>Unknown</t>
        </is>
      </c>
      <c r="AD50" s="19" t="inlineStr">
        <is>
          <t>No</t>
        </is>
      </c>
      <c r="AE50" s="19" t="inlineStr">
        <is>
          <t>Unknown</t>
        </is>
      </c>
      <c r="AF50" s="19" t="inlineStr">
        <is>
          <t>Not stated</t>
        </is>
      </c>
      <c r="AG50" s="19" t="inlineStr">
        <is>
          <t>Not stated</t>
        </is>
      </c>
      <c r="AH50" s="19" t="inlineStr">
        <is>
          <t>Not stated</t>
        </is>
      </c>
      <c r="AI50" s="19" t="inlineStr">
        <is>
          <t>Not stated</t>
        </is>
      </c>
      <c r="AJ50" s="19" t="inlineStr">
        <is>
          <t>Not stated</t>
        </is>
      </c>
      <c r="AK50" s="19" t="inlineStr">
        <is>
          <t>Card required</t>
        </is>
      </c>
      <c r="AL50" s="19" t="inlineStr">
        <is>
          <t>Not stated</t>
        </is>
      </c>
      <c r="AM50" s="24" t="inlineStr">
        <is>
          <t>https://aifree.dev/offer/ionos-cloud-free-trial-credit</t>
        </is>
      </c>
      <c r="AN50" s="24" t="inlineStr">
        <is>
          <t>https://aifree.dev/startup-ai-credits</t>
        </is>
      </c>
      <c r="AO50" s="19" t="inlineStr">
        <is>
          <t>Directory listing (verified Oct 2026 per directory): $200 free credit for 30 days; starts as limited-access test account.</t>
        </is>
      </c>
      <c r="AP50" s="23" t="n">
        <v>46319</v>
      </c>
      <c r="AQ50" s="19" t="inlineStr">
        <is>
          <t>Medium</t>
        </is>
      </c>
      <c r="AR50" s="19" t="inlineStr">
        <is>
          <t>Directory</t>
        </is>
      </c>
      <c r="AS50" s="19" t="inlineStr">
        <is>
          <t>Global (unverified)</t>
        </is>
      </c>
      <c r="AT50" s="19" t="inlineStr">
        <is>
          <t>Not stated</t>
        </is>
      </c>
      <c r="AU50" s="19" t="inlineStr">
        <is>
          <t>Terms taken from aifree.dev directory; official program page not opened this session. Confirm on provider site before applying.</t>
        </is>
      </c>
      <c r="AV50" s="19" t="inlineStr">
        <is>
          <t>DG-T-IONOS-CLOUD-FR</t>
        </is>
      </c>
    </row>
    <row r="51" ht="35.05" customHeight="1" s="17">
      <c r="A51" s="19" t="inlineStr">
        <is>
          <t>SB-050</t>
        </is>
      </c>
      <c r="B51" s="19" t="inlineStr">
        <is>
          <t>Akamai (Linode)</t>
        </is>
      </c>
      <c r="C51" s="19" t="inlineStr">
        <is>
          <t>Akamai Cloud $100 credit</t>
        </is>
      </c>
      <c r="D51" s="19" t="inlineStr">
        <is>
          <t>Not stated</t>
        </is>
      </c>
      <c r="E51" s="19" t="inlineStr">
        <is>
          <t>Cloud &amp; Infrastructure</t>
        </is>
      </c>
      <c r="F51" s="19" t="inlineStr">
        <is>
          <t>Trial credit</t>
        </is>
      </c>
      <c r="G51" s="19" t="inlineStr">
        <is>
          <t>Free trial credit (not startup-exclusive)</t>
        </is>
      </c>
      <c r="H51" s="19" t="inlineStr">
        <is>
          <t>$100 credit valid 60 days for new customers.</t>
        </is>
      </c>
      <c r="I51" s="22" t="n">
        <v>100</v>
      </c>
      <c r="J51" s="19" t="inlineStr">
        <is>
          <t>USD</t>
        </is>
      </c>
      <c r="K51" s="19" t="inlineStr">
        <is>
          <t>Credits</t>
        </is>
      </c>
      <c r="L51" s="22" t="n"/>
      <c r="M51" s="22" t="n"/>
      <c r="N51" s="19" t="n"/>
      <c r="O51" s="19" t="inlineStr">
        <is>
          <t>Yes</t>
        </is>
      </c>
      <c r="P51" s="19" t="inlineStr">
        <is>
          <t>60 days</t>
        </is>
      </c>
      <c r="Q51" s="23" t="n"/>
      <c r="R51" s="19" t="inlineStr">
        <is>
          <t>Open</t>
        </is>
      </c>
      <c r="S51" s="19" t="inlineStr">
        <is>
          <t>Not verified this session</t>
        </is>
      </c>
      <c r="T51" s="19" t="inlineStr">
        <is>
          <t>Not verified this session</t>
        </is>
      </c>
      <c r="U51" s="19" t="inlineStr">
        <is>
          <t>Not stated</t>
        </is>
      </c>
      <c r="V51" s="19" t="inlineStr">
        <is>
          <t>Not stated</t>
        </is>
      </c>
      <c r="W51" s="19" t="inlineStr">
        <is>
          <t>Not stated</t>
        </is>
      </c>
      <c r="X51" s="19" t="inlineStr">
        <is>
          <t>Unknown</t>
        </is>
      </c>
      <c r="Y51" s="19" t="inlineStr">
        <is>
          <t>Unknown</t>
        </is>
      </c>
      <c r="Z51" s="19" t="inlineStr">
        <is>
          <t>Not stated</t>
        </is>
      </c>
      <c r="AA51" s="19" t="inlineStr">
        <is>
          <t>Unverified</t>
        </is>
      </c>
      <c r="AB51" s="19" t="inlineStr">
        <is>
          <t>Unknown</t>
        </is>
      </c>
      <c r="AC51" s="19" t="inlineStr">
        <is>
          <t>Unknown</t>
        </is>
      </c>
      <c r="AD51" s="19" t="inlineStr">
        <is>
          <t>No</t>
        </is>
      </c>
      <c r="AE51" s="19" t="inlineStr">
        <is>
          <t>Unknown</t>
        </is>
      </c>
      <c r="AF51" s="19" t="inlineStr">
        <is>
          <t>Not stated</t>
        </is>
      </c>
      <c r="AG51" s="19" t="inlineStr">
        <is>
          <t>Not stated</t>
        </is>
      </c>
      <c r="AH51" s="19" t="inlineStr">
        <is>
          <t>Not stated</t>
        </is>
      </c>
      <c r="AI51" s="19" t="inlineStr">
        <is>
          <t>Not stated</t>
        </is>
      </c>
      <c r="AJ51" s="19" t="inlineStr">
        <is>
          <t>Not stated</t>
        </is>
      </c>
      <c r="AK51" s="19" t="inlineStr">
        <is>
          <t>Card required</t>
        </is>
      </c>
      <c r="AL51" s="19" t="inlineStr">
        <is>
          <t>Not stated</t>
        </is>
      </c>
      <c r="AM51" s="24" t="inlineStr">
        <is>
          <t>https://aifree.dev/offer/akamai-cloud-100-free-credit</t>
        </is>
      </c>
      <c r="AN51" s="24" t="inlineStr">
        <is>
          <t>https://aifree.dev/startup-ai-credits</t>
        </is>
      </c>
      <c r="AO51" s="19" t="inlineStr">
        <is>
          <t>Directory listing (verified Oct 2026 per directory): $100 credit valid 60 days for new customers.</t>
        </is>
      </c>
      <c r="AP51" s="23" t="n">
        <v>46319</v>
      </c>
      <c r="AQ51" s="19" t="inlineStr">
        <is>
          <t>Medium</t>
        </is>
      </c>
      <c r="AR51" s="19" t="inlineStr">
        <is>
          <t>Directory</t>
        </is>
      </c>
      <c r="AS51" s="19" t="inlineStr">
        <is>
          <t>Global (unverified)</t>
        </is>
      </c>
      <c r="AT51" s="19" t="inlineStr">
        <is>
          <t>Not stated</t>
        </is>
      </c>
      <c r="AU51" s="19" t="inlineStr">
        <is>
          <t>Terms taken from aifree.dev directory; official program page not opened this session. Confirm on provider site before applying.</t>
        </is>
      </c>
      <c r="AV51" s="19" t="inlineStr">
        <is>
          <t>DG-T-AKAMAI-CLOUD-1</t>
        </is>
      </c>
    </row>
    <row r="52" ht="35.05" customHeight="1" s="17">
      <c r="A52" s="19" t="inlineStr">
        <is>
          <t>SB-051</t>
        </is>
      </c>
      <c r="B52" s="19" t="inlineStr">
        <is>
          <t>AkashML</t>
        </is>
      </c>
      <c r="C52" s="19" t="inlineStr">
        <is>
          <t>AkashML $100 free AI token credits</t>
        </is>
      </c>
      <c r="D52" s="19" t="inlineStr">
        <is>
          <t>Not stated</t>
        </is>
      </c>
      <c r="E52" s="19" t="inlineStr">
        <is>
          <t>AI &amp; LLM Credits</t>
        </is>
      </c>
      <c r="F52" s="19" t="inlineStr">
        <is>
          <t>LLM inference credits</t>
        </is>
      </c>
      <c r="G52" s="19" t="inlineStr">
        <is>
          <t>Free trial credit (not startup-exclusive)</t>
        </is>
      </c>
      <c r="H52" s="19" t="inlineStr">
        <is>
          <t>$100 one-time AI token credits per new account across supported models.</t>
        </is>
      </c>
      <c r="I52" s="22" t="n">
        <v>100</v>
      </c>
      <c r="J52" s="19" t="inlineStr">
        <is>
          <t>USD</t>
        </is>
      </c>
      <c r="K52" s="19" t="inlineStr">
        <is>
          <t>Credits</t>
        </is>
      </c>
      <c r="L52" s="22" t="n"/>
      <c r="M52" s="22" t="n"/>
      <c r="N52" s="19" t="n"/>
      <c r="O52" s="19" t="inlineStr">
        <is>
          <t>Yes</t>
        </is>
      </c>
      <c r="P52" s="19" t="inlineStr">
        <is>
          <t>Not stated</t>
        </is>
      </c>
      <c r="Q52" s="23" t="n"/>
      <c r="R52" s="19" t="inlineStr">
        <is>
          <t>Open</t>
        </is>
      </c>
      <c r="S52" s="19" t="inlineStr">
        <is>
          <t>Not verified this session</t>
        </is>
      </c>
      <c r="T52" s="19" t="inlineStr">
        <is>
          <t>Not verified this session</t>
        </is>
      </c>
      <c r="U52" s="19" t="inlineStr">
        <is>
          <t>Not stated</t>
        </is>
      </c>
      <c r="V52" s="19" t="inlineStr">
        <is>
          <t>Not stated</t>
        </is>
      </c>
      <c r="W52" s="19" t="inlineStr">
        <is>
          <t>Not stated</t>
        </is>
      </c>
      <c r="X52" s="19" t="inlineStr">
        <is>
          <t>Unknown</t>
        </is>
      </c>
      <c r="Y52" s="19" t="inlineStr">
        <is>
          <t>Unknown</t>
        </is>
      </c>
      <c r="Z52" s="19" t="inlineStr">
        <is>
          <t>Not stated</t>
        </is>
      </c>
      <c r="AA52" s="19" t="inlineStr">
        <is>
          <t>Unverified</t>
        </is>
      </c>
      <c r="AB52" s="19" t="inlineStr">
        <is>
          <t>Unknown</t>
        </is>
      </c>
      <c r="AC52" s="19" t="inlineStr">
        <is>
          <t>Unknown</t>
        </is>
      </c>
      <c r="AD52" s="19" t="inlineStr">
        <is>
          <t>Yes</t>
        </is>
      </c>
      <c r="AE52" s="19" t="inlineStr">
        <is>
          <t>Unknown</t>
        </is>
      </c>
      <c r="AF52" s="19" t="inlineStr">
        <is>
          <t>Not stated</t>
        </is>
      </c>
      <c r="AG52" s="19" t="inlineStr">
        <is>
          <t>Not stated</t>
        </is>
      </c>
      <c r="AH52" s="19" t="inlineStr">
        <is>
          <t>Not stated</t>
        </is>
      </c>
      <c r="AI52" s="19" t="inlineStr">
        <is>
          <t>Not stated</t>
        </is>
      </c>
      <c r="AJ52" s="19" t="inlineStr">
        <is>
          <t>Not stated</t>
        </is>
      </c>
      <c r="AK52" s="19" t="inlineStr">
        <is>
          <t>No card required</t>
        </is>
      </c>
      <c r="AL52" s="19" t="inlineStr">
        <is>
          <t>Not stated</t>
        </is>
      </c>
      <c r="AM52" s="24" t="inlineStr">
        <is>
          <t>https://aifree.dev/offer/akashml-free-token-credits</t>
        </is>
      </c>
      <c r="AN52" s="24" t="inlineStr">
        <is>
          <t>https://aifree.dev/startup-ai-credits</t>
        </is>
      </c>
      <c r="AO52" s="19" t="inlineStr">
        <is>
          <t>Directory listing (verified Oct 2026 per directory): $100 one-time AI token credits per new account across supported models.</t>
        </is>
      </c>
      <c r="AP52" s="23" t="n">
        <v>46319</v>
      </c>
      <c r="AQ52" s="19" t="inlineStr">
        <is>
          <t>Medium</t>
        </is>
      </c>
      <c r="AR52" s="19" t="inlineStr">
        <is>
          <t>Directory</t>
        </is>
      </c>
      <c r="AS52" s="19" t="inlineStr">
        <is>
          <t>Global (unverified)</t>
        </is>
      </c>
      <c r="AT52" s="19" t="inlineStr">
        <is>
          <t>Not stated</t>
        </is>
      </c>
      <c r="AU52" s="19" t="inlineStr">
        <is>
          <t>Terms taken from aifree.dev directory; official program page not opened this session. Confirm on provider site before applying.</t>
        </is>
      </c>
      <c r="AV52" s="19" t="inlineStr">
        <is>
          <t>DG-T-AKASHML-FREE-T</t>
        </is>
      </c>
    </row>
    <row r="53" ht="35.05" customHeight="1" s="17">
      <c r="A53" s="19" t="inlineStr">
        <is>
          <t>SB-052</t>
        </is>
      </c>
      <c r="B53" s="19" t="inlineStr">
        <is>
          <t>AMD</t>
        </is>
      </c>
      <c r="C53" s="19" t="inlineStr">
        <is>
          <t>AMD AI Developer Program</t>
        </is>
      </c>
      <c r="D53" s="19" t="inlineStr">
        <is>
          <t>Not stated</t>
        </is>
      </c>
      <c r="E53" s="19" t="inlineStr">
        <is>
          <t>AI &amp; LLM Credits</t>
        </is>
      </c>
      <c r="F53" s="19" t="inlineStr">
        <is>
          <t>GPU cloud credits</t>
        </is>
      </c>
      <c r="G53" s="19" t="inlineStr">
        <is>
          <t>Free trial credit (not startup-exclusive)</t>
        </is>
      </c>
      <c r="H53" s="19" t="inlineStr">
        <is>
          <t>$100 AMD Developer Cloud credits plus 1 month DeepLearning.AI membership.</t>
        </is>
      </c>
      <c r="I53" s="22" t="n">
        <v>100</v>
      </c>
      <c r="J53" s="19" t="inlineStr">
        <is>
          <t>USD</t>
        </is>
      </c>
      <c r="K53" s="19" t="inlineStr">
        <is>
          <t>Credits</t>
        </is>
      </c>
      <c r="L53" s="22" t="n"/>
      <c r="M53" s="22" t="n"/>
      <c r="N53" s="19" t="n"/>
      <c r="O53" s="19" t="inlineStr">
        <is>
          <t>Yes</t>
        </is>
      </c>
      <c r="P53" s="19" t="inlineStr">
        <is>
          <t>Not stated</t>
        </is>
      </c>
      <c r="Q53" s="23" t="n"/>
      <c r="R53" s="19" t="inlineStr">
        <is>
          <t>Open</t>
        </is>
      </c>
      <c r="S53" s="19" t="inlineStr">
        <is>
          <t>Not verified this session</t>
        </is>
      </c>
      <c r="T53" s="19" t="inlineStr">
        <is>
          <t>Not verified this session</t>
        </is>
      </c>
      <c r="U53" s="19" t="inlineStr">
        <is>
          <t>Not stated</t>
        </is>
      </c>
      <c r="V53" s="19" t="inlineStr">
        <is>
          <t>Not stated</t>
        </is>
      </c>
      <c r="W53" s="19" t="inlineStr">
        <is>
          <t>Not stated</t>
        </is>
      </c>
      <c r="X53" s="19" t="inlineStr">
        <is>
          <t>Unknown</t>
        </is>
      </c>
      <c r="Y53" s="19" t="inlineStr">
        <is>
          <t>Unknown</t>
        </is>
      </c>
      <c r="Z53" s="19" t="inlineStr">
        <is>
          <t>Not stated</t>
        </is>
      </c>
      <c r="AA53" s="19" t="inlineStr">
        <is>
          <t>Unverified</t>
        </is>
      </c>
      <c r="AB53" s="19" t="inlineStr">
        <is>
          <t>Unknown</t>
        </is>
      </c>
      <c r="AC53" s="19" t="inlineStr">
        <is>
          <t>Unknown</t>
        </is>
      </c>
      <c r="AD53" s="19" t="inlineStr">
        <is>
          <t>Yes</t>
        </is>
      </c>
      <c r="AE53" s="19" t="inlineStr">
        <is>
          <t>Unknown</t>
        </is>
      </c>
      <c r="AF53" s="19" t="inlineStr">
        <is>
          <t>Not stated</t>
        </is>
      </c>
      <c r="AG53" s="19" t="inlineStr">
        <is>
          <t>Not stated</t>
        </is>
      </c>
      <c r="AH53" s="19" t="inlineStr">
        <is>
          <t>Not stated</t>
        </is>
      </c>
      <c r="AI53" s="19" t="inlineStr">
        <is>
          <t>Not stated</t>
        </is>
      </c>
      <c r="AJ53" s="19" t="inlineStr">
        <is>
          <t>Not stated</t>
        </is>
      </c>
      <c r="AK53" s="19" t="inlineStr">
        <is>
          <t>No card required</t>
        </is>
      </c>
      <c r="AL53" s="19" t="inlineStr">
        <is>
          <t>Not stated</t>
        </is>
      </c>
      <c r="AM53" s="24" t="inlineStr">
        <is>
          <t>https://aifree.dev/offer/amd-ai-developer-program</t>
        </is>
      </c>
      <c r="AN53" s="24" t="inlineStr">
        <is>
          <t>https://aifree.dev/startup-ai-credits</t>
        </is>
      </c>
      <c r="AO53" s="19" t="inlineStr">
        <is>
          <t>Directory listing (verified Oct 2026 per directory): $100 AMD Developer Cloud credits plus 1 month DeepLearning.AI membership.</t>
        </is>
      </c>
      <c r="AP53" s="23" t="n">
        <v>46319</v>
      </c>
      <c r="AQ53" s="19" t="inlineStr">
        <is>
          <t>Medium</t>
        </is>
      </c>
      <c r="AR53" s="19" t="inlineStr">
        <is>
          <t>Directory</t>
        </is>
      </c>
      <c r="AS53" s="19" t="inlineStr">
        <is>
          <t>Global (unverified)</t>
        </is>
      </c>
      <c r="AT53" s="19" t="inlineStr">
        <is>
          <t>Not stated</t>
        </is>
      </c>
      <c r="AU53" s="19" t="inlineStr">
        <is>
          <t>Terms taken from aifree.dev directory; official program page not opened this session. Confirm on provider site before applying.</t>
        </is>
      </c>
      <c r="AV53" s="19" t="inlineStr">
        <is>
          <t>DG-T-AMD-AI-DEVELOP</t>
        </is>
      </c>
    </row>
    <row r="54" ht="35.05" customHeight="1" s="17">
      <c r="A54" s="19" t="inlineStr">
        <is>
          <t>SB-053</t>
        </is>
      </c>
      <c r="B54" s="19" t="inlineStr">
        <is>
          <t>Anyscale</t>
        </is>
      </c>
      <c r="C54" s="19" t="inlineStr">
        <is>
          <t>Anyscale $100 signup credit</t>
        </is>
      </c>
      <c r="D54" s="19" t="inlineStr">
        <is>
          <t>Not stated</t>
        </is>
      </c>
      <c r="E54" s="19" t="inlineStr">
        <is>
          <t>AI &amp; LLM Credits</t>
        </is>
      </c>
      <c r="F54" s="19" t="inlineStr">
        <is>
          <t>ML compute credits</t>
        </is>
      </c>
      <c r="G54" s="19" t="inlineStr">
        <is>
          <t>Free trial credit (not startup-exclusive)</t>
        </is>
      </c>
      <c r="H54" s="19" t="inlineStr">
        <is>
          <t>$100 in Anyscale credits for new accounts.</t>
        </is>
      </c>
      <c r="I54" s="22" t="n">
        <v>100</v>
      </c>
      <c r="J54" s="19" t="inlineStr">
        <is>
          <t>USD</t>
        </is>
      </c>
      <c r="K54" s="19" t="inlineStr">
        <is>
          <t>Credits</t>
        </is>
      </c>
      <c r="L54" s="22" t="n"/>
      <c r="M54" s="22" t="n"/>
      <c r="N54" s="19" t="n"/>
      <c r="O54" s="19" t="inlineStr">
        <is>
          <t>Yes</t>
        </is>
      </c>
      <c r="P54" s="19" t="inlineStr">
        <is>
          <t>Not stated</t>
        </is>
      </c>
      <c r="Q54" s="23" t="n"/>
      <c r="R54" s="19" t="inlineStr">
        <is>
          <t>Open</t>
        </is>
      </c>
      <c r="S54" s="19" t="inlineStr">
        <is>
          <t>Not verified this session</t>
        </is>
      </c>
      <c r="T54" s="19" t="inlineStr">
        <is>
          <t>Not verified this session</t>
        </is>
      </c>
      <c r="U54" s="19" t="inlineStr">
        <is>
          <t>Not stated</t>
        </is>
      </c>
      <c r="V54" s="19" t="inlineStr">
        <is>
          <t>Not stated</t>
        </is>
      </c>
      <c r="W54" s="19" t="inlineStr">
        <is>
          <t>Not stated</t>
        </is>
      </c>
      <c r="X54" s="19" t="inlineStr">
        <is>
          <t>Unknown</t>
        </is>
      </c>
      <c r="Y54" s="19" t="inlineStr">
        <is>
          <t>Unknown</t>
        </is>
      </c>
      <c r="Z54" s="19" t="inlineStr">
        <is>
          <t>Not stated</t>
        </is>
      </c>
      <c r="AA54" s="19" t="inlineStr">
        <is>
          <t>Unverified</t>
        </is>
      </c>
      <c r="AB54" s="19" t="inlineStr">
        <is>
          <t>Unknown</t>
        </is>
      </c>
      <c r="AC54" s="19" t="inlineStr">
        <is>
          <t>Unknown</t>
        </is>
      </c>
      <c r="AD54" s="19" t="inlineStr">
        <is>
          <t>Yes</t>
        </is>
      </c>
      <c r="AE54" s="19" t="inlineStr">
        <is>
          <t>Unknown</t>
        </is>
      </c>
      <c r="AF54" s="19" t="inlineStr">
        <is>
          <t>Not stated</t>
        </is>
      </c>
      <c r="AG54" s="19" t="inlineStr">
        <is>
          <t>Not stated</t>
        </is>
      </c>
      <c r="AH54" s="19" t="inlineStr">
        <is>
          <t>Not stated</t>
        </is>
      </c>
      <c r="AI54" s="19" t="inlineStr">
        <is>
          <t>Not stated</t>
        </is>
      </c>
      <c r="AJ54" s="19" t="inlineStr">
        <is>
          <t>Not stated</t>
        </is>
      </c>
      <c r="AK54" s="19" t="inlineStr">
        <is>
          <t>No card required</t>
        </is>
      </c>
      <c r="AL54" s="19" t="inlineStr">
        <is>
          <t>Not stated</t>
        </is>
      </c>
      <c r="AM54" s="24" t="inlineStr">
        <is>
          <t>https://aifree.dev/offer/anyscale-free-signup-credits</t>
        </is>
      </c>
      <c r="AN54" s="24" t="inlineStr">
        <is>
          <t>https://aifree.dev/startup-ai-credits</t>
        </is>
      </c>
      <c r="AO54" s="19" t="inlineStr">
        <is>
          <t>Directory listing (verified Oct 2026 per directory): $100 in Anyscale credits for new accounts.</t>
        </is>
      </c>
      <c r="AP54" s="23" t="n">
        <v>46319</v>
      </c>
      <c r="AQ54" s="19" t="inlineStr">
        <is>
          <t>Medium</t>
        </is>
      </c>
      <c r="AR54" s="19" t="inlineStr">
        <is>
          <t>Directory</t>
        </is>
      </c>
      <c r="AS54" s="19" t="inlineStr">
        <is>
          <t>Global (unverified)</t>
        </is>
      </c>
      <c r="AT54" s="19" t="inlineStr">
        <is>
          <t>Not stated</t>
        </is>
      </c>
      <c r="AU54" s="19" t="inlineStr">
        <is>
          <t>Terms taken from aifree.dev directory; official program page not opened this session. Confirm on provider site before applying.</t>
        </is>
      </c>
      <c r="AV54" s="19" t="inlineStr">
        <is>
          <t>DG-T-ANYSCALE-FREE-</t>
        </is>
      </c>
    </row>
    <row r="55" ht="35.05" customHeight="1" s="17">
      <c r="A55" s="19" t="inlineStr">
        <is>
          <t>SB-054</t>
        </is>
      </c>
      <c r="B55" s="19" t="inlineStr">
        <is>
          <t>E2B</t>
        </is>
      </c>
      <c r="C55" s="19" t="inlineStr">
        <is>
          <t>E2B free hobby tier and $100 credits</t>
        </is>
      </c>
      <c r="D55" s="19" t="inlineStr">
        <is>
          <t>Not stated</t>
        </is>
      </c>
      <c r="E55" s="19" t="inlineStr">
        <is>
          <t>AI &amp; LLM Credits</t>
        </is>
      </c>
      <c r="F55" s="19" t="inlineStr">
        <is>
          <t>Agent sandbox credits</t>
        </is>
      </c>
      <c r="G55" s="19" t="inlineStr">
        <is>
          <t>Free trial credit (not startup-exclusive)</t>
        </is>
      </c>
      <c r="H55" s="19" t="inlineStr">
        <is>
          <t>$100 one-time usage credits; up to 20 concurrent sandboxes.</t>
        </is>
      </c>
      <c r="I55" s="22" t="n">
        <v>100</v>
      </c>
      <c r="J55" s="19" t="inlineStr">
        <is>
          <t>USD</t>
        </is>
      </c>
      <c r="K55" s="19" t="inlineStr">
        <is>
          <t>Credits</t>
        </is>
      </c>
      <c r="L55" s="22" t="n"/>
      <c r="M55" s="22" t="n"/>
      <c r="N55" s="19" t="n"/>
      <c r="O55" s="19" t="inlineStr">
        <is>
          <t>Yes</t>
        </is>
      </c>
      <c r="P55" s="19" t="inlineStr">
        <is>
          <t>Not stated</t>
        </is>
      </c>
      <c r="Q55" s="23" t="n"/>
      <c r="R55" s="19" t="inlineStr">
        <is>
          <t>Open</t>
        </is>
      </c>
      <c r="S55" s="19" t="inlineStr">
        <is>
          <t>Not verified this session</t>
        </is>
      </c>
      <c r="T55" s="19" t="inlineStr">
        <is>
          <t>Not verified this session</t>
        </is>
      </c>
      <c r="U55" s="19" t="inlineStr">
        <is>
          <t>Not stated</t>
        </is>
      </c>
      <c r="V55" s="19" t="inlineStr">
        <is>
          <t>Not stated</t>
        </is>
      </c>
      <c r="W55" s="19" t="inlineStr">
        <is>
          <t>Not stated</t>
        </is>
      </c>
      <c r="X55" s="19" t="inlineStr">
        <is>
          <t>Unknown</t>
        </is>
      </c>
      <c r="Y55" s="19" t="inlineStr">
        <is>
          <t>Unknown</t>
        </is>
      </c>
      <c r="Z55" s="19" t="inlineStr">
        <is>
          <t>Not stated</t>
        </is>
      </c>
      <c r="AA55" s="19" t="inlineStr">
        <is>
          <t>Unverified</t>
        </is>
      </c>
      <c r="AB55" s="19" t="inlineStr">
        <is>
          <t>Unknown</t>
        </is>
      </c>
      <c r="AC55" s="19" t="inlineStr">
        <is>
          <t>Unknown</t>
        </is>
      </c>
      <c r="AD55" s="19" t="inlineStr">
        <is>
          <t>Yes</t>
        </is>
      </c>
      <c r="AE55" s="19" t="inlineStr">
        <is>
          <t>Unknown</t>
        </is>
      </c>
      <c r="AF55" s="19" t="inlineStr">
        <is>
          <t>Not stated</t>
        </is>
      </c>
      <c r="AG55" s="19" t="inlineStr">
        <is>
          <t>Not stated</t>
        </is>
      </c>
      <c r="AH55" s="19" t="inlineStr">
        <is>
          <t>Not stated</t>
        </is>
      </c>
      <c r="AI55" s="19" t="inlineStr">
        <is>
          <t>Not stated</t>
        </is>
      </c>
      <c r="AJ55" s="19" t="inlineStr">
        <is>
          <t>Not stated</t>
        </is>
      </c>
      <c r="AK55" s="19" t="inlineStr">
        <is>
          <t>No card required</t>
        </is>
      </c>
      <c r="AL55" s="19" t="inlineStr">
        <is>
          <t>Not stated</t>
        </is>
      </c>
      <c r="AM55" s="24" t="inlineStr">
        <is>
          <t>https://aifree.dev/offer/e2b-free-credits</t>
        </is>
      </c>
      <c r="AN55" s="24" t="inlineStr">
        <is>
          <t>https://aifree.dev/startup-ai-credits</t>
        </is>
      </c>
      <c r="AO55" s="19" t="inlineStr">
        <is>
          <t>Directory listing (verified Oct 2026 per directory): $100 one-time usage credits; up to 20 concurrent sandboxes.</t>
        </is>
      </c>
      <c r="AP55" s="23" t="n">
        <v>46319</v>
      </c>
      <c r="AQ55" s="19" t="inlineStr">
        <is>
          <t>Medium</t>
        </is>
      </c>
      <c r="AR55" s="19" t="inlineStr">
        <is>
          <t>Directory</t>
        </is>
      </c>
      <c r="AS55" s="19" t="inlineStr">
        <is>
          <t>Global (unverified)</t>
        </is>
      </c>
      <c r="AT55" s="19" t="inlineStr">
        <is>
          <t>Not stated</t>
        </is>
      </c>
      <c r="AU55" s="19" t="inlineStr">
        <is>
          <t>Terms taken from aifree.dev directory; official program page not opened this session. Confirm on provider site before applying.</t>
        </is>
      </c>
      <c r="AV55" s="19" t="inlineStr">
        <is>
          <t>DG-T-E2B-FREE-CREDI</t>
        </is>
      </c>
    </row>
    <row r="56" ht="35.05" customHeight="1" s="17">
      <c r="A56" s="19" t="inlineStr">
        <is>
          <t>SB-055</t>
        </is>
      </c>
      <c r="B56" s="19" t="inlineStr">
        <is>
          <t>EmberCloud</t>
        </is>
      </c>
      <c r="C56" s="19" t="inlineStr">
        <is>
          <t>EmberCloud for Startups</t>
        </is>
      </c>
      <c r="D56" s="19" t="inlineStr">
        <is>
          <t>Not stated</t>
        </is>
      </c>
      <c r="E56" s="19" t="inlineStr">
        <is>
          <t>AI &amp; LLM Credits</t>
        </is>
      </c>
      <c r="F56" s="19" t="inlineStr">
        <is>
          <t>API credits</t>
        </is>
      </c>
      <c r="G56" s="19" t="inlineStr">
        <is>
          <t>Startup credits (startup-specific)</t>
        </is>
      </c>
      <c r="H56" s="19" t="inlineStr">
        <is>
          <t>$100 API credits on approval; $5 company verification payment required.</t>
        </is>
      </c>
      <c r="I56" s="22" t="n">
        <v>100</v>
      </c>
      <c r="J56" s="19" t="inlineStr">
        <is>
          <t>USD</t>
        </is>
      </c>
      <c r="K56" s="19" t="inlineStr">
        <is>
          <t>Credits</t>
        </is>
      </c>
      <c r="L56" s="22" t="n"/>
      <c r="M56" s="22" t="n"/>
      <c r="N56" s="19" t="n"/>
      <c r="O56" s="19" t="inlineStr">
        <is>
          <t>Not stated</t>
        </is>
      </c>
      <c r="P56" s="19" t="inlineStr">
        <is>
          <t>Not stated</t>
        </is>
      </c>
      <c r="Q56" s="23" t="n"/>
      <c r="R56" s="19" t="inlineStr">
        <is>
          <t>Open</t>
        </is>
      </c>
      <c r="S56" s="19" t="inlineStr">
        <is>
          <t>Not verified this session</t>
        </is>
      </c>
      <c r="T56" s="19" t="inlineStr">
        <is>
          <t>Not verified this session</t>
        </is>
      </c>
      <c r="U56" s="19" t="inlineStr">
        <is>
          <t>Not stated</t>
        </is>
      </c>
      <c r="V56" s="19" t="inlineStr">
        <is>
          <t>Not stated</t>
        </is>
      </c>
      <c r="W56" s="19" t="inlineStr">
        <is>
          <t>Not stated</t>
        </is>
      </c>
      <c r="X56" s="19" t="inlineStr">
        <is>
          <t>Unknown</t>
        </is>
      </c>
      <c r="Y56" s="19" t="inlineStr">
        <is>
          <t>Unknown</t>
        </is>
      </c>
      <c r="Z56" s="19" t="inlineStr">
        <is>
          <t>Not stated</t>
        </is>
      </c>
      <c r="AA56" s="19" t="inlineStr">
        <is>
          <t>Unverified</t>
        </is>
      </c>
      <c r="AB56" s="19" t="inlineStr">
        <is>
          <t>Unknown</t>
        </is>
      </c>
      <c r="AC56" s="19" t="inlineStr">
        <is>
          <t>Unknown</t>
        </is>
      </c>
      <c r="AD56" s="19" t="inlineStr">
        <is>
          <t>Yes</t>
        </is>
      </c>
      <c r="AE56" s="19" t="inlineStr">
        <is>
          <t>Unknown</t>
        </is>
      </c>
      <c r="AF56" s="19" t="inlineStr">
        <is>
          <t>Not stated</t>
        </is>
      </c>
      <c r="AG56" s="19" t="inlineStr">
        <is>
          <t>Not stated</t>
        </is>
      </c>
      <c r="AH56" s="19" t="inlineStr">
        <is>
          <t>Not stated</t>
        </is>
      </c>
      <c r="AI56" s="19" t="inlineStr">
        <is>
          <t>Not stated</t>
        </is>
      </c>
      <c r="AJ56" s="19" t="inlineStr">
        <is>
          <t>Not stated</t>
        </is>
      </c>
      <c r="AK56" s="19" t="inlineStr">
        <is>
          <t>Card required (plus $5 verification)</t>
        </is>
      </c>
      <c r="AL56" s="19" t="inlineStr">
        <is>
          <t>Not stated</t>
        </is>
      </c>
      <c r="AM56" s="24" t="inlineStr">
        <is>
          <t>https://aifree.dev/offer/embercloud-for-startups</t>
        </is>
      </c>
      <c r="AN56" s="24" t="inlineStr">
        <is>
          <t>https://aifree.dev/startup-ai-credits</t>
        </is>
      </c>
      <c r="AO56" s="19" t="inlineStr">
        <is>
          <t>Directory listing (verified Oct 2026 per directory): $100 API credits on approval; $5 company verification payment required.</t>
        </is>
      </c>
      <c r="AP56" s="23" t="n">
        <v>46319</v>
      </c>
      <c r="AQ56" s="19" t="inlineStr">
        <is>
          <t>Medium</t>
        </is>
      </c>
      <c r="AR56" s="19" t="inlineStr">
        <is>
          <t>Directory</t>
        </is>
      </c>
      <c r="AS56" s="19" t="inlineStr">
        <is>
          <t>Global (unverified)</t>
        </is>
      </c>
      <c r="AT56" s="19" t="inlineStr">
        <is>
          <t>Not stated</t>
        </is>
      </c>
      <c r="AU56" s="19" t="inlineStr">
        <is>
          <t>Terms taken from aifree.dev directory; official program page not opened this session. Confirm on provider site before applying.</t>
        </is>
      </c>
      <c r="AV56" s="19" t="inlineStr">
        <is>
          <t>DG-T-EMBERCLOUD-FOR</t>
        </is>
      </c>
    </row>
    <row r="57" ht="35.05" customHeight="1" s="17">
      <c r="A57" s="19" t="inlineStr">
        <is>
          <t>SB-056</t>
        </is>
      </c>
      <c r="B57" s="19" t="inlineStr">
        <is>
          <t>Novita</t>
        </is>
      </c>
      <c r="C57" s="19" t="inlineStr">
        <is>
          <t>Novita Sandbox $100 free credits</t>
        </is>
      </c>
      <c r="D57" s="19" t="inlineStr">
        <is>
          <t>Not stated</t>
        </is>
      </c>
      <c r="E57" s="19" t="inlineStr">
        <is>
          <t>AI &amp; LLM Credits</t>
        </is>
      </c>
      <c r="F57" s="19" t="inlineStr">
        <is>
          <t>Sandbox credits</t>
        </is>
      </c>
      <c r="G57" s="19" t="inlineStr">
        <is>
          <t>Free trial credit (not startup-exclusive)</t>
        </is>
      </c>
      <c r="H57" s="19" t="inlineStr">
        <is>
          <t>$100 promo credits after short account survey; no card.</t>
        </is>
      </c>
      <c r="I57" s="22" t="n">
        <v>100</v>
      </c>
      <c r="J57" s="19" t="inlineStr">
        <is>
          <t>USD</t>
        </is>
      </c>
      <c r="K57" s="19" t="inlineStr">
        <is>
          <t>Credits</t>
        </is>
      </c>
      <c r="L57" s="22" t="n"/>
      <c r="M57" s="22" t="n"/>
      <c r="N57" s="19" t="n"/>
      <c r="O57" s="19" t="inlineStr">
        <is>
          <t>Yes</t>
        </is>
      </c>
      <c r="P57" s="19" t="inlineStr">
        <is>
          <t>Not stated</t>
        </is>
      </c>
      <c r="Q57" s="23" t="n"/>
      <c r="R57" s="19" t="inlineStr">
        <is>
          <t>Open</t>
        </is>
      </c>
      <c r="S57" s="19" t="inlineStr">
        <is>
          <t>Not verified this session</t>
        </is>
      </c>
      <c r="T57" s="19" t="inlineStr">
        <is>
          <t>Not verified this session</t>
        </is>
      </c>
      <c r="U57" s="19" t="inlineStr">
        <is>
          <t>Not stated</t>
        </is>
      </c>
      <c r="V57" s="19" t="inlineStr">
        <is>
          <t>Not stated</t>
        </is>
      </c>
      <c r="W57" s="19" t="inlineStr">
        <is>
          <t>Not stated</t>
        </is>
      </c>
      <c r="X57" s="19" t="inlineStr">
        <is>
          <t>Unknown</t>
        </is>
      </c>
      <c r="Y57" s="19" t="inlineStr">
        <is>
          <t>Unknown</t>
        </is>
      </c>
      <c r="Z57" s="19" t="inlineStr">
        <is>
          <t>Not stated</t>
        </is>
      </c>
      <c r="AA57" s="19" t="inlineStr">
        <is>
          <t>Unverified</t>
        </is>
      </c>
      <c r="AB57" s="19" t="inlineStr">
        <is>
          <t>Unknown</t>
        </is>
      </c>
      <c r="AC57" s="19" t="inlineStr">
        <is>
          <t>Unknown</t>
        </is>
      </c>
      <c r="AD57" s="19" t="inlineStr">
        <is>
          <t>Yes</t>
        </is>
      </c>
      <c r="AE57" s="19" t="inlineStr">
        <is>
          <t>Unknown</t>
        </is>
      </c>
      <c r="AF57" s="19" t="inlineStr">
        <is>
          <t>Not stated</t>
        </is>
      </c>
      <c r="AG57" s="19" t="inlineStr">
        <is>
          <t>Not stated</t>
        </is>
      </c>
      <c r="AH57" s="19" t="inlineStr">
        <is>
          <t>Not stated</t>
        </is>
      </c>
      <c r="AI57" s="19" t="inlineStr">
        <is>
          <t>Not stated</t>
        </is>
      </c>
      <c r="AJ57" s="19" t="inlineStr">
        <is>
          <t>Not stated</t>
        </is>
      </c>
      <c r="AK57" s="19" t="inlineStr">
        <is>
          <t>No card required</t>
        </is>
      </c>
      <c r="AL57" s="19" t="inlineStr">
        <is>
          <t>Not stated</t>
        </is>
      </c>
      <c r="AM57" s="24" t="inlineStr">
        <is>
          <t>https://aifree.dev/offer/novita-sandbox-free-credits</t>
        </is>
      </c>
      <c r="AN57" s="24" t="inlineStr">
        <is>
          <t>https://aifree.dev/startup-ai-credits</t>
        </is>
      </c>
      <c r="AO57" s="19" t="inlineStr">
        <is>
          <t>Directory listing (verified Oct 2026 per directory): $100 promo credits after short account survey; no card.</t>
        </is>
      </c>
      <c r="AP57" s="23" t="n">
        <v>46319</v>
      </c>
      <c r="AQ57" s="19" t="inlineStr">
        <is>
          <t>Medium</t>
        </is>
      </c>
      <c r="AR57" s="19" t="inlineStr">
        <is>
          <t>Directory</t>
        </is>
      </c>
      <c r="AS57" s="19" t="inlineStr">
        <is>
          <t>Global (unverified)</t>
        </is>
      </c>
      <c r="AT57" s="19" t="inlineStr">
        <is>
          <t>Not stated</t>
        </is>
      </c>
      <c r="AU57" s="19" t="inlineStr">
        <is>
          <t>Terms taken from aifree.dev directory; official program page not opened this session. Confirm on provider site before applying.</t>
        </is>
      </c>
      <c r="AV57" s="19" t="inlineStr">
        <is>
          <t>DG-T-NOVITA-SANDBOX</t>
        </is>
      </c>
    </row>
    <row r="58" ht="35.05" customHeight="1" s="17">
      <c r="A58" s="19" t="inlineStr">
        <is>
          <t>SB-057</t>
        </is>
      </c>
      <c r="B58" s="19" t="inlineStr">
        <is>
          <t>Alibaba Cloud</t>
        </is>
      </c>
      <c r="C58" s="19" t="inlineStr">
        <is>
          <t>Alibaba Cloud free trial</t>
        </is>
      </c>
      <c r="D58" s="19" t="inlineStr">
        <is>
          <t>Not stated</t>
        </is>
      </c>
      <c r="E58" s="19" t="inlineStr">
        <is>
          <t>Cloud &amp; Infrastructure</t>
        </is>
      </c>
      <c r="F58" s="19" t="inlineStr">
        <is>
          <t>Trial credit</t>
        </is>
      </c>
      <c r="G58" s="19" t="inlineStr">
        <is>
          <t>Free trial credit (not startup-exclusive)</t>
        </is>
      </c>
      <c r="H58" s="19" t="inlineStr">
        <is>
          <t>80+ product trials; ECS $90 credit valid 3 months.</t>
        </is>
      </c>
      <c r="I58" s="22" t="n">
        <v>90</v>
      </c>
      <c r="J58" s="19" t="inlineStr">
        <is>
          <t>USD</t>
        </is>
      </c>
      <c r="K58" s="19" t="inlineStr">
        <is>
          <t>Credits</t>
        </is>
      </c>
      <c r="L58" s="22" t="n"/>
      <c r="M58" s="22" t="n"/>
      <c r="N58" s="19" t="n"/>
      <c r="O58" s="19" t="inlineStr">
        <is>
          <t>Yes</t>
        </is>
      </c>
      <c r="P58" s="19" t="inlineStr">
        <is>
          <t>3 months (ECS)</t>
        </is>
      </c>
      <c r="Q58" s="23" t="n"/>
      <c r="R58" s="19" t="inlineStr">
        <is>
          <t>Open</t>
        </is>
      </c>
      <c r="S58" s="19" t="inlineStr">
        <is>
          <t>Not verified this session</t>
        </is>
      </c>
      <c r="T58" s="19" t="inlineStr">
        <is>
          <t>Not verified this session</t>
        </is>
      </c>
      <c r="U58" s="19" t="inlineStr">
        <is>
          <t>Not stated</t>
        </is>
      </c>
      <c r="V58" s="19" t="inlineStr">
        <is>
          <t>Not stated</t>
        </is>
      </c>
      <c r="W58" s="19" t="inlineStr">
        <is>
          <t>Not stated</t>
        </is>
      </c>
      <c r="X58" s="19" t="inlineStr">
        <is>
          <t>Unknown</t>
        </is>
      </c>
      <c r="Y58" s="19" t="inlineStr">
        <is>
          <t>Unknown</t>
        </is>
      </c>
      <c r="Z58" s="19" t="inlineStr">
        <is>
          <t>Not stated</t>
        </is>
      </c>
      <c r="AA58" s="19" t="inlineStr">
        <is>
          <t>Unverified</t>
        </is>
      </c>
      <c r="AB58" s="19" t="inlineStr">
        <is>
          <t>Unknown</t>
        </is>
      </c>
      <c r="AC58" s="19" t="inlineStr">
        <is>
          <t>Unknown</t>
        </is>
      </c>
      <c r="AD58" s="19" t="inlineStr">
        <is>
          <t>No</t>
        </is>
      </c>
      <c r="AE58" s="19" t="inlineStr">
        <is>
          <t>Unknown</t>
        </is>
      </c>
      <c r="AF58" s="19" t="inlineStr">
        <is>
          <t>Not stated</t>
        </is>
      </c>
      <c r="AG58" s="19" t="inlineStr">
        <is>
          <t>Not stated</t>
        </is>
      </c>
      <c r="AH58" s="19" t="inlineStr">
        <is>
          <t>Not stated</t>
        </is>
      </c>
      <c r="AI58" s="19" t="inlineStr">
        <is>
          <t>Not stated</t>
        </is>
      </c>
      <c r="AJ58" s="19" t="inlineStr">
        <is>
          <t>Not stated</t>
        </is>
      </c>
      <c r="AK58" s="19" t="inlineStr">
        <is>
          <t>Card required</t>
        </is>
      </c>
      <c r="AL58" s="19" t="inlineStr">
        <is>
          <t>Not stated</t>
        </is>
      </c>
      <c r="AM58" s="24" t="inlineStr">
        <is>
          <t>https://aifree.dev/offer/alibaba-cloud-free-trial</t>
        </is>
      </c>
      <c r="AN58" s="24" t="inlineStr">
        <is>
          <t>https://aifree.dev/startup-ai-credits</t>
        </is>
      </c>
      <c r="AO58" s="19" t="inlineStr">
        <is>
          <t>Directory listing (verified Oct 2026 per directory): 80+ product trials; ECS $90 credit valid 3 months.</t>
        </is>
      </c>
      <c r="AP58" s="23" t="n">
        <v>46319</v>
      </c>
      <c r="AQ58" s="19" t="inlineStr">
        <is>
          <t>Medium</t>
        </is>
      </c>
      <c r="AR58" s="19" t="inlineStr">
        <is>
          <t>Directory</t>
        </is>
      </c>
      <c r="AS58" s="19" t="inlineStr">
        <is>
          <t>Global (unverified)</t>
        </is>
      </c>
      <c r="AT58" s="19" t="inlineStr">
        <is>
          <t>Not stated</t>
        </is>
      </c>
      <c r="AU58" s="19" t="inlineStr">
        <is>
          <t>Terms taken from aifree.dev directory; official program page not opened this session. Confirm on provider site before applying.</t>
        </is>
      </c>
      <c r="AV58" s="19" t="inlineStr">
        <is>
          <t>DG-T-ALIBABA-CLOUD-</t>
        </is>
      </c>
    </row>
    <row r="59" ht="35.05" customHeight="1" s="17">
      <c r="A59" s="19" t="inlineStr">
        <is>
          <t>SB-058</t>
        </is>
      </c>
      <c r="B59" s="19" t="inlineStr">
        <is>
          <t>Railway</t>
        </is>
      </c>
      <c r="C59" s="19" t="inlineStr">
        <is>
          <t>Railway free plan and trial credit</t>
        </is>
      </c>
      <c r="D59" s="19" t="inlineStr">
        <is>
          <t>Not stated</t>
        </is>
      </c>
      <c r="E59" s="19" t="inlineStr">
        <is>
          <t>Cloud &amp; Infrastructure</t>
        </is>
      </c>
      <c r="F59" s="19" t="inlineStr">
        <is>
          <t>Hosting trial</t>
        </is>
      </c>
      <c r="G59" s="19" t="inlineStr">
        <is>
          <t>Free trial credit (not startup-exclusive)</t>
        </is>
      </c>
      <c r="H59" s="19" t="inlineStr">
        <is>
          <t>One-time $5 trial credit (30 days); free plan has $1 monthly usage credit.</t>
        </is>
      </c>
      <c r="I59" s="22" t="n">
        <v>5</v>
      </c>
      <c r="J59" s="19" t="inlineStr">
        <is>
          <t>USD</t>
        </is>
      </c>
      <c r="K59" s="19" t="inlineStr">
        <is>
          <t>Credits</t>
        </is>
      </c>
      <c r="L59" s="22" t="n"/>
      <c r="M59" s="22" t="n"/>
      <c r="N59" s="19" t="n"/>
      <c r="O59" s="19" t="inlineStr">
        <is>
          <t>Yes</t>
        </is>
      </c>
      <c r="P59" s="19" t="inlineStr">
        <is>
          <t>30 days</t>
        </is>
      </c>
      <c r="Q59" s="23" t="n"/>
      <c r="R59" s="19" t="inlineStr">
        <is>
          <t>Open</t>
        </is>
      </c>
      <c r="S59" s="19" t="inlineStr">
        <is>
          <t>Not verified this session</t>
        </is>
      </c>
      <c r="T59" s="19" t="inlineStr">
        <is>
          <t>Not verified this session</t>
        </is>
      </c>
      <c r="U59" s="19" t="inlineStr">
        <is>
          <t>Not stated</t>
        </is>
      </c>
      <c r="V59" s="19" t="inlineStr">
        <is>
          <t>Not stated</t>
        </is>
      </c>
      <c r="W59" s="19" t="inlineStr">
        <is>
          <t>Not stated</t>
        </is>
      </c>
      <c r="X59" s="19" t="inlineStr">
        <is>
          <t>Unknown</t>
        </is>
      </c>
      <c r="Y59" s="19" t="inlineStr">
        <is>
          <t>Unknown</t>
        </is>
      </c>
      <c r="Z59" s="19" t="inlineStr">
        <is>
          <t>Not stated</t>
        </is>
      </c>
      <c r="AA59" s="19" t="inlineStr">
        <is>
          <t>Unverified</t>
        </is>
      </c>
      <c r="AB59" s="19" t="inlineStr">
        <is>
          <t>Unknown</t>
        </is>
      </c>
      <c r="AC59" s="19" t="inlineStr">
        <is>
          <t>Unknown</t>
        </is>
      </c>
      <c r="AD59" s="19" t="inlineStr">
        <is>
          <t>No</t>
        </is>
      </c>
      <c r="AE59" s="19" t="inlineStr">
        <is>
          <t>Unknown</t>
        </is>
      </c>
      <c r="AF59" s="19" t="inlineStr">
        <is>
          <t>Not stated</t>
        </is>
      </c>
      <c r="AG59" s="19" t="inlineStr">
        <is>
          <t>Not stated</t>
        </is>
      </c>
      <c r="AH59" s="19" t="inlineStr">
        <is>
          <t>Not stated</t>
        </is>
      </c>
      <c r="AI59" s="19" t="inlineStr">
        <is>
          <t>Not stated</t>
        </is>
      </c>
      <c r="AJ59" s="19" t="inlineStr">
        <is>
          <t>Not stated</t>
        </is>
      </c>
      <c r="AK59" s="19" t="inlineStr">
        <is>
          <t>No card required</t>
        </is>
      </c>
      <c r="AL59" s="19" t="inlineStr">
        <is>
          <t>Not stated</t>
        </is>
      </c>
      <c r="AM59" s="24" t="inlineStr">
        <is>
          <t>https://aifree.dev/offer/railway-free-plan-and-trial-credits</t>
        </is>
      </c>
      <c r="AN59" s="24" t="inlineStr">
        <is>
          <t>https://aifree.dev/startup-ai-credits</t>
        </is>
      </c>
      <c r="AO59" s="19" t="inlineStr">
        <is>
          <t>Directory listing (verified Oct 2026 per directory): One-time $5 trial credit (30 days); free plan has $1 monthly usage credit.</t>
        </is>
      </c>
      <c r="AP59" s="23" t="n">
        <v>46319</v>
      </c>
      <c r="AQ59" s="19" t="inlineStr">
        <is>
          <t>Medium</t>
        </is>
      </c>
      <c r="AR59" s="19" t="inlineStr">
        <is>
          <t>Directory</t>
        </is>
      </c>
      <c r="AS59" s="19" t="inlineStr">
        <is>
          <t>Global (unverified)</t>
        </is>
      </c>
      <c r="AT59" s="19" t="inlineStr">
        <is>
          <t>Not stated</t>
        </is>
      </c>
      <c r="AU59" s="19" t="inlineStr">
        <is>
          <t>Terms taken from aifree.dev directory; official program page not opened this session. Confirm on provider site before applying.</t>
        </is>
      </c>
      <c r="AV59" s="19" t="inlineStr">
        <is>
          <t>DG-T-RAILWAY-FREE-P</t>
        </is>
      </c>
    </row>
    <row r="60" ht="35.05" customHeight="1" s="17">
      <c r="A60" s="19" t="inlineStr">
        <is>
          <t>SB-059</t>
        </is>
      </c>
      <c r="B60" s="19" t="inlineStr">
        <is>
          <t>DeepInfra</t>
        </is>
      </c>
      <c r="C60" s="19" t="inlineStr">
        <is>
          <t>DeepInfra DeepStart free inference tokens</t>
        </is>
      </c>
      <c r="D60" s="19" t="inlineStr">
        <is>
          <t>Not stated</t>
        </is>
      </c>
      <c r="E60" s="19" t="inlineStr">
        <is>
          <t>AI &amp; LLM Credits</t>
        </is>
      </c>
      <c r="F60" s="19" t="inlineStr">
        <is>
          <t>LLM inference tokens</t>
        </is>
      </c>
      <c r="G60" s="19" t="inlineStr">
        <is>
          <t>Startup credits (startup-specific)</t>
        </is>
      </c>
      <c r="H60" s="19" t="inlineStr">
        <is>
          <t>50 billion inference tokens (priced at DeepSeek V4 Flash rates); expire 1 year after grant.</t>
        </is>
      </c>
      <c r="I60" s="22" t="n"/>
      <c r="J60" s="19" t="inlineStr">
        <is>
          <t>Tokens</t>
        </is>
      </c>
      <c r="K60" s="19" t="inlineStr">
        <is>
          <t>Credits</t>
        </is>
      </c>
      <c r="L60" s="22" t="n"/>
      <c r="M60" s="22" t="n"/>
      <c r="N60" s="19" t="n"/>
      <c r="O60" s="19" t="inlineStr">
        <is>
          <t>Not stated</t>
        </is>
      </c>
      <c r="P60" s="19" t="inlineStr">
        <is>
          <t>1 year</t>
        </is>
      </c>
      <c r="Q60" s="23" t="n"/>
      <c r="R60" s="19" t="inlineStr">
        <is>
          <t>Open</t>
        </is>
      </c>
      <c r="S60" s="19" t="inlineStr">
        <is>
          <t>Not verified this session</t>
        </is>
      </c>
      <c r="T60" s="19" t="inlineStr">
        <is>
          <t>Not verified this session</t>
        </is>
      </c>
      <c r="U60" s="19" t="inlineStr">
        <is>
          <t>Not stated</t>
        </is>
      </c>
      <c r="V60" s="19" t="inlineStr">
        <is>
          <t>Not stated</t>
        </is>
      </c>
      <c r="W60" s="19" t="inlineStr">
        <is>
          <t>Not stated</t>
        </is>
      </c>
      <c r="X60" s="19" t="inlineStr">
        <is>
          <t>Unknown</t>
        </is>
      </c>
      <c r="Y60" s="19" t="inlineStr">
        <is>
          <t>Unknown</t>
        </is>
      </c>
      <c r="Z60" s="19" t="inlineStr">
        <is>
          <t>Not stated</t>
        </is>
      </c>
      <c r="AA60" s="19" t="inlineStr">
        <is>
          <t>Unverified</t>
        </is>
      </c>
      <c r="AB60" s="19" t="inlineStr">
        <is>
          <t>Unknown</t>
        </is>
      </c>
      <c r="AC60" s="19" t="inlineStr">
        <is>
          <t>Unknown</t>
        </is>
      </c>
      <c r="AD60" s="19" t="inlineStr">
        <is>
          <t>Yes</t>
        </is>
      </c>
      <c r="AE60" s="19" t="inlineStr">
        <is>
          <t>Unknown</t>
        </is>
      </c>
      <c r="AF60" s="19" t="inlineStr">
        <is>
          <t>Not stated</t>
        </is>
      </c>
      <c r="AG60" s="19" t="inlineStr">
        <is>
          <t>Not stated</t>
        </is>
      </c>
      <c r="AH60" s="19" t="inlineStr">
        <is>
          <t>Not stated</t>
        </is>
      </c>
      <c r="AI60" s="19" t="inlineStr">
        <is>
          <t>Not stated</t>
        </is>
      </c>
      <c r="AJ60" s="19" t="inlineStr">
        <is>
          <t>Not stated</t>
        </is>
      </c>
      <c r="AK60" s="19" t="inlineStr">
        <is>
          <t>No card required</t>
        </is>
      </c>
      <c r="AL60" s="19" t="inlineStr">
        <is>
          <t>Numeric value left blank: tokens are not a currency.</t>
        </is>
      </c>
      <c r="AM60" s="24" t="inlineStr">
        <is>
          <t>https://aifree.dev/offer/deepinfra-deepstart-free-tokens</t>
        </is>
      </c>
      <c r="AN60" s="24" t="inlineStr">
        <is>
          <t>https://aifree.dev/startup-ai-credits</t>
        </is>
      </c>
      <c r="AO60" s="19" t="inlineStr">
        <is>
          <t>Directory listing (verified Oct 2026 per directory): 50 billion inference tokens (priced at DeepSeek V4 Flash rates); expire 1 year after grant.</t>
        </is>
      </c>
      <c r="AP60" s="23" t="n">
        <v>46319</v>
      </c>
      <c r="AQ60" s="19" t="inlineStr">
        <is>
          <t>Medium</t>
        </is>
      </c>
      <c r="AR60" s="19" t="inlineStr">
        <is>
          <t>Directory</t>
        </is>
      </c>
      <c r="AS60" s="19" t="inlineStr">
        <is>
          <t>Global (unverified)</t>
        </is>
      </c>
      <c r="AT60" s="19" t="inlineStr">
        <is>
          <t>Not stated</t>
        </is>
      </c>
      <c r="AU60" s="19" t="inlineStr">
        <is>
          <t>Terms taken from aifree.dev directory; official program page not opened this session. Confirm on provider site before applying.</t>
        </is>
      </c>
      <c r="AV60" s="19" t="inlineStr">
        <is>
          <t>DG-T-DEEPINFRA-DEEP</t>
        </is>
      </c>
    </row>
    <row r="61" ht="35.05" customHeight="1" s="17">
      <c r="A61" s="19" t="inlineStr">
        <is>
          <t>SB-060</t>
        </is>
      </c>
      <c r="B61" s="19" t="inlineStr">
        <is>
          <t>Free.ai</t>
        </is>
      </c>
      <c r="C61" s="19" t="inlineStr">
        <is>
          <t>Free.ai Startup Grant</t>
        </is>
      </c>
      <c r="D61" s="19" t="inlineStr">
        <is>
          <t>Not stated</t>
        </is>
      </c>
      <c r="E61" s="19" t="inlineStr">
        <is>
          <t>AI &amp; LLM Credits</t>
        </is>
      </c>
      <c r="F61" s="19" t="inlineStr">
        <is>
          <t>LLM tokens</t>
        </is>
      </c>
      <c r="G61" s="19" t="inlineStr">
        <is>
          <t>Startup credits (startup-specific)</t>
        </is>
      </c>
      <c r="H61" s="19" t="inlineStr">
        <is>
          <t>15,000,000 tokens per accepted startup; tokens do not expire.</t>
        </is>
      </c>
      <c r="I61" s="22" t="n"/>
      <c r="J61" s="19" t="inlineStr">
        <is>
          <t>Tokens</t>
        </is>
      </c>
      <c r="K61" s="19" t="inlineStr">
        <is>
          <t>Credits</t>
        </is>
      </c>
      <c r="L61" s="22" t="n"/>
      <c r="M61" s="22" t="n"/>
      <c r="N61" s="19" t="n"/>
      <c r="O61" s="19" t="inlineStr">
        <is>
          <t>Not stated</t>
        </is>
      </c>
      <c r="P61" s="19" t="inlineStr">
        <is>
          <t>Not stated</t>
        </is>
      </c>
      <c r="Q61" s="23" t="n"/>
      <c r="R61" s="19" t="inlineStr">
        <is>
          <t>Open</t>
        </is>
      </c>
      <c r="S61" s="19" t="inlineStr">
        <is>
          <t>Not verified this session</t>
        </is>
      </c>
      <c r="T61" s="19" t="inlineStr">
        <is>
          <t>Not verified this session</t>
        </is>
      </c>
      <c r="U61" s="19" t="inlineStr">
        <is>
          <t>Not stated</t>
        </is>
      </c>
      <c r="V61" s="19" t="inlineStr">
        <is>
          <t>Not stated</t>
        </is>
      </c>
      <c r="W61" s="19" t="inlineStr">
        <is>
          <t>Not stated</t>
        </is>
      </c>
      <c r="X61" s="19" t="inlineStr">
        <is>
          <t>Unknown</t>
        </is>
      </c>
      <c r="Y61" s="19" t="inlineStr">
        <is>
          <t>Unknown</t>
        </is>
      </c>
      <c r="Z61" s="19" t="inlineStr">
        <is>
          <t>Not stated</t>
        </is>
      </c>
      <c r="AA61" s="19" t="inlineStr">
        <is>
          <t>Unverified</t>
        </is>
      </c>
      <c r="AB61" s="19" t="inlineStr">
        <is>
          <t>Unknown</t>
        </is>
      </c>
      <c r="AC61" s="19" t="inlineStr">
        <is>
          <t>Unknown</t>
        </is>
      </c>
      <c r="AD61" s="19" t="inlineStr">
        <is>
          <t>Yes</t>
        </is>
      </c>
      <c r="AE61" s="19" t="inlineStr">
        <is>
          <t>Unknown</t>
        </is>
      </c>
      <c r="AF61" s="19" t="inlineStr">
        <is>
          <t>Not stated</t>
        </is>
      </c>
      <c r="AG61" s="19" t="inlineStr">
        <is>
          <t>Not stated</t>
        </is>
      </c>
      <c r="AH61" s="19" t="inlineStr">
        <is>
          <t>Not stated</t>
        </is>
      </c>
      <c r="AI61" s="19" t="inlineStr">
        <is>
          <t>Not stated</t>
        </is>
      </c>
      <c r="AJ61" s="19" t="inlineStr">
        <is>
          <t>Not stated</t>
        </is>
      </c>
      <c r="AK61" s="19" t="inlineStr">
        <is>
          <t>No card required</t>
        </is>
      </c>
      <c r="AL61" s="19" t="inlineStr">
        <is>
          <t>Numeric value left blank: tokens are not a currency.</t>
        </is>
      </c>
      <c r="AM61" s="24" t="inlineStr">
        <is>
          <t>https://aifree.dev/offer/free-ai-startup-tokens</t>
        </is>
      </c>
      <c r="AN61" s="24" t="inlineStr">
        <is>
          <t>https://aifree.dev/startup-ai-credits</t>
        </is>
      </c>
      <c r="AO61" s="19" t="inlineStr">
        <is>
          <t>Directory listing (verified Oct 2026 per directory): 15,000,000 tokens per accepted startup; tokens do not expire.</t>
        </is>
      </c>
      <c r="AP61" s="23" t="n">
        <v>46319</v>
      </c>
      <c r="AQ61" s="19" t="inlineStr">
        <is>
          <t>Low</t>
        </is>
      </c>
      <c r="AR61" s="19" t="inlineStr">
        <is>
          <t>Directory</t>
        </is>
      </c>
      <c r="AS61" s="19" t="inlineStr">
        <is>
          <t>Global (unverified)</t>
        </is>
      </c>
      <c r="AT61" s="19" t="inlineStr">
        <is>
          <t>Not stated</t>
        </is>
      </c>
      <c r="AU61" s="19" t="inlineStr">
        <is>
          <t>Terms taken from aifree.dev directory; official program page not opened this session. Confirm on provider site before applying.</t>
        </is>
      </c>
      <c r="AV61" s="19" t="inlineStr">
        <is>
          <t>DG-T-FREE-AI-STARTU</t>
        </is>
      </c>
    </row>
    <row r="62" ht="35.05" customHeight="1" s="17">
      <c r="A62" s="19" t="inlineStr">
        <is>
          <t>SB-061</t>
        </is>
      </c>
      <c r="B62" s="19" t="inlineStr">
        <is>
          <t>Netlify</t>
        </is>
      </c>
      <c r="C62" s="19" t="inlineStr">
        <is>
          <t>Netlify free plan</t>
        </is>
      </c>
      <c r="D62" s="19" t="inlineStr">
        <is>
          <t>Not stated</t>
        </is>
      </c>
      <c r="E62" s="19" t="inlineStr">
        <is>
          <t>Cloud &amp; Infrastructure</t>
        </is>
      </c>
      <c r="F62" s="19" t="inlineStr">
        <is>
          <t>Free tier</t>
        </is>
      </c>
      <c r="G62" s="19" t="inlineStr">
        <is>
          <t>Free tier (ongoing, not startup-exclusive)</t>
        </is>
      </c>
      <c r="H62" s="19" t="inlineStr">
        <is>
          <t>300 credits per month on free plan; hard limit.</t>
        </is>
      </c>
      <c r="I62" s="22" t="n"/>
      <c r="J62" s="19" t="inlineStr">
        <is>
          <t>USD</t>
        </is>
      </c>
      <c r="K62" s="19" t="inlineStr">
        <is>
          <t>Unknown</t>
        </is>
      </c>
      <c r="L62" s="22" t="n"/>
      <c r="M62" s="22" t="n"/>
      <c r="N62" s="19" t="n"/>
      <c r="O62" s="19" t="inlineStr">
        <is>
          <t>Yes</t>
        </is>
      </c>
      <c r="P62" s="19" t="inlineStr">
        <is>
          <t>Monthly reset</t>
        </is>
      </c>
      <c r="Q62" s="23" t="n"/>
      <c r="R62" s="19" t="inlineStr">
        <is>
          <t>Open</t>
        </is>
      </c>
      <c r="S62" s="19" t="inlineStr">
        <is>
          <t>Not verified this session</t>
        </is>
      </c>
      <c r="T62" s="19" t="inlineStr">
        <is>
          <t>Not verified this session</t>
        </is>
      </c>
      <c r="U62" s="19" t="inlineStr">
        <is>
          <t>Not stated</t>
        </is>
      </c>
      <c r="V62" s="19" t="inlineStr">
        <is>
          <t>Not stated</t>
        </is>
      </c>
      <c r="W62" s="19" t="inlineStr">
        <is>
          <t>Not stated</t>
        </is>
      </c>
      <c r="X62" s="19" t="inlineStr">
        <is>
          <t>Unknown</t>
        </is>
      </c>
      <c r="Y62" s="19" t="inlineStr">
        <is>
          <t>Unknown</t>
        </is>
      </c>
      <c r="Z62" s="19" t="inlineStr">
        <is>
          <t>Not stated</t>
        </is>
      </c>
      <c r="AA62" s="19" t="inlineStr">
        <is>
          <t>Unverified</t>
        </is>
      </c>
      <c r="AB62" s="19" t="inlineStr">
        <is>
          <t>Unknown</t>
        </is>
      </c>
      <c r="AC62" s="19" t="inlineStr">
        <is>
          <t>Unknown</t>
        </is>
      </c>
      <c r="AD62" s="19" t="inlineStr">
        <is>
          <t>No</t>
        </is>
      </c>
      <c r="AE62" s="19" t="inlineStr">
        <is>
          <t>Unknown</t>
        </is>
      </c>
      <c r="AF62" s="19" t="inlineStr">
        <is>
          <t>Not stated</t>
        </is>
      </c>
      <c r="AG62" s="19" t="inlineStr">
        <is>
          <t>Not stated</t>
        </is>
      </c>
      <c r="AH62" s="19" t="inlineStr">
        <is>
          <t>Not stated</t>
        </is>
      </c>
      <c r="AI62" s="19" t="inlineStr">
        <is>
          <t>Not stated</t>
        </is>
      </c>
      <c r="AJ62" s="19" t="inlineStr">
        <is>
          <t>Not stated</t>
        </is>
      </c>
      <c r="AK62" s="19" t="inlineStr">
        <is>
          <t>No card required</t>
        </is>
      </c>
      <c r="AL62" s="19" t="inlineStr">
        <is>
          <t>Not stated</t>
        </is>
      </c>
      <c r="AM62" s="24" t="inlineStr">
        <is>
          <t>https://aifree.dev/offer/netlify-free-plan</t>
        </is>
      </c>
      <c r="AN62" s="24" t="inlineStr">
        <is>
          <t>https://aifree.dev/startup-ai-credits</t>
        </is>
      </c>
      <c r="AO62" s="19" t="inlineStr">
        <is>
          <t>Directory listing (verified Oct 2026 per directory): 300 credits per month on free plan; hard limit.</t>
        </is>
      </c>
      <c r="AP62" s="23" t="n">
        <v>46319</v>
      </c>
      <c r="AQ62" s="19" t="inlineStr">
        <is>
          <t>Medium</t>
        </is>
      </c>
      <c r="AR62" s="19" t="inlineStr">
        <is>
          <t>Directory</t>
        </is>
      </c>
      <c r="AS62" s="19" t="inlineStr">
        <is>
          <t>Global (unverified)</t>
        </is>
      </c>
      <c r="AT62" s="19" t="inlineStr">
        <is>
          <t>Not stated</t>
        </is>
      </c>
      <c r="AU62" s="19" t="inlineStr">
        <is>
          <t>Terms taken from aifree.dev directory; official program page not opened this session. Confirm on provider site before applying.</t>
        </is>
      </c>
      <c r="AV62" s="19" t="inlineStr">
        <is>
          <t>DG-T-NETLIFY-FREE-P</t>
        </is>
      </c>
    </row>
    <row r="63" ht="35.05" customHeight="1" s="17">
      <c r="A63" s="19" t="inlineStr">
        <is>
          <t>SB-062</t>
        </is>
      </c>
      <c r="B63" s="19" t="inlineStr">
        <is>
          <t>Kaggle (Google)</t>
        </is>
      </c>
      <c r="C63" s="19" t="inlineStr">
        <is>
          <t>Kaggle free GPU/TPU notebooks</t>
        </is>
      </c>
      <c r="D63" s="19" t="inlineStr">
        <is>
          <t>Not stated</t>
        </is>
      </c>
      <c r="E63" s="19" t="inlineStr">
        <is>
          <t>AI &amp; LLM Credits</t>
        </is>
      </c>
      <c r="F63" s="19" t="inlineStr">
        <is>
          <t>Free GPU tier</t>
        </is>
      </c>
      <c r="G63" s="19" t="inlineStr">
        <is>
          <t>Free tier (ongoing, not startup-exclusive)</t>
        </is>
      </c>
      <c r="H63" s="19" t="inlineStr">
        <is>
          <t>Up to 30 GPU hours/week, resets weekly.</t>
        </is>
      </c>
      <c r="I63" s="22" t="n"/>
      <c r="J63" s="19" t="inlineStr">
        <is>
          <t>USD</t>
        </is>
      </c>
      <c r="K63" s="19" t="inlineStr">
        <is>
          <t>In-Kind</t>
        </is>
      </c>
      <c r="L63" s="22" t="n"/>
      <c r="M63" s="22" t="n"/>
      <c r="N63" s="19" t="n"/>
      <c r="O63" s="19" t="inlineStr">
        <is>
          <t>Yes</t>
        </is>
      </c>
      <c r="P63" s="19" t="inlineStr">
        <is>
          <t>Weekly reset</t>
        </is>
      </c>
      <c r="Q63" s="23" t="n"/>
      <c r="R63" s="19" t="inlineStr">
        <is>
          <t>Open</t>
        </is>
      </c>
      <c r="S63" s="19" t="inlineStr">
        <is>
          <t>Not verified this session</t>
        </is>
      </c>
      <c r="T63" s="19" t="inlineStr">
        <is>
          <t>Not verified this session</t>
        </is>
      </c>
      <c r="U63" s="19" t="inlineStr">
        <is>
          <t>Not stated</t>
        </is>
      </c>
      <c r="V63" s="19" t="inlineStr">
        <is>
          <t>Not stated</t>
        </is>
      </c>
      <c r="W63" s="19" t="inlineStr">
        <is>
          <t>Not stated</t>
        </is>
      </c>
      <c r="X63" s="19" t="inlineStr">
        <is>
          <t>Unknown</t>
        </is>
      </c>
      <c r="Y63" s="19" t="inlineStr">
        <is>
          <t>Unknown</t>
        </is>
      </c>
      <c r="Z63" s="19" t="inlineStr">
        <is>
          <t>Not stated</t>
        </is>
      </c>
      <c r="AA63" s="19" t="inlineStr">
        <is>
          <t>Unverified</t>
        </is>
      </c>
      <c r="AB63" s="19" t="inlineStr">
        <is>
          <t>Unknown</t>
        </is>
      </c>
      <c r="AC63" s="19" t="inlineStr">
        <is>
          <t>Unknown</t>
        </is>
      </c>
      <c r="AD63" s="19" t="inlineStr">
        <is>
          <t>Yes</t>
        </is>
      </c>
      <c r="AE63" s="19" t="inlineStr">
        <is>
          <t>Unknown</t>
        </is>
      </c>
      <c r="AF63" s="19" t="inlineStr">
        <is>
          <t>Not stated</t>
        </is>
      </c>
      <c r="AG63" s="19" t="inlineStr">
        <is>
          <t>Not stated</t>
        </is>
      </c>
      <c r="AH63" s="19" t="inlineStr">
        <is>
          <t>Not stated</t>
        </is>
      </c>
      <c r="AI63" s="19" t="inlineStr">
        <is>
          <t>Not stated</t>
        </is>
      </c>
      <c r="AJ63" s="19" t="inlineStr">
        <is>
          <t>Not stated</t>
        </is>
      </c>
      <c r="AK63" s="19" t="inlineStr">
        <is>
          <t>No card required</t>
        </is>
      </c>
      <c r="AL63" s="19" t="inlineStr">
        <is>
          <t>Not stated</t>
        </is>
      </c>
      <c r="AM63" s="24" t="inlineStr">
        <is>
          <t>https://aifree.dev/offer/kaggle-free-gpu-tpu</t>
        </is>
      </c>
      <c r="AN63" s="24" t="inlineStr">
        <is>
          <t>https://aifree.dev/startup-ai-credits</t>
        </is>
      </c>
      <c r="AO63" s="19" t="inlineStr">
        <is>
          <t>Directory listing (verified Oct 2026 per directory): Up to 30 GPU hours/week, resets weekly.</t>
        </is>
      </c>
      <c r="AP63" s="23" t="n">
        <v>46319</v>
      </c>
      <c r="AQ63" s="19" t="inlineStr">
        <is>
          <t>Medium</t>
        </is>
      </c>
      <c r="AR63" s="19" t="inlineStr">
        <is>
          <t>Directory</t>
        </is>
      </c>
      <c r="AS63" s="19" t="inlineStr">
        <is>
          <t>Global (unverified)</t>
        </is>
      </c>
      <c r="AT63" s="19" t="inlineStr">
        <is>
          <t>Not stated</t>
        </is>
      </c>
      <c r="AU63" s="19" t="inlineStr">
        <is>
          <t>Terms taken from aifree.dev directory; official program page not opened this session. Confirm on provider site before applying.</t>
        </is>
      </c>
      <c r="AV63" s="19" t="inlineStr">
        <is>
          <t>DG-T-KAGGLE-FREE-GP</t>
        </is>
      </c>
    </row>
    <row r="64" ht="35.05" customHeight="1" s="17">
      <c r="A64" s="19" t="inlineStr">
        <is>
          <t>SB-063</t>
        </is>
      </c>
      <c r="B64" s="19" t="inlineStr">
        <is>
          <t>Lightning AI</t>
        </is>
      </c>
      <c r="C64" s="19" t="inlineStr">
        <is>
          <t>Lightning AI free plan</t>
        </is>
      </c>
      <c r="D64" s="19" t="inlineStr">
        <is>
          <t>Not stated</t>
        </is>
      </c>
      <c r="E64" s="19" t="inlineStr">
        <is>
          <t>AI &amp; LLM Credits</t>
        </is>
      </c>
      <c r="F64" s="19" t="inlineStr">
        <is>
          <t>Free GPU tier</t>
        </is>
      </c>
      <c r="G64" s="19" t="inlineStr">
        <is>
          <t>Free tier (ongoing, not startup-exclusive)</t>
        </is>
      </c>
      <c r="H64" s="19" t="inlineStr">
        <is>
          <t>Up to 30 free credits total; credits expire after 12 months.</t>
        </is>
      </c>
      <c r="I64" s="22" t="n"/>
      <c r="J64" s="19" t="inlineStr">
        <is>
          <t>USD</t>
        </is>
      </c>
      <c r="K64" s="19" t="inlineStr">
        <is>
          <t>Credits</t>
        </is>
      </c>
      <c r="L64" s="22" t="n"/>
      <c r="M64" s="22" t="n"/>
      <c r="N64" s="19" t="n"/>
      <c r="O64" s="19" t="inlineStr">
        <is>
          <t>Yes</t>
        </is>
      </c>
      <c r="P64" s="19" t="inlineStr">
        <is>
          <t>12 months</t>
        </is>
      </c>
      <c r="Q64" s="23" t="n"/>
      <c r="R64" s="19" t="inlineStr">
        <is>
          <t>Open</t>
        </is>
      </c>
      <c r="S64" s="19" t="inlineStr">
        <is>
          <t>Not verified this session</t>
        </is>
      </c>
      <c r="T64" s="19" t="inlineStr">
        <is>
          <t>Not verified this session</t>
        </is>
      </c>
      <c r="U64" s="19" t="inlineStr">
        <is>
          <t>Not stated</t>
        </is>
      </c>
      <c r="V64" s="19" t="inlineStr">
        <is>
          <t>Not stated</t>
        </is>
      </c>
      <c r="W64" s="19" t="inlineStr">
        <is>
          <t>Not stated</t>
        </is>
      </c>
      <c r="X64" s="19" t="inlineStr">
        <is>
          <t>Unknown</t>
        </is>
      </c>
      <c r="Y64" s="19" t="inlineStr">
        <is>
          <t>Unknown</t>
        </is>
      </c>
      <c r="Z64" s="19" t="inlineStr">
        <is>
          <t>Not stated</t>
        </is>
      </c>
      <c r="AA64" s="19" t="inlineStr">
        <is>
          <t>Unverified</t>
        </is>
      </c>
      <c r="AB64" s="19" t="inlineStr">
        <is>
          <t>Unknown</t>
        </is>
      </c>
      <c r="AC64" s="19" t="inlineStr">
        <is>
          <t>Unknown</t>
        </is>
      </c>
      <c r="AD64" s="19" t="inlineStr">
        <is>
          <t>Yes</t>
        </is>
      </c>
      <c r="AE64" s="19" t="inlineStr">
        <is>
          <t>Unknown</t>
        </is>
      </c>
      <c r="AF64" s="19" t="inlineStr">
        <is>
          <t>Not stated</t>
        </is>
      </c>
      <c r="AG64" s="19" t="inlineStr">
        <is>
          <t>Not stated</t>
        </is>
      </c>
      <c r="AH64" s="19" t="inlineStr">
        <is>
          <t>Not stated</t>
        </is>
      </c>
      <c r="AI64" s="19" t="inlineStr">
        <is>
          <t>Not stated</t>
        </is>
      </c>
      <c r="AJ64" s="19" t="inlineStr">
        <is>
          <t>Not stated</t>
        </is>
      </c>
      <c r="AK64" s="19" t="inlineStr">
        <is>
          <t>No card required</t>
        </is>
      </c>
      <c r="AL64" s="19" t="inlineStr">
        <is>
          <t>Not stated</t>
        </is>
      </c>
      <c r="AM64" s="24" t="inlineStr">
        <is>
          <t>https://aifree.dev/offer/lightning-ai-free-plan</t>
        </is>
      </c>
      <c r="AN64" s="24" t="inlineStr">
        <is>
          <t>https://aifree.dev/startup-ai-credits</t>
        </is>
      </c>
      <c r="AO64" s="19" t="inlineStr">
        <is>
          <t>Directory listing (verified Oct 2026 per directory): Up to 30 free credits total; credits expire after 12 months.</t>
        </is>
      </c>
      <c r="AP64" s="23" t="n">
        <v>46319</v>
      </c>
      <c r="AQ64" s="19" t="inlineStr">
        <is>
          <t>Medium</t>
        </is>
      </c>
      <c r="AR64" s="19" t="inlineStr">
        <is>
          <t>Directory</t>
        </is>
      </c>
      <c r="AS64" s="19" t="inlineStr">
        <is>
          <t>Global (unverified)</t>
        </is>
      </c>
      <c r="AT64" s="19" t="inlineStr">
        <is>
          <t>Not stated</t>
        </is>
      </c>
      <c r="AU64" s="19" t="inlineStr">
        <is>
          <t>Terms taken from aifree.dev directory; official program page not opened this session. Confirm on provider site before applying.</t>
        </is>
      </c>
      <c r="AV64" s="19" t="inlineStr">
        <is>
          <t>DG-T-LIGHTNING-AI-F</t>
        </is>
      </c>
    </row>
    <row r="65" ht="35.05" customHeight="1" s="17">
      <c r="A65" s="19" t="inlineStr">
        <is>
          <t>SB-064</t>
        </is>
      </c>
      <c r="B65" s="19" t="inlineStr">
        <is>
          <t>Hugging Face</t>
        </is>
      </c>
      <c r="C65" s="19" t="inlineStr">
        <is>
          <t>Hugging Face ZeroGPU on Spaces</t>
        </is>
      </c>
      <c r="D65" s="19" t="inlineStr">
        <is>
          <t>Not stated</t>
        </is>
      </c>
      <c r="E65" s="19" t="inlineStr">
        <is>
          <t>AI &amp; LLM Credits</t>
        </is>
      </c>
      <c r="F65" s="19" t="inlineStr">
        <is>
          <t>Free GPU tier</t>
        </is>
      </c>
      <c r="G65" s="19" t="inlineStr">
        <is>
          <t>Free tier (ongoing, not startup-exclusive)</t>
        </is>
      </c>
      <c r="H65" s="19" t="inlineStr">
        <is>
          <t>Free accounts get about 5 minutes/day GPU quota.</t>
        </is>
      </c>
      <c r="I65" s="22" t="n"/>
      <c r="J65" s="19" t="inlineStr">
        <is>
          <t>USD</t>
        </is>
      </c>
      <c r="K65" s="19" t="inlineStr">
        <is>
          <t>In-Kind</t>
        </is>
      </c>
      <c r="L65" s="22" t="n"/>
      <c r="M65" s="22" t="n"/>
      <c r="N65" s="19" t="n"/>
      <c r="O65" s="19" t="inlineStr">
        <is>
          <t>Yes</t>
        </is>
      </c>
      <c r="P65" s="19" t="inlineStr">
        <is>
          <t>Daily reset</t>
        </is>
      </c>
      <c r="Q65" s="23" t="n"/>
      <c r="R65" s="19" t="inlineStr">
        <is>
          <t>Open</t>
        </is>
      </c>
      <c r="S65" s="19" t="inlineStr">
        <is>
          <t>Not verified this session</t>
        </is>
      </c>
      <c r="T65" s="19" t="inlineStr">
        <is>
          <t>Not verified this session</t>
        </is>
      </c>
      <c r="U65" s="19" t="inlineStr">
        <is>
          <t>Not stated</t>
        </is>
      </c>
      <c r="V65" s="19" t="inlineStr">
        <is>
          <t>Not stated</t>
        </is>
      </c>
      <c r="W65" s="19" t="inlineStr">
        <is>
          <t>Not stated</t>
        </is>
      </c>
      <c r="X65" s="19" t="inlineStr">
        <is>
          <t>Unknown</t>
        </is>
      </c>
      <c r="Y65" s="19" t="inlineStr">
        <is>
          <t>Unknown</t>
        </is>
      </c>
      <c r="Z65" s="19" t="inlineStr">
        <is>
          <t>Not stated</t>
        </is>
      </c>
      <c r="AA65" s="19" t="inlineStr">
        <is>
          <t>Unverified</t>
        </is>
      </c>
      <c r="AB65" s="19" t="inlineStr">
        <is>
          <t>Unknown</t>
        </is>
      </c>
      <c r="AC65" s="19" t="inlineStr">
        <is>
          <t>Unknown</t>
        </is>
      </c>
      <c r="AD65" s="19" t="inlineStr">
        <is>
          <t>Yes</t>
        </is>
      </c>
      <c r="AE65" s="19" t="inlineStr">
        <is>
          <t>Unknown</t>
        </is>
      </c>
      <c r="AF65" s="19" t="inlineStr">
        <is>
          <t>Not stated</t>
        </is>
      </c>
      <c r="AG65" s="19" t="inlineStr">
        <is>
          <t>Not stated</t>
        </is>
      </c>
      <c r="AH65" s="19" t="inlineStr">
        <is>
          <t>Not stated</t>
        </is>
      </c>
      <c r="AI65" s="19" t="inlineStr">
        <is>
          <t>Not stated</t>
        </is>
      </c>
      <c r="AJ65" s="19" t="inlineStr">
        <is>
          <t>Not stated</t>
        </is>
      </c>
      <c r="AK65" s="19" t="inlineStr">
        <is>
          <t>No card required</t>
        </is>
      </c>
      <c r="AL65" s="19" t="inlineStr">
        <is>
          <t>Not stated</t>
        </is>
      </c>
      <c r="AM65" s="24" t="inlineStr">
        <is>
          <t>https://aifree.dev/offer/hugging-face-zerogpu-spaces</t>
        </is>
      </c>
      <c r="AN65" s="24" t="inlineStr">
        <is>
          <t>https://aifree.dev/startup-ai-credits</t>
        </is>
      </c>
      <c r="AO65" s="19" t="inlineStr">
        <is>
          <t>Directory listing (verified Oct 2026 per directory): Free accounts get about 5 minutes/day GPU quota.</t>
        </is>
      </c>
      <c r="AP65" s="23" t="n">
        <v>46319</v>
      </c>
      <c r="AQ65" s="19" t="inlineStr">
        <is>
          <t>Medium</t>
        </is>
      </c>
      <c r="AR65" s="19" t="inlineStr">
        <is>
          <t>Directory</t>
        </is>
      </c>
      <c r="AS65" s="19" t="inlineStr">
        <is>
          <t>Global (unverified)</t>
        </is>
      </c>
      <c r="AT65" s="19" t="inlineStr">
        <is>
          <t>Not stated</t>
        </is>
      </c>
      <c r="AU65" s="19" t="inlineStr">
        <is>
          <t>Terms taken from aifree.dev directory; official program page not opened this session. Confirm on provider site before applying.</t>
        </is>
      </c>
      <c r="AV65" s="19" t="inlineStr">
        <is>
          <t>DG-T-HUGGING-FACE-Z</t>
        </is>
      </c>
    </row>
    <row r="66" ht="35.05" customHeight="1" s="17">
      <c r="A66" s="19" t="inlineStr">
        <is>
          <t>SB-065</t>
        </is>
      </c>
      <c r="B66" s="19" t="inlineStr">
        <is>
          <t>Atlassian</t>
        </is>
      </c>
      <c r="C66" s="19" t="inlineStr">
        <is>
          <t>Atlassian for Startups</t>
        </is>
      </c>
      <c r="D66" s="19" t="inlineStr">
        <is>
          <t>Not stated</t>
        </is>
      </c>
      <c r="E66" s="19" t="inlineStr">
        <is>
          <t>SaaS &amp; Marketing</t>
        </is>
      </c>
      <c r="F66" s="19" t="inlineStr">
        <is>
          <t>Collaboration software</t>
        </is>
      </c>
      <c r="G66" s="19" t="inlineStr">
        <is>
          <t>Startup plan / free subscription period</t>
        </is>
      </c>
      <c r="H66" s="19" t="inlineStr">
        <is>
          <t>12 months at $0, one enrollment per startup; up to 50 seats for Jira, Confluence, Loom and more.</t>
        </is>
      </c>
      <c r="I66" s="22" t="n"/>
      <c r="J66" s="19" t="inlineStr">
        <is>
          <t>USD</t>
        </is>
      </c>
      <c r="K66" s="19" t="inlineStr">
        <is>
          <t>In-Kind</t>
        </is>
      </c>
      <c r="L66" s="22" t="n"/>
      <c r="M66" s="22" t="n"/>
      <c r="N66" s="19" t="n"/>
      <c r="O66" s="19" t="inlineStr">
        <is>
          <t>Not stated</t>
        </is>
      </c>
      <c r="P66" s="19" t="inlineStr">
        <is>
          <t>12 months</t>
        </is>
      </c>
      <c r="Q66" s="23" t="n"/>
      <c r="R66" s="19" t="inlineStr">
        <is>
          <t>Open</t>
        </is>
      </c>
      <c r="S66" s="19" t="inlineStr">
        <is>
          <t>Not verified this session</t>
        </is>
      </c>
      <c r="T66" s="19" t="inlineStr">
        <is>
          <t>Not verified this session</t>
        </is>
      </c>
      <c r="U66" s="19" t="inlineStr">
        <is>
          <t>Not stated</t>
        </is>
      </c>
      <c r="V66" s="19" t="inlineStr">
        <is>
          <t>Not stated</t>
        </is>
      </c>
      <c r="W66" s="19" t="inlineStr">
        <is>
          <t>Not stated</t>
        </is>
      </c>
      <c r="X66" s="19" t="inlineStr">
        <is>
          <t>Unknown</t>
        </is>
      </c>
      <c r="Y66" s="19" t="inlineStr">
        <is>
          <t>Unknown</t>
        </is>
      </c>
      <c r="Z66" s="19" t="inlineStr">
        <is>
          <t>Not stated</t>
        </is>
      </c>
      <c r="AA66" s="19" t="inlineStr">
        <is>
          <t>Unverified</t>
        </is>
      </c>
      <c r="AB66" s="19" t="inlineStr">
        <is>
          <t>Unknown</t>
        </is>
      </c>
      <c r="AC66" s="19" t="inlineStr">
        <is>
          <t>Unknown</t>
        </is>
      </c>
      <c r="AD66" s="19" t="inlineStr">
        <is>
          <t>No</t>
        </is>
      </c>
      <c r="AE66" s="19" t="inlineStr">
        <is>
          <t>Unknown</t>
        </is>
      </c>
      <c r="AF66" s="19" t="inlineStr">
        <is>
          <t>Not stated</t>
        </is>
      </c>
      <c r="AG66" s="19" t="inlineStr">
        <is>
          <t>Not stated</t>
        </is>
      </c>
      <c r="AH66" s="19" t="inlineStr">
        <is>
          <t>Not stated</t>
        </is>
      </c>
      <c r="AI66" s="19" t="inlineStr">
        <is>
          <t>Not stated</t>
        </is>
      </c>
      <c r="AJ66" s="19" t="inlineStr">
        <is>
          <t>Not stated</t>
        </is>
      </c>
      <c r="AK66" s="19" t="inlineStr">
        <is>
          <t>No card required</t>
        </is>
      </c>
      <c r="AL66" s="19" t="inlineStr">
        <is>
          <t>Not stated</t>
        </is>
      </c>
      <c r="AM66" s="24" t="inlineStr">
        <is>
          <t>https://aifree.dev/offer/atlassian-startup-program</t>
        </is>
      </c>
      <c r="AN66" s="24" t="inlineStr">
        <is>
          <t>https://aifree.dev/startup-ai-credits</t>
        </is>
      </c>
      <c r="AO66" s="19" t="inlineStr">
        <is>
          <t>Directory listing (verified Oct 2026 per directory): 12 months at $0, one enrollment per startup; up to 50 seats for Jira, Confluence, Loom and more.</t>
        </is>
      </c>
      <c r="AP66" s="23" t="n">
        <v>46319</v>
      </c>
      <c r="AQ66" s="19" t="inlineStr">
        <is>
          <t>Medium</t>
        </is>
      </c>
      <c r="AR66" s="19" t="inlineStr">
        <is>
          <t>Directory</t>
        </is>
      </c>
      <c r="AS66" s="19" t="inlineStr">
        <is>
          <t>Global (unverified)</t>
        </is>
      </c>
      <c r="AT66" s="19" t="inlineStr">
        <is>
          <t>productivity</t>
        </is>
      </c>
      <c r="AU66" s="19" t="inlineStr">
        <is>
          <t>Terms taken from aifree.dev directory; official program page not opened this session. Confirm on provider site before applying.</t>
        </is>
      </c>
      <c r="AV66" s="19" t="inlineStr">
        <is>
          <t>DG-ATL</t>
        </is>
      </c>
    </row>
    <row r="67" ht="35.05" customHeight="1" s="17">
      <c r="A67" s="19" t="inlineStr">
        <is>
          <t>SB-066</t>
        </is>
      </c>
      <c r="B67" s="19" t="inlineStr">
        <is>
          <t>Auth0 (Okta)</t>
        </is>
      </c>
      <c r="C67" s="19" t="inlineStr">
        <is>
          <t>Auth0 for Startups</t>
        </is>
      </c>
      <c r="D67" s="19" t="inlineStr">
        <is>
          <t>Not stated</t>
        </is>
      </c>
      <c r="E67" s="19" t="inlineStr">
        <is>
          <t>SaaS &amp; Marketing</t>
        </is>
      </c>
      <c r="F67" s="19" t="inlineStr">
        <is>
          <t>Authentication</t>
        </is>
      </c>
      <c r="G67" s="19" t="inlineStr">
        <is>
          <t>Startup plan / free subscription period</t>
        </is>
      </c>
      <c r="H67" s="19" t="inlineStr">
        <is>
          <t>12 months free with 100,000 monthly active users and 5 enterprise connections.</t>
        </is>
      </c>
      <c r="I67" s="22" t="n"/>
      <c r="J67" s="19" t="inlineStr">
        <is>
          <t>USD</t>
        </is>
      </c>
      <c r="K67" s="19" t="inlineStr">
        <is>
          <t>In-Kind</t>
        </is>
      </c>
      <c r="L67" s="22" t="n"/>
      <c r="M67" s="22" t="n"/>
      <c r="N67" s="19" t="n"/>
      <c r="O67" s="19" t="inlineStr">
        <is>
          <t>Not stated</t>
        </is>
      </c>
      <c r="P67" s="19" t="inlineStr">
        <is>
          <t>12 months</t>
        </is>
      </c>
      <c r="Q67" s="23" t="n"/>
      <c r="R67" s="19" t="inlineStr">
        <is>
          <t>Open</t>
        </is>
      </c>
      <c r="S67" s="19" t="inlineStr">
        <is>
          <t>Not verified this session</t>
        </is>
      </c>
      <c r="T67" s="19" t="inlineStr">
        <is>
          <t>Not verified this session</t>
        </is>
      </c>
      <c r="U67" s="19" t="inlineStr">
        <is>
          <t>Not stated</t>
        </is>
      </c>
      <c r="V67" s="19" t="inlineStr">
        <is>
          <t>Not stated</t>
        </is>
      </c>
      <c r="W67" s="19" t="inlineStr">
        <is>
          <t>Not stated</t>
        </is>
      </c>
      <c r="X67" s="19" t="inlineStr">
        <is>
          <t>Unknown</t>
        </is>
      </c>
      <c r="Y67" s="19" t="inlineStr">
        <is>
          <t>Unknown</t>
        </is>
      </c>
      <c r="Z67" s="19" t="inlineStr">
        <is>
          <t>Not stated</t>
        </is>
      </c>
      <c r="AA67" s="19" t="inlineStr">
        <is>
          <t>Unverified</t>
        </is>
      </c>
      <c r="AB67" s="19" t="inlineStr">
        <is>
          <t>Unknown</t>
        </is>
      </c>
      <c r="AC67" s="19" t="inlineStr">
        <is>
          <t>Unknown</t>
        </is>
      </c>
      <c r="AD67" s="19" t="inlineStr">
        <is>
          <t>No</t>
        </is>
      </c>
      <c r="AE67" s="19" t="inlineStr">
        <is>
          <t>Unknown</t>
        </is>
      </c>
      <c r="AF67" s="19" t="inlineStr">
        <is>
          <t>Not stated</t>
        </is>
      </c>
      <c r="AG67" s="19" t="inlineStr">
        <is>
          <t>Not stated</t>
        </is>
      </c>
      <c r="AH67" s="19" t="inlineStr">
        <is>
          <t>Not stated</t>
        </is>
      </c>
      <c r="AI67" s="19" t="inlineStr">
        <is>
          <t>Not stated</t>
        </is>
      </c>
      <c r="AJ67" s="19" t="inlineStr">
        <is>
          <t>Not stated</t>
        </is>
      </c>
      <c r="AK67" s="19" t="inlineStr">
        <is>
          <t>No card required</t>
        </is>
      </c>
      <c r="AL67" s="19" t="inlineStr">
        <is>
          <t>Not stated</t>
        </is>
      </c>
      <c r="AM67" s="24" t="inlineStr">
        <is>
          <t>https://aifree.dev/offer/auth0-for-startups</t>
        </is>
      </c>
      <c r="AN67" s="24" t="inlineStr">
        <is>
          <t>https://aifree.dev/startup-ai-credits</t>
        </is>
      </c>
      <c r="AO67" s="19" t="inlineStr">
        <is>
          <t>Directory listing (verified Oct 2026 per directory): 12 months free with 100,000 monthly active users and 5 enterprise connections.</t>
        </is>
      </c>
      <c r="AP67" s="23" t="n">
        <v>46319</v>
      </c>
      <c r="AQ67" s="19" t="inlineStr">
        <is>
          <t>Medium</t>
        </is>
      </c>
      <c r="AR67" s="19" t="inlineStr">
        <is>
          <t>Directory</t>
        </is>
      </c>
      <c r="AS67" s="19" t="inlineStr">
        <is>
          <t>Global (unverified)</t>
        </is>
      </c>
      <c r="AT67" s="19" t="inlineStr">
        <is>
          <t>auth,security</t>
        </is>
      </c>
      <c r="AU67" s="19" t="inlineStr">
        <is>
          <t>Terms taken from aifree.dev directory; official program page not opened this session. Confirm on provider site before applying.</t>
        </is>
      </c>
      <c r="AV67" s="19" t="inlineStr">
        <is>
          <t>DG-AUTH0</t>
        </is>
      </c>
    </row>
    <row r="68" ht="35.05" customHeight="1" s="17">
      <c r="A68" s="19" t="inlineStr">
        <is>
          <t>SB-067</t>
        </is>
      </c>
      <c r="B68" s="19" t="inlineStr">
        <is>
          <t>Convex</t>
        </is>
      </c>
      <c r="C68" s="19" t="inlineStr">
        <is>
          <t>Convex for Startups</t>
        </is>
      </c>
      <c r="D68" s="19" t="inlineStr">
        <is>
          <t>Not stated</t>
        </is>
      </c>
      <c r="E68" s="19" t="inlineStr">
        <is>
          <t>Cloud &amp; Infrastructure</t>
        </is>
      </c>
      <c r="F68" s="19" t="inlineStr">
        <is>
          <t>Backend platform</t>
        </is>
      </c>
      <c r="G68" s="19" t="inlineStr">
        <is>
          <t>Startup plan / free subscription period</t>
        </is>
      </c>
      <c r="H68" s="19" t="inlineStr">
        <is>
          <t>Up to 1 year free of Convex Professional plus 30% off usage fees capped at $30K.</t>
        </is>
      </c>
      <c r="I68" s="22" t="n">
        <v>30000</v>
      </c>
      <c r="J68" s="19" t="inlineStr">
        <is>
          <t>USD</t>
        </is>
      </c>
      <c r="K68" s="19" t="inlineStr">
        <is>
          <t>Discount</t>
        </is>
      </c>
      <c r="L68" s="22" t="n"/>
      <c r="M68" s="22" t="n"/>
      <c r="N68" s="25" t="n">
        <v>0.3</v>
      </c>
      <c r="O68" s="19" t="inlineStr">
        <is>
          <t>Not stated</t>
        </is>
      </c>
      <c r="P68" s="19" t="inlineStr">
        <is>
          <t>Up to 1 year</t>
        </is>
      </c>
      <c r="Q68" s="23" t="n"/>
      <c r="R68" s="19" t="inlineStr">
        <is>
          <t>Open</t>
        </is>
      </c>
      <c r="S68" s="19" t="inlineStr">
        <is>
          <t>Not verified this session</t>
        </is>
      </c>
      <c r="T68" s="19" t="inlineStr">
        <is>
          <t>Not verified this session</t>
        </is>
      </c>
      <c r="U68" s="19" t="inlineStr">
        <is>
          <t>Not stated</t>
        </is>
      </c>
      <c r="V68" s="19" t="inlineStr">
        <is>
          <t>Not stated</t>
        </is>
      </c>
      <c r="W68" s="19" t="inlineStr">
        <is>
          <t>Not stated</t>
        </is>
      </c>
      <c r="X68" s="19" t="inlineStr">
        <is>
          <t>Unknown</t>
        </is>
      </c>
      <c r="Y68" s="19" t="inlineStr">
        <is>
          <t>Unknown</t>
        </is>
      </c>
      <c r="Z68" s="19" t="inlineStr">
        <is>
          <t>Not stated</t>
        </is>
      </c>
      <c r="AA68" s="19" t="inlineStr">
        <is>
          <t>Unverified</t>
        </is>
      </c>
      <c r="AB68" s="19" t="inlineStr">
        <is>
          <t>Unknown</t>
        </is>
      </c>
      <c r="AC68" s="19" t="inlineStr">
        <is>
          <t>Unknown</t>
        </is>
      </c>
      <c r="AD68" s="19" t="inlineStr">
        <is>
          <t>No</t>
        </is>
      </c>
      <c r="AE68" s="19" t="inlineStr">
        <is>
          <t>Unknown</t>
        </is>
      </c>
      <c r="AF68" s="19" t="inlineStr">
        <is>
          <t>Not stated</t>
        </is>
      </c>
      <c r="AG68" s="19" t="inlineStr">
        <is>
          <t>Not stated</t>
        </is>
      </c>
      <c r="AH68" s="19" t="inlineStr">
        <is>
          <t>Not stated</t>
        </is>
      </c>
      <c r="AI68" s="19" t="inlineStr">
        <is>
          <t>Not stated</t>
        </is>
      </c>
      <c r="AJ68" s="19" t="inlineStr">
        <is>
          <t>Not stated</t>
        </is>
      </c>
      <c r="AK68" s="19" t="inlineStr">
        <is>
          <t>Card required</t>
        </is>
      </c>
      <c r="AL68" s="19" t="inlineStr">
        <is>
          <t>Discount cap is the stated $30K.</t>
        </is>
      </c>
      <c r="AM68" s="24" t="inlineStr">
        <is>
          <t>https://aifree.dev/offer/convex-for-startups</t>
        </is>
      </c>
      <c r="AN68" s="24" t="inlineStr">
        <is>
          <t>https://aifree.dev/startup-ai-credits</t>
        </is>
      </c>
      <c r="AO68" s="19" t="inlineStr">
        <is>
          <t>Directory listing (verified Oct 2026 per directory): Up to 1 year free of Convex Professional plus 30% off usage fees capped at $30K.</t>
        </is>
      </c>
      <c r="AP68" s="23" t="n">
        <v>46319</v>
      </c>
      <c r="AQ68" s="19" t="inlineStr">
        <is>
          <t>Medium</t>
        </is>
      </c>
      <c r="AR68" s="19" t="inlineStr">
        <is>
          <t>Directory</t>
        </is>
      </c>
      <c r="AS68" s="19" t="inlineStr">
        <is>
          <t>Global (unverified)</t>
        </is>
      </c>
      <c r="AT68" s="19" t="inlineStr">
        <is>
          <t>Not stated</t>
        </is>
      </c>
      <c r="AU68" s="19" t="inlineStr">
        <is>
          <t>Terms taken from aifree.dev directory; official program page not opened this session. Confirm on provider site before applying.</t>
        </is>
      </c>
      <c r="AV68" s="19" t="inlineStr">
        <is>
          <t>DG-CONVEX</t>
        </is>
      </c>
    </row>
    <row r="69" ht="35.05" customHeight="1" s="17">
      <c r="A69" s="19" t="inlineStr">
        <is>
          <t>SB-068</t>
        </is>
      </c>
      <c r="B69" s="19" t="inlineStr">
        <is>
          <t>Customer.io</t>
        </is>
      </c>
      <c r="C69" s="19" t="inlineStr">
        <is>
          <t>Customer.io Startup Program</t>
        </is>
      </c>
      <c r="D69" s="19" t="inlineStr">
        <is>
          <t>Not stated</t>
        </is>
      </c>
      <c r="E69" s="19" t="inlineStr">
        <is>
          <t>SaaS &amp; Marketing</t>
        </is>
      </c>
      <c r="F69" s="19" t="inlineStr">
        <is>
          <t>Messaging automation</t>
        </is>
      </c>
      <c r="G69" s="19" t="inlineStr">
        <is>
          <t>Startup plan / free subscription period</t>
        </is>
      </c>
      <c r="H69" s="19" t="inlineStr">
        <is>
          <t>Up to 12 months free, up to 30,000 customer profiles.</t>
        </is>
      </c>
      <c r="I69" s="22" t="n"/>
      <c r="J69" s="19" t="inlineStr">
        <is>
          <t>USD</t>
        </is>
      </c>
      <c r="K69" s="19" t="inlineStr">
        <is>
          <t>In-Kind</t>
        </is>
      </c>
      <c r="L69" s="22" t="n"/>
      <c r="M69" s="22" t="n"/>
      <c r="N69" s="19" t="n"/>
      <c r="O69" s="19" t="inlineStr">
        <is>
          <t>Not stated</t>
        </is>
      </c>
      <c r="P69" s="19" t="inlineStr">
        <is>
          <t>Up to 12 months</t>
        </is>
      </c>
      <c r="Q69" s="23" t="n"/>
      <c r="R69" s="19" t="inlineStr">
        <is>
          <t>Open</t>
        </is>
      </c>
      <c r="S69" s="19" t="inlineStr">
        <is>
          <t>Not verified this session</t>
        </is>
      </c>
      <c r="T69" s="19" t="inlineStr">
        <is>
          <t>Not verified this session</t>
        </is>
      </c>
      <c r="U69" s="19" t="inlineStr">
        <is>
          <t>Not stated</t>
        </is>
      </c>
      <c r="V69" s="19" t="inlineStr">
        <is>
          <t>Not stated</t>
        </is>
      </c>
      <c r="W69" s="19" t="inlineStr">
        <is>
          <t>Not stated</t>
        </is>
      </c>
      <c r="X69" s="19" t="inlineStr">
        <is>
          <t>Unknown</t>
        </is>
      </c>
      <c r="Y69" s="19" t="inlineStr">
        <is>
          <t>Unknown</t>
        </is>
      </c>
      <c r="Z69" s="19" t="inlineStr">
        <is>
          <t>Not stated</t>
        </is>
      </c>
      <c r="AA69" s="19" t="inlineStr">
        <is>
          <t>Unverified</t>
        </is>
      </c>
      <c r="AB69" s="19" t="inlineStr">
        <is>
          <t>Unknown</t>
        </is>
      </c>
      <c r="AC69" s="19" t="inlineStr">
        <is>
          <t>Unknown</t>
        </is>
      </c>
      <c r="AD69" s="19" t="inlineStr">
        <is>
          <t>No</t>
        </is>
      </c>
      <c r="AE69" s="19" t="inlineStr">
        <is>
          <t>Unknown</t>
        </is>
      </c>
      <c r="AF69" s="19" t="inlineStr">
        <is>
          <t>Not stated</t>
        </is>
      </c>
      <c r="AG69" s="19" t="inlineStr">
        <is>
          <t>Not stated</t>
        </is>
      </c>
      <c r="AH69" s="19" t="inlineStr">
        <is>
          <t>Not stated</t>
        </is>
      </c>
      <c r="AI69" s="19" t="inlineStr">
        <is>
          <t>Not stated</t>
        </is>
      </c>
      <c r="AJ69" s="19" t="inlineStr">
        <is>
          <t>Not stated</t>
        </is>
      </c>
      <c r="AK69" s="19" t="inlineStr">
        <is>
          <t>Card required</t>
        </is>
      </c>
      <c r="AL69" s="19" t="inlineStr">
        <is>
          <t>Not stated</t>
        </is>
      </c>
      <c r="AM69" s="24" t="inlineStr">
        <is>
          <t>https://aifree.dev/offer/customer-io-startup-program</t>
        </is>
      </c>
      <c r="AN69" s="24" t="inlineStr">
        <is>
          <t>https://aifree.dev/startup-ai-credits</t>
        </is>
      </c>
      <c r="AO69" s="19" t="inlineStr">
        <is>
          <t>Directory listing (verified Oct 2026 per directory): Up to 12 months free, up to 30,000 customer profiles.</t>
        </is>
      </c>
      <c r="AP69" s="23" t="n">
        <v>46319</v>
      </c>
      <c r="AQ69" s="19" t="inlineStr">
        <is>
          <t>Medium</t>
        </is>
      </c>
      <c r="AR69" s="19" t="inlineStr">
        <is>
          <t>Directory</t>
        </is>
      </c>
      <c r="AS69" s="19" t="inlineStr">
        <is>
          <t>Global (unverified)</t>
        </is>
      </c>
      <c r="AT69" s="19" t="inlineStr">
        <is>
          <t>messaging,crm</t>
        </is>
      </c>
      <c r="AU69" s="19" t="inlineStr">
        <is>
          <t>Terms taken from aifree.dev directory; official program page not opened this session. Confirm on provider site before applying.</t>
        </is>
      </c>
      <c r="AV69" s="19" t="inlineStr">
        <is>
          <t>DG-CIO</t>
        </is>
      </c>
    </row>
    <row r="70" ht="35.05" customHeight="1" s="17">
      <c r="A70" s="19" t="inlineStr">
        <is>
          <t>SB-069</t>
        </is>
      </c>
      <c r="B70" s="19" t="inlineStr">
        <is>
          <t>DigitalOcean</t>
        </is>
      </c>
      <c r="C70" s="19" t="inlineStr">
        <is>
          <t>DigitalOcean Hatch</t>
        </is>
      </c>
      <c r="D70" s="19" t="inlineStr">
        <is>
          <t>Not stated</t>
        </is>
      </c>
      <c r="E70" s="19" t="inlineStr">
        <is>
          <t>Cloud &amp; Infrastructure</t>
        </is>
      </c>
      <c r="F70" s="19" t="inlineStr">
        <is>
          <t>Cloud credits</t>
        </is>
      </c>
      <c r="G70" s="19" t="inlineStr">
        <is>
          <t>Startup credits (startup-specific)</t>
        </is>
      </c>
      <c r="H70" s="19" t="inlineStr">
        <is>
          <t>12-month startup program; $10,000 monthly credit limit; overage billed.</t>
        </is>
      </c>
      <c r="I70" s="22" t="n"/>
      <c r="J70" s="19" t="inlineStr">
        <is>
          <t>USD</t>
        </is>
      </c>
      <c r="K70" s="19" t="inlineStr">
        <is>
          <t>Credits</t>
        </is>
      </c>
      <c r="L70" s="22" t="n"/>
      <c r="M70" s="22" t="n"/>
      <c r="N70" s="19" t="n"/>
      <c r="O70" s="19" t="inlineStr">
        <is>
          <t>Not stated</t>
        </is>
      </c>
      <c r="P70" s="19" t="inlineStr">
        <is>
          <t>12 months</t>
        </is>
      </c>
      <c r="Q70" s="23" t="n"/>
      <c r="R70" s="19" t="inlineStr">
        <is>
          <t>Open</t>
        </is>
      </c>
      <c r="S70" s="19" t="inlineStr">
        <is>
          <t>Not verified this session</t>
        </is>
      </c>
      <c r="T70" s="19" t="inlineStr">
        <is>
          <t>Not verified this session</t>
        </is>
      </c>
      <c r="U70" s="19" t="inlineStr">
        <is>
          <t>Not stated</t>
        </is>
      </c>
      <c r="V70" s="19" t="inlineStr">
        <is>
          <t>Not stated</t>
        </is>
      </c>
      <c r="W70" s="19" t="inlineStr">
        <is>
          <t>Not stated</t>
        </is>
      </c>
      <c r="X70" s="19" t="inlineStr">
        <is>
          <t>Unknown</t>
        </is>
      </c>
      <c r="Y70" s="19" t="inlineStr">
        <is>
          <t>Unknown</t>
        </is>
      </c>
      <c r="Z70" s="19" t="inlineStr">
        <is>
          <t>Not stated</t>
        </is>
      </c>
      <c r="AA70" s="19" t="inlineStr">
        <is>
          <t>Unverified</t>
        </is>
      </c>
      <c r="AB70" s="19" t="inlineStr">
        <is>
          <t>Unknown</t>
        </is>
      </c>
      <c r="AC70" s="19" t="inlineStr">
        <is>
          <t>Unknown</t>
        </is>
      </c>
      <c r="AD70" s="19" t="inlineStr">
        <is>
          <t>No</t>
        </is>
      </c>
      <c r="AE70" s="19" t="inlineStr">
        <is>
          <t>Unknown</t>
        </is>
      </c>
      <c r="AF70" s="19" t="inlineStr">
        <is>
          <t>Not stated</t>
        </is>
      </c>
      <c r="AG70" s="19" t="inlineStr">
        <is>
          <t>Not stated</t>
        </is>
      </c>
      <c r="AH70" s="19" t="inlineStr">
        <is>
          <t>Not stated</t>
        </is>
      </c>
      <c r="AI70" s="19" t="inlineStr">
        <is>
          <t>Not stated</t>
        </is>
      </c>
      <c r="AJ70" s="19" t="inlineStr">
        <is>
          <t>Not stated</t>
        </is>
      </c>
      <c r="AK70" s="19" t="inlineStr">
        <is>
          <t>Card required</t>
        </is>
      </c>
      <c r="AL70" s="19" t="inlineStr">
        <is>
          <t>Total credit amount not captured in directory excerpt.</t>
        </is>
      </c>
      <c r="AM70" s="24" t="inlineStr">
        <is>
          <t>https://aifree.dev/offer/digitalocean-hatch</t>
        </is>
      </c>
      <c r="AN70" s="24" t="inlineStr">
        <is>
          <t>https://aifree.dev/startup-ai-credits</t>
        </is>
      </c>
      <c r="AO70" s="19" t="inlineStr">
        <is>
          <t>Directory listing (verified Oct 2026 per directory): 12-month startup program; $10,000 monthly credit limit; overage billed.</t>
        </is>
      </c>
      <c r="AP70" s="23" t="n">
        <v>46319</v>
      </c>
      <c r="AQ70" s="19" t="inlineStr">
        <is>
          <t>Medium</t>
        </is>
      </c>
      <c r="AR70" s="19" t="inlineStr">
        <is>
          <t>Directory</t>
        </is>
      </c>
      <c r="AS70" s="19" t="inlineStr">
        <is>
          <t>Global (unverified)</t>
        </is>
      </c>
      <c r="AT70" s="19" t="inlineStr">
        <is>
          <t>Not stated</t>
        </is>
      </c>
      <c r="AU70" s="19" t="inlineStr">
        <is>
          <t>Terms taken from aifree.dev directory; official program page not opened this session. Confirm on provider site before applying.</t>
        </is>
      </c>
      <c r="AV70" s="19" t="inlineStr">
        <is>
          <t>DG-DO</t>
        </is>
      </c>
    </row>
    <row r="71" ht="35.05" customHeight="1" s="17">
      <c r="A71" s="19" t="inlineStr">
        <is>
          <t>SB-070</t>
        </is>
      </c>
      <c r="B71" s="19" t="inlineStr">
        <is>
          <t>Exoscale</t>
        </is>
      </c>
      <c r="C71" s="19" t="inlineStr">
        <is>
          <t>Exoscale trial credit</t>
        </is>
      </c>
      <c r="D71" s="19" t="inlineStr">
        <is>
          <t>Not stated</t>
        </is>
      </c>
      <c r="E71" s="19" t="inlineStr">
        <is>
          <t>Cloud &amp; Infrastructure</t>
        </is>
      </c>
      <c r="F71" s="19" t="inlineStr">
        <is>
          <t>Trial credit</t>
        </is>
      </c>
      <c r="G71" s="19" t="inlineStr">
        <is>
          <t>Free trial credit (not startup-exclusive)</t>
        </is>
      </c>
      <c r="H71" s="19" t="inlineStr">
        <is>
          <t>20 EUR or CHF free credit; card must be saved.</t>
        </is>
      </c>
      <c r="I71" s="22" t="n">
        <v>20</v>
      </c>
      <c r="J71" s="19" t="inlineStr">
        <is>
          <t>EUR</t>
        </is>
      </c>
      <c r="K71" s="19" t="inlineStr">
        <is>
          <t>Credits</t>
        </is>
      </c>
      <c r="L71" s="22" t="n"/>
      <c r="M71" s="22" t="n"/>
      <c r="N71" s="19" t="n"/>
      <c r="O71" s="19" t="inlineStr">
        <is>
          <t>Yes</t>
        </is>
      </c>
      <c r="P71" s="19" t="inlineStr">
        <is>
          <t>Not stated</t>
        </is>
      </c>
      <c r="Q71" s="23" t="n"/>
      <c r="R71" s="19" t="inlineStr">
        <is>
          <t>Open</t>
        </is>
      </c>
      <c r="S71" s="19" t="inlineStr">
        <is>
          <t>Not verified this session</t>
        </is>
      </c>
      <c r="T71" s="19" t="inlineStr">
        <is>
          <t>Not verified this session</t>
        </is>
      </c>
      <c r="U71" s="19" t="inlineStr">
        <is>
          <t>Not stated</t>
        </is>
      </c>
      <c r="V71" s="19" t="inlineStr">
        <is>
          <t>Not stated</t>
        </is>
      </c>
      <c r="W71" s="19" t="inlineStr">
        <is>
          <t>Not stated</t>
        </is>
      </c>
      <c r="X71" s="19" t="inlineStr">
        <is>
          <t>Unknown</t>
        </is>
      </c>
      <c r="Y71" s="19" t="inlineStr">
        <is>
          <t>Unknown</t>
        </is>
      </c>
      <c r="Z71" s="19" t="inlineStr">
        <is>
          <t>Not stated</t>
        </is>
      </c>
      <c r="AA71" s="19" t="inlineStr">
        <is>
          <t>Unverified</t>
        </is>
      </c>
      <c r="AB71" s="19" t="inlineStr">
        <is>
          <t>Unknown</t>
        </is>
      </c>
      <c r="AC71" s="19" t="inlineStr">
        <is>
          <t>Unknown</t>
        </is>
      </c>
      <c r="AD71" s="19" t="inlineStr">
        <is>
          <t>No</t>
        </is>
      </c>
      <c r="AE71" s="19" t="inlineStr">
        <is>
          <t>Unknown</t>
        </is>
      </c>
      <c r="AF71" s="19" t="inlineStr">
        <is>
          <t>Not stated</t>
        </is>
      </c>
      <c r="AG71" s="19" t="inlineStr">
        <is>
          <t>Not stated</t>
        </is>
      </c>
      <c r="AH71" s="19" t="inlineStr">
        <is>
          <t>Not stated</t>
        </is>
      </c>
      <c r="AI71" s="19" t="inlineStr">
        <is>
          <t>Not stated</t>
        </is>
      </c>
      <c r="AJ71" s="19" t="inlineStr">
        <is>
          <t>Not stated</t>
        </is>
      </c>
      <c r="AK71" s="19" t="inlineStr">
        <is>
          <t>Card required</t>
        </is>
      </c>
      <c r="AL71" s="19" t="inlineStr">
        <is>
          <t>Not stated</t>
        </is>
      </c>
      <c r="AM71" s="24" t="inlineStr">
        <is>
          <t>https://aifree.dev/offer/exoscale-free-trial-credit</t>
        </is>
      </c>
      <c r="AN71" s="24" t="inlineStr">
        <is>
          <t>https://aifree.dev/startup-ai-credits</t>
        </is>
      </c>
      <c r="AO71" s="19" t="inlineStr">
        <is>
          <t>Directory listing (verified Oct 2026 per directory): 20 EUR or CHF free credit; card must be saved.</t>
        </is>
      </c>
      <c r="AP71" s="23" t="n">
        <v>46319</v>
      </c>
      <c r="AQ71" s="19" t="inlineStr">
        <is>
          <t>Medium</t>
        </is>
      </c>
      <c r="AR71" s="19" t="inlineStr">
        <is>
          <t>Directory</t>
        </is>
      </c>
      <c r="AS71" s="19" t="inlineStr">
        <is>
          <t>Global (unverified)</t>
        </is>
      </c>
      <c r="AT71" s="19" t="inlineStr">
        <is>
          <t>Not stated</t>
        </is>
      </c>
      <c r="AU71" s="19" t="inlineStr">
        <is>
          <t>Terms taken from aifree.dev directory; official program page not opened this session. Confirm on provider site before applying.</t>
        </is>
      </c>
      <c r="AV71" s="19" t="inlineStr">
        <is>
          <t>DG-EXO</t>
        </is>
      </c>
    </row>
    <row r="72" ht="35.05" customHeight="1" s="17">
      <c r="A72" s="19" t="inlineStr">
        <is>
          <t>SB-071</t>
        </is>
      </c>
      <c r="B72" s="19" t="inlineStr">
        <is>
          <t>Fireworks AI</t>
        </is>
      </c>
      <c r="C72" s="19" t="inlineStr">
        <is>
          <t>Fireworks for Startups</t>
        </is>
      </c>
      <c r="D72" s="19" t="inlineStr">
        <is>
          <t>Not stated</t>
        </is>
      </c>
      <c r="E72" s="19" t="inlineStr">
        <is>
          <t>AI &amp; LLM Credits</t>
        </is>
      </c>
      <c r="F72" s="19" t="inlineStr">
        <is>
          <t>Inference credits</t>
        </is>
      </c>
      <c r="G72" s="19" t="inlineStr">
        <is>
          <t>Startup credits (startup-specific)</t>
        </is>
      </c>
      <c r="H72" s="19" t="inlineStr">
        <is>
          <t>Build credits expire after 1 year and auto-apply to usage; amount not captured.</t>
        </is>
      </c>
      <c r="I72" s="22" t="n"/>
      <c r="J72" s="19" t="inlineStr">
        <is>
          <t>USD</t>
        </is>
      </c>
      <c r="K72" s="19" t="inlineStr">
        <is>
          <t>Credits</t>
        </is>
      </c>
      <c r="L72" s="22" t="n"/>
      <c r="M72" s="22" t="n"/>
      <c r="N72" s="19" t="n"/>
      <c r="O72" s="19" t="inlineStr">
        <is>
          <t>Not stated</t>
        </is>
      </c>
      <c r="P72" s="19" t="inlineStr">
        <is>
          <t>1 year</t>
        </is>
      </c>
      <c r="Q72" s="23" t="n"/>
      <c r="R72" s="19" t="inlineStr">
        <is>
          <t>Open</t>
        </is>
      </c>
      <c r="S72" s="19" t="inlineStr">
        <is>
          <t>Not verified this session</t>
        </is>
      </c>
      <c r="T72" s="19" t="inlineStr">
        <is>
          <t>Not verified this session</t>
        </is>
      </c>
      <c r="U72" s="19" t="inlineStr">
        <is>
          <t>Not stated</t>
        </is>
      </c>
      <c r="V72" s="19" t="inlineStr">
        <is>
          <t>Not stated</t>
        </is>
      </c>
      <c r="W72" s="19" t="inlineStr">
        <is>
          <t>Not stated</t>
        </is>
      </c>
      <c r="X72" s="19" t="inlineStr">
        <is>
          <t>Unknown</t>
        </is>
      </c>
      <c r="Y72" s="19" t="inlineStr">
        <is>
          <t>Unknown</t>
        </is>
      </c>
      <c r="Z72" s="19" t="inlineStr">
        <is>
          <t>Not stated</t>
        </is>
      </c>
      <c r="AA72" s="19" t="inlineStr">
        <is>
          <t>Unverified</t>
        </is>
      </c>
      <c r="AB72" s="19" t="inlineStr">
        <is>
          <t>Unknown</t>
        </is>
      </c>
      <c r="AC72" s="19" t="inlineStr">
        <is>
          <t>Unknown</t>
        </is>
      </c>
      <c r="AD72" s="19" t="inlineStr">
        <is>
          <t>Yes</t>
        </is>
      </c>
      <c r="AE72" s="19" t="inlineStr">
        <is>
          <t>Unknown</t>
        </is>
      </c>
      <c r="AF72" s="19" t="inlineStr">
        <is>
          <t>Not stated</t>
        </is>
      </c>
      <c r="AG72" s="19" t="inlineStr">
        <is>
          <t>Not stated</t>
        </is>
      </c>
      <c r="AH72" s="19" t="inlineStr">
        <is>
          <t>Not stated</t>
        </is>
      </c>
      <c r="AI72" s="19" t="inlineStr">
        <is>
          <t>Not stated</t>
        </is>
      </c>
      <c r="AJ72" s="19" t="inlineStr">
        <is>
          <t>Not stated</t>
        </is>
      </c>
      <c r="AK72" s="19" t="inlineStr">
        <is>
          <t>No card required</t>
        </is>
      </c>
      <c r="AL72" s="19" t="inlineStr">
        <is>
          <t>Not stated</t>
        </is>
      </c>
      <c r="AM72" s="24" t="inlineStr">
        <is>
          <t>https://aifree.dev/offer/fireworks-ai-startup-program</t>
        </is>
      </c>
      <c r="AN72" s="24" t="inlineStr">
        <is>
          <t>https://aifree.dev/startup-ai-credits</t>
        </is>
      </c>
      <c r="AO72" s="19" t="inlineStr">
        <is>
          <t>Directory listing (verified Oct 2026 per directory): Build credits expire after 1 year and auto-apply to usage; amount not captured.</t>
        </is>
      </c>
      <c r="AP72" s="23" t="n">
        <v>46319</v>
      </c>
      <c r="AQ72" s="19" t="inlineStr">
        <is>
          <t>Medium</t>
        </is>
      </c>
      <c r="AR72" s="19" t="inlineStr">
        <is>
          <t>Directory</t>
        </is>
      </c>
      <c r="AS72" s="19" t="inlineStr">
        <is>
          <t>Global (unverified)</t>
        </is>
      </c>
      <c r="AT72" s="19" t="inlineStr">
        <is>
          <t>ai,inference</t>
        </is>
      </c>
      <c r="AU72" s="19" t="inlineStr">
        <is>
          <t>Terms taken from aifree.dev directory; official program page not opened this session. Confirm on provider site before applying.</t>
        </is>
      </c>
      <c r="AV72" s="19" t="inlineStr">
        <is>
          <t>DG-FIRE</t>
        </is>
      </c>
    </row>
    <row r="73" ht="35.05" customHeight="1" s="17">
      <c r="A73" s="19" t="inlineStr">
        <is>
          <t>SB-072</t>
        </is>
      </c>
      <c r="B73" s="19" t="inlineStr">
        <is>
          <t>Koyeb</t>
        </is>
      </c>
      <c r="C73" s="19" t="inlineStr">
        <is>
          <t>Koyeb free web service and Postgres</t>
        </is>
      </c>
      <c r="D73" s="19" t="inlineStr">
        <is>
          <t>Not stated</t>
        </is>
      </c>
      <c r="E73" s="19" t="inlineStr">
        <is>
          <t>Cloud &amp; Infrastructure</t>
        </is>
      </c>
      <c r="F73" s="19" t="inlineStr">
        <is>
          <t>Free tier</t>
        </is>
      </c>
      <c r="G73" s="19" t="inlineStr">
        <is>
          <t>Free tier (ongoing, not startup-exclusive)</t>
        </is>
      </c>
      <c r="H73" s="19" t="inlineStr">
        <is>
          <t>One free web service (512MB RAM, 0.1 vCPU); free service only in selected region.</t>
        </is>
      </c>
      <c r="I73" s="22" t="n"/>
      <c r="J73" s="19" t="inlineStr">
        <is>
          <t>USD</t>
        </is>
      </c>
      <c r="K73" s="19" t="inlineStr">
        <is>
          <t>In-Kind</t>
        </is>
      </c>
      <c r="L73" s="22" t="n"/>
      <c r="M73" s="22" t="n"/>
      <c r="N73" s="19" t="n"/>
      <c r="O73" s="19" t="inlineStr">
        <is>
          <t>Yes</t>
        </is>
      </c>
      <c r="P73" s="19" t="inlineStr">
        <is>
          <t>Not stated</t>
        </is>
      </c>
      <c r="Q73" s="23" t="n"/>
      <c r="R73" s="19" t="inlineStr">
        <is>
          <t>Open</t>
        </is>
      </c>
      <c r="S73" s="19" t="inlineStr">
        <is>
          <t>Not verified this session</t>
        </is>
      </c>
      <c r="T73" s="19" t="inlineStr">
        <is>
          <t>Not verified this session</t>
        </is>
      </c>
      <c r="U73" s="19" t="inlineStr">
        <is>
          <t>Not stated</t>
        </is>
      </c>
      <c r="V73" s="19" t="inlineStr">
        <is>
          <t>Not stated</t>
        </is>
      </c>
      <c r="W73" s="19" t="inlineStr">
        <is>
          <t>Not stated</t>
        </is>
      </c>
      <c r="X73" s="19" t="inlineStr">
        <is>
          <t>Unknown</t>
        </is>
      </c>
      <c r="Y73" s="19" t="inlineStr">
        <is>
          <t>Unknown</t>
        </is>
      </c>
      <c r="Z73" s="19" t="inlineStr">
        <is>
          <t>Not stated</t>
        </is>
      </c>
      <c r="AA73" s="19" t="inlineStr">
        <is>
          <t>Unverified</t>
        </is>
      </c>
      <c r="AB73" s="19" t="inlineStr">
        <is>
          <t>Unknown</t>
        </is>
      </c>
      <c r="AC73" s="19" t="inlineStr">
        <is>
          <t>Unknown</t>
        </is>
      </c>
      <c r="AD73" s="19" t="inlineStr">
        <is>
          <t>No</t>
        </is>
      </c>
      <c r="AE73" s="19" t="inlineStr">
        <is>
          <t>Unknown</t>
        </is>
      </c>
      <c r="AF73" s="19" t="inlineStr">
        <is>
          <t>Not stated</t>
        </is>
      </c>
      <c r="AG73" s="19" t="inlineStr">
        <is>
          <t>Not stated</t>
        </is>
      </c>
      <c r="AH73" s="19" t="inlineStr">
        <is>
          <t>Not stated</t>
        </is>
      </c>
      <c r="AI73" s="19" t="inlineStr">
        <is>
          <t>Not stated</t>
        </is>
      </c>
      <c r="AJ73" s="19" t="inlineStr">
        <is>
          <t>Not stated</t>
        </is>
      </c>
      <c r="AK73" s="19" t="inlineStr">
        <is>
          <t>Card required</t>
        </is>
      </c>
      <c r="AL73" s="19" t="inlineStr">
        <is>
          <t>Not stated</t>
        </is>
      </c>
      <c r="AM73" s="24" t="inlineStr">
        <is>
          <t>https://aifree.dev/offer/koyeb-free-tier</t>
        </is>
      </c>
      <c r="AN73" s="24" t="inlineStr">
        <is>
          <t>https://aifree.dev/startup-ai-credits</t>
        </is>
      </c>
      <c r="AO73" s="19" t="inlineStr">
        <is>
          <t>Directory listing (verified Oct 2026 per directory): One free web service (512MB RAM, 0.1 vCPU); free service only in selected region.</t>
        </is>
      </c>
      <c r="AP73" s="23" t="n">
        <v>46319</v>
      </c>
      <c r="AQ73" s="19" t="inlineStr">
        <is>
          <t>Medium</t>
        </is>
      </c>
      <c r="AR73" s="19" t="inlineStr">
        <is>
          <t>Directory</t>
        </is>
      </c>
      <c r="AS73" s="19" t="inlineStr">
        <is>
          <t>Global (unverified)</t>
        </is>
      </c>
      <c r="AT73" s="19" t="inlineStr">
        <is>
          <t>Not stated</t>
        </is>
      </c>
      <c r="AU73" s="19" t="inlineStr">
        <is>
          <t>Terms taken from aifree.dev directory; official program page not opened this session. Confirm on provider site before applying.</t>
        </is>
      </c>
      <c r="AV73" s="19" t="inlineStr">
        <is>
          <t>DG-KOYEB</t>
        </is>
      </c>
    </row>
    <row r="74" ht="35.05" customHeight="1" s="17">
      <c r="A74" s="19" t="inlineStr">
        <is>
          <t>SB-073</t>
        </is>
      </c>
      <c r="B74" s="19" t="inlineStr">
        <is>
          <t>Linear</t>
        </is>
      </c>
      <c r="C74" s="19" t="inlineStr">
        <is>
          <t>Linear Startup Program</t>
        </is>
      </c>
      <c r="D74" s="19" t="inlineStr">
        <is>
          <t>Not stated</t>
        </is>
      </c>
      <c r="E74" s="19" t="inlineStr">
        <is>
          <t>SaaS &amp; Marketing</t>
        </is>
      </c>
      <c r="F74" s="19" t="inlineStr">
        <is>
          <t>Project management</t>
        </is>
      </c>
      <c r="G74" s="19" t="inlineStr">
        <is>
          <t>Startup plan / free subscription period</t>
        </is>
      </c>
      <c r="H74" s="19" t="inlineStr">
        <is>
          <t>Must be affiliated with an official Linear partner; non-paying Linear users only.</t>
        </is>
      </c>
      <c r="I74" s="22" t="n"/>
      <c r="J74" s="19" t="inlineStr">
        <is>
          <t>USD</t>
        </is>
      </c>
      <c r="K74" s="19" t="inlineStr">
        <is>
          <t>In-Kind</t>
        </is>
      </c>
      <c r="L74" s="22" t="n"/>
      <c r="M74" s="22" t="n"/>
      <c r="N74" s="19" t="n"/>
      <c r="O74" s="19" t="inlineStr">
        <is>
          <t>Not stated</t>
        </is>
      </c>
      <c r="P74" s="19" t="inlineStr">
        <is>
          <t>Not stated</t>
        </is>
      </c>
      <c r="Q74" s="23" t="n"/>
      <c r="R74" s="19" t="inlineStr">
        <is>
          <t>Open</t>
        </is>
      </c>
      <c r="S74" s="19" t="inlineStr">
        <is>
          <t>Not verified this session</t>
        </is>
      </c>
      <c r="T74" s="19" t="inlineStr">
        <is>
          <t>Not verified this session</t>
        </is>
      </c>
      <c r="U74" s="19" t="inlineStr">
        <is>
          <t>Not stated</t>
        </is>
      </c>
      <c r="V74" s="19" t="inlineStr">
        <is>
          <t>Not stated</t>
        </is>
      </c>
      <c r="W74" s="19" t="inlineStr">
        <is>
          <t>Not stated</t>
        </is>
      </c>
      <c r="X74" s="19" t="inlineStr">
        <is>
          <t>Unknown</t>
        </is>
      </c>
      <c r="Y74" s="19" t="inlineStr">
        <is>
          <t>Unknown</t>
        </is>
      </c>
      <c r="Z74" s="19" t="inlineStr">
        <is>
          <t>Not stated</t>
        </is>
      </c>
      <c r="AA74" s="19" t="inlineStr">
        <is>
          <t>Unverified</t>
        </is>
      </c>
      <c r="AB74" s="19" t="inlineStr">
        <is>
          <t>Unknown</t>
        </is>
      </c>
      <c r="AC74" s="19" t="inlineStr">
        <is>
          <t>Unknown</t>
        </is>
      </c>
      <c r="AD74" s="19" t="inlineStr">
        <is>
          <t>No</t>
        </is>
      </c>
      <c r="AE74" s="19" t="inlineStr">
        <is>
          <t>Yes</t>
        </is>
      </c>
      <c r="AF74" s="19" t="inlineStr">
        <is>
          <t>Not stated</t>
        </is>
      </c>
      <c r="AG74" s="19" t="inlineStr">
        <is>
          <t>Not stated</t>
        </is>
      </c>
      <c r="AH74" s="19" t="inlineStr">
        <is>
          <t>Not stated</t>
        </is>
      </c>
      <c r="AI74" s="19" t="inlineStr">
        <is>
          <t>Not stated</t>
        </is>
      </c>
      <c r="AJ74" s="19" t="inlineStr">
        <is>
          <t>Not stated</t>
        </is>
      </c>
      <c r="AK74" s="19" t="inlineStr">
        <is>
          <t>No card required</t>
        </is>
      </c>
      <c r="AL74" s="19" t="inlineStr">
        <is>
          <t>Not stated</t>
        </is>
      </c>
      <c r="AM74" s="24" t="inlineStr">
        <is>
          <t>https://aifree.dev/offer/linear-startup-program</t>
        </is>
      </c>
      <c r="AN74" s="24" t="inlineStr">
        <is>
          <t>https://aifree.dev/startup-ai-credits</t>
        </is>
      </c>
      <c r="AO74" s="19" t="inlineStr">
        <is>
          <t>Directory listing (verified Oct 2026 per directory): Must be affiliated with an official Linear partner; non-paying Linear users only.</t>
        </is>
      </c>
      <c r="AP74" s="23" t="n">
        <v>46319</v>
      </c>
      <c r="AQ74" s="19" t="inlineStr">
        <is>
          <t>Medium</t>
        </is>
      </c>
      <c r="AR74" s="19" t="inlineStr">
        <is>
          <t>Directory</t>
        </is>
      </c>
      <c r="AS74" s="19" t="inlineStr">
        <is>
          <t>Global (unverified)</t>
        </is>
      </c>
      <c r="AT74" s="19" t="inlineStr">
        <is>
          <t>Not stated</t>
        </is>
      </c>
      <c r="AU74" s="19" t="inlineStr">
        <is>
          <t>Terms taken from aifree.dev directory; official program page not opened this session. Confirm on provider site before applying.</t>
        </is>
      </c>
      <c r="AV74" s="19" t="inlineStr">
        <is>
          <t>DG-LINEAR</t>
        </is>
      </c>
    </row>
    <row r="75" ht="35.05" customHeight="1" s="17">
      <c r="A75" s="19" t="inlineStr">
        <is>
          <t>SB-074</t>
        </is>
      </c>
      <c r="B75" s="19" t="inlineStr">
        <is>
          <t>Mintlify</t>
        </is>
      </c>
      <c r="C75" s="19" t="inlineStr">
        <is>
          <t>Mintlify Startup Program</t>
        </is>
      </c>
      <c r="D75" s="19" t="inlineStr">
        <is>
          <t>Not stated</t>
        </is>
      </c>
      <c r="E75" s="19" t="inlineStr">
        <is>
          <t>SaaS &amp; Marketing</t>
        </is>
      </c>
      <c r="F75" s="19" t="inlineStr">
        <is>
          <t>Documentation platform</t>
        </is>
      </c>
      <c r="G75" s="19" t="inlineStr">
        <is>
          <t>Startup plan / free subscription period</t>
        </is>
      </c>
      <c r="H75" s="19" t="inlineStr">
        <is>
          <t>12 months free for the current YC batch; 50% off Pro for 12 months for other startups.</t>
        </is>
      </c>
      <c r="I75" s="22" t="n"/>
      <c r="J75" s="19" t="inlineStr">
        <is>
          <t>USD</t>
        </is>
      </c>
      <c r="K75" s="19" t="inlineStr">
        <is>
          <t>Discount</t>
        </is>
      </c>
      <c r="L75" s="22" t="n"/>
      <c r="M75" s="22" t="n"/>
      <c r="N75" s="25" t="n">
        <v>0.5</v>
      </c>
      <c r="O75" s="19" t="inlineStr">
        <is>
          <t>Not stated</t>
        </is>
      </c>
      <c r="P75" s="19" t="inlineStr">
        <is>
          <t>12 months</t>
        </is>
      </c>
      <c r="Q75" s="23" t="n"/>
      <c r="R75" s="19" t="inlineStr">
        <is>
          <t>Open</t>
        </is>
      </c>
      <c r="S75" s="19" t="inlineStr">
        <is>
          <t>Not verified this session</t>
        </is>
      </c>
      <c r="T75" s="19" t="inlineStr">
        <is>
          <t>Not verified this session</t>
        </is>
      </c>
      <c r="U75" s="19" t="inlineStr">
        <is>
          <t>Not stated</t>
        </is>
      </c>
      <c r="V75" s="19" t="inlineStr">
        <is>
          <t>Not stated</t>
        </is>
      </c>
      <c r="W75" s="19" t="inlineStr">
        <is>
          <t>Not stated</t>
        </is>
      </c>
      <c r="X75" s="19" t="inlineStr">
        <is>
          <t>Unknown</t>
        </is>
      </c>
      <c r="Y75" s="19" t="inlineStr">
        <is>
          <t>Unknown</t>
        </is>
      </c>
      <c r="Z75" s="19" t="inlineStr">
        <is>
          <t>Not stated</t>
        </is>
      </c>
      <c r="AA75" s="19" t="inlineStr">
        <is>
          <t>Unverified</t>
        </is>
      </c>
      <c r="AB75" s="19" t="inlineStr">
        <is>
          <t>Unknown</t>
        </is>
      </c>
      <c r="AC75" s="19" t="inlineStr">
        <is>
          <t>Unknown</t>
        </is>
      </c>
      <c r="AD75" s="19" t="inlineStr">
        <is>
          <t>No</t>
        </is>
      </c>
      <c r="AE75" s="19" t="inlineStr">
        <is>
          <t>Unknown</t>
        </is>
      </c>
      <c r="AF75" s="19" t="inlineStr">
        <is>
          <t>Not stated</t>
        </is>
      </c>
      <c r="AG75" s="19" t="inlineStr">
        <is>
          <t>Not stated</t>
        </is>
      </c>
      <c r="AH75" s="19" t="inlineStr">
        <is>
          <t>Not stated</t>
        </is>
      </c>
      <c r="AI75" s="19" t="inlineStr">
        <is>
          <t>Not stated</t>
        </is>
      </c>
      <c r="AJ75" s="19" t="inlineStr">
        <is>
          <t>Not stated</t>
        </is>
      </c>
      <c r="AK75" s="19" t="inlineStr">
        <is>
          <t>No card required</t>
        </is>
      </c>
      <c r="AL75" s="19" t="inlineStr">
        <is>
          <t>Free tier is for current YC batch only.</t>
        </is>
      </c>
      <c r="AM75" s="24" t="inlineStr">
        <is>
          <t>https://aifree.dev/offer/mintlify-startup-program</t>
        </is>
      </c>
      <c r="AN75" s="24" t="inlineStr">
        <is>
          <t>https://aifree.dev/startup-ai-credits</t>
        </is>
      </c>
      <c r="AO75" s="19" t="inlineStr">
        <is>
          <t>Directory listing (verified Oct 2026 per directory): 12 months free for the current YC batch; 50% off Pro for 12 months for other startups.</t>
        </is>
      </c>
      <c r="AP75" s="23" t="n">
        <v>46319</v>
      </c>
      <c r="AQ75" s="19" t="inlineStr">
        <is>
          <t>Medium</t>
        </is>
      </c>
      <c r="AR75" s="19" t="inlineStr">
        <is>
          <t>Directory</t>
        </is>
      </c>
      <c r="AS75" s="19" t="inlineStr">
        <is>
          <t>Global (unverified)</t>
        </is>
      </c>
      <c r="AT75" s="19" t="inlineStr">
        <is>
          <t>Not stated</t>
        </is>
      </c>
      <c r="AU75" s="19" t="inlineStr">
        <is>
          <t>Terms taken from aifree.dev directory; official program page not opened this session. Confirm on provider site before applying.</t>
        </is>
      </c>
      <c r="AV75" s="19" t="inlineStr">
        <is>
          <t>DG-MINT</t>
        </is>
      </c>
    </row>
    <row r="76" ht="35.05" customHeight="1" s="17">
      <c r="A76" s="19" t="inlineStr">
        <is>
          <t>SB-075</t>
        </is>
      </c>
      <c r="B76" s="19" t="inlineStr">
        <is>
          <t>Modal</t>
        </is>
      </c>
      <c r="C76" s="19" t="inlineStr">
        <is>
          <t>Modal for Startups</t>
        </is>
      </c>
      <c r="D76" s="19" t="inlineStr">
        <is>
          <t>Not stated</t>
        </is>
      </c>
      <c r="E76" s="19" t="inlineStr">
        <is>
          <t>AI &amp; LLM Credits</t>
        </is>
      </c>
      <c r="F76" s="19" t="inlineStr">
        <is>
          <t>Serverless GPU credits</t>
        </is>
      </c>
      <c r="G76" s="19" t="inlineStr">
        <is>
          <t>Startup credits (startup-specific)</t>
        </is>
      </c>
      <c r="H76" s="19" t="inlineStr">
        <is>
          <t>One-time credit grant by tier (Tier 1 for Seed to Series A); amounts truncated on directory.</t>
        </is>
      </c>
      <c r="I76" s="22" t="n"/>
      <c r="J76" s="19" t="inlineStr">
        <is>
          <t>USD</t>
        </is>
      </c>
      <c r="K76" s="19" t="inlineStr">
        <is>
          <t>Credits</t>
        </is>
      </c>
      <c r="L76" s="22" t="n"/>
      <c r="M76" s="22" t="n"/>
      <c r="N76" s="19" t="n"/>
      <c r="O76" s="19" t="inlineStr">
        <is>
          <t>Not stated</t>
        </is>
      </c>
      <c r="P76" s="19" t="inlineStr">
        <is>
          <t>Not stated</t>
        </is>
      </c>
      <c r="Q76" s="23" t="n"/>
      <c r="R76" s="19" t="inlineStr">
        <is>
          <t>Open</t>
        </is>
      </c>
      <c r="S76" s="19" t="inlineStr">
        <is>
          <t>Not verified this session</t>
        </is>
      </c>
      <c r="T76" s="19" t="inlineStr">
        <is>
          <t>Not verified this session</t>
        </is>
      </c>
      <c r="U76" s="19" t="inlineStr">
        <is>
          <t>Not stated</t>
        </is>
      </c>
      <c r="V76" s="19" t="inlineStr">
        <is>
          <t>Not stated</t>
        </is>
      </c>
      <c r="W76" s="19" t="inlineStr">
        <is>
          <t>Not stated</t>
        </is>
      </c>
      <c r="X76" s="19" t="inlineStr">
        <is>
          <t>Unknown</t>
        </is>
      </c>
      <c r="Y76" s="19" t="inlineStr">
        <is>
          <t>Unknown</t>
        </is>
      </c>
      <c r="Z76" s="19" t="inlineStr">
        <is>
          <t>Not stated</t>
        </is>
      </c>
      <c r="AA76" s="19" t="inlineStr">
        <is>
          <t>Unverified</t>
        </is>
      </c>
      <c r="AB76" s="19" t="inlineStr">
        <is>
          <t>Unknown</t>
        </is>
      </c>
      <c r="AC76" s="19" t="inlineStr">
        <is>
          <t>Unknown</t>
        </is>
      </c>
      <c r="AD76" s="19" t="inlineStr">
        <is>
          <t>Yes</t>
        </is>
      </c>
      <c r="AE76" s="19" t="inlineStr">
        <is>
          <t>Unknown</t>
        </is>
      </c>
      <c r="AF76" s="19" t="inlineStr">
        <is>
          <t>Not stated</t>
        </is>
      </c>
      <c r="AG76" s="19" t="inlineStr">
        <is>
          <t>Not stated</t>
        </is>
      </c>
      <c r="AH76" s="19" t="inlineStr">
        <is>
          <t>Not stated</t>
        </is>
      </c>
      <c r="AI76" s="19" t="inlineStr">
        <is>
          <t>Not stated</t>
        </is>
      </c>
      <c r="AJ76" s="19" t="inlineStr">
        <is>
          <t>Not stated</t>
        </is>
      </c>
      <c r="AK76" s="19" t="inlineStr">
        <is>
          <t>Card required</t>
        </is>
      </c>
      <c r="AL76" s="19" t="inlineStr">
        <is>
          <t>No re-application within a tier.</t>
        </is>
      </c>
      <c r="AM76" s="24" t="inlineStr">
        <is>
          <t>https://aifree.dev/offer/modal-startup-program</t>
        </is>
      </c>
      <c r="AN76" s="24" t="inlineStr">
        <is>
          <t>https://aifree.dev/startup-ai-credits</t>
        </is>
      </c>
      <c r="AO76" s="19" t="inlineStr">
        <is>
          <t>Directory listing (verified Oct 2026 per directory): One-time credit grant by tier (Tier 1 for Seed to Series A); amounts truncated on directory.</t>
        </is>
      </c>
      <c r="AP76" s="23" t="n">
        <v>46319</v>
      </c>
      <c r="AQ76" s="19" t="inlineStr">
        <is>
          <t>Medium</t>
        </is>
      </c>
      <c r="AR76" s="19" t="inlineStr">
        <is>
          <t>Directory</t>
        </is>
      </c>
      <c r="AS76" s="19" t="inlineStr">
        <is>
          <t>Global (unverified)</t>
        </is>
      </c>
      <c r="AT76" s="19" t="inlineStr">
        <is>
          <t>Not stated</t>
        </is>
      </c>
      <c r="AU76" s="19" t="inlineStr">
        <is>
          <t>Terms taken from aifree.dev directory; official program page not opened this session. Confirm on provider site before applying.</t>
        </is>
      </c>
      <c r="AV76" s="19" t="inlineStr">
        <is>
          <t>DG-MODAL</t>
        </is>
      </c>
    </row>
    <row r="77" ht="46.25" customHeight="1" s="17">
      <c r="A77" s="19" t="inlineStr">
        <is>
          <t>SB-076</t>
        </is>
      </c>
      <c r="B77" s="19" t="inlineStr">
        <is>
          <t>MongoDB</t>
        </is>
      </c>
      <c r="C77" s="19" t="inlineStr">
        <is>
          <t>MongoDB for Startups</t>
        </is>
      </c>
      <c r="D77" s="19" t="inlineStr">
        <is>
          <t>Not stated</t>
        </is>
      </c>
      <c r="E77" s="19" t="inlineStr">
        <is>
          <t>Cloud &amp; Infrastructure</t>
        </is>
      </c>
      <c r="F77" s="19" t="inlineStr">
        <is>
          <t>Database credits</t>
        </is>
      </c>
      <c r="G77" s="19" t="inlineStr">
        <is>
          <t>Startup credits (startup-specific)</t>
        </is>
      </c>
      <c r="H77" s="19" t="inlineStr">
        <is>
          <t>Atlas credits; 12 months to activate promo code and 12 months to use credits after activation; amount not captured.</t>
        </is>
      </c>
      <c r="I77" s="22" t="n"/>
      <c r="J77" s="19" t="inlineStr">
        <is>
          <t>USD</t>
        </is>
      </c>
      <c r="K77" s="19" t="inlineStr">
        <is>
          <t>Credits</t>
        </is>
      </c>
      <c r="L77" s="22" t="n"/>
      <c r="M77" s="22" t="n"/>
      <c r="N77" s="19" t="n"/>
      <c r="O77" s="19" t="inlineStr">
        <is>
          <t>Not stated</t>
        </is>
      </c>
      <c r="P77" s="19" t="inlineStr">
        <is>
          <t>12 months to use</t>
        </is>
      </c>
      <c r="Q77" s="23" t="n"/>
      <c r="R77" s="19" t="inlineStr">
        <is>
          <t>Open</t>
        </is>
      </c>
      <c r="S77" s="19" t="inlineStr">
        <is>
          <t>Not verified this session</t>
        </is>
      </c>
      <c r="T77" s="19" t="inlineStr">
        <is>
          <t>Not verified this session</t>
        </is>
      </c>
      <c r="U77" s="19" t="inlineStr">
        <is>
          <t>Not stated</t>
        </is>
      </c>
      <c r="V77" s="19" t="inlineStr">
        <is>
          <t>Not stated</t>
        </is>
      </c>
      <c r="W77" s="19" t="inlineStr">
        <is>
          <t>Not stated</t>
        </is>
      </c>
      <c r="X77" s="19" t="inlineStr">
        <is>
          <t>Unknown</t>
        </is>
      </c>
      <c r="Y77" s="19" t="inlineStr">
        <is>
          <t>Unknown</t>
        </is>
      </c>
      <c r="Z77" s="19" t="inlineStr">
        <is>
          <t>Not stated</t>
        </is>
      </c>
      <c r="AA77" s="19" t="inlineStr">
        <is>
          <t>Unverified</t>
        </is>
      </c>
      <c r="AB77" s="19" t="inlineStr">
        <is>
          <t>Unknown</t>
        </is>
      </c>
      <c r="AC77" s="19" t="inlineStr">
        <is>
          <t>Unknown</t>
        </is>
      </c>
      <c r="AD77" s="19" t="inlineStr">
        <is>
          <t>No</t>
        </is>
      </c>
      <c r="AE77" s="19" t="inlineStr">
        <is>
          <t>Unknown</t>
        </is>
      </c>
      <c r="AF77" s="19" t="inlineStr">
        <is>
          <t>Not stated</t>
        </is>
      </c>
      <c r="AG77" s="19" t="inlineStr">
        <is>
          <t>Not stated</t>
        </is>
      </c>
      <c r="AH77" s="19" t="inlineStr">
        <is>
          <t>Not stated</t>
        </is>
      </c>
      <c r="AI77" s="19" t="inlineStr">
        <is>
          <t>Not stated</t>
        </is>
      </c>
      <c r="AJ77" s="19" t="inlineStr">
        <is>
          <t>Not stated</t>
        </is>
      </c>
      <c r="AK77" s="19" t="inlineStr">
        <is>
          <t>No card required</t>
        </is>
      </c>
      <c r="AL77" s="19" t="inlineStr">
        <is>
          <t>Not stated</t>
        </is>
      </c>
      <c r="AM77" s="24" t="inlineStr">
        <is>
          <t>https://aifree.dev/offer/mongodb-for-startups</t>
        </is>
      </c>
      <c r="AN77" s="24" t="inlineStr">
        <is>
          <t>https://aifree.dev/startup-ai-credits</t>
        </is>
      </c>
      <c r="AO77" s="19" t="inlineStr">
        <is>
          <t>Directory listing (verified Oct 2026 per directory): Atlas credits; 12 months to activate promo code and 12 months to use credits after activation; amount not captured.</t>
        </is>
      </c>
      <c r="AP77" s="23" t="n">
        <v>46319</v>
      </c>
      <c r="AQ77" s="19" t="inlineStr">
        <is>
          <t>Medium</t>
        </is>
      </c>
      <c r="AR77" s="19" t="inlineStr">
        <is>
          <t>Directory</t>
        </is>
      </c>
      <c r="AS77" s="19" t="inlineStr">
        <is>
          <t>Global (unverified)</t>
        </is>
      </c>
      <c r="AT77" s="19" t="inlineStr">
        <is>
          <t>Not stated</t>
        </is>
      </c>
      <c r="AU77" s="19" t="inlineStr">
        <is>
          <t>Terms taken from aifree.dev directory; official program page not opened this session. Confirm on provider site before applying.</t>
        </is>
      </c>
      <c r="AV77" s="19" t="inlineStr">
        <is>
          <t>DG-MONGO</t>
        </is>
      </c>
    </row>
    <row r="78" ht="35.05" customHeight="1" s="17">
      <c r="A78" s="19" t="inlineStr">
        <is>
          <t>SB-077</t>
        </is>
      </c>
      <c r="B78" s="19" t="inlineStr">
        <is>
          <t>Northflank</t>
        </is>
      </c>
      <c r="C78" s="19" t="inlineStr">
        <is>
          <t>Northflank Developer Sandbox</t>
        </is>
      </c>
      <c r="D78" s="19" t="inlineStr">
        <is>
          <t>Not stated</t>
        </is>
      </c>
      <c r="E78" s="19" t="inlineStr">
        <is>
          <t>Cloud &amp; Infrastructure</t>
        </is>
      </c>
      <c r="F78" s="19" t="inlineStr">
        <is>
          <t>Free tier</t>
        </is>
      </c>
      <c r="G78" s="19" t="inlineStr">
        <is>
          <t>Free tier (ongoing, not startup-exclusive)</t>
        </is>
      </c>
      <c r="H78" s="19" t="inlineStr">
        <is>
          <t>Always-on free compute with 2 free services and 2 cron jobs; no expiration stated.</t>
        </is>
      </c>
      <c r="I78" s="22" t="n"/>
      <c r="J78" s="19" t="inlineStr">
        <is>
          <t>USD</t>
        </is>
      </c>
      <c r="K78" s="19" t="inlineStr">
        <is>
          <t>In-Kind</t>
        </is>
      </c>
      <c r="L78" s="22" t="n"/>
      <c r="M78" s="22" t="n"/>
      <c r="N78" s="19" t="n"/>
      <c r="O78" s="19" t="inlineStr">
        <is>
          <t>Yes</t>
        </is>
      </c>
      <c r="P78" s="19" t="inlineStr">
        <is>
          <t>Not stated</t>
        </is>
      </c>
      <c r="Q78" s="23" t="n"/>
      <c r="R78" s="19" t="inlineStr">
        <is>
          <t>Open</t>
        </is>
      </c>
      <c r="S78" s="19" t="inlineStr">
        <is>
          <t>Not verified this session</t>
        </is>
      </c>
      <c r="T78" s="19" t="inlineStr">
        <is>
          <t>Not verified this session</t>
        </is>
      </c>
      <c r="U78" s="19" t="inlineStr">
        <is>
          <t>Not stated</t>
        </is>
      </c>
      <c r="V78" s="19" t="inlineStr">
        <is>
          <t>Not stated</t>
        </is>
      </c>
      <c r="W78" s="19" t="inlineStr">
        <is>
          <t>Not stated</t>
        </is>
      </c>
      <c r="X78" s="19" t="inlineStr">
        <is>
          <t>Unknown</t>
        </is>
      </c>
      <c r="Y78" s="19" t="inlineStr">
        <is>
          <t>Unknown</t>
        </is>
      </c>
      <c r="Z78" s="19" t="inlineStr">
        <is>
          <t>Not stated</t>
        </is>
      </c>
      <c r="AA78" s="19" t="inlineStr">
        <is>
          <t>Unverified</t>
        </is>
      </c>
      <c r="AB78" s="19" t="inlineStr">
        <is>
          <t>Unknown</t>
        </is>
      </c>
      <c r="AC78" s="19" t="inlineStr">
        <is>
          <t>Unknown</t>
        </is>
      </c>
      <c r="AD78" s="19" t="inlineStr">
        <is>
          <t>No</t>
        </is>
      </c>
      <c r="AE78" s="19" t="inlineStr">
        <is>
          <t>Unknown</t>
        </is>
      </c>
      <c r="AF78" s="19" t="inlineStr">
        <is>
          <t>Not stated</t>
        </is>
      </c>
      <c r="AG78" s="19" t="inlineStr">
        <is>
          <t>Not stated</t>
        </is>
      </c>
      <c r="AH78" s="19" t="inlineStr">
        <is>
          <t>Not stated</t>
        </is>
      </c>
      <c r="AI78" s="19" t="inlineStr">
        <is>
          <t>Not stated</t>
        </is>
      </c>
      <c r="AJ78" s="19" t="inlineStr">
        <is>
          <t>Not stated</t>
        </is>
      </c>
      <c r="AK78" s="19" t="inlineStr">
        <is>
          <t>Card required</t>
        </is>
      </c>
      <c r="AL78" s="19" t="inlineStr">
        <is>
          <t>Not stated</t>
        </is>
      </c>
      <c r="AM78" s="24" t="inlineStr">
        <is>
          <t>https://aifree.dev/offer/northflank-developer-sandbox</t>
        </is>
      </c>
      <c r="AN78" s="24" t="inlineStr">
        <is>
          <t>https://aifree.dev/startup-ai-credits</t>
        </is>
      </c>
      <c r="AO78" s="19" t="inlineStr">
        <is>
          <t>Directory listing (verified Oct 2026 per directory): Always-on free compute with 2 free services and 2 cron jobs; no expiration stated.</t>
        </is>
      </c>
      <c r="AP78" s="23" t="n">
        <v>46319</v>
      </c>
      <c r="AQ78" s="19" t="inlineStr">
        <is>
          <t>Medium</t>
        </is>
      </c>
      <c r="AR78" s="19" t="inlineStr">
        <is>
          <t>Directory</t>
        </is>
      </c>
      <c r="AS78" s="19" t="inlineStr">
        <is>
          <t>Global (unverified)</t>
        </is>
      </c>
      <c r="AT78" s="19" t="inlineStr">
        <is>
          <t>Not stated</t>
        </is>
      </c>
      <c r="AU78" s="19" t="inlineStr">
        <is>
          <t>Terms taken from aifree.dev directory; official program page not opened this session. Confirm on provider site before applying.</t>
        </is>
      </c>
      <c r="AV78" s="19" t="inlineStr">
        <is>
          <t>DG-NF</t>
        </is>
      </c>
    </row>
    <row r="79" ht="35.05" customHeight="1" s="17">
      <c r="A79" s="19" t="inlineStr">
        <is>
          <t>SB-078</t>
        </is>
      </c>
      <c r="B79" s="19" t="inlineStr">
        <is>
          <t>NVIDIA</t>
        </is>
      </c>
      <c r="C79" s="19" t="inlineStr">
        <is>
          <t>NVIDIA Inception</t>
        </is>
      </c>
      <c r="D79" s="19" t="inlineStr">
        <is>
          <t>Not stated</t>
        </is>
      </c>
      <c r="E79" s="19" t="inlineStr">
        <is>
          <t>Accelerators &amp; Partner Networks</t>
        </is>
      </c>
      <c r="F79" s="19" t="inlineStr">
        <is>
          <t>Startup program (credits + pricing)</t>
        </is>
      </c>
      <c r="G79" s="19" t="inlineStr">
        <is>
          <t>Startup credits (startup-specific)</t>
        </is>
      </c>
      <c r="H79" s="19" t="inlineStr">
        <is>
          <t>Free cloud credits from NVIDIA and partners (amount not fixed on page) plus preferred pricing.</t>
        </is>
      </c>
      <c r="I79" s="22" t="n"/>
      <c r="J79" s="19" t="inlineStr">
        <is>
          <t>USD</t>
        </is>
      </c>
      <c r="K79" s="19" t="inlineStr">
        <is>
          <t>Credits</t>
        </is>
      </c>
      <c r="L79" s="22" t="n"/>
      <c r="M79" s="22" t="n"/>
      <c r="N79" s="19" t="n"/>
      <c r="O79" s="19" t="inlineStr">
        <is>
          <t>Not stated</t>
        </is>
      </c>
      <c r="P79" s="19" t="inlineStr">
        <is>
          <t>Not stated</t>
        </is>
      </c>
      <c r="Q79" s="23" t="n"/>
      <c r="R79" s="19" t="inlineStr">
        <is>
          <t>Open</t>
        </is>
      </c>
      <c r="S79" s="19" t="inlineStr">
        <is>
          <t>Not verified this session</t>
        </is>
      </c>
      <c r="T79" s="19" t="inlineStr">
        <is>
          <t>Not verified this session</t>
        </is>
      </c>
      <c r="U79" s="19" t="inlineStr">
        <is>
          <t>Not stated</t>
        </is>
      </c>
      <c r="V79" s="19" t="inlineStr">
        <is>
          <t>Not stated</t>
        </is>
      </c>
      <c r="W79" s="19" t="inlineStr">
        <is>
          <t>Not stated</t>
        </is>
      </c>
      <c r="X79" s="19" t="inlineStr">
        <is>
          <t>Unknown</t>
        </is>
      </c>
      <c r="Y79" s="19" t="inlineStr">
        <is>
          <t>Unknown</t>
        </is>
      </c>
      <c r="Z79" s="19" t="inlineStr">
        <is>
          <t>Not stated</t>
        </is>
      </c>
      <c r="AA79" s="19" t="inlineStr">
        <is>
          <t>Unverified</t>
        </is>
      </c>
      <c r="AB79" s="19" t="inlineStr">
        <is>
          <t>Unknown</t>
        </is>
      </c>
      <c r="AC79" s="19" t="inlineStr">
        <is>
          <t>Unknown</t>
        </is>
      </c>
      <c r="AD79" s="19" t="inlineStr">
        <is>
          <t>Yes</t>
        </is>
      </c>
      <c r="AE79" s="19" t="inlineStr">
        <is>
          <t>Unknown</t>
        </is>
      </c>
      <c r="AF79" s="19" t="inlineStr">
        <is>
          <t>Not stated</t>
        </is>
      </c>
      <c r="AG79" s="19" t="inlineStr">
        <is>
          <t>Not stated</t>
        </is>
      </c>
      <c r="AH79" s="19" t="inlineStr">
        <is>
          <t>Not stated</t>
        </is>
      </c>
      <c r="AI79" s="19" t="inlineStr">
        <is>
          <t>Not stated</t>
        </is>
      </c>
      <c r="AJ79" s="19" t="inlineStr">
        <is>
          <t>Not stated</t>
        </is>
      </c>
      <c r="AK79" s="19" t="inlineStr">
        <is>
          <t>No card required</t>
        </is>
      </c>
      <c r="AL79" s="19" t="inlineStr">
        <is>
          <t>Not stated</t>
        </is>
      </c>
      <c r="AM79" s="24" t="inlineStr">
        <is>
          <t>https://aifree.dev/offer/nvidia-inception</t>
        </is>
      </c>
      <c r="AN79" s="24" t="inlineStr">
        <is>
          <t>https://aifree.dev/startup-ai-credits</t>
        </is>
      </c>
      <c r="AO79" s="19" t="inlineStr">
        <is>
          <t>Directory listing (verified Oct 2026 per directory): Free cloud credits from NVIDIA and partners (amount not fixed on page) plus preferred pricing.</t>
        </is>
      </c>
      <c r="AP79" s="23" t="n">
        <v>46319</v>
      </c>
      <c r="AQ79" s="19" t="inlineStr">
        <is>
          <t>Medium</t>
        </is>
      </c>
      <c r="AR79" s="19" t="inlineStr">
        <is>
          <t>Directory</t>
        </is>
      </c>
      <c r="AS79" s="19" t="inlineStr">
        <is>
          <t>Global (unverified)</t>
        </is>
      </c>
      <c r="AT79" s="19" t="inlineStr">
        <is>
          <t>gpu,ai,program</t>
        </is>
      </c>
      <c r="AU79" s="19" t="inlineStr">
        <is>
          <t>Terms taken from aifree.dev directory; official program page not opened this session. Confirm on provider site before applying.</t>
        </is>
      </c>
      <c r="AV79" s="19" t="inlineStr">
        <is>
          <t>DG-NVIDIA</t>
        </is>
      </c>
    </row>
    <row r="80" ht="35.05" customHeight="1" s="17">
      <c r="A80" s="19" t="inlineStr">
        <is>
          <t>SB-079</t>
        </is>
      </c>
      <c r="B80" s="19" t="inlineStr">
        <is>
          <t>OpenAI</t>
        </is>
      </c>
      <c r="C80" s="19" t="inlineStr">
        <is>
          <t>OpenAI for Startups</t>
        </is>
      </c>
      <c r="D80" s="19" t="inlineStr">
        <is>
          <t>Not stated</t>
        </is>
      </c>
      <c r="E80" s="19" t="inlineStr">
        <is>
          <t>AI &amp; LLM Credits</t>
        </is>
      </c>
      <c r="F80" s="19" t="inlineStr">
        <is>
          <t>LLM API credits</t>
        </is>
      </c>
      <c r="G80" s="19" t="inlineStr">
        <is>
          <t>Startup credits (startup-specific)</t>
        </is>
      </c>
      <c r="H80" s="19" t="inlineStr">
        <is>
          <t>Free API credits, rate-limit upgrades and time with solutions engineers for eligible startups.</t>
        </is>
      </c>
      <c r="I80" s="22" t="n"/>
      <c r="J80" s="19" t="inlineStr">
        <is>
          <t>USD</t>
        </is>
      </c>
      <c r="K80" s="19" t="inlineStr">
        <is>
          <t>Credits</t>
        </is>
      </c>
      <c r="L80" s="22" t="n"/>
      <c r="M80" s="22" t="n"/>
      <c r="N80" s="19" t="n"/>
      <c r="O80" s="19" t="inlineStr">
        <is>
          <t>Not stated</t>
        </is>
      </c>
      <c r="P80" s="19" t="inlineStr">
        <is>
          <t>Not stated</t>
        </is>
      </c>
      <c r="Q80" s="23" t="n"/>
      <c r="R80" s="19" t="inlineStr">
        <is>
          <t>Open</t>
        </is>
      </c>
      <c r="S80" s="19" t="inlineStr">
        <is>
          <t>Not verified this session</t>
        </is>
      </c>
      <c r="T80" s="19" t="inlineStr">
        <is>
          <t>Not verified this session</t>
        </is>
      </c>
      <c r="U80" s="19" t="inlineStr">
        <is>
          <t>Not stated</t>
        </is>
      </c>
      <c r="V80" s="19" t="inlineStr">
        <is>
          <t>Not stated</t>
        </is>
      </c>
      <c r="W80" s="19" t="inlineStr">
        <is>
          <t>Not stated</t>
        </is>
      </c>
      <c r="X80" s="19" t="inlineStr">
        <is>
          <t>Unknown</t>
        </is>
      </c>
      <c r="Y80" s="19" t="inlineStr">
        <is>
          <t>Unknown</t>
        </is>
      </c>
      <c r="Z80" s="19" t="inlineStr">
        <is>
          <t>Not stated</t>
        </is>
      </c>
      <c r="AA80" s="19" t="inlineStr">
        <is>
          <t>Unverified</t>
        </is>
      </c>
      <c r="AB80" s="19" t="inlineStr">
        <is>
          <t>Unknown</t>
        </is>
      </c>
      <c r="AC80" s="19" t="inlineStr">
        <is>
          <t>Unknown</t>
        </is>
      </c>
      <c r="AD80" s="19" t="inlineStr">
        <is>
          <t>Yes</t>
        </is>
      </c>
      <c r="AE80" s="19" t="inlineStr">
        <is>
          <t>Unknown</t>
        </is>
      </c>
      <c r="AF80" s="19" t="inlineStr">
        <is>
          <t>Not stated</t>
        </is>
      </c>
      <c r="AG80" s="19" t="inlineStr">
        <is>
          <t>Not stated</t>
        </is>
      </c>
      <c r="AH80" s="19" t="inlineStr">
        <is>
          <t>Not stated</t>
        </is>
      </c>
      <c r="AI80" s="19" t="inlineStr">
        <is>
          <t>Not stated</t>
        </is>
      </c>
      <c r="AJ80" s="19" t="inlineStr">
        <is>
          <t>Not stated</t>
        </is>
      </c>
      <c r="AK80" s="19" t="inlineStr">
        <is>
          <t>No card required</t>
        </is>
      </c>
      <c r="AL80" s="19" t="inlineStr">
        <is>
          <t>Not stated</t>
        </is>
      </c>
      <c r="AM80" s="24" t="inlineStr">
        <is>
          <t>https://aifree.dev/offer/openai-for-startups</t>
        </is>
      </c>
      <c r="AN80" s="24" t="inlineStr">
        <is>
          <t>https://aifree.dev/startup-ai-credits</t>
        </is>
      </c>
      <c r="AO80" s="19" t="inlineStr">
        <is>
          <t>Directory listing (verified Oct 2026 per directory): Free API credits, rate-limit upgrades and time with solutions engineers for eligible startups.</t>
        </is>
      </c>
      <c r="AP80" s="23" t="n">
        <v>46319</v>
      </c>
      <c r="AQ80" s="19" t="inlineStr">
        <is>
          <t>Medium</t>
        </is>
      </c>
      <c r="AR80" s="19" t="inlineStr">
        <is>
          <t>Directory</t>
        </is>
      </c>
      <c r="AS80" s="19" t="inlineStr">
        <is>
          <t>Global (unverified)</t>
        </is>
      </c>
      <c r="AT80" s="19" t="inlineStr">
        <is>
          <t>llm,api</t>
        </is>
      </c>
      <c r="AU80" s="19" t="inlineStr">
        <is>
          <t>Terms taken from aifree.dev directory; official program page not opened this session. Confirm on provider site before applying.</t>
        </is>
      </c>
      <c r="AV80" s="19" t="inlineStr">
        <is>
          <t>DG-OAI</t>
        </is>
      </c>
    </row>
    <row r="81" ht="35.05" customHeight="1" s="17">
      <c r="A81" s="19" t="inlineStr">
        <is>
          <t>SB-080</t>
        </is>
      </c>
      <c r="B81" s="19" t="inlineStr">
        <is>
          <t>OVHcloud</t>
        </is>
      </c>
      <c r="C81" s="19" t="inlineStr">
        <is>
          <t>OVHcloud Startup Program</t>
        </is>
      </c>
      <c r="D81" s="19" t="inlineStr">
        <is>
          <t>Not stated</t>
        </is>
      </c>
      <c r="E81" s="19" t="inlineStr">
        <is>
          <t>Cloud &amp; Infrastructure</t>
        </is>
      </c>
      <c r="F81" s="19" t="inlineStr">
        <is>
          <t>Cloud credits</t>
        </is>
      </c>
      <c r="G81" s="19" t="inlineStr">
        <is>
          <t>Startup credits (startup-specific)</t>
        </is>
      </c>
      <c r="H81" s="19" t="inlineStr">
        <is>
          <t>Start tier: EUR 10,000 credits plus 6 hours 1-on-1 engineer time, 12 months.</t>
        </is>
      </c>
      <c r="I81" s="22" t="n">
        <v>10000</v>
      </c>
      <c r="J81" s="19" t="inlineStr">
        <is>
          <t>EUR</t>
        </is>
      </c>
      <c r="K81" s="19" t="inlineStr">
        <is>
          <t>Credits</t>
        </is>
      </c>
      <c r="L81" s="22" t="n"/>
      <c r="M81" s="22" t="n">
        <v>10000</v>
      </c>
      <c r="N81" s="19" t="n"/>
      <c r="O81" s="19" t="inlineStr">
        <is>
          <t>Not stated</t>
        </is>
      </c>
      <c r="P81" s="19" t="inlineStr">
        <is>
          <t>12 months</t>
        </is>
      </c>
      <c r="Q81" s="23" t="n"/>
      <c r="R81" s="19" t="inlineStr">
        <is>
          <t>Open</t>
        </is>
      </c>
      <c r="S81" s="19" t="inlineStr">
        <is>
          <t>Not verified this session</t>
        </is>
      </c>
      <c r="T81" s="19" t="inlineStr">
        <is>
          <t>Not verified this session</t>
        </is>
      </c>
      <c r="U81" s="19" t="inlineStr">
        <is>
          <t>Not stated</t>
        </is>
      </c>
      <c r="V81" s="19" t="inlineStr">
        <is>
          <t>Not stated</t>
        </is>
      </c>
      <c r="W81" s="19" t="inlineStr">
        <is>
          <t>Not stated</t>
        </is>
      </c>
      <c r="X81" s="19" t="inlineStr">
        <is>
          <t>Unknown</t>
        </is>
      </c>
      <c r="Y81" s="19" t="inlineStr">
        <is>
          <t>Unknown</t>
        </is>
      </c>
      <c r="Z81" s="19" t="inlineStr">
        <is>
          <t>Not stated</t>
        </is>
      </c>
      <c r="AA81" s="19" t="inlineStr">
        <is>
          <t>Unverified</t>
        </is>
      </c>
      <c r="AB81" s="19" t="inlineStr">
        <is>
          <t>Unknown</t>
        </is>
      </c>
      <c r="AC81" s="19" t="inlineStr">
        <is>
          <t>Unknown</t>
        </is>
      </c>
      <c r="AD81" s="19" t="inlineStr">
        <is>
          <t>No</t>
        </is>
      </c>
      <c r="AE81" s="19" t="inlineStr">
        <is>
          <t>Unknown</t>
        </is>
      </c>
      <c r="AF81" s="19" t="inlineStr">
        <is>
          <t>Not stated</t>
        </is>
      </c>
      <c r="AG81" s="19" t="inlineStr">
        <is>
          <t>Not stated</t>
        </is>
      </c>
      <c r="AH81" s="19" t="inlineStr">
        <is>
          <t>Not stated</t>
        </is>
      </c>
      <c r="AI81" s="19" t="inlineStr">
        <is>
          <t>Not stated</t>
        </is>
      </c>
      <c r="AJ81" s="19" t="inlineStr">
        <is>
          <t>Not stated</t>
        </is>
      </c>
      <c r="AK81" s="19" t="inlineStr">
        <is>
          <t>No card required</t>
        </is>
      </c>
      <c r="AL81" s="19" t="inlineStr">
        <is>
          <t>Not stated</t>
        </is>
      </c>
      <c r="AM81" s="24" t="inlineStr">
        <is>
          <t>https://aifree.dev/offer/ovhcloud-startup-program</t>
        </is>
      </c>
      <c r="AN81" s="24" t="inlineStr">
        <is>
          <t>https://aifree.dev/startup-ai-credits</t>
        </is>
      </c>
      <c r="AO81" s="19" t="inlineStr">
        <is>
          <t>Directory listing (verified Oct 2026 per directory): Start tier: EUR 10,000 credits plus 6 hours 1-on-1 engineer time, 12 months.</t>
        </is>
      </c>
      <c r="AP81" s="23" t="n">
        <v>46319</v>
      </c>
      <c r="AQ81" s="19" t="inlineStr">
        <is>
          <t>Medium</t>
        </is>
      </c>
      <c r="AR81" s="19" t="inlineStr">
        <is>
          <t>Directory</t>
        </is>
      </c>
      <c r="AS81" s="19" t="inlineStr">
        <is>
          <t>Global (unverified)</t>
        </is>
      </c>
      <c r="AT81" s="19" t="inlineStr">
        <is>
          <t>Not stated</t>
        </is>
      </c>
      <c r="AU81" s="19" t="inlineStr">
        <is>
          <t>Terms taken from aifree.dev directory; official program page not opened this session. Confirm on provider site before applying.</t>
        </is>
      </c>
      <c r="AV81" s="19" t="inlineStr">
        <is>
          <t>DG-OVH</t>
        </is>
      </c>
    </row>
    <row r="82" ht="35.05" customHeight="1" s="17">
      <c r="A82" s="19" t="inlineStr">
        <is>
          <t>SB-081</t>
        </is>
      </c>
      <c r="B82" s="19" t="inlineStr">
        <is>
          <t>Paperspace (DigitalOcean)</t>
        </is>
      </c>
      <c r="C82" s="19" t="inlineStr">
        <is>
          <t>Paperspace Gradient free GPU notebooks</t>
        </is>
      </c>
      <c r="D82" s="19" t="inlineStr">
        <is>
          <t>Not stated</t>
        </is>
      </c>
      <c r="E82" s="19" t="inlineStr">
        <is>
          <t>AI &amp; LLM Credits</t>
        </is>
      </c>
      <c r="F82" s="19" t="inlineStr">
        <is>
          <t>Free GPU tier</t>
        </is>
      </c>
      <c r="G82" s="19" t="inlineStr">
        <is>
          <t>Free tier (ongoing, not startup-exclusive)</t>
        </is>
      </c>
      <c r="H82" s="19" t="inlineStr">
        <is>
          <t>Free plan with basic GPU instances; no expiration stated.</t>
        </is>
      </c>
      <c r="I82" s="22" t="n"/>
      <c r="J82" s="19" t="inlineStr">
        <is>
          <t>USD</t>
        </is>
      </c>
      <c r="K82" s="19" t="inlineStr">
        <is>
          <t>In-Kind</t>
        </is>
      </c>
      <c r="L82" s="22" t="n"/>
      <c r="M82" s="22" t="n"/>
      <c r="N82" s="19" t="n"/>
      <c r="O82" s="19" t="inlineStr">
        <is>
          <t>Yes</t>
        </is>
      </c>
      <c r="P82" s="19" t="inlineStr">
        <is>
          <t>Not stated</t>
        </is>
      </c>
      <c r="Q82" s="23" t="n"/>
      <c r="R82" s="19" t="inlineStr">
        <is>
          <t>Open</t>
        </is>
      </c>
      <c r="S82" s="19" t="inlineStr">
        <is>
          <t>Not verified this session</t>
        </is>
      </c>
      <c r="T82" s="19" t="inlineStr">
        <is>
          <t>Not verified this session</t>
        </is>
      </c>
      <c r="U82" s="19" t="inlineStr">
        <is>
          <t>Not stated</t>
        </is>
      </c>
      <c r="V82" s="19" t="inlineStr">
        <is>
          <t>Not stated</t>
        </is>
      </c>
      <c r="W82" s="19" t="inlineStr">
        <is>
          <t>Not stated</t>
        </is>
      </c>
      <c r="X82" s="19" t="inlineStr">
        <is>
          <t>Unknown</t>
        </is>
      </c>
      <c r="Y82" s="19" t="inlineStr">
        <is>
          <t>Unknown</t>
        </is>
      </c>
      <c r="Z82" s="19" t="inlineStr">
        <is>
          <t>Not stated</t>
        </is>
      </c>
      <c r="AA82" s="19" t="inlineStr">
        <is>
          <t>Unverified</t>
        </is>
      </c>
      <c r="AB82" s="19" t="inlineStr">
        <is>
          <t>Unknown</t>
        </is>
      </c>
      <c r="AC82" s="19" t="inlineStr">
        <is>
          <t>Unknown</t>
        </is>
      </c>
      <c r="AD82" s="19" t="inlineStr">
        <is>
          <t>Yes</t>
        </is>
      </c>
      <c r="AE82" s="19" t="inlineStr">
        <is>
          <t>Unknown</t>
        </is>
      </c>
      <c r="AF82" s="19" t="inlineStr">
        <is>
          <t>Not stated</t>
        </is>
      </c>
      <c r="AG82" s="19" t="inlineStr">
        <is>
          <t>Not stated</t>
        </is>
      </c>
      <c r="AH82" s="19" t="inlineStr">
        <is>
          <t>Not stated</t>
        </is>
      </c>
      <c r="AI82" s="19" t="inlineStr">
        <is>
          <t>Not stated</t>
        </is>
      </c>
      <c r="AJ82" s="19" t="inlineStr">
        <is>
          <t>Not stated</t>
        </is>
      </c>
      <c r="AK82" s="19" t="inlineStr">
        <is>
          <t>Card required</t>
        </is>
      </c>
      <c r="AL82" s="19" t="inlineStr">
        <is>
          <t>Not stated</t>
        </is>
      </c>
      <c r="AM82" s="24" t="inlineStr">
        <is>
          <t>https://aifree.dev/offer/paperspace-gradient-free-tier</t>
        </is>
      </c>
      <c r="AN82" s="24" t="inlineStr">
        <is>
          <t>https://aifree.dev/startup-ai-credits</t>
        </is>
      </c>
      <c r="AO82" s="19" t="inlineStr">
        <is>
          <t>Directory listing (verified Oct 2026 per directory): Free plan with basic GPU instances; no expiration stated.</t>
        </is>
      </c>
      <c r="AP82" s="23" t="n">
        <v>46319</v>
      </c>
      <c r="AQ82" s="19" t="inlineStr">
        <is>
          <t>Medium</t>
        </is>
      </c>
      <c r="AR82" s="19" t="inlineStr">
        <is>
          <t>Directory</t>
        </is>
      </c>
      <c r="AS82" s="19" t="inlineStr">
        <is>
          <t>Global (unverified)</t>
        </is>
      </c>
      <c r="AT82" s="19" t="inlineStr">
        <is>
          <t>Not stated</t>
        </is>
      </c>
      <c r="AU82" s="19" t="inlineStr">
        <is>
          <t>Terms taken from aifree.dev directory; official program page not opened this session. Confirm on provider site before applying.</t>
        </is>
      </c>
      <c r="AV82" s="19" t="inlineStr">
        <is>
          <t>DG-PAPER</t>
        </is>
      </c>
    </row>
    <row r="83" ht="35.05" customHeight="1" s="17">
      <c r="A83" s="19" t="inlineStr">
        <is>
          <t>SB-082</t>
        </is>
      </c>
      <c r="B83" s="19" t="inlineStr">
        <is>
          <t>Pinecone</t>
        </is>
      </c>
      <c r="C83" s="19" t="inlineStr">
        <is>
          <t>Pinecone for Startups</t>
        </is>
      </c>
      <c r="D83" s="19" t="inlineStr">
        <is>
          <t>Not stated</t>
        </is>
      </c>
      <c r="E83" s="19" t="inlineStr">
        <is>
          <t>AI &amp; LLM Credits</t>
        </is>
      </c>
      <c r="F83" s="19" t="inlineStr">
        <is>
          <t>Vector database</t>
        </is>
      </c>
      <c r="G83" s="19" t="inlineStr">
        <is>
          <t>Startup plan / free subscription period</t>
        </is>
      </c>
      <c r="H83" s="19" t="inlineStr">
        <is>
          <t>Fewer than 100 employees and Series A or earlier; free Standard tier plus Pro credits.</t>
        </is>
      </c>
      <c r="I83" s="22" t="n"/>
      <c r="J83" s="19" t="inlineStr">
        <is>
          <t>USD</t>
        </is>
      </c>
      <c r="K83" s="19" t="inlineStr">
        <is>
          <t>Credits</t>
        </is>
      </c>
      <c r="L83" s="22" t="n"/>
      <c r="M83" s="22" t="n"/>
      <c r="N83" s="19" t="n"/>
      <c r="O83" s="19" t="inlineStr">
        <is>
          <t>Not stated</t>
        </is>
      </c>
      <c r="P83" s="19" t="inlineStr">
        <is>
          <t>Not stated</t>
        </is>
      </c>
      <c r="Q83" s="23" t="n"/>
      <c r="R83" s="19" t="inlineStr">
        <is>
          <t>Open</t>
        </is>
      </c>
      <c r="S83" s="19" t="inlineStr">
        <is>
          <t>Not verified this session</t>
        </is>
      </c>
      <c r="T83" s="19" t="inlineStr">
        <is>
          <t>Not verified this session</t>
        </is>
      </c>
      <c r="U83" s="19" t="inlineStr">
        <is>
          <t>Not stated</t>
        </is>
      </c>
      <c r="V83" s="19" t="inlineStr">
        <is>
          <t>Not stated</t>
        </is>
      </c>
      <c r="W83" s="19" t="inlineStr">
        <is>
          <t>Series A or earlier, &lt;100 employees</t>
        </is>
      </c>
      <c r="X83" s="19" t="inlineStr">
        <is>
          <t>Unknown</t>
        </is>
      </c>
      <c r="Y83" s="19" t="inlineStr">
        <is>
          <t>Unknown</t>
        </is>
      </c>
      <c r="Z83" s="19" t="inlineStr">
        <is>
          <t>Not stated</t>
        </is>
      </c>
      <c r="AA83" s="19" t="inlineStr">
        <is>
          <t>Unverified</t>
        </is>
      </c>
      <c r="AB83" s="19" t="inlineStr">
        <is>
          <t>Unknown</t>
        </is>
      </c>
      <c r="AC83" s="19" t="inlineStr">
        <is>
          <t>Unknown</t>
        </is>
      </c>
      <c r="AD83" s="19" t="inlineStr">
        <is>
          <t>Yes</t>
        </is>
      </c>
      <c r="AE83" s="19" t="inlineStr">
        <is>
          <t>Unknown</t>
        </is>
      </c>
      <c r="AF83" s="19" t="inlineStr">
        <is>
          <t>Not stated</t>
        </is>
      </c>
      <c r="AG83" s="19" t="inlineStr">
        <is>
          <t>Not stated</t>
        </is>
      </c>
      <c r="AH83" s="19" t="inlineStr">
        <is>
          <t>Not stated</t>
        </is>
      </c>
      <c r="AI83" s="19" t="inlineStr">
        <is>
          <t>Not stated</t>
        </is>
      </c>
      <c r="AJ83" s="19" t="inlineStr">
        <is>
          <t>Not stated</t>
        </is>
      </c>
      <c r="AK83" s="19" t="inlineStr">
        <is>
          <t>No card required</t>
        </is>
      </c>
      <c r="AL83" s="19" t="inlineStr">
        <is>
          <t>Not stated</t>
        </is>
      </c>
      <c r="AM83" s="24" t="inlineStr">
        <is>
          <t>https://aifree.dev/offer/pinecone-startup-program</t>
        </is>
      </c>
      <c r="AN83" s="24" t="inlineStr">
        <is>
          <t>https://aifree.dev/startup-ai-credits</t>
        </is>
      </c>
      <c r="AO83" s="19" t="inlineStr">
        <is>
          <t>Directory listing (verified Oct 2026 per directory): Fewer than 100 employees and Series A or earlier; free Standard tier plus Pro credits.</t>
        </is>
      </c>
      <c r="AP83" s="23" t="n">
        <v>46319</v>
      </c>
      <c r="AQ83" s="19" t="inlineStr">
        <is>
          <t>Medium</t>
        </is>
      </c>
      <c r="AR83" s="19" t="inlineStr">
        <is>
          <t>Directory</t>
        </is>
      </c>
      <c r="AS83" s="19" t="inlineStr">
        <is>
          <t>Global (unverified)</t>
        </is>
      </c>
      <c r="AT83" s="19" t="inlineStr">
        <is>
          <t>vector,rag</t>
        </is>
      </c>
      <c r="AU83" s="19" t="inlineStr">
        <is>
          <t>Terms taken from aifree.dev directory; official program page not opened this session. Confirm on provider site before applying.</t>
        </is>
      </c>
      <c r="AV83" s="19" t="inlineStr">
        <is>
          <t>DG-PINE</t>
        </is>
      </c>
    </row>
    <row r="84" ht="35.05" customHeight="1" s="17">
      <c r="A84" s="19" t="inlineStr">
        <is>
          <t>SB-083</t>
        </is>
      </c>
      <c r="B84" s="19" t="inlineStr">
        <is>
          <t>RunPod</t>
        </is>
      </c>
      <c r="C84" s="19" t="inlineStr">
        <is>
          <t>RunPod referral bonus credits</t>
        </is>
      </c>
      <c r="D84" s="19" t="inlineStr">
        <is>
          <t>Not stated</t>
        </is>
      </c>
      <c r="E84" s="19" t="inlineStr">
        <is>
          <t>Cloud &amp; Infrastructure</t>
        </is>
      </c>
      <c r="F84" s="19" t="inlineStr">
        <is>
          <t>Referral credit</t>
        </is>
      </c>
      <c r="G84" s="19" t="inlineStr">
        <is>
          <t>Free trial credit (not startup-exclusive)</t>
        </is>
      </c>
      <c r="H84" s="19" t="inlineStr">
        <is>
          <t>Referred user must spend $10 first; bonus randomized.</t>
        </is>
      </c>
      <c r="I84" s="22" t="n"/>
      <c r="J84" s="19" t="inlineStr">
        <is>
          <t>USD</t>
        </is>
      </c>
      <c r="K84" s="19" t="inlineStr">
        <is>
          <t>Credits</t>
        </is>
      </c>
      <c r="L84" s="22" t="n"/>
      <c r="M84" s="22" t="n"/>
      <c r="N84" s="19" t="n"/>
      <c r="O84" s="19" t="inlineStr">
        <is>
          <t>Not stated</t>
        </is>
      </c>
      <c r="P84" s="19" t="inlineStr">
        <is>
          <t>Not stated</t>
        </is>
      </c>
      <c r="Q84" s="23" t="n"/>
      <c r="R84" s="19" t="inlineStr">
        <is>
          <t>Open</t>
        </is>
      </c>
      <c r="S84" s="19" t="inlineStr">
        <is>
          <t>Not verified this session</t>
        </is>
      </c>
      <c r="T84" s="19" t="inlineStr">
        <is>
          <t>Not verified this session</t>
        </is>
      </c>
      <c r="U84" s="19" t="inlineStr">
        <is>
          <t>Not stated</t>
        </is>
      </c>
      <c r="V84" s="19" t="inlineStr">
        <is>
          <t>Not stated</t>
        </is>
      </c>
      <c r="W84" s="19" t="inlineStr">
        <is>
          <t>Not stated</t>
        </is>
      </c>
      <c r="X84" s="19" t="inlineStr">
        <is>
          <t>Unknown</t>
        </is>
      </c>
      <c r="Y84" s="19" t="inlineStr">
        <is>
          <t>Unknown</t>
        </is>
      </c>
      <c r="Z84" s="19" t="inlineStr">
        <is>
          <t>Not stated</t>
        </is>
      </c>
      <c r="AA84" s="19" t="inlineStr">
        <is>
          <t>Unverified</t>
        </is>
      </c>
      <c r="AB84" s="19" t="inlineStr">
        <is>
          <t>Unknown</t>
        </is>
      </c>
      <c r="AC84" s="19" t="inlineStr">
        <is>
          <t>Unknown</t>
        </is>
      </c>
      <c r="AD84" s="19" t="inlineStr">
        <is>
          <t>No</t>
        </is>
      </c>
      <c r="AE84" s="19" t="inlineStr">
        <is>
          <t>Unknown</t>
        </is>
      </c>
      <c r="AF84" s="19" t="inlineStr">
        <is>
          <t>Not stated</t>
        </is>
      </c>
      <c r="AG84" s="19" t="inlineStr">
        <is>
          <t>Not stated</t>
        </is>
      </c>
      <c r="AH84" s="19" t="inlineStr">
        <is>
          <t>Not stated</t>
        </is>
      </c>
      <c r="AI84" s="19" t="inlineStr">
        <is>
          <t>Not stated</t>
        </is>
      </c>
      <c r="AJ84" s="19" t="inlineStr">
        <is>
          <t>Not stated</t>
        </is>
      </c>
      <c r="AK84" s="19" t="inlineStr">
        <is>
          <t>Card required</t>
        </is>
      </c>
      <c r="AL84" s="19" t="inlineStr">
        <is>
          <t>Referral mechanic; not startup-exclusive.</t>
        </is>
      </c>
      <c r="AM84" s="24" t="inlineStr">
        <is>
          <t>https://aifree.dev/offer/runpod-referral-bonus-credits</t>
        </is>
      </c>
      <c r="AN84" s="24" t="inlineStr">
        <is>
          <t>https://aifree.dev/startup-ai-credits</t>
        </is>
      </c>
      <c r="AO84" s="19" t="inlineStr">
        <is>
          <t>Directory listing (verified Oct 2026 per directory): Referred user must spend $10 first; bonus randomized.</t>
        </is>
      </c>
      <c r="AP84" s="23" t="n">
        <v>46319</v>
      </c>
      <c r="AQ84" s="19" t="inlineStr">
        <is>
          <t>Medium</t>
        </is>
      </c>
      <c r="AR84" s="19" t="inlineStr">
        <is>
          <t>Directory</t>
        </is>
      </c>
      <c r="AS84" s="19" t="inlineStr">
        <is>
          <t>Global (unverified)</t>
        </is>
      </c>
      <c r="AT84" s="19" t="inlineStr">
        <is>
          <t>Not stated</t>
        </is>
      </c>
      <c r="AU84" s="19" t="inlineStr">
        <is>
          <t>Terms taken from aifree.dev directory; official program page not opened this session. Confirm on provider site before applying.</t>
        </is>
      </c>
      <c r="AV84" s="19" t="inlineStr">
        <is>
          <t>DG-RUNPOD-REF</t>
        </is>
      </c>
    </row>
    <row r="85" ht="35.05" customHeight="1" s="17">
      <c r="A85" s="19" t="inlineStr">
        <is>
          <t>SB-084</t>
        </is>
      </c>
      <c r="B85" s="19" t="inlineStr">
        <is>
          <t>Sarvam AI</t>
        </is>
      </c>
      <c r="C85" s="19" t="inlineStr">
        <is>
          <t>Sarvam AI Startup Program</t>
        </is>
      </c>
      <c r="D85" s="19" t="inlineStr">
        <is>
          <t>Not stated</t>
        </is>
      </c>
      <c r="E85" s="19" t="inlineStr">
        <is>
          <t>AI &amp; LLM Credits</t>
        </is>
      </c>
      <c r="F85" s="19" t="inlineStr">
        <is>
          <t>LLM credits</t>
        </is>
      </c>
      <c r="G85" s="19" t="inlineStr">
        <is>
          <t>Startup credits (startup-specific)</t>
        </is>
      </c>
      <c r="H85" s="19" t="inlineStr">
        <is>
          <t>6-12 months of credits matched to scale; rolling applications.</t>
        </is>
      </c>
      <c r="I85" s="22" t="n"/>
      <c r="J85" s="19" t="inlineStr">
        <is>
          <t>USD</t>
        </is>
      </c>
      <c r="K85" s="19" t="inlineStr">
        <is>
          <t>Credits</t>
        </is>
      </c>
      <c r="L85" s="22" t="n"/>
      <c r="M85" s="22" t="n"/>
      <c r="N85" s="19" t="n"/>
      <c r="O85" s="19" t="inlineStr">
        <is>
          <t>Not stated</t>
        </is>
      </c>
      <c r="P85" s="19" t="inlineStr">
        <is>
          <t>6-12 months</t>
        </is>
      </c>
      <c r="Q85" s="23" t="n"/>
      <c r="R85" s="19" t="inlineStr">
        <is>
          <t>Rolling</t>
        </is>
      </c>
      <c r="S85" s="19" t="inlineStr">
        <is>
          <t>Not verified this session</t>
        </is>
      </c>
      <c r="T85" s="19" t="inlineStr">
        <is>
          <t>Not verified this session</t>
        </is>
      </c>
      <c r="U85" s="19" t="inlineStr">
        <is>
          <t>Not stated</t>
        </is>
      </c>
      <c r="V85" s="19" t="inlineStr">
        <is>
          <t>Not stated</t>
        </is>
      </c>
      <c r="W85" s="19" t="inlineStr">
        <is>
          <t>Not stated</t>
        </is>
      </c>
      <c r="X85" s="19" t="inlineStr">
        <is>
          <t>Unknown</t>
        </is>
      </c>
      <c r="Y85" s="19" t="inlineStr">
        <is>
          <t>Unknown</t>
        </is>
      </c>
      <c r="Z85" s="19" t="inlineStr">
        <is>
          <t>Not stated</t>
        </is>
      </c>
      <c r="AA85" s="19" t="inlineStr">
        <is>
          <t>Unverified</t>
        </is>
      </c>
      <c r="AB85" s="19" t="inlineStr">
        <is>
          <t>Unknown</t>
        </is>
      </c>
      <c r="AC85" s="19" t="inlineStr">
        <is>
          <t>Unknown</t>
        </is>
      </c>
      <c r="AD85" s="19" t="inlineStr">
        <is>
          <t>Yes</t>
        </is>
      </c>
      <c r="AE85" s="19" t="inlineStr">
        <is>
          <t>Unknown</t>
        </is>
      </c>
      <c r="AF85" s="19" t="inlineStr">
        <is>
          <t>Not stated</t>
        </is>
      </c>
      <c r="AG85" s="19" t="inlineStr">
        <is>
          <t>Not stated</t>
        </is>
      </c>
      <c r="AH85" s="19" t="inlineStr">
        <is>
          <t>Not stated</t>
        </is>
      </c>
      <c r="AI85" s="19" t="inlineStr">
        <is>
          <t>Not stated</t>
        </is>
      </c>
      <c r="AJ85" s="19" t="inlineStr">
        <is>
          <t>Not stated</t>
        </is>
      </c>
      <c r="AK85" s="19" t="inlineStr">
        <is>
          <t>No card required</t>
        </is>
      </c>
      <c r="AL85" s="19" t="inlineStr">
        <is>
          <t>Not stated</t>
        </is>
      </c>
      <c r="AM85" s="24" t="inlineStr">
        <is>
          <t>https://aifree.dev/offer/sarvam-ai-startup-program</t>
        </is>
      </c>
      <c r="AN85" s="24" t="inlineStr">
        <is>
          <t>https://aifree.dev/startup-ai-credits</t>
        </is>
      </c>
      <c r="AO85" s="19" t="inlineStr">
        <is>
          <t>Directory listing (verified Oct 2026 per directory): 6-12 months of credits matched to scale; rolling applications.</t>
        </is>
      </c>
      <c r="AP85" s="23" t="n">
        <v>46319</v>
      </c>
      <c r="AQ85" s="19" t="inlineStr">
        <is>
          <t>Medium</t>
        </is>
      </c>
      <c r="AR85" s="19" t="inlineStr">
        <is>
          <t>Directory</t>
        </is>
      </c>
      <c r="AS85" s="19" t="inlineStr">
        <is>
          <t>India-focused (unverified)</t>
        </is>
      </c>
      <c r="AT85" s="19" t="inlineStr">
        <is>
          <t>Not stated</t>
        </is>
      </c>
      <c r="AU85" s="19" t="inlineStr">
        <is>
          <t>Indian provider; Egypt eligibility unknown. Official page not opened.</t>
        </is>
      </c>
      <c r="AV85" s="19" t="inlineStr">
        <is>
          <t>DG-SARVAM</t>
        </is>
      </c>
    </row>
    <row r="86" ht="35.05" customHeight="1" s="17">
      <c r="A86" s="19" t="inlineStr">
        <is>
          <t>SB-085</t>
        </is>
      </c>
      <c r="B86" s="19" t="inlineStr">
        <is>
          <t>Shortcut</t>
        </is>
      </c>
      <c r="C86" s="19" t="inlineStr">
        <is>
          <t>Shortcut for Startups</t>
        </is>
      </c>
      <c r="D86" s="19" t="inlineStr">
        <is>
          <t>Not stated</t>
        </is>
      </c>
      <c r="E86" s="19" t="inlineStr">
        <is>
          <t>SaaS &amp; Marketing</t>
        </is>
      </c>
      <c r="F86" s="19" t="inlineStr">
        <is>
          <t>Project management</t>
        </is>
      </c>
      <c r="G86" s="19" t="inlineStr">
        <is>
          <t>Startup plan / free subscription period</t>
        </is>
      </c>
      <c r="H86" s="19" t="inlineStr">
        <is>
          <t>12 months free Business plan; new customers only.</t>
        </is>
      </c>
      <c r="I86" s="22" t="n"/>
      <c r="J86" s="19" t="inlineStr">
        <is>
          <t>USD</t>
        </is>
      </c>
      <c r="K86" s="19" t="inlineStr">
        <is>
          <t>In-Kind</t>
        </is>
      </c>
      <c r="L86" s="22" t="n"/>
      <c r="M86" s="22" t="n"/>
      <c r="N86" s="19" t="n"/>
      <c r="O86" s="19" t="inlineStr">
        <is>
          <t>Not stated</t>
        </is>
      </c>
      <c r="P86" s="19" t="inlineStr">
        <is>
          <t>12 months</t>
        </is>
      </c>
      <c r="Q86" s="23" t="n"/>
      <c r="R86" s="19" t="inlineStr">
        <is>
          <t>Open</t>
        </is>
      </c>
      <c r="S86" s="19" t="inlineStr">
        <is>
          <t>Not verified this session</t>
        </is>
      </c>
      <c r="T86" s="19" t="inlineStr">
        <is>
          <t>Not verified this session</t>
        </is>
      </c>
      <c r="U86" s="19" t="inlineStr">
        <is>
          <t>Not stated</t>
        </is>
      </c>
      <c r="V86" s="19" t="inlineStr">
        <is>
          <t>Not stated</t>
        </is>
      </c>
      <c r="W86" s="19" t="inlineStr">
        <is>
          <t>Not stated</t>
        </is>
      </c>
      <c r="X86" s="19" t="inlineStr">
        <is>
          <t>Unknown</t>
        </is>
      </c>
      <c r="Y86" s="19" t="inlineStr">
        <is>
          <t>Unknown</t>
        </is>
      </c>
      <c r="Z86" s="19" t="inlineStr">
        <is>
          <t>Not stated</t>
        </is>
      </c>
      <c r="AA86" s="19" t="inlineStr">
        <is>
          <t>Unverified</t>
        </is>
      </c>
      <c r="AB86" s="19" t="inlineStr">
        <is>
          <t>Unknown</t>
        </is>
      </c>
      <c r="AC86" s="19" t="inlineStr">
        <is>
          <t>Unknown</t>
        </is>
      </c>
      <c r="AD86" s="19" t="inlineStr">
        <is>
          <t>No</t>
        </is>
      </c>
      <c r="AE86" s="19" t="inlineStr">
        <is>
          <t>Unknown</t>
        </is>
      </c>
      <c r="AF86" s="19" t="inlineStr">
        <is>
          <t>Not stated</t>
        </is>
      </c>
      <c r="AG86" s="19" t="inlineStr">
        <is>
          <t>Not stated</t>
        </is>
      </c>
      <c r="AH86" s="19" t="inlineStr">
        <is>
          <t>Not stated</t>
        </is>
      </c>
      <c r="AI86" s="19" t="inlineStr">
        <is>
          <t>Not stated</t>
        </is>
      </c>
      <c r="AJ86" s="19" t="inlineStr">
        <is>
          <t>Not stated</t>
        </is>
      </c>
      <c r="AK86" s="19" t="inlineStr">
        <is>
          <t>No card required</t>
        </is>
      </c>
      <c r="AL86" s="19" t="inlineStr">
        <is>
          <t>Not stated</t>
        </is>
      </c>
      <c r="AM86" s="24" t="inlineStr">
        <is>
          <t>https://aifree.dev/offer/shortcut-startup-program</t>
        </is>
      </c>
      <c r="AN86" s="24" t="inlineStr">
        <is>
          <t>https://aifree.dev/startup-ai-credits</t>
        </is>
      </c>
      <c r="AO86" s="19" t="inlineStr">
        <is>
          <t>Directory listing (verified Oct 2026 per directory): 12 months free Business plan; new customers only.</t>
        </is>
      </c>
      <c r="AP86" s="23" t="n">
        <v>46319</v>
      </c>
      <c r="AQ86" s="19" t="inlineStr">
        <is>
          <t>Medium</t>
        </is>
      </c>
      <c r="AR86" s="19" t="inlineStr">
        <is>
          <t>Directory</t>
        </is>
      </c>
      <c r="AS86" s="19" t="inlineStr">
        <is>
          <t>Global (unverified)</t>
        </is>
      </c>
      <c r="AT86" s="19" t="inlineStr">
        <is>
          <t>Not stated</t>
        </is>
      </c>
      <c r="AU86" s="19" t="inlineStr">
        <is>
          <t>Terms taken from aifree.dev directory; official program page not opened this session. Confirm on provider site before applying.</t>
        </is>
      </c>
      <c r="AV86" s="19" t="inlineStr">
        <is>
          <t>DG-SHORT</t>
        </is>
      </c>
    </row>
    <row r="87" ht="35.05" customHeight="1" s="17">
      <c r="A87" s="19" t="inlineStr">
        <is>
          <t>SB-086</t>
        </is>
      </c>
      <c r="B87" s="19" t="inlineStr">
        <is>
          <t>Snowflake</t>
        </is>
      </c>
      <c r="C87" s="19" t="inlineStr">
        <is>
          <t>Snowflake for Startups</t>
        </is>
      </c>
      <c r="D87" s="19" t="inlineStr">
        <is>
          <t>Not stated</t>
        </is>
      </c>
      <c r="E87" s="19" t="inlineStr">
        <is>
          <t>Cloud &amp; Infrastructure</t>
        </is>
      </c>
      <c r="F87" s="19" t="inlineStr">
        <is>
          <t>Data platform</t>
        </is>
      </c>
      <c r="G87" s="19" t="inlineStr">
        <is>
          <t>Startup credits (startup-specific)</t>
        </is>
      </c>
      <c r="H87" s="19" t="inlineStr">
        <is>
          <t>Free usage on first contract (Startup Package); no published credit amount.</t>
        </is>
      </c>
      <c r="I87" s="22" t="n"/>
      <c r="J87" s="19" t="inlineStr">
        <is>
          <t>USD</t>
        </is>
      </c>
      <c r="K87" s="19" t="inlineStr">
        <is>
          <t>Credits</t>
        </is>
      </c>
      <c r="L87" s="22" t="n"/>
      <c r="M87" s="22" t="n"/>
      <c r="N87" s="19" t="n"/>
      <c r="O87" s="19" t="inlineStr">
        <is>
          <t>Not stated</t>
        </is>
      </c>
      <c r="P87" s="19" t="inlineStr">
        <is>
          <t>Not stated</t>
        </is>
      </c>
      <c r="Q87" s="23" t="n"/>
      <c r="R87" s="19" t="inlineStr">
        <is>
          <t>Open</t>
        </is>
      </c>
      <c r="S87" s="19" t="inlineStr">
        <is>
          <t>Not verified this session</t>
        </is>
      </c>
      <c r="T87" s="19" t="inlineStr">
        <is>
          <t>Not verified this session</t>
        </is>
      </c>
      <c r="U87" s="19" t="inlineStr">
        <is>
          <t>Not stated</t>
        </is>
      </c>
      <c r="V87" s="19" t="inlineStr">
        <is>
          <t>Not stated</t>
        </is>
      </c>
      <c r="W87" s="19" t="inlineStr">
        <is>
          <t>Not stated</t>
        </is>
      </c>
      <c r="X87" s="19" t="inlineStr">
        <is>
          <t>Unknown</t>
        </is>
      </c>
      <c r="Y87" s="19" t="inlineStr">
        <is>
          <t>Unknown</t>
        </is>
      </c>
      <c r="Z87" s="19" t="inlineStr">
        <is>
          <t>Not stated</t>
        </is>
      </c>
      <c r="AA87" s="19" t="inlineStr">
        <is>
          <t>Unverified</t>
        </is>
      </c>
      <c r="AB87" s="19" t="inlineStr">
        <is>
          <t>Unknown</t>
        </is>
      </c>
      <c r="AC87" s="19" t="inlineStr">
        <is>
          <t>Unknown</t>
        </is>
      </c>
      <c r="AD87" s="19" t="inlineStr">
        <is>
          <t>No</t>
        </is>
      </c>
      <c r="AE87" s="19" t="inlineStr">
        <is>
          <t>Unknown</t>
        </is>
      </c>
      <c r="AF87" s="19" t="inlineStr">
        <is>
          <t>Not stated</t>
        </is>
      </c>
      <c r="AG87" s="19" t="inlineStr">
        <is>
          <t>Not stated</t>
        </is>
      </c>
      <c r="AH87" s="19" t="inlineStr">
        <is>
          <t>Not stated</t>
        </is>
      </c>
      <c r="AI87" s="19" t="inlineStr">
        <is>
          <t>Not stated</t>
        </is>
      </c>
      <c r="AJ87" s="19" t="inlineStr">
        <is>
          <t>Not stated</t>
        </is>
      </c>
      <c r="AK87" s="19" t="inlineStr">
        <is>
          <t>No card required</t>
        </is>
      </c>
      <c r="AL87" s="19" t="inlineStr">
        <is>
          <t>Not stated</t>
        </is>
      </c>
      <c r="AM87" s="24" t="inlineStr">
        <is>
          <t>https://aifree.dev/offer/snowflake-for-startups</t>
        </is>
      </c>
      <c r="AN87" s="24" t="inlineStr">
        <is>
          <t>https://aifree.dev/startup-ai-credits</t>
        </is>
      </c>
      <c r="AO87" s="19" t="inlineStr">
        <is>
          <t>Directory listing (verified Oct 2026 per directory): Free usage on first contract (Startup Package); no published credit amount.</t>
        </is>
      </c>
      <c r="AP87" s="23" t="n">
        <v>46319</v>
      </c>
      <c r="AQ87" s="19" t="inlineStr">
        <is>
          <t>Medium</t>
        </is>
      </c>
      <c r="AR87" s="19" t="inlineStr">
        <is>
          <t>Directory</t>
        </is>
      </c>
      <c r="AS87" s="19" t="inlineStr">
        <is>
          <t>Global (unverified)</t>
        </is>
      </c>
      <c r="AT87" s="19" t="inlineStr">
        <is>
          <t>Not stated</t>
        </is>
      </c>
      <c r="AU87" s="19" t="inlineStr">
        <is>
          <t>Terms taken from aifree.dev directory; official program page not opened this session. Confirm on provider site before applying.</t>
        </is>
      </c>
      <c r="AV87" s="19" t="inlineStr">
        <is>
          <t>DG-SNOW</t>
        </is>
      </c>
    </row>
    <row r="88" ht="35.05" customHeight="1" s="17">
      <c r="A88" s="19" t="inlineStr">
        <is>
          <t>SB-087</t>
        </is>
      </c>
      <c r="B88" s="19" t="inlineStr">
        <is>
          <t>Stripe</t>
        </is>
      </c>
      <c r="C88" s="19" t="inlineStr">
        <is>
          <t>Stripe for Startups</t>
        </is>
      </c>
      <c r="D88" s="19" t="inlineStr">
        <is>
          <t>Not stated</t>
        </is>
      </c>
      <c r="E88" s="19" t="inlineStr">
        <is>
          <t>SaaS &amp; Marketing</t>
        </is>
      </c>
      <c r="F88" s="19" t="inlineStr">
        <is>
          <t>Payments fee discount</t>
        </is>
      </c>
      <c r="G88" s="19" t="inlineStr">
        <is>
          <t>Startup plan / free subscription period</t>
        </is>
      </c>
      <c r="H88" s="19" t="inlineStr">
        <is>
          <t>Invoicing fees capped starting at 0.4%, up to $10 per invoice.</t>
        </is>
      </c>
      <c r="I88" s="22" t="n"/>
      <c r="J88" s="19" t="inlineStr">
        <is>
          <t>USD</t>
        </is>
      </c>
      <c r="K88" s="19" t="inlineStr">
        <is>
          <t>Discount</t>
        </is>
      </c>
      <c r="L88" s="22" t="n"/>
      <c r="M88" s="22" t="n"/>
      <c r="N88" s="19" t="n"/>
      <c r="O88" s="19" t="inlineStr">
        <is>
          <t>Not stated</t>
        </is>
      </c>
      <c r="P88" s="19" t="inlineStr">
        <is>
          <t>Not stated</t>
        </is>
      </c>
      <c r="Q88" s="23" t="n"/>
      <c r="R88" s="19" t="inlineStr">
        <is>
          <t>Open</t>
        </is>
      </c>
      <c r="S88" s="19" t="inlineStr">
        <is>
          <t>Not verified this session</t>
        </is>
      </c>
      <c r="T88" s="24" t="inlineStr">
        <is>
          <t>https://stripe.com/startup-benefits/aws-activate</t>
        </is>
      </c>
      <c r="U88" s="19" t="inlineStr">
        <is>
          <t>Not stated</t>
        </is>
      </c>
      <c r="V88" s="19" t="inlineStr">
        <is>
          <t>Not stated</t>
        </is>
      </c>
      <c r="W88" s="19" t="inlineStr">
        <is>
          <t>Not stated</t>
        </is>
      </c>
      <c r="X88" s="19" t="inlineStr">
        <is>
          <t>Unknown</t>
        </is>
      </c>
      <c r="Y88" s="19" t="inlineStr">
        <is>
          <t>Unknown</t>
        </is>
      </c>
      <c r="Z88" s="19" t="inlineStr">
        <is>
          <t>Not stated</t>
        </is>
      </c>
      <c r="AA88" s="19" t="inlineStr">
        <is>
          <t>Unverified</t>
        </is>
      </c>
      <c r="AB88" s="19" t="inlineStr">
        <is>
          <t>Unknown</t>
        </is>
      </c>
      <c r="AC88" s="19" t="inlineStr">
        <is>
          <t>Unknown</t>
        </is>
      </c>
      <c r="AD88" s="19" t="inlineStr">
        <is>
          <t>No</t>
        </is>
      </c>
      <c r="AE88" s="19" t="inlineStr">
        <is>
          <t>Unknown</t>
        </is>
      </c>
      <c r="AF88" s="19" t="inlineStr">
        <is>
          <t>Not stated</t>
        </is>
      </c>
      <c r="AG88" s="19" t="inlineStr">
        <is>
          <t>Not stated</t>
        </is>
      </c>
      <c r="AH88" s="19" t="inlineStr">
        <is>
          <t>Not stated</t>
        </is>
      </c>
      <c r="AI88" s="19" t="inlineStr">
        <is>
          <t>Not stated</t>
        </is>
      </c>
      <c r="AJ88" s="19" t="inlineStr">
        <is>
          <t>Not stated</t>
        </is>
      </c>
      <c r="AK88" s="19" t="inlineStr">
        <is>
          <t>No card required</t>
        </is>
      </c>
      <c r="AL88" s="19" t="inlineStr">
        <is>
          <t>Not stated</t>
        </is>
      </c>
      <c r="AM88" s="24" t="inlineStr">
        <is>
          <t>https://aifree.dev/offer/stripe-for-startups</t>
        </is>
      </c>
      <c r="AN88" s="24" t="inlineStr">
        <is>
          <t>https://aifree.dev/startup-ai-credits</t>
        </is>
      </c>
      <c r="AO88" s="19" t="inlineStr">
        <is>
          <t>Directory listing (verified Oct 2026 per directory): Invoicing fees capped starting at 0.4%, up to $10 per invoice.</t>
        </is>
      </c>
      <c r="AP88" s="23" t="n">
        <v>46319</v>
      </c>
      <c r="AQ88" s="19" t="inlineStr">
        <is>
          <t>Medium</t>
        </is>
      </c>
      <c r="AR88" s="19" t="inlineStr">
        <is>
          <t>Directory</t>
        </is>
      </c>
      <c r="AS88" s="19" t="inlineStr">
        <is>
          <t>Global (unverified)</t>
        </is>
      </c>
      <c r="AT88" s="19" t="inlineStr">
        <is>
          <t>Not stated</t>
        </is>
      </c>
      <c r="AU88" s="19" t="inlineStr">
        <is>
          <t>Seed URL (stripe.com/startup-benefits/aws-activate) NOT opened; directory describes an invoicing fee cap.</t>
        </is>
      </c>
      <c r="AV88" s="19" t="inlineStr">
        <is>
          <t>DG-STRIPE</t>
        </is>
      </c>
    </row>
    <row r="89" ht="35.05" customHeight="1" s="17">
      <c r="A89" s="19" t="inlineStr">
        <is>
          <t>SB-088</t>
        </is>
      </c>
      <c r="B89" s="19" t="inlineStr">
        <is>
          <t>T-Systems (T Cloud Public)</t>
        </is>
      </c>
      <c r="C89" s="19" t="inlineStr">
        <is>
          <t>T Cloud Public EUR 250 starter credit</t>
        </is>
      </c>
      <c r="D89" s="19" t="inlineStr">
        <is>
          <t>Not stated</t>
        </is>
      </c>
      <c r="E89" s="19" t="inlineStr">
        <is>
          <t>Cloud &amp; Infrastructure</t>
        </is>
      </c>
      <c r="F89" s="19" t="inlineStr">
        <is>
          <t>Trial credit</t>
        </is>
      </c>
      <c r="G89" s="19" t="inlineStr">
        <is>
          <t>Free trial credit (not startup-exclusive)</t>
        </is>
      </c>
      <c r="H89" s="19" t="inlineStr">
        <is>
          <t>EUR 250 starting credit for new customers; voucher redeemable until 31 Dec 2026.</t>
        </is>
      </c>
      <c r="I89" s="22" t="n">
        <v>250</v>
      </c>
      <c r="J89" s="19" t="inlineStr">
        <is>
          <t>EUR</t>
        </is>
      </c>
      <c r="K89" s="19" t="inlineStr">
        <is>
          <t>Credits</t>
        </is>
      </c>
      <c r="L89" s="22" t="n"/>
      <c r="M89" s="22" t="n"/>
      <c r="N89" s="19" t="n"/>
      <c r="O89" s="19" t="inlineStr">
        <is>
          <t>Yes</t>
        </is>
      </c>
      <c r="P89" s="19" t="inlineStr">
        <is>
          <t>Not stated</t>
        </is>
      </c>
      <c r="Q89" s="23" t="n">
        <v>46387</v>
      </c>
      <c r="R89" s="19" t="inlineStr">
        <is>
          <t>Open</t>
        </is>
      </c>
      <c r="S89" s="19" t="inlineStr">
        <is>
          <t>Not verified this session</t>
        </is>
      </c>
      <c r="T89" s="19" t="inlineStr">
        <is>
          <t>Not verified this session</t>
        </is>
      </c>
      <c r="U89" s="19" t="inlineStr">
        <is>
          <t>Not stated</t>
        </is>
      </c>
      <c r="V89" s="19" t="inlineStr">
        <is>
          <t>Not stated</t>
        </is>
      </c>
      <c r="W89" s="19" t="inlineStr">
        <is>
          <t>Not stated</t>
        </is>
      </c>
      <c r="X89" s="19" t="inlineStr">
        <is>
          <t>Unknown</t>
        </is>
      </c>
      <c r="Y89" s="19" t="inlineStr">
        <is>
          <t>Unknown</t>
        </is>
      </c>
      <c r="Z89" s="19" t="inlineStr">
        <is>
          <t>Not stated</t>
        </is>
      </c>
      <c r="AA89" s="19" t="inlineStr">
        <is>
          <t>Unverified</t>
        </is>
      </c>
      <c r="AB89" s="19" t="inlineStr">
        <is>
          <t>Unknown</t>
        </is>
      </c>
      <c r="AC89" s="19" t="inlineStr">
        <is>
          <t>Unknown</t>
        </is>
      </c>
      <c r="AD89" s="19" t="inlineStr">
        <is>
          <t>No</t>
        </is>
      </c>
      <c r="AE89" s="19" t="inlineStr">
        <is>
          <t>Unknown</t>
        </is>
      </c>
      <c r="AF89" s="19" t="inlineStr">
        <is>
          <t>Not stated</t>
        </is>
      </c>
      <c r="AG89" s="19" t="inlineStr">
        <is>
          <t>Not stated</t>
        </is>
      </c>
      <c r="AH89" s="19" t="inlineStr">
        <is>
          <t>Not stated</t>
        </is>
      </c>
      <c r="AI89" s="19" t="inlineStr">
        <is>
          <t>Not stated</t>
        </is>
      </c>
      <c r="AJ89" s="19" t="inlineStr">
        <is>
          <t>Not stated</t>
        </is>
      </c>
      <c r="AK89" s="19" t="inlineStr">
        <is>
          <t>No card required</t>
        </is>
      </c>
      <c r="AL89" s="19" t="inlineStr">
        <is>
          <t>Not stated</t>
        </is>
      </c>
      <c r="AM89" s="24" t="inlineStr">
        <is>
          <t>https://aifree.dev/offer/t-cloud-public-starter-credit</t>
        </is>
      </c>
      <c r="AN89" s="24" t="inlineStr">
        <is>
          <t>https://aifree.dev/startup-ai-credits</t>
        </is>
      </c>
      <c r="AO89" s="19" t="inlineStr">
        <is>
          <t>Directory listing (verified Oct 2026 per directory): EUR 250 starting credit for new customers; voucher redeemable until 31 Dec 2026.</t>
        </is>
      </c>
      <c r="AP89" s="23" t="n">
        <v>46319</v>
      </c>
      <c r="AQ89" s="19" t="inlineStr">
        <is>
          <t>Medium</t>
        </is>
      </c>
      <c r="AR89" s="19" t="inlineStr">
        <is>
          <t>Directory</t>
        </is>
      </c>
      <c r="AS89" s="19" t="inlineStr">
        <is>
          <t>Global (unverified)</t>
        </is>
      </c>
      <c r="AT89" s="19" t="inlineStr">
        <is>
          <t>Not stated</t>
        </is>
      </c>
      <c r="AU89" s="19" t="inlineStr">
        <is>
          <t>Terms taken from aifree.dev directory; official program page not opened this session. Confirm on provider site before applying.</t>
        </is>
      </c>
      <c r="AV89" s="19" t="inlineStr">
        <is>
          <t>DG-TCLOUD</t>
        </is>
      </c>
    </row>
    <row r="90" ht="35.05" customHeight="1" s="17">
      <c r="A90" s="19" t="inlineStr">
        <is>
          <t>SB-089</t>
        </is>
      </c>
      <c r="B90" s="19" t="inlineStr">
        <is>
          <t>Tencent Cloud</t>
        </is>
      </c>
      <c r="C90" s="19" t="inlineStr">
        <is>
          <t>Tencent Cloud free tier</t>
        </is>
      </c>
      <c r="D90" s="19" t="inlineStr">
        <is>
          <t>Not stated</t>
        </is>
      </c>
      <c r="E90" s="19" t="inlineStr">
        <is>
          <t>Cloud &amp; Infrastructure</t>
        </is>
      </c>
      <c r="F90" s="19" t="inlineStr">
        <is>
          <t>Free tier</t>
        </is>
      </c>
      <c r="G90" s="19" t="inlineStr">
        <is>
          <t>Free tier (ongoing, not startup-exclusive)</t>
        </is>
      </c>
      <c r="H90" s="19" t="inlineStr">
        <is>
          <t>Free CVM and Lighthouse instances for new users of each product.</t>
        </is>
      </c>
      <c r="I90" s="22" t="n"/>
      <c r="J90" s="19" t="inlineStr">
        <is>
          <t>USD</t>
        </is>
      </c>
      <c r="K90" s="19" t="inlineStr">
        <is>
          <t>In-Kind</t>
        </is>
      </c>
      <c r="L90" s="22" t="n"/>
      <c r="M90" s="22" t="n"/>
      <c r="N90" s="19" t="n"/>
      <c r="O90" s="19" t="inlineStr">
        <is>
          <t>Yes</t>
        </is>
      </c>
      <c r="P90" s="19" t="inlineStr">
        <is>
          <t>Not stated</t>
        </is>
      </c>
      <c r="Q90" s="23" t="n"/>
      <c r="R90" s="19" t="inlineStr">
        <is>
          <t>Open</t>
        </is>
      </c>
      <c r="S90" s="19" t="inlineStr">
        <is>
          <t>Not verified this session</t>
        </is>
      </c>
      <c r="T90" s="19" t="inlineStr">
        <is>
          <t>Not verified this session</t>
        </is>
      </c>
      <c r="U90" s="19" t="inlineStr">
        <is>
          <t>Not stated</t>
        </is>
      </c>
      <c r="V90" s="19" t="inlineStr">
        <is>
          <t>Not stated</t>
        </is>
      </c>
      <c r="W90" s="19" t="inlineStr">
        <is>
          <t>Not stated</t>
        </is>
      </c>
      <c r="X90" s="19" t="inlineStr">
        <is>
          <t>Unknown</t>
        </is>
      </c>
      <c r="Y90" s="19" t="inlineStr">
        <is>
          <t>Unknown</t>
        </is>
      </c>
      <c r="Z90" s="19" t="inlineStr">
        <is>
          <t>Not stated</t>
        </is>
      </c>
      <c r="AA90" s="19" t="inlineStr">
        <is>
          <t>Unverified</t>
        </is>
      </c>
      <c r="AB90" s="19" t="inlineStr">
        <is>
          <t>Unknown</t>
        </is>
      </c>
      <c r="AC90" s="19" t="inlineStr">
        <is>
          <t>Unknown</t>
        </is>
      </c>
      <c r="AD90" s="19" t="inlineStr">
        <is>
          <t>No</t>
        </is>
      </c>
      <c r="AE90" s="19" t="inlineStr">
        <is>
          <t>Unknown</t>
        </is>
      </c>
      <c r="AF90" s="19" t="inlineStr">
        <is>
          <t>Not stated</t>
        </is>
      </c>
      <c r="AG90" s="19" t="inlineStr">
        <is>
          <t>Not stated</t>
        </is>
      </c>
      <c r="AH90" s="19" t="inlineStr">
        <is>
          <t>Not stated</t>
        </is>
      </c>
      <c r="AI90" s="19" t="inlineStr">
        <is>
          <t>Not stated</t>
        </is>
      </c>
      <c r="AJ90" s="19" t="inlineStr">
        <is>
          <t>Not stated</t>
        </is>
      </c>
      <c r="AK90" s="19" t="inlineStr">
        <is>
          <t>No card required</t>
        </is>
      </c>
      <c r="AL90" s="19" t="inlineStr">
        <is>
          <t>Not stated</t>
        </is>
      </c>
      <c r="AM90" s="24" t="inlineStr">
        <is>
          <t>https://aifree.dev/offer/tencent-cloud-free-tier</t>
        </is>
      </c>
      <c r="AN90" s="24" t="inlineStr">
        <is>
          <t>https://aifree.dev/startup-ai-credits</t>
        </is>
      </c>
      <c r="AO90" s="19" t="inlineStr">
        <is>
          <t>Directory listing (verified Oct 2026 per directory): Free CVM and Lighthouse instances for new users of each product.</t>
        </is>
      </c>
      <c r="AP90" s="23" t="n">
        <v>46319</v>
      </c>
      <c r="AQ90" s="19" t="inlineStr">
        <is>
          <t>Medium</t>
        </is>
      </c>
      <c r="AR90" s="19" t="inlineStr">
        <is>
          <t>Directory</t>
        </is>
      </c>
      <c r="AS90" s="19" t="inlineStr">
        <is>
          <t>Global (unverified)</t>
        </is>
      </c>
      <c r="AT90" s="19" t="inlineStr">
        <is>
          <t>Not stated</t>
        </is>
      </c>
      <c r="AU90" s="19" t="inlineStr">
        <is>
          <t>Terms taken from aifree.dev directory; official program page not opened this session. Confirm on provider site before applying.</t>
        </is>
      </c>
      <c r="AV90" s="19" t="inlineStr">
        <is>
          <t>DG-TENCENT</t>
        </is>
      </c>
    </row>
    <row r="91" ht="35.05" customHeight="1" s="17">
      <c r="A91" s="19" t="inlineStr">
        <is>
          <t>SB-090</t>
        </is>
      </c>
      <c r="B91" s="19" t="inlineStr">
        <is>
          <t>Vultr</t>
        </is>
      </c>
      <c r="C91" s="19" t="inlineStr">
        <is>
          <t>Vultr Free Tier Program</t>
        </is>
      </c>
      <c r="D91" s="19" t="inlineStr">
        <is>
          <t>Not stated</t>
        </is>
      </c>
      <c r="E91" s="19" t="inlineStr">
        <is>
          <t>Cloud &amp; Infrastructure</t>
        </is>
      </c>
      <c r="F91" s="19" t="inlineStr">
        <is>
          <t>Free tier</t>
        </is>
      </c>
      <c r="G91" s="19" t="inlineStr">
        <is>
          <t>Free tier (ongoing, not startup-exclusive)</t>
        </is>
      </c>
      <c r="H91" s="19" t="inlineStr">
        <is>
          <t>One free instance (1 vCPU, 512 MB RAM, 10 GB SSD) with 2 TB monthly bandwidth.</t>
        </is>
      </c>
      <c r="I91" s="22" t="n"/>
      <c r="J91" s="19" t="inlineStr">
        <is>
          <t>USD</t>
        </is>
      </c>
      <c r="K91" s="19" t="inlineStr">
        <is>
          <t>In-Kind</t>
        </is>
      </c>
      <c r="L91" s="22" t="n"/>
      <c r="M91" s="22" t="n"/>
      <c r="N91" s="19" t="n"/>
      <c r="O91" s="19" t="inlineStr">
        <is>
          <t>Yes</t>
        </is>
      </c>
      <c r="P91" s="19" t="inlineStr">
        <is>
          <t>Not stated</t>
        </is>
      </c>
      <c r="Q91" s="23" t="n"/>
      <c r="R91" s="19" t="inlineStr">
        <is>
          <t>Open</t>
        </is>
      </c>
      <c r="S91" s="19" t="inlineStr">
        <is>
          <t>Not verified this session</t>
        </is>
      </c>
      <c r="T91" s="19" t="inlineStr">
        <is>
          <t>Not verified this session</t>
        </is>
      </c>
      <c r="U91" s="19" t="inlineStr">
        <is>
          <t>Not stated</t>
        </is>
      </c>
      <c r="V91" s="19" t="inlineStr">
        <is>
          <t>Not stated</t>
        </is>
      </c>
      <c r="W91" s="19" t="inlineStr">
        <is>
          <t>Not stated</t>
        </is>
      </c>
      <c r="X91" s="19" t="inlineStr">
        <is>
          <t>Unknown</t>
        </is>
      </c>
      <c r="Y91" s="19" t="inlineStr">
        <is>
          <t>Unknown</t>
        </is>
      </c>
      <c r="Z91" s="19" t="inlineStr">
        <is>
          <t>Not stated</t>
        </is>
      </c>
      <c r="AA91" s="19" t="inlineStr">
        <is>
          <t>Unverified</t>
        </is>
      </c>
      <c r="AB91" s="19" t="inlineStr">
        <is>
          <t>Unknown</t>
        </is>
      </c>
      <c r="AC91" s="19" t="inlineStr">
        <is>
          <t>Unknown</t>
        </is>
      </c>
      <c r="AD91" s="19" t="inlineStr">
        <is>
          <t>No</t>
        </is>
      </c>
      <c r="AE91" s="19" t="inlineStr">
        <is>
          <t>Unknown</t>
        </is>
      </c>
      <c r="AF91" s="19" t="inlineStr">
        <is>
          <t>Not stated</t>
        </is>
      </c>
      <c r="AG91" s="19" t="inlineStr">
        <is>
          <t>Not stated</t>
        </is>
      </c>
      <c r="AH91" s="19" t="inlineStr">
        <is>
          <t>Not stated</t>
        </is>
      </c>
      <c r="AI91" s="19" t="inlineStr">
        <is>
          <t>Not stated</t>
        </is>
      </c>
      <c r="AJ91" s="19" t="inlineStr">
        <is>
          <t>Not stated</t>
        </is>
      </c>
      <c r="AK91" s="19" t="inlineStr">
        <is>
          <t>No card required</t>
        </is>
      </c>
      <c r="AL91" s="19" t="inlineStr">
        <is>
          <t>Not stated</t>
        </is>
      </c>
      <c r="AM91" s="24" t="inlineStr">
        <is>
          <t>https://aifree.dev/offer/vultr-free-tier-program</t>
        </is>
      </c>
      <c r="AN91" s="24" t="inlineStr">
        <is>
          <t>https://aifree.dev/startup-ai-credits</t>
        </is>
      </c>
      <c r="AO91" s="19" t="inlineStr">
        <is>
          <t>Directory listing (verified Oct 2026 per directory): One free instance (1 vCPU, 512 MB RAM, 10 GB SSD) with 2 TB monthly bandwidth.</t>
        </is>
      </c>
      <c r="AP91" s="23" t="n">
        <v>46319</v>
      </c>
      <c r="AQ91" s="19" t="inlineStr">
        <is>
          <t>Medium</t>
        </is>
      </c>
      <c r="AR91" s="19" t="inlineStr">
        <is>
          <t>Directory</t>
        </is>
      </c>
      <c r="AS91" s="19" t="inlineStr">
        <is>
          <t>Global (unverified)</t>
        </is>
      </c>
      <c r="AT91" s="19" t="inlineStr">
        <is>
          <t>Not stated</t>
        </is>
      </c>
      <c r="AU91" s="19" t="inlineStr">
        <is>
          <t>Terms taken from aifree.dev directory; official program page not opened this session. Confirm on provider site before applying.</t>
        </is>
      </c>
      <c r="AV91" s="19" t="inlineStr">
        <is>
          <t>DG-VULTR-FT</t>
        </is>
      </c>
    </row>
    <row r="92" ht="46.25" customHeight="1" s="17">
      <c r="A92" s="19" t="inlineStr">
        <is>
          <t>SB-091</t>
        </is>
      </c>
      <c r="B92" s="19" t="inlineStr">
        <is>
          <t>Anthropic</t>
        </is>
      </c>
      <c r="C92" s="19" t="inlineStr">
        <is>
          <t>Claude for Startups</t>
        </is>
      </c>
      <c r="D92" s="19" t="inlineStr">
        <is>
          <t>Not stated</t>
        </is>
      </c>
      <c r="E92" s="19" t="inlineStr">
        <is>
          <t>AI &amp; LLM Credits</t>
        </is>
      </c>
      <c r="F92" s="19" t="inlineStr">
        <is>
          <t>LLM API credits</t>
        </is>
      </c>
      <c r="G92" s="19" t="inlineStr">
        <is>
          <t>Startup credits (startup-specific)</t>
        </is>
      </c>
      <c r="H92" s="19" t="inlineStr">
        <is>
          <t>Directory says the current cohort is full and no new applications are being accepted; re-verification in progress.</t>
        </is>
      </c>
      <c r="I92" s="22" t="n"/>
      <c r="J92" s="19" t="inlineStr">
        <is>
          <t>USD</t>
        </is>
      </c>
      <c r="K92" s="19" t="inlineStr">
        <is>
          <t>Credits</t>
        </is>
      </c>
      <c r="L92" s="22" t="n"/>
      <c r="M92" s="22" t="n"/>
      <c r="N92" s="19" t="n"/>
      <c r="O92" s="19" t="inlineStr">
        <is>
          <t>Not stated</t>
        </is>
      </c>
      <c r="P92" s="19" t="inlineStr">
        <is>
          <t>Not stated</t>
        </is>
      </c>
      <c r="Q92" s="23" t="n"/>
      <c r="R92" s="19" t="inlineStr">
        <is>
          <t>Closed</t>
        </is>
      </c>
      <c r="S92" s="19" t="inlineStr">
        <is>
          <t>Not verified this session</t>
        </is>
      </c>
      <c r="T92" s="19" t="inlineStr">
        <is>
          <t>Not verified this session</t>
        </is>
      </c>
      <c r="U92" s="19" t="inlineStr">
        <is>
          <t>Not stated</t>
        </is>
      </c>
      <c r="V92" s="19" t="inlineStr">
        <is>
          <t>Not stated</t>
        </is>
      </c>
      <c r="W92" s="19" t="inlineStr">
        <is>
          <t>Not stated</t>
        </is>
      </c>
      <c r="X92" s="19" t="inlineStr">
        <is>
          <t>Unknown</t>
        </is>
      </c>
      <c r="Y92" s="19" t="inlineStr">
        <is>
          <t>Unknown</t>
        </is>
      </c>
      <c r="Z92" s="19" t="inlineStr">
        <is>
          <t>Not stated</t>
        </is>
      </c>
      <c r="AA92" s="19" t="inlineStr">
        <is>
          <t>Unverified</t>
        </is>
      </c>
      <c r="AB92" s="19" t="inlineStr">
        <is>
          <t>Unknown</t>
        </is>
      </c>
      <c r="AC92" s="19" t="inlineStr">
        <is>
          <t>Unknown</t>
        </is>
      </c>
      <c r="AD92" s="19" t="inlineStr">
        <is>
          <t>Yes</t>
        </is>
      </c>
      <c r="AE92" s="19" t="inlineStr">
        <is>
          <t>Unknown</t>
        </is>
      </c>
      <c r="AF92" s="19" t="inlineStr">
        <is>
          <t>Not stated</t>
        </is>
      </c>
      <c r="AG92" s="19" t="inlineStr">
        <is>
          <t>Not stated</t>
        </is>
      </c>
      <c r="AH92" s="19" t="inlineStr">
        <is>
          <t>Not stated</t>
        </is>
      </c>
      <c r="AI92" s="19" t="inlineStr">
        <is>
          <t>Not stated</t>
        </is>
      </c>
      <c r="AJ92" s="19" t="inlineStr">
        <is>
          <t>Not stated</t>
        </is>
      </c>
      <c r="AK92" s="19" t="inlineStr">
        <is>
          <t>No card required</t>
        </is>
      </c>
      <c r="AL92" s="19" t="inlineStr">
        <is>
          <t>Not stated</t>
        </is>
      </c>
      <c r="AM92" s="24" t="inlineStr">
        <is>
          <t>https://aifree.dev/offer/claude-for-startups</t>
        </is>
      </c>
      <c r="AN92" s="24" t="inlineStr">
        <is>
          <t>https://aifree.dev/startup-ai-credits</t>
        </is>
      </c>
      <c r="AO92" s="19" t="inlineStr">
        <is>
          <t>Directory listing (verified Oct 2026 per directory): Directory says the current cohort is full and no new applications are being accepted; re-verification in progress.</t>
        </is>
      </c>
      <c r="AP92" s="23" t="n">
        <v>46319</v>
      </c>
      <c r="AQ92" s="19" t="inlineStr">
        <is>
          <t>Low</t>
        </is>
      </c>
      <c r="AR92" s="19" t="inlineStr">
        <is>
          <t>Directory</t>
        </is>
      </c>
      <c r="AS92" s="19" t="inlineStr">
        <is>
          <t>Global (unverified)</t>
        </is>
      </c>
      <c r="AT92" s="19" t="inlineStr">
        <is>
          <t>Not stated</t>
        </is>
      </c>
      <c r="AU92" s="19" t="inlineStr">
        <is>
          <t>Directory flags re-verification in progress. Check Anthropic's official startup page before assuming closed.</t>
        </is>
      </c>
      <c r="AV92" s="19" t="inlineStr">
        <is>
          <t>DG-CLAUDE</t>
        </is>
      </c>
    </row>
    <row r="93" ht="35.05" customHeight="1" s="17">
      <c r="A93" s="19" t="inlineStr">
        <is>
          <t>SB-092</t>
        </is>
      </c>
      <c r="B93" s="19" t="inlineStr">
        <is>
          <t>Huawei Cloud</t>
        </is>
      </c>
      <c r="C93" s="19" t="inlineStr">
        <is>
          <t>Huawei Cloud free packages for new users</t>
        </is>
      </c>
      <c r="D93" s="19" t="inlineStr">
        <is>
          <t>Not stated</t>
        </is>
      </c>
      <c r="E93" s="19" t="inlineStr">
        <is>
          <t>Cloud &amp; Infrastructure</t>
        </is>
      </c>
      <c r="F93" s="19" t="inlineStr">
        <is>
          <t>Free trial</t>
        </is>
      </c>
      <c r="G93" s="19" t="inlineStr">
        <is>
          <t>Free trial credit (not startup-exclusive)</t>
        </is>
      </c>
      <c r="H93" s="19" t="inlineStr">
        <is>
          <t>Up to 12 months of ECS, RDS and OBS free packages for new users.</t>
        </is>
      </c>
      <c r="I93" s="22" t="n"/>
      <c r="J93" s="19" t="inlineStr">
        <is>
          <t>USD</t>
        </is>
      </c>
      <c r="K93" s="19" t="inlineStr">
        <is>
          <t>In-Kind</t>
        </is>
      </c>
      <c r="L93" s="22" t="n"/>
      <c r="M93" s="22" t="n"/>
      <c r="N93" s="19" t="n"/>
      <c r="O93" s="19" t="inlineStr">
        <is>
          <t>Yes</t>
        </is>
      </c>
      <c r="P93" s="19" t="inlineStr">
        <is>
          <t>Up to 12 months</t>
        </is>
      </c>
      <c r="Q93" s="23" t="n"/>
      <c r="R93" s="19" t="inlineStr">
        <is>
          <t>Open</t>
        </is>
      </c>
      <c r="S93" s="19" t="inlineStr">
        <is>
          <t>Not verified this session</t>
        </is>
      </c>
      <c r="T93" s="19" t="inlineStr">
        <is>
          <t>Not verified this session</t>
        </is>
      </c>
      <c r="U93" s="19" t="inlineStr">
        <is>
          <t>Not stated</t>
        </is>
      </c>
      <c r="V93" s="19" t="inlineStr">
        <is>
          <t>Not stated</t>
        </is>
      </c>
      <c r="W93" s="19" t="inlineStr">
        <is>
          <t>Not stated</t>
        </is>
      </c>
      <c r="X93" s="19" t="inlineStr">
        <is>
          <t>Unknown</t>
        </is>
      </c>
      <c r="Y93" s="19" t="inlineStr">
        <is>
          <t>Unknown</t>
        </is>
      </c>
      <c r="Z93" s="19" t="inlineStr">
        <is>
          <t>Not stated</t>
        </is>
      </c>
      <c r="AA93" s="19" t="inlineStr">
        <is>
          <t>Unverified</t>
        </is>
      </c>
      <c r="AB93" s="19" t="inlineStr">
        <is>
          <t>Unknown</t>
        </is>
      </c>
      <c r="AC93" s="19" t="inlineStr">
        <is>
          <t>Unknown</t>
        </is>
      </c>
      <c r="AD93" s="19" t="inlineStr">
        <is>
          <t>No</t>
        </is>
      </c>
      <c r="AE93" s="19" t="inlineStr">
        <is>
          <t>Unknown</t>
        </is>
      </c>
      <c r="AF93" s="19" t="inlineStr">
        <is>
          <t>Not stated</t>
        </is>
      </c>
      <c r="AG93" s="19" t="inlineStr">
        <is>
          <t>Not stated</t>
        </is>
      </c>
      <c r="AH93" s="19" t="inlineStr">
        <is>
          <t>Not stated</t>
        </is>
      </c>
      <c r="AI93" s="19" t="inlineStr">
        <is>
          <t>Not stated</t>
        </is>
      </c>
      <c r="AJ93" s="19" t="inlineStr">
        <is>
          <t>Not stated</t>
        </is>
      </c>
      <c r="AK93" s="19" t="inlineStr">
        <is>
          <t>Card required</t>
        </is>
      </c>
      <c r="AL93" s="19" t="inlineStr">
        <is>
          <t>Not stated</t>
        </is>
      </c>
      <c r="AM93" s="24" t="inlineStr">
        <is>
          <t>https://aifree.dev/offer/huawei-cloud-free-packages</t>
        </is>
      </c>
      <c r="AN93" s="24" t="inlineStr">
        <is>
          <t>https://aifree.dev/startup-ai-credits</t>
        </is>
      </c>
      <c r="AO93" s="19" t="inlineStr">
        <is>
          <t>Directory listing (verified Oct 2026 per directory): Up to 12 months of ECS, RDS and OBS free packages for new users.</t>
        </is>
      </c>
      <c r="AP93" s="23" t="n">
        <v>46319</v>
      </c>
      <c r="AQ93" s="19" t="inlineStr">
        <is>
          <t>Low</t>
        </is>
      </c>
      <c r="AR93" s="19" t="inlineStr">
        <is>
          <t>Directory</t>
        </is>
      </c>
      <c r="AS93" s="19" t="inlineStr">
        <is>
          <t>Global (unverified)</t>
        </is>
      </c>
      <c r="AT93" s="19" t="inlineStr">
        <is>
          <t>Not stated</t>
        </is>
      </c>
      <c r="AU93" s="19" t="inlineStr">
        <is>
          <t>Directory shows only a 'Listed' badge (Sep 12, 2026), not verified.</t>
        </is>
      </c>
      <c r="AV93" s="19" t="inlineStr">
        <is>
          <t>DG-HUAWEI</t>
        </is>
      </c>
    </row>
  </sheetData>
  <conditionalFormatting sqref="R2:R500">
    <cfRule type="cellIs" rank="0" priority="2" equalAverage="0" operator="equal" aboveAverage="0" dxfId="9" text="" percent="0" bottom="0">
      <formula>"Open"</formula>
    </cfRule>
    <cfRule type="cellIs" rank="0" priority="3" equalAverage="0" operator="equal" aboveAverage="0" dxfId="9" text="" percent="0" bottom="0">
      <formula>"Rolling"</formula>
    </cfRule>
    <cfRule type="cellIs" rank="0" priority="4" equalAverage="0" operator="equal" aboveAverage="0" dxfId="10" text="" percent="0" bottom="0">
      <formula>"Closed"</formula>
    </cfRule>
    <cfRule type="cellIs" rank="0" priority="5" equalAverage="0" operator="equal" aboveAverage="0" dxfId="11" text="" percent="0" bottom="0">
      <formula>"Waitlist"</formula>
    </cfRule>
  </conditionalFormatting>
  <conditionalFormatting sqref="Q2:Q500">
    <cfRule type="expression" rank="0" priority="6" equalAverage="0" aboveAverage="0" dxfId="10" text="" percent="0" bottom="0">
      <formula>AND(ISNUMBER(Q2),Q2&lt;TODAY())</formula>
    </cfRule>
    <cfRule type="expression" rank="0" priority="7" equalAverage="0" aboveAverage="0" dxfId="11" text="" percent="0" bottom="0">
      <formula>AND(ISNUMBER(Q2),Q2&gt;=TODAY(),Q2&lt;=TODAY()+60)</formula>
    </cfRule>
  </conditionalFormatting>
  <conditionalFormatting sqref="AQ2:AQ500">
    <cfRule type="cellIs" rank="0" priority="8" equalAverage="0" operator="equal" aboveAverage="0" dxfId="12" text="" percent="0" bottom="0">
      <formula>"High"</formula>
    </cfRule>
    <cfRule type="cellIs" rank="0" priority="9" equalAverage="0" operator="equal" aboveAverage="0" dxfId="13" text="" percent="0" bottom="0">
      <formula>"Low"</formula>
    </cfRule>
  </conditionalFormatting>
  <dataValidations count="6">
    <dataValidation sqref="R2:R500" showDropDown="0" showInputMessage="0" showErrorMessage="0" allowBlank="1" type="list" errorStyle="stop" operator="between">
      <formula1>"Open,Rolling,Waitlist,Closed,Seasonal,Unknown"</formula1>
      <formula2>0</formula2>
    </dataValidation>
    <dataValidation sqref="E2:E500" showDropDown="0" showInputMessage="0" showErrorMessage="0" allowBlank="1" type="list" errorStyle="stop" operator="between">
      <formula1>"AI &amp; LLM Credits,Cloud &amp; Infrastructure,SaaS &amp; Marketing,Cash Grants &amp; Non-Dilutive,Accelerators &amp; Partner Networks"</formula1>
      <formula2>0</formula2>
    </dataValidation>
    <dataValidation sqref="AQ2:AQ500" showDropDown="0" showInputMessage="0" showErrorMessage="0" allowBlank="1" type="list" errorStyle="stop" operator="between">
      <formula1>"High,Medium,Low"</formula1>
      <formula2>0</formula2>
    </dataValidation>
    <dataValidation sqref="K2:K500" showDropDown="0" showInputMessage="0" showErrorMessage="0" allowBlank="1" type="list" errorStyle="stop" operator="between">
      <formula1>"Cash,Credits,Discount,In-Kind,Unknown"</formula1>
      <formula2>0</formula2>
    </dataValidation>
    <dataValidation sqref="AR2:AR500" showDropDown="0" showInputMessage="0" showErrorMessage="0" allowBlank="1" type="list" errorStyle="stop" operator="between">
      <formula1>"Official,Partner,Directory,Community"</formula1>
      <formula2>0</formula2>
    </dataValidation>
    <dataValidation sqref="AA2:AA500" showDropDown="0" showInputMessage="0" showErrorMessage="0" allowBlank="1" type="list" errorStyle="stop" operator="between">
      <formula1>"Confirmed,Unverified,Unverified (regional restrictions noted),No (stated)"</formula1>
      <formula2>0</formula2>
    </dataValidation>
  </dataValidations>
  <hyperlinks>
    <hyperlink xmlns:r="http://schemas.openxmlformats.org/officeDocument/2006/relationships" ref="S2" display="https://aws.amazon.com/startups/join?destination=/credits/apply" r:id="rId1"/>
    <hyperlink xmlns:r="http://schemas.openxmlformats.org/officeDocument/2006/relationships" ref="T2" display="https://aws.amazon.com/startups/credits/" r:id="rId2"/>
    <hyperlink xmlns:r="http://schemas.openxmlformats.org/officeDocument/2006/relationships" ref="U2" display="https://aws.amazon.com/startups/join?destination=/credits/apply" r:id="rId3"/>
    <hyperlink xmlns:r="http://schemas.openxmlformats.org/officeDocument/2006/relationships" ref="AM2" display="https://aws.amazon.com/startups/credits/" r:id="rId4"/>
    <hyperlink xmlns:r="http://schemas.openxmlformats.org/officeDocument/2006/relationships" ref="AN2" display="https://aifree.dev/offer/aws-activate-credits" r:id="rId5"/>
    <hyperlink xmlns:r="http://schemas.openxmlformats.org/officeDocument/2006/relationships" ref="S3" display="https://aws.amazon.com/startups/join?destination=/credits/apply" r:id="rId6"/>
    <hyperlink xmlns:r="http://schemas.openxmlformats.org/officeDocument/2006/relationships" ref="T3" display="https://aws.amazon.com/startups/credits/" r:id="rId7"/>
    <hyperlink xmlns:r="http://schemas.openxmlformats.org/officeDocument/2006/relationships" ref="U3" display="https://aws.amazon.com/startups/join?destination=/credits/apply" r:id="rId8"/>
    <hyperlink xmlns:r="http://schemas.openxmlformats.org/officeDocument/2006/relationships" ref="AM3" display="https://aws.amazon.com/startups/credits/" r:id="rId9"/>
    <hyperlink xmlns:r="http://schemas.openxmlformats.org/officeDocument/2006/relationships" ref="AN3" display="https://aws.amazon.com/startups/providers" r:id="rId10"/>
    <hyperlink xmlns:r="http://schemas.openxmlformats.org/officeDocument/2006/relationships" ref="T4" display="https://aws.amazon.com/startups/credits/" r:id="rId11"/>
    <hyperlink xmlns:r="http://schemas.openxmlformats.org/officeDocument/2006/relationships" ref="AM4" display="https://aws.amazon.com/startups/credits/" r:id="rId12"/>
    <hyperlink xmlns:r="http://schemas.openxmlformats.org/officeDocument/2006/relationships" ref="S5" display="https://kiro.dev/startups/" r:id="rId13"/>
    <hyperlink xmlns:r="http://schemas.openxmlformats.org/officeDocument/2006/relationships" ref="T5" display="https://kiro.dev/startups/" r:id="rId14"/>
    <hyperlink xmlns:r="http://schemas.openxmlformats.org/officeDocument/2006/relationships" ref="U5" display="https://kiro.dev/startups/" r:id="rId15"/>
    <hyperlink xmlns:r="http://schemas.openxmlformats.org/officeDocument/2006/relationships" ref="AM5" display="https://aws.amazon.com/startups/credits/" r:id="rId16"/>
    <hyperlink xmlns:r="http://schemas.openxmlformats.org/officeDocument/2006/relationships" ref="AN5" display="https://kiro.dev/startups/" r:id="rId17"/>
    <hyperlink xmlns:r="http://schemas.openxmlformats.org/officeDocument/2006/relationships" ref="T6" display="https://cloud.google.com/startup" r:id="rId18"/>
    <hyperlink xmlns:r="http://schemas.openxmlformats.org/officeDocument/2006/relationships" ref="U6" display="https://cloud.google.com/startup" r:id="rId19"/>
    <hyperlink xmlns:r="http://schemas.openxmlformats.org/officeDocument/2006/relationships" ref="AM6" display="https://cloud.google.com/startup" r:id="rId20"/>
    <hyperlink xmlns:r="http://schemas.openxmlformats.org/officeDocument/2006/relationships" ref="AN6" display="https://aifree.dev/offer/google-cloud-ai-startup-program" r:id="rId21"/>
    <hyperlink xmlns:r="http://schemas.openxmlformats.org/officeDocument/2006/relationships" ref="T7" display="https://cloud.google.com/startup" r:id="rId22"/>
    <hyperlink xmlns:r="http://schemas.openxmlformats.org/officeDocument/2006/relationships" ref="U7" display="https://cloud.google.com/startup" r:id="rId23"/>
    <hyperlink xmlns:r="http://schemas.openxmlformats.org/officeDocument/2006/relationships" ref="AM7" display="https://cloud.google.com/startup" r:id="rId24"/>
    <hyperlink xmlns:r="http://schemas.openxmlformats.org/officeDocument/2006/relationships" ref="AN7" display="https://aifree.dev/offer/google-cloud-ai-startup-program" r:id="rId25"/>
    <hyperlink xmlns:r="http://schemas.openxmlformats.org/officeDocument/2006/relationships" ref="S8" display="https://www.microsoft.com/en-us/startups" r:id="rId26"/>
    <hyperlink xmlns:r="http://schemas.openxmlformats.org/officeDocument/2006/relationships" ref="T8" display="https://www.microsoft.com/en-us/startups" r:id="rId27"/>
    <hyperlink xmlns:r="http://schemas.openxmlformats.org/officeDocument/2006/relationships" ref="U8" display="https://www.microsoft.com/en-us/startups" r:id="rId28"/>
    <hyperlink xmlns:r="http://schemas.openxmlformats.org/officeDocument/2006/relationships" ref="AM8" display="https://partner.microsoft.com/en-cy/partnership/founders-hub-benefits-guide" r:id="rId29"/>
    <hyperlink xmlns:r="http://schemas.openxmlformats.org/officeDocument/2006/relationships" ref="AN8" display="https://guptadeepak.com/startup-offers/programs/microsoft-founders-hub" r:id="rId30"/>
    <hyperlink xmlns:r="http://schemas.openxmlformats.org/officeDocument/2006/relationships" ref="S9" display="https://elevenlabs.io/grants-application" r:id="rId31"/>
    <hyperlink xmlns:r="http://schemas.openxmlformats.org/officeDocument/2006/relationships" ref="T9" display="https://elevenlabs.io/startup-grants" r:id="rId32"/>
    <hyperlink xmlns:r="http://schemas.openxmlformats.org/officeDocument/2006/relationships" ref="U9" display="https://elevenlabs.io/grants-application" r:id="rId33"/>
    <hyperlink xmlns:r="http://schemas.openxmlformats.org/officeDocument/2006/relationships" ref="AM9" display="https://elevenlabs.io/startup-grants" r:id="rId34"/>
    <hyperlink xmlns:r="http://schemas.openxmlformats.org/officeDocument/2006/relationships" ref="AN9" display="https://aifree.dev/offer/elevenlabs-startup-program" r:id="rId35"/>
    <hyperlink xmlns:r="http://schemas.openxmlformats.org/officeDocument/2006/relationships" ref="S10" location="request-form" display="https://sendpulse.com/startup#request-form" r:id="rId36"/>
    <hyperlink xmlns:r="http://schemas.openxmlformats.org/officeDocument/2006/relationships" ref="T10" display="https://sendpulse.com/startup" r:id="rId37"/>
    <hyperlink xmlns:r="http://schemas.openxmlformats.org/officeDocument/2006/relationships" ref="U10" location="request-form" display="https://sendpulse.com/startup#request-form" r:id="rId38"/>
    <hyperlink xmlns:r="http://schemas.openxmlformats.org/officeDocument/2006/relationships" ref="AM10" display="https://sendpulse.com/startup" r:id="rId39"/>
    <hyperlink xmlns:r="http://schemas.openxmlformats.org/officeDocument/2006/relationships" ref="S11" display="https://cp.unione.io/en/user/registration/" r:id="rId40"/>
    <hyperlink xmlns:r="http://schemas.openxmlformats.org/officeDocument/2006/relationships" ref="T11" display="https://unione.io/en/email-service-for-startups/" r:id="rId41"/>
    <hyperlink xmlns:r="http://schemas.openxmlformats.org/officeDocument/2006/relationships" ref="U11" display="https://cp.unione.io/en/user/registration/" r:id="rId42"/>
    <hyperlink xmlns:r="http://schemas.openxmlformats.org/officeDocument/2006/relationships" ref="AM11" display="https://unione.io/en/email-service-for-startups/" r:id="rId43"/>
    <hyperlink xmlns:r="http://schemas.openxmlformats.org/officeDocument/2006/relationships" ref="AM12" display="https://meatechwatch.com/?p=23538" r:id="rId44"/>
    <hyperlink xmlns:r="http://schemas.openxmlformats.org/officeDocument/2006/relationships" ref="AN12" display="https://menastartupdigest.com/?p=40213" r:id="rId45"/>
    <hyperlink xmlns:r="http://schemas.openxmlformats.org/officeDocument/2006/relationships" ref="T13" display="https://itida.gov.eg/English/PressReleases/Pages/itida-launches-invest-it-startup-funding-program-egypt.aspx" r:id="rId46"/>
    <hyperlink xmlns:r="http://schemas.openxmlformats.org/officeDocument/2006/relationships" ref="AM13" display="https://flat6labs.com/2024/11/" r:id="rId47"/>
    <hyperlink xmlns:r="http://schemas.openxmlformats.org/officeDocument/2006/relationships" ref="AN13" display="https://itida.gov.eg/English/PressReleases/Pages/itida-launches-invest-it-startup-funding-program-egypt.aspx" r:id="rId48"/>
    <hyperlink xmlns:r="http://schemas.openxmlformats.org/officeDocument/2006/relationships" ref="AM14" display="https://www.linkedin.com/company/itida/" r:id="rId49"/>
    <hyperlink xmlns:r="http://schemas.openxmlformats.org/officeDocument/2006/relationships" ref="AM15" display="https://enterprise.press/?p=137230" r:id="rId50"/>
    <hyperlink xmlns:r="http://schemas.openxmlformats.org/officeDocument/2006/relationships" ref="AN15" display="https://techcrunch.com/?p=2156316" r:id="rId51"/>
    <hyperlink xmlns:r="http://schemas.openxmlformats.org/officeDocument/2006/relationships" ref="AM16" display="https://aifree.dev/offer/together-ai-startup-accelerator" r:id="rId52"/>
    <hyperlink xmlns:r="http://schemas.openxmlformats.org/officeDocument/2006/relationships" ref="AN16" display="https://aifree.dev/startup-ai-credits" r:id="rId53"/>
    <hyperlink xmlns:r="http://schemas.openxmlformats.org/officeDocument/2006/relationships" ref="AM17" display="https://aifree.dev/offer/devin-for-startups" r:id="rId54"/>
    <hyperlink xmlns:r="http://schemas.openxmlformats.org/officeDocument/2006/relationships" ref="AN17" display="https://aifree.dev/startup-ai-credits" r:id="rId55"/>
    <hyperlink xmlns:r="http://schemas.openxmlformats.org/officeDocument/2006/relationships" ref="AM18" display="https://aifree.dev/offer/antler-disrupt-ai-perks" r:id="rId56"/>
    <hyperlink xmlns:r="http://schemas.openxmlformats.org/officeDocument/2006/relationships" ref="AN18" display="https://aifree.dev/startup-ai-credits" r:id="rId57"/>
    <hyperlink xmlns:r="http://schemas.openxmlformats.org/officeDocument/2006/relationships" ref="S19" display="https://www.cloudflare.com/forstartups/" r:id="rId58"/>
    <hyperlink xmlns:r="http://schemas.openxmlformats.org/officeDocument/2006/relationships" ref="T19" display="https://www.cloudflare.com/forstartups/" r:id="rId59"/>
    <hyperlink xmlns:r="http://schemas.openxmlformats.org/officeDocument/2006/relationships" ref="AM19" display="https://aifree.dev/offer/cloudflare-for-startups" r:id="rId60"/>
    <hyperlink xmlns:r="http://schemas.openxmlformats.org/officeDocument/2006/relationships" ref="AN19" display="https://aifree.dev/startup-ai-credits" r:id="rId61"/>
    <hyperlink xmlns:r="http://schemas.openxmlformats.org/officeDocument/2006/relationships" ref="AM20" display="https://aifree.dev/offer/databricks-for-startups" r:id="rId62"/>
    <hyperlink xmlns:r="http://schemas.openxmlformats.org/officeDocument/2006/relationships" ref="AN20" display="https://aifree.dev/startup-ai-credits" r:id="rId63"/>
    <hyperlink xmlns:r="http://schemas.openxmlformats.org/officeDocument/2006/relationships" ref="AM21" display="https://aifree.dev/offer/neon-startup-program" r:id="rId64"/>
    <hyperlink xmlns:r="http://schemas.openxmlformats.org/officeDocument/2006/relationships" ref="AN21" display="https://aifree.dev/startup-ai-credits" r:id="rId65"/>
    <hyperlink xmlns:r="http://schemas.openxmlformats.org/officeDocument/2006/relationships" ref="AM22" display="https://aifree.dev/offer/datadog-for-startups" r:id="rId66"/>
    <hyperlink xmlns:r="http://schemas.openxmlformats.org/officeDocument/2006/relationships" ref="AN22" display="https://aifree.dev/startup-ai-credits" r:id="rId67"/>
    <hyperlink xmlns:r="http://schemas.openxmlformats.org/officeDocument/2006/relationships" ref="AM23" display="https://aifree.dev/offer/grafana-for-startups" r:id="rId68"/>
    <hyperlink xmlns:r="http://schemas.openxmlformats.org/officeDocument/2006/relationships" ref="AN23" display="https://aifree.dev/startup-ai-credits" r:id="rId69"/>
    <hyperlink xmlns:r="http://schemas.openxmlformats.org/officeDocument/2006/relationships" ref="AM24" display="https://aifree.dev/offer/render-startup-program" r:id="rId70"/>
    <hyperlink xmlns:r="http://schemas.openxmlformats.org/officeDocument/2006/relationships" ref="AN24" display="https://aifree.dev/startup-ai-credits" r:id="rId71"/>
    <hyperlink xmlns:r="http://schemas.openxmlformats.org/officeDocument/2006/relationships" ref="AM25" display="https://aifree.dev/offer/posthog-startup-program" r:id="rId72"/>
    <hyperlink xmlns:r="http://schemas.openxmlformats.org/officeDocument/2006/relationships" ref="AN25" display="https://aifree.dev/startup-ai-credits" r:id="rId73"/>
    <hyperlink xmlns:r="http://schemas.openxmlformats.org/officeDocument/2006/relationships" ref="AM26" display="https://aifree.dev/offer/vercel-startups" r:id="rId74"/>
    <hyperlink xmlns:r="http://schemas.openxmlformats.org/officeDocument/2006/relationships" ref="AN26" display="https://aifree.dev/startup-ai-credits" r:id="rId75"/>
    <hyperlink xmlns:r="http://schemas.openxmlformats.org/officeDocument/2006/relationships" ref="AM27" display="https://aifree.dev/offer/baseten-ai-startup-program" r:id="rId76"/>
    <hyperlink xmlns:r="http://schemas.openxmlformats.org/officeDocument/2006/relationships" ref="AN27" display="https://aifree.dev/startup-ai-credits" r:id="rId77"/>
    <hyperlink xmlns:r="http://schemas.openxmlformats.org/officeDocument/2006/relationships" ref="AM28" display="https://aifree.dev/offer/yandex-cloud-startup-credits" r:id="rId78"/>
    <hyperlink xmlns:r="http://schemas.openxmlformats.org/officeDocument/2006/relationships" ref="AN28" display="https://aifree.dev/startup-ai-credits" r:id="rId79"/>
    <hyperlink xmlns:r="http://schemas.openxmlformats.org/officeDocument/2006/relationships" ref="AM29" display="https://aifree.dev/offer/neo4j-startup-program" r:id="rId80"/>
    <hyperlink xmlns:r="http://schemas.openxmlformats.org/officeDocument/2006/relationships" ref="AN29" display="https://aifree.dev/startup-ai-credits" r:id="rId81"/>
    <hyperlink xmlns:r="http://schemas.openxmlformats.org/officeDocument/2006/relationships" ref="AM30" display="https://aifree.dev/offer/notion-for-startups" r:id="rId82"/>
    <hyperlink xmlns:r="http://schemas.openxmlformats.org/officeDocument/2006/relationships" ref="AN30" display="https://aifree.dev/startup-ai-credits" r:id="rId83"/>
    <hyperlink xmlns:r="http://schemas.openxmlformats.org/officeDocument/2006/relationships" ref="AM31" display="https://aifree.dev/offer/algolia-startup-program" r:id="rId84"/>
    <hyperlink xmlns:r="http://schemas.openxmlformats.org/officeDocument/2006/relationships" ref="AN31" display="https://aifree.dev/startup-ai-credits" r:id="rId85"/>
    <hyperlink xmlns:r="http://schemas.openxmlformats.org/officeDocument/2006/relationships" ref="AM32" display="https://aifree.dev/offer/clickhouse-cloud-yc-credits" r:id="rId86"/>
    <hyperlink xmlns:r="http://schemas.openxmlformats.org/officeDocument/2006/relationships" ref="AN32" display="https://aifree.dev/startup-ai-credits" r:id="rId87"/>
    <hyperlink xmlns:r="http://schemas.openxmlformats.org/officeDocument/2006/relationships" ref="AM33" display="https://aifree.dev/offer/daytona-startup-grid" r:id="rId88"/>
    <hyperlink xmlns:r="http://schemas.openxmlformats.org/officeDocument/2006/relationships" ref="AN33" display="https://aifree.dev/startup-ai-credits" r:id="rId89"/>
    <hyperlink xmlns:r="http://schemas.openxmlformats.org/officeDocument/2006/relationships" ref="AM34" display="https://aifree.dev/offer/daytona-startup-program" r:id="rId90"/>
    <hyperlink xmlns:r="http://schemas.openxmlformats.org/officeDocument/2006/relationships" ref="AN34" display="https://aifree.dev/startup-ai-credits" r:id="rId91"/>
    <hyperlink xmlns:r="http://schemas.openxmlformats.org/officeDocument/2006/relationships" ref="AM35" display="https://aifree.dev/offer/github-for-startups" r:id="rId92"/>
    <hyperlink xmlns:r="http://schemas.openxmlformats.org/officeDocument/2006/relationships" ref="AN35" display="https://aifree.dev/startup-ai-credits" r:id="rId93"/>
    <hyperlink xmlns:r="http://schemas.openxmlformats.org/officeDocument/2006/relationships" ref="AM36" display="https://aifree.dev/offer/indent-for-startups" r:id="rId94"/>
    <hyperlink xmlns:r="http://schemas.openxmlformats.org/officeDocument/2006/relationships" ref="AN36" display="https://aifree.dev/startup-ai-credits" r:id="rId95"/>
    <hyperlink xmlns:r="http://schemas.openxmlformats.org/officeDocument/2006/relationships" ref="AM37" display="https://aifree.dev/offer/langsmith-for-startups" r:id="rId96"/>
    <hyperlink xmlns:r="http://schemas.openxmlformats.org/officeDocument/2006/relationships" ref="AN37" display="https://aifree.dev/startup-ai-credits" r:id="rId97"/>
    <hyperlink xmlns:r="http://schemas.openxmlformats.org/officeDocument/2006/relationships" ref="AM38" display="https://aifree.dev/offer/sanity-startup-program" r:id="rId98"/>
    <hyperlink xmlns:r="http://schemas.openxmlformats.org/officeDocument/2006/relationships" ref="AN38" display="https://aifree.dev/startup-ai-credits" r:id="rId99"/>
    <hyperlink xmlns:r="http://schemas.openxmlformats.org/officeDocument/2006/relationships" ref="AM39" display="https://aifree.dev/offer/sentry-for-startups" r:id="rId100"/>
    <hyperlink xmlns:r="http://schemas.openxmlformats.org/officeDocument/2006/relationships" ref="AN39" display="https://aifree.dev/startup-ai-credits" r:id="rId101"/>
    <hyperlink xmlns:r="http://schemas.openxmlformats.org/officeDocument/2006/relationships" ref="AM40" display="https://aifree.dev/offer/fal-startup-program" r:id="rId102"/>
    <hyperlink xmlns:r="http://schemas.openxmlformats.org/officeDocument/2006/relationships" ref="AN40" display="https://aifree.dev/startup-ai-credits" r:id="rId103"/>
    <hyperlink xmlns:r="http://schemas.openxmlformats.org/officeDocument/2006/relationships" ref="AM41" display="https://aifree.dev/offer/runpod-startup-program" r:id="rId104"/>
    <hyperlink xmlns:r="http://schemas.openxmlformats.org/officeDocument/2006/relationships" ref="AN41" display="https://aifree.dev/startup-ai-credits" r:id="rId105"/>
    <hyperlink xmlns:r="http://schemas.openxmlformats.org/officeDocument/2006/relationships" ref="AM42" display="https://aifree.dev/offer/runware-grant-program" r:id="rId106"/>
    <hyperlink xmlns:r="http://schemas.openxmlformats.org/officeDocument/2006/relationships" ref="AN42" display="https://aifree.dev/startup-ai-credits" r:id="rId107"/>
    <hyperlink xmlns:r="http://schemas.openxmlformats.org/officeDocument/2006/relationships" ref="AM43" display="https://aifree.dev/offer/upcloud-free-trial-credits" r:id="rId108"/>
    <hyperlink xmlns:r="http://schemas.openxmlformats.org/officeDocument/2006/relationships" ref="AN43" display="https://aifree.dev/startup-ai-credits" r:id="rId109"/>
    <hyperlink xmlns:r="http://schemas.openxmlformats.org/officeDocument/2006/relationships" ref="AM44" display="https://aifree.dev/offer/google-cloud-free-program" r:id="rId110"/>
    <hyperlink xmlns:r="http://schemas.openxmlformats.org/officeDocument/2006/relationships" ref="AN44" display="https://aifree.dev/startup-ai-credits" r:id="rId111"/>
    <hyperlink xmlns:r="http://schemas.openxmlformats.org/officeDocument/2006/relationships" ref="AM45" display="https://aifree.dev/offer/oracle-cloud-free-tier" r:id="rId112"/>
    <hyperlink xmlns:r="http://schemas.openxmlformats.org/officeDocument/2006/relationships" ref="AN45" display="https://aifree.dev/startup-ai-credits" r:id="rId113"/>
    <hyperlink xmlns:r="http://schemas.openxmlformats.org/officeDocument/2006/relationships" ref="AM46" display="https://aifree.dev/offer/vultr-free-trial-credits" r:id="rId114"/>
    <hyperlink xmlns:r="http://schemas.openxmlformats.org/officeDocument/2006/relationships" ref="AN46" display="https://aifree.dev/startup-ai-credits" r:id="rId115"/>
    <hyperlink xmlns:r="http://schemas.openxmlformats.org/officeDocument/2006/relationships" ref="AM47" display="https://aifree.dev/offer/civo-free-trial-credit" r:id="rId116"/>
    <hyperlink xmlns:r="http://schemas.openxmlformats.org/officeDocument/2006/relationships" ref="AN47" display="https://aifree.dev/startup-ai-credits" r:id="rId117"/>
    <hyperlink xmlns:r="http://schemas.openxmlformats.org/officeDocument/2006/relationships" ref="AM48" display="https://aifree.dev/offer/ibm-cloud-free-tier" r:id="rId118"/>
    <hyperlink xmlns:r="http://schemas.openxmlformats.org/officeDocument/2006/relationships" ref="AN48" display="https://aifree.dev/startup-ai-credits" r:id="rId119"/>
    <hyperlink xmlns:r="http://schemas.openxmlformats.org/officeDocument/2006/relationships" ref="AM49" display="https://aifree.dev/offer/daytona-free-compute-credits" r:id="rId120"/>
    <hyperlink xmlns:r="http://schemas.openxmlformats.org/officeDocument/2006/relationships" ref="AN49" display="https://aifree.dev/startup-ai-credits" r:id="rId121"/>
    <hyperlink xmlns:r="http://schemas.openxmlformats.org/officeDocument/2006/relationships" ref="AM50" display="https://aifree.dev/offer/ionos-cloud-free-trial-credit" r:id="rId122"/>
    <hyperlink xmlns:r="http://schemas.openxmlformats.org/officeDocument/2006/relationships" ref="AN50" display="https://aifree.dev/startup-ai-credits" r:id="rId123"/>
    <hyperlink xmlns:r="http://schemas.openxmlformats.org/officeDocument/2006/relationships" ref="AM51" display="https://aifree.dev/offer/akamai-cloud-100-free-credit" r:id="rId124"/>
    <hyperlink xmlns:r="http://schemas.openxmlformats.org/officeDocument/2006/relationships" ref="AN51" display="https://aifree.dev/startup-ai-credits" r:id="rId125"/>
    <hyperlink xmlns:r="http://schemas.openxmlformats.org/officeDocument/2006/relationships" ref="AM52" display="https://aifree.dev/offer/akashml-free-token-credits" r:id="rId126"/>
    <hyperlink xmlns:r="http://schemas.openxmlformats.org/officeDocument/2006/relationships" ref="AN52" display="https://aifree.dev/startup-ai-credits" r:id="rId127"/>
    <hyperlink xmlns:r="http://schemas.openxmlformats.org/officeDocument/2006/relationships" ref="AM53" display="https://aifree.dev/offer/amd-ai-developer-program" r:id="rId128"/>
    <hyperlink xmlns:r="http://schemas.openxmlformats.org/officeDocument/2006/relationships" ref="AN53" display="https://aifree.dev/startup-ai-credits" r:id="rId129"/>
    <hyperlink xmlns:r="http://schemas.openxmlformats.org/officeDocument/2006/relationships" ref="AM54" display="https://aifree.dev/offer/anyscale-free-signup-credits" r:id="rId130"/>
    <hyperlink xmlns:r="http://schemas.openxmlformats.org/officeDocument/2006/relationships" ref="AN54" display="https://aifree.dev/startup-ai-credits" r:id="rId131"/>
    <hyperlink xmlns:r="http://schemas.openxmlformats.org/officeDocument/2006/relationships" ref="AM55" display="https://aifree.dev/offer/e2b-free-credits" r:id="rId132"/>
    <hyperlink xmlns:r="http://schemas.openxmlformats.org/officeDocument/2006/relationships" ref="AN55" display="https://aifree.dev/startup-ai-credits" r:id="rId133"/>
    <hyperlink xmlns:r="http://schemas.openxmlformats.org/officeDocument/2006/relationships" ref="AM56" display="https://aifree.dev/offer/embercloud-for-startups" r:id="rId134"/>
    <hyperlink xmlns:r="http://schemas.openxmlformats.org/officeDocument/2006/relationships" ref="AN56" display="https://aifree.dev/startup-ai-credits" r:id="rId135"/>
    <hyperlink xmlns:r="http://schemas.openxmlformats.org/officeDocument/2006/relationships" ref="AM57" display="https://aifree.dev/offer/novita-sandbox-free-credits" r:id="rId136"/>
    <hyperlink xmlns:r="http://schemas.openxmlformats.org/officeDocument/2006/relationships" ref="AN57" display="https://aifree.dev/startup-ai-credits" r:id="rId137"/>
    <hyperlink xmlns:r="http://schemas.openxmlformats.org/officeDocument/2006/relationships" ref="AM58" display="https://aifree.dev/offer/alibaba-cloud-free-trial" r:id="rId138"/>
    <hyperlink xmlns:r="http://schemas.openxmlformats.org/officeDocument/2006/relationships" ref="AN58" display="https://aifree.dev/startup-ai-credits" r:id="rId139"/>
    <hyperlink xmlns:r="http://schemas.openxmlformats.org/officeDocument/2006/relationships" ref="AM59" display="https://aifree.dev/offer/railway-free-plan-and-trial-credits" r:id="rId140"/>
    <hyperlink xmlns:r="http://schemas.openxmlformats.org/officeDocument/2006/relationships" ref="AN59" display="https://aifree.dev/startup-ai-credits" r:id="rId141"/>
    <hyperlink xmlns:r="http://schemas.openxmlformats.org/officeDocument/2006/relationships" ref="AM60" display="https://aifree.dev/offer/deepinfra-deepstart-free-tokens" r:id="rId142"/>
    <hyperlink xmlns:r="http://schemas.openxmlformats.org/officeDocument/2006/relationships" ref="AN60" display="https://aifree.dev/startup-ai-credits" r:id="rId143"/>
    <hyperlink xmlns:r="http://schemas.openxmlformats.org/officeDocument/2006/relationships" ref="AM61" display="https://aifree.dev/offer/free-ai-startup-tokens" r:id="rId144"/>
    <hyperlink xmlns:r="http://schemas.openxmlformats.org/officeDocument/2006/relationships" ref="AN61" display="https://aifree.dev/startup-ai-credits" r:id="rId145"/>
    <hyperlink xmlns:r="http://schemas.openxmlformats.org/officeDocument/2006/relationships" ref="AM62" display="https://aifree.dev/offer/netlify-free-plan" r:id="rId146"/>
    <hyperlink xmlns:r="http://schemas.openxmlformats.org/officeDocument/2006/relationships" ref="AN62" display="https://aifree.dev/startup-ai-credits" r:id="rId147"/>
    <hyperlink xmlns:r="http://schemas.openxmlformats.org/officeDocument/2006/relationships" ref="AM63" display="https://aifree.dev/offer/kaggle-free-gpu-tpu" r:id="rId148"/>
    <hyperlink xmlns:r="http://schemas.openxmlformats.org/officeDocument/2006/relationships" ref="AN63" display="https://aifree.dev/startup-ai-credits" r:id="rId149"/>
    <hyperlink xmlns:r="http://schemas.openxmlformats.org/officeDocument/2006/relationships" ref="AM64" display="https://aifree.dev/offer/lightning-ai-free-plan" r:id="rId150"/>
    <hyperlink xmlns:r="http://schemas.openxmlformats.org/officeDocument/2006/relationships" ref="AN64" display="https://aifree.dev/startup-ai-credits" r:id="rId151"/>
    <hyperlink xmlns:r="http://schemas.openxmlformats.org/officeDocument/2006/relationships" ref="AM65" display="https://aifree.dev/offer/hugging-face-zerogpu-spaces" r:id="rId152"/>
    <hyperlink xmlns:r="http://schemas.openxmlformats.org/officeDocument/2006/relationships" ref="AN65" display="https://aifree.dev/startup-ai-credits" r:id="rId153"/>
    <hyperlink xmlns:r="http://schemas.openxmlformats.org/officeDocument/2006/relationships" ref="AM66" display="https://aifree.dev/offer/atlassian-startup-program" r:id="rId154"/>
    <hyperlink xmlns:r="http://schemas.openxmlformats.org/officeDocument/2006/relationships" ref="AN66" display="https://aifree.dev/startup-ai-credits" r:id="rId155"/>
    <hyperlink xmlns:r="http://schemas.openxmlformats.org/officeDocument/2006/relationships" ref="AM67" display="https://aifree.dev/offer/auth0-for-startups" r:id="rId156"/>
    <hyperlink xmlns:r="http://schemas.openxmlformats.org/officeDocument/2006/relationships" ref="AN67" display="https://aifree.dev/startup-ai-credits" r:id="rId157"/>
    <hyperlink xmlns:r="http://schemas.openxmlformats.org/officeDocument/2006/relationships" ref="AM68" display="https://aifree.dev/offer/convex-for-startups" r:id="rId158"/>
    <hyperlink xmlns:r="http://schemas.openxmlformats.org/officeDocument/2006/relationships" ref="AN68" display="https://aifree.dev/startup-ai-credits" r:id="rId159"/>
    <hyperlink xmlns:r="http://schemas.openxmlformats.org/officeDocument/2006/relationships" ref="AM69" display="https://aifree.dev/offer/customer-io-startup-program" r:id="rId160"/>
    <hyperlink xmlns:r="http://schemas.openxmlformats.org/officeDocument/2006/relationships" ref="AN69" display="https://aifree.dev/startup-ai-credits" r:id="rId161"/>
    <hyperlink xmlns:r="http://schemas.openxmlformats.org/officeDocument/2006/relationships" ref="AM70" display="https://aifree.dev/offer/digitalocean-hatch" r:id="rId162"/>
    <hyperlink xmlns:r="http://schemas.openxmlformats.org/officeDocument/2006/relationships" ref="AN70" display="https://aifree.dev/startup-ai-credits" r:id="rId163"/>
    <hyperlink xmlns:r="http://schemas.openxmlformats.org/officeDocument/2006/relationships" ref="AM71" display="https://aifree.dev/offer/exoscale-free-trial-credit" r:id="rId164"/>
    <hyperlink xmlns:r="http://schemas.openxmlformats.org/officeDocument/2006/relationships" ref="AN71" display="https://aifree.dev/startup-ai-credits" r:id="rId165"/>
    <hyperlink xmlns:r="http://schemas.openxmlformats.org/officeDocument/2006/relationships" ref="AM72" display="https://aifree.dev/offer/fireworks-ai-startup-program" r:id="rId166"/>
    <hyperlink xmlns:r="http://schemas.openxmlformats.org/officeDocument/2006/relationships" ref="AN72" display="https://aifree.dev/startup-ai-credits" r:id="rId167"/>
    <hyperlink xmlns:r="http://schemas.openxmlformats.org/officeDocument/2006/relationships" ref="AM73" display="https://aifree.dev/offer/koyeb-free-tier" r:id="rId168"/>
    <hyperlink xmlns:r="http://schemas.openxmlformats.org/officeDocument/2006/relationships" ref="AN73" display="https://aifree.dev/startup-ai-credits" r:id="rId169"/>
    <hyperlink xmlns:r="http://schemas.openxmlformats.org/officeDocument/2006/relationships" ref="AM74" display="https://aifree.dev/offer/linear-startup-program" r:id="rId170"/>
    <hyperlink xmlns:r="http://schemas.openxmlformats.org/officeDocument/2006/relationships" ref="AN74" display="https://aifree.dev/startup-ai-credits" r:id="rId171"/>
    <hyperlink xmlns:r="http://schemas.openxmlformats.org/officeDocument/2006/relationships" ref="AM75" display="https://aifree.dev/offer/mintlify-startup-program" r:id="rId172"/>
    <hyperlink xmlns:r="http://schemas.openxmlformats.org/officeDocument/2006/relationships" ref="AN75" display="https://aifree.dev/startup-ai-credits" r:id="rId173"/>
    <hyperlink xmlns:r="http://schemas.openxmlformats.org/officeDocument/2006/relationships" ref="AM76" display="https://aifree.dev/offer/modal-startup-program" r:id="rId174"/>
    <hyperlink xmlns:r="http://schemas.openxmlformats.org/officeDocument/2006/relationships" ref="AN76" display="https://aifree.dev/startup-ai-credits" r:id="rId175"/>
    <hyperlink xmlns:r="http://schemas.openxmlformats.org/officeDocument/2006/relationships" ref="AM77" display="https://aifree.dev/offer/mongodb-for-startups" r:id="rId176"/>
    <hyperlink xmlns:r="http://schemas.openxmlformats.org/officeDocument/2006/relationships" ref="AN77" display="https://aifree.dev/startup-ai-credits" r:id="rId177"/>
    <hyperlink xmlns:r="http://schemas.openxmlformats.org/officeDocument/2006/relationships" ref="AM78" display="https://aifree.dev/offer/northflank-developer-sandbox" r:id="rId178"/>
    <hyperlink xmlns:r="http://schemas.openxmlformats.org/officeDocument/2006/relationships" ref="AN78" display="https://aifree.dev/startup-ai-credits" r:id="rId179"/>
    <hyperlink xmlns:r="http://schemas.openxmlformats.org/officeDocument/2006/relationships" ref="AM79" display="https://aifree.dev/offer/nvidia-inception" r:id="rId180"/>
    <hyperlink xmlns:r="http://schemas.openxmlformats.org/officeDocument/2006/relationships" ref="AN79" display="https://aifree.dev/startup-ai-credits" r:id="rId181"/>
    <hyperlink xmlns:r="http://schemas.openxmlformats.org/officeDocument/2006/relationships" ref="AM80" display="https://aifree.dev/offer/openai-for-startups" r:id="rId182"/>
    <hyperlink xmlns:r="http://schemas.openxmlformats.org/officeDocument/2006/relationships" ref="AN80" display="https://aifree.dev/startup-ai-credits" r:id="rId183"/>
    <hyperlink xmlns:r="http://schemas.openxmlformats.org/officeDocument/2006/relationships" ref="AM81" display="https://aifree.dev/offer/ovhcloud-startup-program" r:id="rId184"/>
    <hyperlink xmlns:r="http://schemas.openxmlformats.org/officeDocument/2006/relationships" ref="AN81" display="https://aifree.dev/startup-ai-credits" r:id="rId185"/>
    <hyperlink xmlns:r="http://schemas.openxmlformats.org/officeDocument/2006/relationships" ref="AM82" display="https://aifree.dev/offer/paperspace-gradient-free-tier" r:id="rId186"/>
    <hyperlink xmlns:r="http://schemas.openxmlformats.org/officeDocument/2006/relationships" ref="AN82" display="https://aifree.dev/startup-ai-credits" r:id="rId187"/>
    <hyperlink xmlns:r="http://schemas.openxmlformats.org/officeDocument/2006/relationships" ref="AM83" display="https://aifree.dev/offer/pinecone-startup-program" r:id="rId188"/>
    <hyperlink xmlns:r="http://schemas.openxmlformats.org/officeDocument/2006/relationships" ref="AN83" display="https://aifree.dev/startup-ai-credits" r:id="rId189"/>
    <hyperlink xmlns:r="http://schemas.openxmlformats.org/officeDocument/2006/relationships" ref="AM84" display="https://aifree.dev/offer/runpod-referral-bonus-credits" r:id="rId190"/>
    <hyperlink xmlns:r="http://schemas.openxmlformats.org/officeDocument/2006/relationships" ref="AN84" display="https://aifree.dev/startup-ai-credits" r:id="rId191"/>
    <hyperlink xmlns:r="http://schemas.openxmlformats.org/officeDocument/2006/relationships" ref="AM85" display="https://aifree.dev/offer/sarvam-ai-startup-program" r:id="rId192"/>
    <hyperlink xmlns:r="http://schemas.openxmlformats.org/officeDocument/2006/relationships" ref="AN85" display="https://aifree.dev/startup-ai-credits" r:id="rId193"/>
    <hyperlink xmlns:r="http://schemas.openxmlformats.org/officeDocument/2006/relationships" ref="AM86" display="https://aifree.dev/offer/shortcut-startup-program" r:id="rId194"/>
    <hyperlink xmlns:r="http://schemas.openxmlformats.org/officeDocument/2006/relationships" ref="AN86" display="https://aifree.dev/startup-ai-credits" r:id="rId195"/>
    <hyperlink xmlns:r="http://schemas.openxmlformats.org/officeDocument/2006/relationships" ref="AM87" display="https://aifree.dev/offer/snowflake-for-startups" r:id="rId196"/>
    <hyperlink xmlns:r="http://schemas.openxmlformats.org/officeDocument/2006/relationships" ref="AN87" display="https://aifree.dev/startup-ai-credits" r:id="rId197"/>
    <hyperlink xmlns:r="http://schemas.openxmlformats.org/officeDocument/2006/relationships" ref="T88" display="https://stripe.com/startup-benefits/aws-activate" r:id="rId198"/>
    <hyperlink xmlns:r="http://schemas.openxmlformats.org/officeDocument/2006/relationships" ref="AM88" display="https://aifree.dev/offer/stripe-for-startups" r:id="rId199"/>
    <hyperlink xmlns:r="http://schemas.openxmlformats.org/officeDocument/2006/relationships" ref="AN88" display="https://aifree.dev/startup-ai-credits" r:id="rId200"/>
    <hyperlink xmlns:r="http://schemas.openxmlformats.org/officeDocument/2006/relationships" ref="AM89" display="https://aifree.dev/offer/t-cloud-public-starter-credit" r:id="rId201"/>
    <hyperlink xmlns:r="http://schemas.openxmlformats.org/officeDocument/2006/relationships" ref="AN89" display="https://aifree.dev/startup-ai-credits" r:id="rId202"/>
    <hyperlink xmlns:r="http://schemas.openxmlformats.org/officeDocument/2006/relationships" ref="AM90" display="https://aifree.dev/offer/tencent-cloud-free-tier" r:id="rId203"/>
    <hyperlink xmlns:r="http://schemas.openxmlformats.org/officeDocument/2006/relationships" ref="AN90" display="https://aifree.dev/startup-ai-credits" r:id="rId204"/>
    <hyperlink xmlns:r="http://schemas.openxmlformats.org/officeDocument/2006/relationships" ref="AM91" display="https://aifree.dev/offer/vultr-free-tier-program" r:id="rId205"/>
    <hyperlink xmlns:r="http://schemas.openxmlformats.org/officeDocument/2006/relationships" ref="AN91" display="https://aifree.dev/startup-ai-credits" r:id="rId206"/>
    <hyperlink xmlns:r="http://schemas.openxmlformats.org/officeDocument/2006/relationships" ref="AM92" display="https://aifree.dev/offer/claude-for-startups" r:id="rId207"/>
    <hyperlink xmlns:r="http://schemas.openxmlformats.org/officeDocument/2006/relationships" ref="AN92" display="https://aifree.dev/startup-ai-credits" r:id="rId208"/>
    <hyperlink xmlns:r="http://schemas.openxmlformats.org/officeDocument/2006/relationships" ref="AM93" display="https://aifree.dev/offer/huawei-cloud-free-packages" r:id="rId209"/>
    <hyperlink xmlns:r="http://schemas.openxmlformats.org/officeDocument/2006/relationships" ref="AN93" display="https://aifree.dev/startup-ai-credits" r:id="rId2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1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24" customWidth="1" style="16" min="2" max="2"/>
    <col width="34" customWidth="1" style="16" min="3" max="3"/>
    <col width="26" customWidth="1" style="16" min="4" max="4"/>
    <col width="14" customWidth="1" style="16" min="5" max="5"/>
    <col width="9" customWidth="1" style="16" min="6" max="6"/>
    <col width="11" customWidth="1" style="16" min="7" max="8"/>
    <col width="55" customWidth="1" style="16" min="9" max="9"/>
    <col width="18" customWidth="1" style="16" min="10" max="10"/>
    <col width="16" customWidth="1" style="16" min="11" max="11"/>
    <col width="12" customWidth="1" style="16" min="12" max="12"/>
    <col width="30" customWidth="1" style="16" min="13" max="15"/>
  </cols>
  <sheetData>
    <row r="1" ht="46.25" customHeight="1" s="17">
      <c r="A1" s="21" t="inlineStr">
        <is>
          <t>Record ID</t>
        </is>
      </c>
      <c r="B1" s="21" t="inlineStr">
        <is>
          <t>Company Name</t>
        </is>
      </c>
      <c r="C1" s="21" t="inlineStr">
        <is>
          <t>Program Name</t>
        </is>
      </c>
      <c r="D1" s="21" t="inlineStr">
        <is>
          <t>Benefit Type</t>
        </is>
      </c>
      <c r="E1" s="21" t="inlineStr">
        <is>
          <t>Maximum Advertised Value</t>
        </is>
      </c>
      <c r="F1" s="21" t="inlineStr">
        <is>
          <t>Currency</t>
        </is>
      </c>
      <c r="G1" s="21" t="inlineStr">
        <is>
          <t>Value Type</t>
        </is>
      </c>
      <c r="H1" s="21" t="inlineStr">
        <is>
          <t>Program Status</t>
        </is>
      </c>
      <c r="I1" s="21" t="inlineStr">
        <is>
          <t>Eligibility Requirements</t>
        </is>
      </c>
      <c r="J1" s="21" t="inlineStr">
        <is>
          <t>Available to Egypt-Based Startups?</t>
        </is>
      </c>
      <c r="K1" s="21" t="inlineStr">
        <is>
          <t>Available to Bootstrapped Startups?</t>
        </is>
      </c>
      <c r="L1" s="21" t="inlineStr">
        <is>
          <t>Verification Confidence</t>
        </is>
      </c>
      <c r="M1" s="21" t="inlineStr">
        <is>
          <t>Official Program URL</t>
        </is>
      </c>
      <c r="N1" s="21" t="inlineStr">
        <is>
          <t>Official Evidence URL</t>
        </is>
      </c>
      <c r="O1" s="21" t="inlineStr">
        <is>
          <t>Secondary Evidence URL</t>
        </is>
      </c>
    </row>
    <row r="2" ht="23.85" customHeight="1" s="17">
      <c r="A2" s="19" t="inlineStr">
        <is>
          <t>SB-004</t>
        </is>
      </c>
      <c r="B2" s="19" t="inlineStr">
        <is>
          <t>Amazon Web Services (Kiro)</t>
        </is>
      </c>
      <c r="C2" s="19" t="inlineStr">
        <is>
          <t>Kiro Startup Credits</t>
        </is>
      </c>
      <c r="D2" s="19" t="inlineStr">
        <is>
          <t>Startup credits (startup-specific)</t>
        </is>
      </c>
      <c r="E2" s="22" t="n"/>
      <c r="F2" s="19" t="inlineStr">
        <is>
          <t>USD</t>
        </is>
      </c>
      <c r="G2" s="19" t="inlineStr">
        <is>
          <t>Credits</t>
        </is>
      </c>
      <c r="H2" s="19" t="inlineStr">
        <is>
          <t>Open</t>
        </is>
      </c>
      <c r="I2" s="19" t="inlineStr">
        <is>
          <t>Eligible startups without current AWS Activate Credits (per AWS page).</t>
        </is>
      </c>
      <c r="J2" s="19" t="inlineStr">
        <is>
          <t>Unverified</t>
        </is>
      </c>
      <c r="K2" s="19" t="inlineStr">
        <is>
          <t>Unknown</t>
        </is>
      </c>
      <c r="L2" s="19" t="inlineStr">
        <is>
          <t>Medium</t>
        </is>
      </c>
      <c r="M2" s="24" t="inlineStr">
        <is>
          <t>https://kiro.dev/startups/</t>
        </is>
      </c>
      <c r="N2" s="24" t="inlineStr">
        <is>
          <t>https://aws.amazon.com/startups/credits/</t>
        </is>
      </c>
      <c r="O2" s="24" t="inlineStr">
        <is>
          <t>https://kiro.dev/startups/</t>
        </is>
      </c>
    </row>
    <row r="3" ht="23.85" customHeight="1" s="17">
      <c r="A3" s="19" t="inlineStr">
        <is>
          <t>SB-008</t>
        </is>
      </c>
      <c r="B3" s="19" t="inlineStr">
        <is>
          <t>ElevenLabs</t>
        </is>
      </c>
      <c r="C3" s="19" t="inlineStr">
        <is>
          <t>ElevenLabs Startup Grants</t>
        </is>
      </c>
      <c r="D3" s="19" t="inlineStr">
        <is>
          <t>Startup credits (startup-specific)</t>
        </is>
      </c>
      <c r="E3" s="22" t="n">
        <v>5500</v>
      </c>
      <c r="F3" s="19" t="inlineStr">
        <is>
          <t>USD</t>
        </is>
      </c>
      <c r="G3" s="19" t="inlineStr">
        <is>
          <t>Credits</t>
        </is>
      </c>
      <c r="H3" s="19" t="inlineStr">
        <is>
          <t>Open</t>
        </is>
      </c>
      <c r="I3" s="19" t="inlineStr">
        <is>
          <t>Eligibility FAQ is collapsed on the fetched page; page says decisions within one week.</t>
        </is>
      </c>
      <c r="J3" s="19" t="inlineStr">
        <is>
          <t>Unverified</t>
        </is>
      </c>
      <c r="K3" s="19" t="inlineStr">
        <is>
          <t>Unknown</t>
        </is>
      </c>
      <c r="L3" s="19" t="inlineStr">
        <is>
          <t>Medium</t>
        </is>
      </c>
      <c r="M3" s="24" t="inlineStr">
        <is>
          <t>https://elevenlabs.io/startup-grants</t>
        </is>
      </c>
      <c r="N3" s="24" t="inlineStr">
        <is>
          <t>https://elevenlabs.io/startup-grants</t>
        </is>
      </c>
      <c r="O3" s="24" t="inlineStr">
        <is>
          <t>https://aifree.dev/offer/elevenlabs-startup-program</t>
        </is>
      </c>
    </row>
    <row r="4" ht="23.85" customHeight="1" s="17">
      <c r="A4" s="19" t="inlineStr">
        <is>
          <t>SB-015</t>
        </is>
      </c>
      <c r="B4" s="19" t="inlineStr">
        <is>
          <t>Together AI</t>
        </is>
      </c>
      <c r="C4" s="19" t="inlineStr">
        <is>
          <t>Together AI Startup Accelerator</t>
        </is>
      </c>
      <c r="D4" s="19" t="inlineStr">
        <is>
          <t>Startup credits (startup-specific)</t>
        </is>
      </c>
      <c r="E4" s="22" t="n">
        <v>50000</v>
      </c>
      <c r="F4" s="19" t="inlineStr">
        <is>
          <t>USD</t>
        </is>
      </c>
      <c r="G4" s="19" t="inlineStr">
        <is>
          <t>Credits</t>
        </is>
      </c>
      <c r="H4" s="19" t="inlineStr">
        <is>
          <t>Open</t>
        </is>
      </c>
      <c r="I4" s="19" t="inlineStr">
        <is>
          <t>Not stated</t>
        </is>
      </c>
      <c r="J4" s="19" t="inlineStr">
        <is>
          <t>Unverified</t>
        </is>
      </c>
      <c r="K4" s="19" t="inlineStr">
        <is>
          <t>Unknown</t>
        </is>
      </c>
      <c r="L4" s="19" t="inlineStr">
        <is>
          <t>Medium</t>
        </is>
      </c>
      <c r="M4" s="19" t="inlineStr">
        <is>
          <t>Not verified this session</t>
        </is>
      </c>
      <c r="N4" s="24" t="inlineStr">
        <is>
          <t>https://aifree.dev/offer/together-ai-startup-accelerator</t>
        </is>
      </c>
      <c r="O4" s="24" t="inlineStr">
        <is>
          <t>https://aifree.dev/startup-ai-credits</t>
        </is>
      </c>
    </row>
    <row r="5" ht="23.85" customHeight="1" s="17">
      <c r="A5" s="19" t="inlineStr">
        <is>
          <t>SB-016</t>
        </is>
      </c>
      <c r="B5" s="19" t="inlineStr">
        <is>
          <t>Cognition (Devin)</t>
        </is>
      </c>
      <c r="C5" s="19" t="inlineStr">
        <is>
          <t>Devin for Startups</t>
        </is>
      </c>
      <c r="D5" s="19" t="inlineStr">
        <is>
          <t>Startup credits (startup-specific)</t>
        </is>
      </c>
      <c r="E5" s="22" t="n">
        <v>65000</v>
      </c>
      <c r="F5" s="19" t="inlineStr">
        <is>
          <t>USD</t>
        </is>
      </c>
      <c r="G5" s="19" t="inlineStr">
        <is>
          <t>Credits</t>
        </is>
      </c>
      <c r="H5" s="19" t="inlineStr">
        <is>
          <t>Open</t>
        </is>
      </c>
      <c r="I5" s="19" t="inlineStr">
        <is>
          <t>Not stated</t>
        </is>
      </c>
      <c r="J5" s="19" t="inlineStr">
        <is>
          <t>Unverified</t>
        </is>
      </c>
      <c r="K5" s="19" t="inlineStr">
        <is>
          <t>Unknown</t>
        </is>
      </c>
      <c r="L5" s="19" t="inlineStr">
        <is>
          <t>Medium</t>
        </is>
      </c>
      <c r="M5" s="19" t="inlineStr">
        <is>
          <t>Not verified this session</t>
        </is>
      </c>
      <c r="N5" s="24" t="inlineStr">
        <is>
          <t>https://aifree.dev/offer/devin-for-startups</t>
        </is>
      </c>
      <c r="O5" s="24" t="inlineStr">
        <is>
          <t>https://aifree.dev/startup-ai-credits</t>
        </is>
      </c>
    </row>
    <row r="6" ht="23.85" customHeight="1" s="17">
      <c r="A6" s="19" t="inlineStr">
        <is>
          <t>SB-026</t>
        </is>
      </c>
      <c r="B6" s="19" t="inlineStr">
        <is>
          <t>Baseten</t>
        </is>
      </c>
      <c r="C6" s="19" t="inlineStr">
        <is>
          <t>Baseten AI Startup Program</t>
        </is>
      </c>
      <c r="D6" s="19" t="inlineStr">
        <is>
          <t>Startup credits (startup-specific)</t>
        </is>
      </c>
      <c r="E6" s="22" t="n">
        <v>25000</v>
      </c>
      <c r="F6" s="19" t="inlineStr">
        <is>
          <t>USD</t>
        </is>
      </c>
      <c r="G6" s="19" t="inlineStr">
        <is>
          <t>Credits</t>
        </is>
      </c>
      <c r="H6" s="19" t="inlineStr">
        <is>
          <t>Open</t>
        </is>
      </c>
      <c r="I6" s="19" t="inlineStr">
        <is>
          <t>Not stated</t>
        </is>
      </c>
      <c r="J6" s="19" t="inlineStr">
        <is>
          <t>Unverified</t>
        </is>
      </c>
      <c r="K6" s="19" t="inlineStr">
        <is>
          <t>Unknown</t>
        </is>
      </c>
      <c r="L6" s="19" t="inlineStr">
        <is>
          <t>Medium</t>
        </is>
      </c>
      <c r="M6" s="19" t="inlineStr">
        <is>
          <t>Not verified this session</t>
        </is>
      </c>
      <c r="N6" s="24" t="inlineStr">
        <is>
          <t>https://aifree.dev/offer/baseten-ai-startup-program</t>
        </is>
      </c>
      <c r="O6" s="24" t="inlineStr">
        <is>
          <t>https://aifree.dev/startup-ai-credits</t>
        </is>
      </c>
    </row>
    <row r="7" ht="23.85" customHeight="1" s="17">
      <c r="A7" s="19" t="inlineStr">
        <is>
          <t>SB-032</t>
        </is>
      </c>
      <c r="B7" s="19" t="inlineStr">
        <is>
          <t>Daytona</t>
        </is>
      </c>
      <c r="C7" s="19" t="inlineStr">
        <is>
          <t>Daytona Startup Grid</t>
        </is>
      </c>
      <c r="D7" s="19" t="inlineStr">
        <is>
          <t>Startup credits (startup-specific)</t>
        </is>
      </c>
      <c r="E7" s="22" t="n">
        <v>10000</v>
      </c>
      <c r="F7" s="19" t="inlineStr">
        <is>
          <t>USD</t>
        </is>
      </c>
      <c r="G7" s="19" t="inlineStr">
        <is>
          <t>Credits</t>
        </is>
      </c>
      <c r="H7" s="19" t="inlineStr">
        <is>
          <t>Open</t>
        </is>
      </c>
      <c r="I7" s="19" t="inlineStr">
        <is>
          <t>Not stated</t>
        </is>
      </c>
      <c r="J7" s="19" t="inlineStr">
        <is>
          <t>Unverified</t>
        </is>
      </c>
      <c r="K7" s="19" t="inlineStr">
        <is>
          <t>Unknown</t>
        </is>
      </c>
      <c r="L7" s="19" t="inlineStr">
        <is>
          <t>Medium</t>
        </is>
      </c>
      <c r="M7" s="19" t="inlineStr">
        <is>
          <t>Not verified this session</t>
        </is>
      </c>
      <c r="N7" s="24" t="inlineStr">
        <is>
          <t>https://aifree.dev/offer/daytona-startup-grid</t>
        </is>
      </c>
      <c r="O7" s="24" t="inlineStr">
        <is>
          <t>https://aifree.dev/startup-ai-credits</t>
        </is>
      </c>
    </row>
    <row r="8" ht="23.85" customHeight="1" s="17">
      <c r="A8" s="19" t="inlineStr">
        <is>
          <t>SB-033</t>
        </is>
      </c>
      <c r="B8" s="19" t="inlineStr">
        <is>
          <t>Daytona</t>
        </is>
      </c>
      <c r="C8" s="19" t="inlineStr">
        <is>
          <t>Daytona Startup Program</t>
        </is>
      </c>
      <c r="D8" s="19" t="inlineStr">
        <is>
          <t>Startup credits (startup-specific)</t>
        </is>
      </c>
      <c r="E8" s="22" t="n"/>
      <c r="F8" s="19" t="inlineStr">
        <is>
          <t>USD</t>
        </is>
      </c>
      <c r="G8" s="19" t="inlineStr">
        <is>
          <t>Credits</t>
        </is>
      </c>
      <c r="H8" s="19" t="inlineStr">
        <is>
          <t>Open</t>
        </is>
      </c>
      <c r="I8" s="19" t="inlineStr">
        <is>
          <t>Not stated</t>
        </is>
      </c>
      <c r="J8" s="19" t="inlineStr">
        <is>
          <t>Unverified</t>
        </is>
      </c>
      <c r="K8" s="19" t="inlineStr">
        <is>
          <t>Unknown</t>
        </is>
      </c>
      <c r="L8" s="19" t="inlineStr">
        <is>
          <t>Medium</t>
        </is>
      </c>
      <c r="M8" s="19" t="inlineStr">
        <is>
          <t>Not verified this session</t>
        </is>
      </c>
      <c r="N8" s="24" t="inlineStr">
        <is>
          <t>https://aifree.dev/offer/daytona-startup-program</t>
        </is>
      </c>
      <c r="O8" s="24" t="inlineStr">
        <is>
          <t>https://aifree.dev/startup-ai-credits</t>
        </is>
      </c>
    </row>
    <row r="9" ht="23.85" customHeight="1" s="17">
      <c r="A9" s="19" t="inlineStr">
        <is>
          <t>SB-036</t>
        </is>
      </c>
      <c r="B9" s="19" t="inlineStr">
        <is>
          <t>LangChain (LangSmith)</t>
        </is>
      </c>
      <c r="C9" s="19" t="inlineStr">
        <is>
          <t>LangSmith for Startups</t>
        </is>
      </c>
      <c r="D9" s="19" t="inlineStr">
        <is>
          <t>Startup credits (startup-specific)</t>
        </is>
      </c>
      <c r="E9" s="22" t="n">
        <v>10000</v>
      </c>
      <c r="F9" s="19" t="inlineStr">
        <is>
          <t>USD</t>
        </is>
      </c>
      <c r="G9" s="19" t="inlineStr">
        <is>
          <t>Credits</t>
        </is>
      </c>
      <c r="H9" s="19" t="inlineStr">
        <is>
          <t>Open</t>
        </is>
      </c>
      <c r="I9" s="19" t="inlineStr">
        <is>
          <t>Not stated</t>
        </is>
      </c>
      <c r="J9" s="19" t="inlineStr">
        <is>
          <t>Unverified</t>
        </is>
      </c>
      <c r="K9" s="19" t="inlineStr">
        <is>
          <t>Unknown</t>
        </is>
      </c>
      <c r="L9" s="19" t="inlineStr">
        <is>
          <t>Medium</t>
        </is>
      </c>
      <c r="M9" s="19" t="inlineStr">
        <is>
          <t>Not verified this session</t>
        </is>
      </c>
      <c r="N9" s="24" t="inlineStr">
        <is>
          <t>https://aifree.dev/offer/langsmith-for-startups</t>
        </is>
      </c>
      <c r="O9" s="24" t="inlineStr">
        <is>
          <t>https://aifree.dev/startup-ai-credits</t>
        </is>
      </c>
    </row>
    <row r="10" ht="23.85" customHeight="1" s="17">
      <c r="A10" s="19" t="inlineStr">
        <is>
          <t>SB-039</t>
        </is>
      </c>
      <c r="B10" s="19" t="inlineStr">
        <is>
          <t>fal</t>
        </is>
      </c>
      <c r="C10" s="19" t="inlineStr">
        <is>
          <t>fal Startup Program</t>
        </is>
      </c>
      <c r="D10" s="19" t="inlineStr">
        <is>
          <t>Startup credits (startup-specific)</t>
        </is>
      </c>
      <c r="E10" s="22" t="n">
        <v>5000</v>
      </c>
      <c r="F10" s="19" t="inlineStr">
        <is>
          <t>USD</t>
        </is>
      </c>
      <c r="G10" s="19" t="inlineStr">
        <is>
          <t>Credits</t>
        </is>
      </c>
      <c r="H10" s="19" t="inlineStr">
        <is>
          <t>Open</t>
        </is>
      </c>
      <c r="I10" s="19" t="inlineStr">
        <is>
          <t>Not stated</t>
        </is>
      </c>
      <c r="J10" s="19" t="inlineStr">
        <is>
          <t>Unverified</t>
        </is>
      </c>
      <c r="K10" s="19" t="inlineStr">
        <is>
          <t>Unknown</t>
        </is>
      </c>
      <c r="L10" s="19" t="inlineStr">
        <is>
          <t>Medium</t>
        </is>
      </c>
      <c r="M10" s="19" t="inlineStr">
        <is>
          <t>Not verified this session</t>
        </is>
      </c>
      <c r="N10" s="24" t="inlineStr">
        <is>
          <t>https://aifree.dev/offer/fal-startup-program</t>
        </is>
      </c>
      <c r="O10" s="24" t="inlineStr">
        <is>
          <t>https://aifree.dev/startup-ai-credits</t>
        </is>
      </c>
    </row>
    <row r="11" ht="23.85" customHeight="1" s="17">
      <c r="A11" s="19" t="inlineStr">
        <is>
          <t>SB-041</t>
        </is>
      </c>
      <c r="B11" s="19" t="inlineStr">
        <is>
          <t>Runware</t>
        </is>
      </c>
      <c r="C11" s="19" t="inlineStr">
        <is>
          <t>Runware Startup Program</t>
        </is>
      </c>
      <c r="D11" s="19" t="inlineStr">
        <is>
          <t>Startup credits (startup-specific)</t>
        </is>
      </c>
      <c r="E11" s="22" t="n">
        <v>1000</v>
      </c>
      <c r="F11" s="19" t="inlineStr">
        <is>
          <t>USD</t>
        </is>
      </c>
      <c r="G11" s="19" t="inlineStr">
        <is>
          <t>Credits</t>
        </is>
      </c>
      <c r="H11" s="19" t="inlineStr">
        <is>
          <t>Open</t>
        </is>
      </c>
      <c r="I11" s="19" t="inlineStr">
        <is>
          <t>Not stated</t>
        </is>
      </c>
      <c r="J11" s="19" t="inlineStr">
        <is>
          <t>Unverified</t>
        </is>
      </c>
      <c r="K11" s="19" t="inlineStr">
        <is>
          <t>Unknown</t>
        </is>
      </c>
      <c r="L11" s="19" t="inlineStr">
        <is>
          <t>Medium</t>
        </is>
      </c>
      <c r="M11" s="19" t="inlineStr">
        <is>
          <t>Not verified this session</t>
        </is>
      </c>
      <c r="N11" s="24" t="inlineStr">
        <is>
          <t>https://aifree.dev/offer/runware-grant-program</t>
        </is>
      </c>
      <c r="O11" s="24" t="inlineStr">
        <is>
          <t>https://aifree.dev/startup-ai-credits</t>
        </is>
      </c>
    </row>
    <row r="12" ht="23.85" customHeight="1" s="17">
      <c r="A12" s="19" t="inlineStr">
        <is>
          <t>SB-048</t>
        </is>
      </c>
      <c r="B12" s="19" t="inlineStr">
        <is>
          <t>Daytona</t>
        </is>
      </c>
      <c r="C12" s="19" t="inlineStr">
        <is>
          <t>Daytona free compute credits</t>
        </is>
      </c>
      <c r="D12" s="19" t="inlineStr">
        <is>
          <t>Free trial credit (not startup-exclusive)</t>
        </is>
      </c>
      <c r="E12" s="22" t="n">
        <v>200</v>
      </c>
      <c r="F12" s="19" t="inlineStr">
        <is>
          <t>USD</t>
        </is>
      </c>
      <c r="G12" s="19" t="inlineStr">
        <is>
          <t>Credits</t>
        </is>
      </c>
      <c r="H12" s="19" t="inlineStr">
        <is>
          <t>Open</t>
        </is>
      </c>
      <c r="I12" s="19" t="inlineStr">
        <is>
          <t>Not stated</t>
        </is>
      </c>
      <c r="J12" s="19" t="inlineStr">
        <is>
          <t>Unverified</t>
        </is>
      </c>
      <c r="K12" s="19" t="inlineStr">
        <is>
          <t>Unknown</t>
        </is>
      </c>
      <c r="L12" s="19" t="inlineStr">
        <is>
          <t>Medium</t>
        </is>
      </c>
      <c r="M12" s="19" t="inlineStr">
        <is>
          <t>Not verified this session</t>
        </is>
      </c>
      <c r="N12" s="24" t="inlineStr">
        <is>
          <t>https://aifree.dev/offer/daytona-free-compute-credits</t>
        </is>
      </c>
      <c r="O12" s="24" t="inlineStr">
        <is>
          <t>https://aifree.dev/startup-ai-credits</t>
        </is>
      </c>
    </row>
    <row r="13" ht="23.85" customHeight="1" s="17">
      <c r="A13" s="19" t="inlineStr">
        <is>
          <t>SB-051</t>
        </is>
      </c>
      <c r="B13" s="19" t="inlineStr">
        <is>
          <t>AkashML</t>
        </is>
      </c>
      <c r="C13" s="19" t="inlineStr">
        <is>
          <t>AkashML $100 free AI token credits</t>
        </is>
      </c>
      <c r="D13" s="19" t="inlineStr">
        <is>
          <t>Free trial credit (not startup-exclusive)</t>
        </is>
      </c>
      <c r="E13" s="22" t="n">
        <v>100</v>
      </c>
      <c r="F13" s="19" t="inlineStr">
        <is>
          <t>USD</t>
        </is>
      </c>
      <c r="G13" s="19" t="inlineStr">
        <is>
          <t>Credits</t>
        </is>
      </c>
      <c r="H13" s="19" t="inlineStr">
        <is>
          <t>Open</t>
        </is>
      </c>
      <c r="I13" s="19" t="inlineStr">
        <is>
          <t>Not stated</t>
        </is>
      </c>
      <c r="J13" s="19" t="inlineStr">
        <is>
          <t>Unverified</t>
        </is>
      </c>
      <c r="K13" s="19" t="inlineStr">
        <is>
          <t>Unknown</t>
        </is>
      </c>
      <c r="L13" s="19" t="inlineStr">
        <is>
          <t>Medium</t>
        </is>
      </c>
      <c r="M13" s="19" t="inlineStr">
        <is>
          <t>Not verified this session</t>
        </is>
      </c>
      <c r="N13" s="24" t="inlineStr">
        <is>
          <t>https://aifree.dev/offer/akashml-free-token-credits</t>
        </is>
      </c>
      <c r="O13" s="24" t="inlineStr">
        <is>
          <t>https://aifree.dev/startup-ai-credits</t>
        </is>
      </c>
    </row>
    <row r="14" ht="23.85" customHeight="1" s="17">
      <c r="A14" s="19" t="inlineStr">
        <is>
          <t>SB-052</t>
        </is>
      </c>
      <c r="B14" s="19" t="inlineStr">
        <is>
          <t>AMD</t>
        </is>
      </c>
      <c r="C14" s="19" t="inlineStr">
        <is>
          <t>AMD AI Developer Program</t>
        </is>
      </c>
      <c r="D14" s="19" t="inlineStr">
        <is>
          <t>Free trial credit (not startup-exclusive)</t>
        </is>
      </c>
      <c r="E14" s="22" t="n">
        <v>100</v>
      </c>
      <c r="F14" s="19" t="inlineStr">
        <is>
          <t>USD</t>
        </is>
      </c>
      <c r="G14" s="19" t="inlineStr">
        <is>
          <t>Credits</t>
        </is>
      </c>
      <c r="H14" s="19" t="inlineStr">
        <is>
          <t>Open</t>
        </is>
      </c>
      <c r="I14" s="19" t="inlineStr">
        <is>
          <t>Not stated</t>
        </is>
      </c>
      <c r="J14" s="19" t="inlineStr">
        <is>
          <t>Unverified</t>
        </is>
      </c>
      <c r="K14" s="19" t="inlineStr">
        <is>
          <t>Unknown</t>
        </is>
      </c>
      <c r="L14" s="19" t="inlineStr">
        <is>
          <t>Medium</t>
        </is>
      </c>
      <c r="M14" s="19" t="inlineStr">
        <is>
          <t>Not verified this session</t>
        </is>
      </c>
      <c r="N14" s="24" t="inlineStr">
        <is>
          <t>https://aifree.dev/offer/amd-ai-developer-program</t>
        </is>
      </c>
      <c r="O14" s="24" t="inlineStr">
        <is>
          <t>https://aifree.dev/startup-ai-credits</t>
        </is>
      </c>
    </row>
    <row r="15" ht="23.85" customHeight="1" s="17">
      <c r="A15" s="19" t="inlineStr">
        <is>
          <t>SB-053</t>
        </is>
      </c>
      <c r="B15" s="19" t="inlineStr">
        <is>
          <t>Anyscale</t>
        </is>
      </c>
      <c r="C15" s="19" t="inlineStr">
        <is>
          <t>Anyscale $100 signup credit</t>
        </is>
      </c>
      <c r="D15" s="19" t="inlineStr">
        <is>
          <t>Free trial credit (not startup-exclusive)</t>
        </is>
      </c>
      <c r="E15" s="22" t="n">
        <v>100</v>
      </c>
      <c r="F15" s="19" t="inlineStr">
        <is>
          <t>USD</t>
        </is>
      </c>
      <c r="G15" s="19" t="inlineStr">
        <is>
          <t>Credits</t>
        </is>
      </c>
      <c r="H15" s="19" t="inlineStr">
        <is>
          <t>Open</t>
        </is>
      </c>
      <c r="I15" s="19" t="inlineStr">
        <is>
          <t>Not stated</t>
        </is>
      </c>
      <c r="J15" s="19" t="inlineStr">
        <is>
          <t>Unverified</t>
        </is>
      </c>
      <c r="K15" s="19" t="inlineStr">
        <is>
          <t>Unknown</t>
        </is>
      </c>
      <c r="L15" s="19" t="inlineStr">
        <is>
          <t>Medium</t>
        </is>
      </c>
      <c r="M15" s="19" t="inlineStr">
        <is>
          <t>Not verified this session</t>
        </is>
      </c>
      <c r="N15" s="24" t="inlineStr">
        <is>
          <t>https://aifree.dev/offer/anyscale-free-signup-credits</t>
        </is>
      </c>
      <c r="O15" s="24" t="inlineStr">
        <is>
          <t>https://aifree.dev/startup-ai-credits</t>
        </is>
      </c>
    </row>
    <row r="16" ht="23.85" customHeight="1" s="17">
      <c r="A16" s="19" t="inlineStr">
        <is>
          <t>SB-054</t>
        </is>
      </c>
      <c r="B16" s="19" t="inlineStr">
        <is>
          <t>E2B</t>
        </is>
      </c>
      <c r="C16" s="19" t="inlineStr">
        <is>
          <t>E2B free hobby tier and $100 credits</t>
        </is>
      </c>
      <c r="D16" s="19" t="inlineStr">
        <is>
          <t>Free trial credit (not startup-exclusive)</t>
        </is>
      </c>
      <c r="E16" s="22" t="n">
        <v>100</v>
      </c>
      <c r="F16" s="19" t="inlineStr">
        <is>
          <t>USD</t>
        </is>
      </c>
      <c r="G16" s="19" t="inlineStr">
        <is>
          <t>Credits</t>
        </is>
      </c>
      <c r="H16" s="19" t="inlineStr">
        <is>
          <t>Open</t>
        </is>
      </c>
      <c r="I16" s="19" t="inlineStr">
        <is>
          <t>Not stated</t>
        </is>
      </c>
      <c r="J16" s="19" t="inlineStr">
        <is>
          <t>Unverified</t>
        </is>
      </c>
      <c r="K16" s="19" t="inlineStr">
        <is>
          <t>Unknown</t>
        </is>
      </c>
      <c r="L16" s="19" t="inlineStr">
        <is>
          <t>Medium</t>
        </is>
      </c>
      <c r="M16" s="19" t="inlineStr">
        <is>
          <t>Not verified this session</t>
        </is>
      </c>
      <c r="N16" s="24" t="inlineStr">
        <is>
          <t>https://aifree.dev/offer/e2b-free-credits</t>
        </is>
      </c>
      <c r="O16" s="24" t="inlineStr">
        <is>
          <t>https://aifree.dev/startup-ai-credits</t>
        </is>
      </c>
    </row>
    <row r="17" ht="23.85" customHeight="1" s="17">
      <c r="A17" s="19" t="inlineStr">
        <is>
          <t>SB-055</t>
        </is>
      </c>
      <c r="B17" s="19" t="inlineStr">
        <is>
          <t>EmberCloud</t>
        </is>
      </c>
      <c r="C17" s="19" t="inlineStr">
        <is>
          <t>EmberCloud for Startups</t>
        </is>
      </c>
      <c r="D17" s="19" t="inlineStr">
        <is>
          <t>Startup credits (startup-specific)</t>
        </is>
      </c>
      <c r="E17" s="22" t="n">
        <v>100</v>
      </c>
      <c r="F17" s="19" t="inlineStr">
        <is>
          <t>USD</t>
        </is>
      </c>
      <c r="G17" s="19" t="inlineStr">
        <is>
          <t>Credits</t>
        </is>
      </c>
      <c r="H17" s="19" t="inlineStr">
        <is>
          <t>Open</t>
        </is>
      </c>
      <c r="I17" s="19" t="inlineStr">
        <is>
          <t>Not stated</t>
        </is>
      </c>
      <c r="J17" s="19" t="inlineStr">
        <is>
          <t>Unverified</t>
        </is>
      </c>
      <c r="K17" s="19" t="inlineStr">
        <is>
          <t>Unknown</t>
        </is>
      </c>
      <c r="L17" s="19" t="inlineStr">
        <is>
          <t>Medium</t>
        </is>
      </c>
      <c r="M17" s="19" t="inlineStr">
        <is>
          <t>Not verified this session</t>
        </is>
      </c>
      <c r="N17" s="24" t="inlineStr">
        <is>
          <t>https://aifree.dev/offer/embercloud-for-startups</t>
        </is>
      </c>
      <c r="O17" s="24" t="inlineStr">
        <is>
          <t>https://aifree.dev/startup-ai-credits</t>
        </is>
      </c>
    </row>
    <row r="18" ht="23.85" customHeight="1" s="17">
      <c r="A18" s="19" t="inlineStr">
        <is>
          <t>SB-056</t>
        </is>
      </c>
      <c r="B18" s="19" t="inlineStr">
        <is>
          <t>Novita</t>
        </is>
      </c>
      <c r="C18" s="19" t="inlineStr">
        <is>
          <t>Novita Sandbox $100 free credits</t>
        </is>
      </c>
      <c r="D18" s="19" t="inlineStr">
        <is>
          <t>Free trial credit (not startup-exclusive)</t>
        </is>
      </c>
      <c r="E18" s="22" t="n">
        <v>100</v>
      </c>
      <c r="F18" s="19" t="inlineStr">
        <is>
          <t>USD</t>
        </is>
      </c>
      <c r="G18" s="19" t="inlineStr">
        <is>
          <t>Credits</t>
        </is>
      </c>
      <c r="H18" s="19" t="inlineStr">
        <is>
          <t>Open</t>
        </is>
      </c>
      <c r="I18" s="19" t="inlineStr">
        <is>
          <t>Not stated</t>
        </is>
      </c>
      <c r="J18" s="19" t="inlineStr">
        <is>
          <t>Unverified</t>
        </is>
      </c>
      <c r="K18" s="19" t="inlineStr">
        <is>
          <t>Unknown</t>
        </is>
      </c>
      <c r="L18" s="19" t="inlineStr">
        <is>
          <t>Medium</t>
        </is>
      </c>
      <c r="M18" s="19" t="inlineStr">
        <is>
          <t>Not verified this session</t>
        </is>
      </c>
      <c r="N18" s="24" t="inlineStr">
        <is>
          <t>https://aifree.dev/offer/novita-sandbox-free-credits</t>
        </is>
      </c>
      <c r="O18" s="24" t="inlineStr">
        <is>
          <t>https://aifree.dev/startup-ai-credits</t>
        </is>
      </c>
    </row>
    <row r="19" ht="23.85" customHeight="1" s="17">
      <c r="A19" s="19" t="inlineStr">
        <is>
          <t>SB-059</t>
        </is>
      </c>
      <c r="B19" s="19" t="inlineStr">
        <is>
          <t>DeepInfra</t>
        </is>
      </c>
      <c r="C19" s="19" t="inlineStr">
        <is>
          <t>DeepInfra DeepStart free inference tokens</t>
        </is>
      </c>
      <c r="D19" s="19" t="inlineStr">
        <is>
          <t>Startup credits (startup-specific)</t>
        </is>
      </c>
      <c r="E19" s="22" t="n"/>
      <c r="F19" s="19" t="inlineStr">
        <is>
          <t>Tokens</t>
        </is>
      </c>
      <c r="G19" s="19" t="inlineStr">
        <is>
          <t>Credits</t>
        </is>
      </c>
      <c r="H19" s="19" t="inlineStr">
        <is>
          <t>Open</t>
        </is>
      </c>
      <c r="I19" s="19" t="inlineStr">
        <is>
          <t>Not stated</t>
        </is>
      </c>
      <c r="J19" s="19" t="inlineStr">
        <is>
          <t>Unverified</t>
        </is>
      </c>
      <c r="K19" s="19" t="inlineStr">
        <is>
          <t>Unknown</t>
        </is>
      </c>
      <c r="L19" s="19" t="inlineStr">
        <is>
          <t>Medium</t>
        </is>
      </c>
      <c r="M19" s="19" t="inlineStr">
        <is>
          <t>Not verified this session</t>
        </is>
      </c>
      <c r="N19" s="24" t="inlineStr">
        <is>
          <t>https://aifree.dev/offer/deepinfra-deepstart-free-tokens</t>
        </is>
      </c>
      <c r="O19" s="24" t="inlineStr">
        <is>
          <t>https://aifree.dev/startup-ai-credits</t>
        </is>
      </c>
    </row>
    <row r="20" ht="23.85" customHeight="1" s="17">
      <c r="A20" s="19" t="inlineStr">
        <is>
          <t>SB-060</t>
        </is>
      </c>
      <c r="B20" s="19" t="inlineStr">
        <is>
          <t>Free.ai</t>
        </is>
      </c>
      <c r="C20" s="19" t="inlineStr">
        <is>
          <t>Free.ai Startup Grant</t>
        </is>
      </c>
      <c r="D20" s="19" t="inlineStr">
        <is>
          <t>Startup credits (startup-specific)</t>
        </is>
      </c>
      <c r="E20" s="22" t="n"/>
      <c r="F20" s="19" t="inlineStr">
        <is>
          <t>Tokens</t>
        </is>
      </c>
      <c r="G20" s="19" t="inlineStr">
        <is>
          <t>Credits</t>
        </is>
      </c>
      <c r="H20" s="19" t="inlineStr">
        <is>
          <t>Open</t>
        </is>
      </c>
      <c r="I20" s="19" t="inlineStr">
        <is>
          <t>Not stated</t>
        </is>
      </c>
      <c r="J20" s="19" t="inlineStr">
        <is>
          <t>Unverified</t>
        </is>
      </c>
      <c r="K20" s="19" t="inlineStr">
        <is>
          <t>Unknown</t>
        </is>
      </c>
      <c r="L20" s="19" t="inlineStr">
        <is>
          <t>Low</t>
        </is>
      </c>
      <c r="M20" s="19" t="inlineStr">
        <is>
          <t>Not verified this session</t>
        </is>
      </c>
      <c r="N20" s="24" t="inlineStr">
        <is>
          <t>https://aifree.dev/offer/free-ai-startup-tokens</t>
        </is>
      </c>
      <c r="O20" s="24" t="inlineStr">
        <is>
          <t>https://aifree.dev/startup-ai-credits</t>
        </is>
      </c>
    </row>
    <row r="21" ht="23.85" customHeight="1" s="17">
      <c r="A21" s="19" t="inlineStr">
        <is>
          <t>SB-062</t>
        </is>
      </c>
      <c r="B21" s="19" t="inlineStr">
        <is>
          <t>Kaggle (Google)</t>
        </is>
      </c>
      <c r="C21" s="19" t="inlineStr">
        <is>
          <t>Kaggle free GPU/TPU notebooks</t>
        </is>
      </c>
      <c r="D21" s="19" t="inlineStr">
        <is>
          <t>Free tier (ongoing, not startup-exclusive)</t>
        </is>
      </c>
      <c r="E21" s="22" t="n"/>
      <c r="F21" s="19" t="inlineStr">
        <is>
          <t>USD</t>
        </is>
      </c>
      <c r="G21" s="19" t="inlineStr">
        <is>
          <t>In-Kind</t>
        </is>
      </c>
      <c r="H21" s="19" t="inlineStr">
        <is>
          <t>Open</t>
        </is>
      </c>
      <c r="I21" s="19" t="inlineStr">
        <is>
          <t>Not stated</t>
        </is>
      </c>
      <c r="J21" s="19" t="inlineStr">
        <is>
          <t>Unverified</t>
        </is>
      </c>
      <c r="K21" s="19" t="inlineStr">
        <is>
          <t>Unknown</t>
        </is>
      </c>
      <c r="L21" s="19" t="inlineStr">
        <is>
          <t>Medium</t>
        </is>
      </c>
      <c r="M21" s="19" t="inlineStr">
        <is>
          <t>Not verified this session</t>
        </is>
      </c>
      <c r="N21" s="24" t="inlineStr">
        <is>
          <t>https://aifree.dev/offer/kaggle-free-gpu-tpu</t>
        </is>
      </c>
      <c r="O21" s="24" t="inlineStr">
        <is>
          <t>https://aifree.dev/startup-ai-credits</t>
        </is>
      </c>
    </row>
    <row r="22" ht="23.85" customHeight="1" s="17">
      <c r="A22" s="19" t="inlineStr">
        <is>
          <t>SB-063</t>
        </is>
      </c>
      <c r="B22" s="19" t="inlineStr">
        <is>
          <t>Lightning AI</t>
        </is>
      </c>
      <c r="C22" s="19" t="inlineStr">
        <is>
          <t>Lightning AI free plan</t>
        </is>
      </c>
      <c r="D22" s="19" t="inlineStr">
        <is>
          <t>Free tier (ongoing, not startup-exclusive)</t>
        </is>
      </c>
      <c r="E22" s="22" t="n"/>
      <c r="F22" s="19" t="inlineStr">
        <is>
          <t>USD</t>
        </is>
      </c>
      <c r="G22" s="19" t="inlineStr">
        <is>
          <t>Credits</t>
        </is>
      </c>
      <c r="H22" s="19" t="inlineStr">
        <is>
          <t>Open</t>
        </is>
      </c>
      <c r="I22" s="19" t="inlineStr">
        <is>
          <t>Not stated</t>
        </is>
      </c>
      <c r="J22" s="19" t="inlineStr">
        <is>
          <t>Unverified</t>
        </is>
      </c>
      <c r="K22" s="19" t="inlineStr">
        <is>
          <t>Unknown</t>
        </is>
      </c>
      <c r="L22" s="19" t="inlineStr">
        <is>
          <t>Medium</t>
        </is>
      </c>
      <c r="M22" s="19" t="inlineStr">
        <is>
          <t>Not verified this session</t>
        </is>
      </c>
      <c r="N22" s="24" t="inlineStr">
        <is>
          <t>https://aifree.dev/offer/lightning-ai-free-plan</t>
        </is>
      </c>
      <c r="O22" s="24" t="inlineStr">
        <is>
          <t>https://aifree.dev/startup-ai-credits</t>
        </is>
      </c>
    </row>
    <row r="23" ht="23.85" customHeight="1" s="17">
      <c r="A23" s="19" t="inlineStr">
        <is>
          <t>SB-064</t>
        </is>
      </c>
      <c r="B23" s="19" t="inlineStr">
        <is>
          <t>Hugging Face</t>
        </is>
      </c>
      <c r="C23" s="19" t="inlineStr">
        <is>
          <t>Hugging Face ZeroGPU on Spaces</t>
        </is>
      </c>
      <c r="D23" s="19" t="inlineStr">
        <is>
          <t>Free tier (ongoing, not startup-exclusive)</t>
        </is>
      </c>
      <c r="E23" s="22" t="n"/>
      <c r="F23" s="19" t="inlineStr">
        <is>
          <t>USD</t>
        </is>
      </c>
      <c r="G23" s="19" t="inlineStr">
        <is>
          <t>In-Kind</t>
        </is>
      </c>
      <c r="H23" s="19" t="inlineStr">
        <is>
          <t>Open</t>
        </is>
      </c>
      <c r="I23" s="19" t="inlineStr">
        <is>
          <t>Not stated</t>
        </is>
      </c>
      <c r="J23" s="19" t="inlineStr">
        <is>
          <t>Unverified</t>
        </is>
      </c>
      <c r="K23" s="19" t="inlineStr">
        <is>
          <t>Unknown</t>
        </is>
      </c>
      <c r="L23" s="19" t="inlineStr">
        <is>
          <t>Medium</t>
        </is>
      </c>
      <c r="M23" s="19" t="inlineStr">
        <is>
          <t>Not verified this session</t>
        </is>
      </c>
      <c r="N23" s="24" t="inlineStr">
        <is>
          <t>https://aifree.dev/offer/hugging-face-zerogpu-spaces</t>
        </is>
      </c>
      <c r="O23" s="24" t="inlineStr">
        <is>
          <t>https://aifree.dev/startup-ai-credits</t>
        </is>
      </c>
    </row>
    <row r="24" ht="23.85" customHeight="1" s="17">
      <c r="A24" s="19" t="inlineStr">
        <is>
          <t>SB-071</t>
        </is>
      </c>
      <c r="B24" s="19" t="inlineStr">
        <is>
          <t>Fireworks AI</t>
        </is>
      </c>
      <c r="C24" s="19" t="inlineStr">
        <is>
          <t>Fireworks for Startups</t>
        </is>
      </c>
      <c r="D24" s="19" t="inlineStr">
        <is>
          <t>Startup credits (startup-specific)</t>
        </is>
      </c>
      <c r="E24" s="22" t="n"/>
      <c r="F24" s="19" t="inlineStr">
        <is>
          <t>USD</t>
        </is>
      </c>
      <c r="G24" s="19" t="inlineStr">
        <is>
          <t>Credits</t>
        </is>
      </c>
      <c r="H24" s="19" t="inlineStr">
        <is>
          <t>Open</t>
        </is>
      </c>
      <c r="I24" s="19" t="inlineStr">
        <is>
          <t>Not stated</t>
        </is>
      </c>
      <c r="J24" s="19" t="inlineStr">
        <is>
          <t>Unverified</t>
        </is>
      </c>
      <c r="K24" s="19" t="inlineStr">
        <is>
          <t>Unknown</t>
        </is>
      </c>
      <c r="L24" s="19" t="inlineStr">
        <is>
          <t>Medium</t>
        </is>
      </c>
      <c r="M24" s="19" t="inlineStr">
        <is>
          <t>Not verified this session</t>
        </is>
      </c>
      <c r="N24" s="24" t="inlineStr">
        <is>
          <t>https://aifree.dev/offer/fireworks-ai-startup-program</t>
        </is>
      </c>
      <c r="O24" s="24" t="inlineStr">
        <is>
          <t>https://aifree.dev/startup-ai-credits</t>
        </is>
      </c>
    </row>
    <row r="25" ht="23.85" customHeight="1" s="17">
      <c r="A25" s="19" t="inlineStr">
        <is>
          <t>SB-075</t>
        </is>
      </c>
      <c r="B25" s="19" t="inlineStr">
        <is>
          <t>Modal</t>
        </is>
      </c>
      <c r="C25" s="19" t="inlineStr">
        <is>
          <t>Modal for Startups</t>
        </is>
      </c>
      <c r="D25" s="19" t="inlineStr">
        <is>
          <t>Startup credits (startup-specific)</t>
        </is>
      </c>
      <c r="E25" s="22" t="n"/>
      <c r="F25" s="19" t="inlineStr">
        <is>
          <t>USD</t>
        </is>
      </c>
      <c r="G25" s="19" t="inlineStr">
        <is>
          <t>Credits</t>
        </is>
      </c>
      <c r="H25" s="19" t="inlineStr">
        <is>
          <t>Open</t>
        </is>
      </c>
      <c r="I25" s="19" t="inlineStr">
        <is>
          <t>Not stated</t>
        </is>
      </c>
      <c r="J25" s="19" t="inlineStr">
        <is>
          <t>Unverified</t>
        </is>
      </c>
      <c r="K25" s="19" t="inlineStr">
        <is>
          <t>Unknown</t>
        </is>
      </c>
      <c r="L25" s="19" t="inlineStr">
        <is>
          <t>Medium</t>
        </is>
      </c>
      <c r="M25" s="19" t="inlineStr">
        <is>
          <t>Not verified this session</t>
        </is>
      </c>
      <c r="N25" s="24" t="inlineStr">
        <is>
          <t>https://aifree.dev/offer/modal-startup-program</t>
        </is>
      </c>
      <c r="O25" s="24" t="inlineStr">
        <is>
          <t>https://aifree.dev/startup-ai-credits</t>
        </is>
      </c>
    </row>
    <row r="26" ht="23.85" customHeight="1" s="17">
      <c r="A26" s="19" t="inlineStr">
        <is>
          <t>SB-079</t>
        </is>
      </c>
      <c r="B26" s="19" t="inlineStr">
        <is>
          <t>OpenAI</t>
        </is>
      </c>
      <c r="C26" s="19" t="inlineStr">
        <is>
          <t>OpenAI for Startups</t>
        </is>
      </c>
      <c r="D26" s="19" t="inlineStr">
        <is>
          <t>Startup credits (startup-specific)</t>
        </is>
      </c>
      <c r="E26" s="22" t="n"/>
      <c r="F26" s="19" t="inlineStr">
        <is>
          <t>USD</t>
        </is>
      </c>
      <c r="G26" s="19" t="inlineStr">
        <is>
          <t>Credits</t>
        </is>
      </c>
      <c r="H26" s="19" t="inlineStr">
        <is>
          <t>Open</t>
        </is>
      </c>
      <c r="I26" s="19" t="inlineStr">
        <is>
          <t>Not stated</t>
        </is>
      </c>
      <c r="J26" s="19" t="inlineStr">
        <is>
          <t>Unverified</t>
        </is>
      </c>
      <c r="K26" s="19" t="inlineStr">
        <is>
          <t>Unknown</t>
        </is>
      </c>
      <c r="L26" s="19" t="inlineStr">
        <is>
          <t>Medium</t>
        </is>
      </c>
      <c r="M26" s="19" t="inlineStr">
        <is>
          <t>Not verified this session</t>
        </is>
      </c>
      <c r="N26" s="24" t="inlineStr">
        <is>
          <t>https://aifree.dev/offer/openai-for-startups</t>
        </is>
      </c>
      <c r="O26" s="24" t="inlineStr">
        <is>
          <t>https://aifree.dev/startup-ai-credits</t>
        </is>
      </c>
    </row>
    <row r="27" ht="23.85" customHeight="1" s="17">
      <c r="A27" s="19" t="inlineStr">
        <is>
          <t>SB-081</t>
        </is>
      </c>
      <c r="B27" s="19" t="inlineStr">
        <is>
          <t>Paperspace (DigitalOcean)</t>
        </is>
      </c>
      <c r="C27" s="19" t="inlineStr">
        <is>
          <t>Paperspace Gradient free GPU notebooks</t>
        </is>
      </c>
      <c r="D27" s="19" t="inlineStr">
        <is>
          <t>Free tier (ongoing, not startup-exclusive)</t>
        </is>
      </c>
      <c r="E27" s="22" t="n"/>
      <c r="F27" s="19" t="inlineStr">
        <is>
          <t>USD</t>
        </is>
      </c>
      <c r="G27" s="19" t="inlineStr">
        <is>
          <t>In-Kind</t>
        </is>
      </c>
      <c r="H27" s="19" t="inlineStr">
        <is>
          <t>Open</t>
        </is>
      </c>
      <c r="I27" s="19" t="inlineStr">
        <is>
          <t>Not stated</t>
        </is>
      </c>
      <c r="J27" s="19" t="inlineStr">
        <is>
          <t>Unverified</t>
        </is>
      </c>
      <c r="K27" s="19" t="inlineStr">
        <is>
          <t>Unknown</t>
        </is>
      </c>
      <c r="L27" s="19" t="inlineStr">
        <is>
          <t>Medium</t>
        </is>
      </c>
      <c r="M27" s="19" t="inlineStr">
        <is>
          <t>Not verified this session</t>
        </is>
      </c>
      <c r="N27" s="24" t="inlineStr">
        <is>
          <t>https://aifree.dev/offer/paperspace-gradient-free-tier</t>
        </is>
      </c>
      <c r="O27" s="24" t="inlineStr">
        <is>
          <t>https://aifree.dev/startup-ai-credits</t>
        </is>
      </c>
    </row>
    <row r="28" ht="23.85" customHeight="1" s="17">
      <c r="A28" s="19" t="inlineStr">
        <is>
          <t>SB-082</t>
        </is>
      </c>
      <c r="B28" s="19" t="inlineStr">
        <is>
          <t>Pinecone</t>
        </is>
      </c>
      <c r="C28" s="19" t="inlineStr">
        <is>
          <t>Pinecone for Startups</t>
        </is>
      </c>
      <c r="D28" s="19" t="inlineStr">
        <is>
          <t>Startup plan / free subscription period</t>
        </is>
      </c>
      <c r="E28" s="22" t="n"/>
      <c r="F28" s="19" t="inlineStr">
        <is>
          <t>USD</t>
        </is>
      </c>
      <c r="G28" s="19" t="inlineStr">
        <is>
          <t>Credits</t>
        </is>
      </c>
      <c r="H28" s="19" t="inlineStr">
        <is>
          <t>Open</t>
        </is>
      </c>
      <c r="I28" s="19" t="inlineStr">
        <is>
          <t>Not stated</t>
        </is>
      </c>
      <c r="J28" s="19" t="inlineStr">
        <is>
          <t>Unverified</t>
        </is>
      </c>
      <c r="K28" s="19" t="inlineStr">
        <is>
          <t>Unknown</t>
        </is>
      </c>
      <c r="L28" s="19" t="inlineStr">
        <is>
          <t>Medium</t>
        </is>
      </c>
      <c r="M28" s="19" t="inlineStr">
        <is>
          <t>Not verified this session</t>
        </is>
      </c>
      <c r="N28" s="24" t="inlineStr">
        <is>
          <t>https://aifree.dev/offer/pinecone-startup-program</t>
        </is>
      </c>
      <c r="O28" s="24" t="inlineStr">
        <is>
          <t>https://aifree.dev/startup-ai-credits</t>
        </is>
      </c>
    </row>
    <row r="29" ht="23.85" customHeight="1" s="17">
      <c r="A29" s="19" t="inlineStr">
        <is>
          <t>SB-084</t>
        </is>
      </c>
      <c r="B29" s="19" t="inlineStr">
        <is>
          <t>Sarvam AI</t>
        </is>
      </c>
      <c r="C29" s="19" t="inlineStr">
        <is>
          <t>Sarvam AI Startup Program</t>
        </is>
      </c>
      <c r="D29" s="19" t="inlineStr">
        <is>
          <t>Startup credits (startup-specific)</t>
        </is>
      </c>
      <c r="E29" s="22" t="n"/>
      <c r="F29" s="19" t="inlineStr">
        <is>
          <t>USD</t>
        </is>
      </c>
      <c r="G29" s="19" t="inlineStr">
        <is>
          <t>Credits</t>
        </is>
      </c>
      <c r="H29" s="19" t="inlineStr">
        <is>
          <t>Rolling</t>
        </is>
      </c>
      <c r="I29" s="19" t="inlineStr">
        <is>
          <t>Not stated</t>
        </is>
      </c>
      <c r="J29" s="19" t="inlineStr">
        <is>
          <t>Unverified</t>
        </is>
      </c>
      <c r="K29" s="19" t="inlineStr">
        <is>
          <t>Unknown</t>
        </is>
      </c>
      <c r="L29" s="19" t="inlineStr">
        <is>
          <t>Medium</t>
        </is>
      </c>
      <c r="M29" s="19" t="inlineStr">
        <is>
          <t>Not verified this session</t>
        </is>
      </c>
      <c r="N29" s="24" t="inlineStr">
        <is>
          <t>https://aifree.dev/offer/sarvam-ai-startup-program</t>
        </is>
      </c>
      <c r="O29" s="24" t="inlineStr">
        <is>
          <t>https://aifree.dev/startup-ai-credits</t>
        </is>
      </c>
    </row>
    <row r="30" ht="23.85" customHeight="1" s="17">
      <c r="A30" s="19" t="inlineStr">
        <is>
          <t>SB-091</t>
        </is>
      </c>
      <c r="B30" s="19" t="inlineStr">
        <is>
          <t>Anthropic</t>
        </is>
      </c>
      <c r="C30" s="19" t="inlineStr">
        <is>
          <t>Claude for Startups</t>
        </is>
      </c>
      <c r="D30" s="19" t="inlineStr">
        <is>
          <t>Startup credits (startup-specific)</t>
        </is>
      </c>
      <c r="E30" s="22" t="n"/>
      <c r="F30" s="19" t="inlineStr">
        <is>
          <t>USD</t>
        </is>
      </c>
      <c r="G30" s="19" t="inlineStr">
        <is>
          <t>Credits</t>
        </is>
      </c>
      <c r="H30" s="19" t="inlineStr">
        <is>
          <t>Closed</t>
        </is>
      </c>
      <c r="I30" s="19" t="inlineStr">
        <is>
          <t>Not stated</t>
        </is>
      </c>
      <c r="J30" s="19" t="inlineStr">
        <is>
          <t>Unverified</t>
        </is>
      </c>
      <c r="K30" s="19" t="inlineStr">
        <is>
          <t>Unknown</t>
        </is>
      </c>
      <c r="L30" s="19" t="inlineStr">
        <is>
          <t>Low</t>
        </is>
      </c>
      <c r="M30" s="19" t="inlineStr">
        <is>
          <t>Not verified this session</t>
        </is>
      </c>
      <c r="N30" s="24" t="inlineStr">
        <is>
          <t>https://aifree.dev/offer/claude-for-startups</t>
        </is>
      </c>
      <c r="O30" s="24" t="inlineStr">
        <is>
          <t>https://aifree.dev/startup-ai-credits</t>
        </is>
      </c>
    </row>
  </sheetData>
  <conditionalFormatting sqref="H2:H500">
    <cfRule type="cellIs" rank="0" priority="2" equalAverage="0" operator="equal" aboveAverage="0" dxfId="9" text="" percent="0" bottom="0">
      <formula>"Open"</formula>
    </cfRule>
    <cfRule type="cellIs" rank="0" priority="3" equalAverage="0" operator="equal" aboveAverage="0" dxfId="10" text="" percent="0" bottom="0">
      <formula>"Closed"</formula>
    </cfRule>
    <cfRule type="cellIs" rank="0" priority="4" equalAverage="0" operator="equal" aboveAverage="0" dxfId="11" text="" percent="0" bottom="0">
      <formula>"Waitlist"</formula>
    </cfRule>
  </conditionalFormatting>
  <hyperlinks>
    <hyperlink xmlns:r="http://schemas.openxmlformats.org/officeDocument/2006/relationships" ref="M2" display="https://kiro.dev/startups/" r:id="rId1"/>
    <hyperlink xmlns:r="http://schemas.openxmlformats.org/officeDocument/2006/relationships" ref="N2" display="https://aws.amazon.com/startups/credits/" r:id="rId2"/>
    <hyperlink xmlns:r="http://schemas.openxmlformats.org/officeDocument/2006/relationships" ref="O2" display="https://kiro.dev/startups/" r:id="rId3"/>
    <hyperlink xmlns:r="http://schemas.openxmlformats.org/officeDocument/2006/relationships" ref="M3" display="https://elevenlabs.io/startup-grants" r:id="rId4"/>
    <hyperlink xmlns:r="http://schemas.openxmlformats.org/officeDocument/2006/relationships" ref="N3" display="https://elevenlabs.io/startup-grants" r:id="rId5"/>
    <hyperlink xmlns:r="http://schemas.openxmlformats.org/officeDocument/2006/relationships" ref="O3" display="https://aifree.dev/offer/elevenlabs-startup-program" r:id="rId6"/>
    <hyperlink xmlns:r="http://schemas.openxmlformats.org/officeDocument/2006/relationships" ref="N4" display="https://aifree.dev/offer/together-ai-startup-accelerator" r:id="rId7"/>
    <hyperlink xmlns:r="http://schemas.openxmlformats.org/officeDocument/2006/relationships" ref="O4" display="https://aifree.dev/startup-ai-credits" r:id="rId8"/>
    <hyperlink xmlns:r="http://schemas.openxmlformats.org/officeDocument/2006/relationships" ref="N5" display="https://aifree.dev/offer/devin-for-startups" r:id="rId9"/>
    <hyperlink xmlns:r="http://schemas.openxmlformats.org/officeDocument/2006/relationships" ref="O5" display="https://aifree.dev/startup-ai-credits" r:id="rId10"/>
    <hyperlink xmlns:r="http://schemas.openxmlformats.org/officeDocument/2006/relationships" ref="N6" display="https://aifree.dev/offer/baseten-ai-startup-program" r:id="rId11"/>
    <hyperlink xmlns:r="http://schemas.openxmlformats.org/officeDocument/2006/relationships" ref="O6" display="https://aifree.dev/startup-ai-credits" r:id="rId12"/>
    <hyperlink xmlns:r="http://schemas.openxmlformats.org/officeDocument/2006/relationships" ref="N7" display="https://aifree.dev/offer/daytona-startup-grid" r:id="rId13"/>
    <hyperlink xmlns:r="http://schemas.openxmlformats.org/officeDocument/2006/relationships" ref="O7" display="https://aifree.dev/startup-ai-credits" r:id="rId14"/>
    <hyperlink xmlns:r="http://schemas.openxmlformats.org/officeDocument/2006/relationships" ref="N8" display="https://aifree.dev/offer/daytona-startup-program" r:id="rId15"/>
    <hyperlink xmlns:r="http://schemas.openxmlformats.org/officeDocument/2006/relationships" ref="O8" display="https://aifree.dev/startup-ai-credits" r:id="rId16"/>
    <hyperlink xmlns:r="http://schemas.openxmlformats.org/officeDocument/2006/relationships" ref="N9" display="https://aifree.dev/offer/langsmith-for-startups" r:id="rId17"/>
    <hyperlink xmlns:r="http://schemas.openxmlformats.org/officeDocument/2006/relationships" ref="O9" display="https://aifree.dev/startup-ai-credits" r:id="rId18"/>
    <hyperlink xmlns:r="http://schemas.openxmlformats.org/officeDocument/2006/relationships" ref="N10" display="https://aifree.dev/offer/fal-startup-program" r:id="rId19"/>
    <hyperlink xmlns:r="http://schemas.openxmlformats.org/officeDocument/2006/relationships" ref="O10" display="https://aifree.dev/startup-ai-credits" r:id="rId20"/>
    <hyperlink xmlns:r="http://schemas.openxmlformats.org/officeDocument/2006/relationships" ref="N11" display="https://aifree.dev/offer/runware-grant-program" r:id="rId21"/>
    <hyperlink xmlns:r="http://schemas.openxmlformats.org/officeDocument/2006/relationships" ref="O11" display="https://aifree.dev/startup-ai-credits" r:id="rId22"/>
    <hyperlink xmlns:r="http://schemas.openxmlformats.org/officeDocument/2006/relationships" ref="N12" display="https://aifree.dev/offer/daytona-free-compute-credits" r:id="rId23"/>
    <hyperlink xmlns:r="http://schemas.openxmlformats.org/officeDocument/2006/relationships" ref="O12" display="https://aifree.dev/startup-ai-credits" r:id="rId24"/>
    <hyperlink xmlns:r="http://schemas.openxmlformats.org/officeDocument/2006/relationships" ref="N13" display="https://aifree.dev/offer/akashml-free-token-credits" r:id="rId25"/>
    <hyperlink xmlns:r="http://schemas.openxmlformats.org/officeDocument/2006/relationships" ref="O13" display="https://aifree.dev/startup-ai-credits" r:id="rId26"/>
    <hyperlink xmlns:r="http://schemas.openxmlformats.org/officeDocument/2006/relationships" ref="N14" display="https://aifree.dev/offer/amd-ai-developer-program" r:id="rId27"/>
    <hyperlink xmlns:r="http://schemas.openxmlformats.org/officeDocument/2006/relationships" ref="O14" display="https://aifree.dev/startup-ai-credits" r:id="rId28"/>
    <hyperlink xmlns:r="http://schemas.openxmlformats.org/officeDocument/2006/relationships" ref="N15" display="https://aifree.dev/offer/anyscale-free-signup-credits" r:id="rId29"/>
    <hyperlink xmlns:r="http://schemas.openxmlformats.org/officeDocument/2006/relationships" ref="O15" display="https://aifree.dev/startup-ai-credits" r:id="rId30"/>
    <hyperlink xmlns:r="http://schemas.openxmlformats.org/officeDocument/2006/relationships" ref="N16" display="https://aifree.dev/offer/e2b-free-credits" r:id="rId31"/>
    <hyperlink xmlns:r="http://schemas.openxmlformats.org/officeDocument/2006/relationships" ref="O16" display="https://aifree.dev/startup-ai-credits" r:id="rId32"/>
    <hyperlink xmlns:r="http://schemas.openxmlformats.org/officeDocument/2006/relationships" ref="N17" display="https://aifree.dev/offer/embercloud-for-startups" r:id="rId33"/>
    <hyperlink xmlns:r="http://schemas.openxmlformats.org/officeDocument/2006/relationships" ref="O17" display="https://aifree.dev/startup-ai-credits" r:id="rId34"/>
    <hyperlink xmlns:r="http://schemas.openxmlformats.org/officeDocument/2006/relationships" ref="N18" display="https://aifree.dev/offer/novita-sandbox-free-credits" r:id="rId35"/>
    <hyperlink xmlns:r="http://schemas.openxmlformats.org/officeDocument/2006/relationships" ref="O18" display="https://aifree.dev/startup-ai-credits" r:id="rId36"/>
    <hyperlink xmlns:r="http://schemas.openxmlformats.org/officeDocument/2006/relationships" ref="N19" display="https://aifree.dev/offer/deepinfra-deepstart-free-tokens" r:id="rId37"/>
    <hyperlink xmlns:r="http://schemas.openxmlformats.org/officeDocument/2006/relationships" ref="O19" display="https://aifree.dev/startup-ai-credits" r:id="rId38"/>
    <hyperlink xmlns:r="http://schemas.openxmlformats.org/officeDocument/2006/relationships" ref="N20" display="https://aifree.dev/offer/free-ai-startup-tokens" r:id="rId39"/>
    <hyperlink xmlns:r="http://schemas.openxmlformats.org/officeDocument/2006/relationships" ref="O20" display="https://aifree.dev/startup-ai-credits" r:id="rId40"/>
    <hyperlink xmlns:r="http://schemas.openxmlformats.org/officeDocument/2006/relationships" ref="N21" display="https://aifree.dev/offer/kaggle-free-gpu-tpu" r:id="rId41"/>
    <hyperlink xmlns:r="http://schemas.openxmlformats.org/officeDocument/2006/relationships" ref="O21" display="https://aifree.dev/startup-ai-credits" r:id="rId42"/>
    <hyperlink xmlns:r="http://schemas.openxmlformats.org/officeDocument/2006/relationships" ref="N22" display="https://aifree.dev/offer/lightning-ai-free-plan" r:id="rId43"/>
    <hyperlink xmlns:r="http://schemas.openxmlformats.org/officeDocument/2006/relationships" ref="O22" display="https://aifree.dev/startup-ai-credits" r:id="rId44"/>
    <hyperlink xmlns:r="http://schemas.openxmlformats.org/officeDocument/2006/relationships" ref="N23" display="https://aifree.dev/offer/hugging-face-zerogpu-spaces" r:id="rId45"/>
    <hyperlink xmlns:r="http://schemas.openxmlformats.org/officeDocument/2006/relationships" ref="O23" display="https://aifree.dev/startup-ai-credits" r:id="rId46"/>
    <hyperlink xmlns:r="http://schemas.openxmlformats.org/officeDocument/2006/relationships" ref="N24" display="https://aifree.dev/offer/fireworks-ai-startup-program" r:id="rId47"/>
    <hyperlink xmlns:r="http://schemas.openxmlformats.org/officeDocument/2006/relationships" ref="O24" display="https://aifree.dev/startup-ai-credits" r:id="rId48"/>
    <hyperlink xmlns:r="http://schemas.openxmlformats.org/officeDocument/2006/relationships" ref="N25" display="https://aifree.dev/offer/modal-startup-program" r:id="rId49"/>
    <hyperlink xmlns:r="http://schemas.openxmlformats.org/officeDocument/2006/relationships" ref="O25" display="https://aifree.dev/startup-ai-credits" r:id="rId50"/>
    <hyperlink xmlns:r="http://schemas.openxmlformats.org/officeDocument/2006/relationships" ref="N26" display="https://aifree.dev/offer/openai-for-startups" r:id="rId51"/>
    <hyperlink xmlns:r="http://schemas.openxmlformats.org/officeDocument/2006/relationships" ref="O26" display="https://aifree.dev/startup-ai-credits" r:id="rId52"/>
    <hyperlink xmlns:r="http://schemas.openxmlformats.org/officeDocument/2006/relationships" ref="N27" display="https://aifree.dev/offer/paperspace-gradient-free-tier" r:id="rId53"/>
    <hyperlink xmlns:r="http://schemas.openxmlformats.org/officeDocument/2006/relationships" ref="O27" display="https://aifree.dev/startup-ai-credits" r:id="rId54"/>
    <hyperlink xmlns:r="http://schemas.openxmlformats.org/officeDocument/2006/relationships" ref="N28" display="https://aifree.dev/offer/pinecone-startup-program" r:id="rId55"/>
    <hyperlink xmlns:r="http://schemas.openxmlformats.org/officeDocument/2006/relationships" ref="O28" display="https://aifree.dev/startup-ai-credits" r:id="rId56"/>
    <hyperlink xmlns:r="http://schemas.openxmlformats.org/officeDocument/2006/relationships" ref="N29" display="https://aifree.dev/offer/sarvam-ai-startup-program" r:id="rId57"/>
    <hyperlink xmlns:r="http://schemas.openxmlformats.org/officeDocument/2006/relationships" ref="O29" display="https://aifree.dev/startup-ai-credits" r:id="rId58"/>
    <hyperlink xmlns:r="http://schemas.openxmlformats.org/officeDocument/2006/relationships" ref="N30" display="https://aifree.dev/offer/claude-for-startups" r:id="rId59"/>
    <hyperlink xmlns:r="http://schemas.openxmlformats.org/officeDocument/2006/relationships" ref="O30" display="https://aifree.dev/startup-ai-credits" r:id="rId6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6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4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24" customWidth="1" style="16" min="2" max="2"/>
    <col width="34" customWidth="1" style="16" min="3" max="3"/>
    <col width="26" customWidth="1" style="16" min="4" max="4"/>
    <col width="14" customWidth="1" style="16" min="5" max="5"/>
    <col width="9" customWidth="1" style="16" min="6" max="6"/>
    <col width="11" customWidth="1" style="16" min="7" max="8"/>
    <col width="55" customWidth="1" style="16" min="9" max="9"/>
    <col width="18" customWidth="1" style="16" min="10" max="10"/>
    <col width="16" customWidth="1" style="16" min="11" max="11"/>
    <col width="12" customWidth="1" style="16" min="12" max="12"/>
    <col width="30" customWidth="1" style="16" min="13" max="15"/>
  </cols>
  <sheetData>
    <row r="1" ht="46.25" customHeight="1" s="17">
      <c r="A1" s="21" t="inlineStr">
        <is>
          <t>Record ID</t>
        </is>
      </c>
      <c r="B1" s="21" t="inlineStr">
        <is>
          <t>Company Name</t>
        </is>
      </c>
      <c r="C1" s="21" t="inlineStr">
        <is>
          <t>Program Name</t>
        </is>
      </c>
      <c r="D1" s="21" t="inlineStr">
        <is>
          <t>Benefit Type</t>
        </is>
      </c>
      <c r="E1" s="21" t="inlineStr">
        <is>
          <t>Maximum Advertised Value</t>
        </is>
      </c>
      <c r="F1" s="21" t="inlineStr">
        <is>
          <t>Currency</t>
        </is>
      </c>
      <c r="G1" s="21" t="inlineStr">
        <is>
          <t>Value Type</t>
        </is>
      </c>
      <c r="H1" s="21" t="inlineStr">
        <is>
          <t>Program Status</t>
        </is>
      </c>
      <c r="I1" s="21" t="inlineStr">
        <is>
          <t>Eligibility Requirements</t>
        </is>
      </c>
      <c r="J1" s="21" t="inlineStr">
        <is>
          <t>Available to Egypt-Based Startups?</t>
        </is>
      </c>
      <c r="K1" s="21" t="inlineStr">
        <is>
          <t>Available to Bootstrapped Startups?</t>
        </is>
      </c>
      <c r="L1" s="21" t="inlineStr">
        <is>
          <t>Verification Confidence</t>
        </is>
      </c>
      <c r="M1" s="21" t="inlineStr">
        <is>
          <t>Official Program URL</t>
        </is>
      </c>
      <c r="N1" s="21" t="inlineStr">
        <is>
          <t>Official Evidence URL</t>
        </is>
      </c>
      <c r="O1" s="21" t="inlineStr">
        <is>
          <t>Secondary Evidence URL</t>
        </is>
      </c>
    </row>
    <row r="2" ht="35.05" customHeight="1" s="17">
      <c r="A2" s="19" t="inlineStr">
        <is>
          <t>SB-001</t>
        </is>
      </c>
      <c r="B2" s="19" t="inlineStr">
        <is>
          <t>Amazon Web Services</t>
        </is>
      </c>
      <c r="C2" s="19" t="inlineStr">
        <is>
          <t>AWS Activate Founders</t>
        </is>
      </c>
      <c r="D2" s="19" t="inlineStr">
        <is>
          <t>Startup credits (startup-specific)</t>
        </is>
      </c>
      <c r="E2" s="22" t="n">
        <v>5000</v>
      </c>
      <c r="F2" s="19" t="inlineStr">
        <is>
          <t>USD</t>
        </is>
      </c>
      <c r="G2" s="19" t="inlineStr">
        <is>
          <t>Credits</t>
        </is>
      </c>
      <c r="H2" s="19" t="inlineStr">
        <is>
          <t>Open</t>
        </is>
      </c>
      <c r="I2" s="19" t="inlineStr">
        <is>
          <t>Pre-Series B, founded in the last 10 years, AWS account on Paid Tier plan, and either new to Activate Credits or requesting more than previously received.</t>
        </is>
      </c>
      <c r="J2" s="19" t="inlineStr">
        <is>
          <t>Unverified</t>
        </is>
      </c>
      <c r="K2" s="19" t="inlineStr">
        <is>
          <t>Yes</t>
        </is>
      </c>
      <c r="L2" s="19" t="inlineStr">
        <is>
          <t>High</t>
        </is>
      </c>
      <c r="M2" s="24" t="inlineStr">
        <is>
          <t>https://aws.amazon.com/startups/credits/</t>
        </is>
      </c>
      <c r="N2" s="24" t="inlineStr">
        <is>
          <t>https://aws.amazon.com/startups/credits/</t>
        </is>
      </c>
      <c r="O2" s="24" t="inlineStr">
        <is>
          <t>https://aifree.dev/offer/aws-activate-credits</t>
        </is>
      </c>
    </row>
    <row r="3" ht="23.85" customHeight="1" s="17">
      <c r="A3" s="19" t="inlineStr">
        <is>
          <t>SB-002</t>
        </is>
      </c>
      <c r="B3" s="19" t="inlineStr">
        <is>
          <t>Amazon Web Services</t>
        </is>
      </c>
      <c r="C3" s="19" t="inlineStr">
        <is>
          <t>AWS Activate Portfolio</t>
        </is>
      </c>
      <c r="D3" s="19" t="inlineStr">
        <is>
          <t>Startup credits (startup-specific)</t>
        </is>
      </c>
      <c r="E3" s="22" t="n">
        <v>200000</v>
      </c>
      <c r="F3" s="19" t="inlineStr">
        <is>
          <t>USD</t>
        </is>
      </c>
      <c r="G3" s="19" t="inlineStr">
        <is>
          <t>Credits</t>
        </is>
      </c>
      <c r="H3" s="19" t="inlineStr">
        <is>
          <t>Open</t>
        </is>
      </c>
      <c r="I3" s="19" t="inlineStr">
        <is>
          <t>Pre-Series B, founded within 10 years, Paid Tier AWS account, valid Org ID from an Activate Provider.</t>
        </is>
      </c>
      <c r="J3" s="19" t="inlineStr">
        <is>
          <t>Unverified</t>
        </is>
      </c>
      <c r="K3" s="19" t="inlineStr">
        <is>
          <t>No (needs provider)</t>
        </is>
      </c>
      <c r="L3" s="19" t="inlineStr">
        <is>
          <t>High</t>
        </is>
      </c>
      <c r="M3" s="24" t="inlineStr">
        <is>
          <t>https://aws.amazon.com/startups/credits/</t>
        </is>
      </c>
      <c r="N3" s="24" t="inlineStr">
        <is>
          <t>https://aws.amazon.com/startups/credits/</t>
        </is>
      </c>
      <c r="O3" s="24" t="inlineStr">
        <is>
          <t>https://aws.amazon.com/startups/providers</t>
        </is>
      </c>
    </row>
    <row r="4" ht="23.85" customHeight="1" s="17">
      <c r="A4" s="19" t="inlineStr">
        <is>
          <t>SB-003</t>
        </is>
      </c>
      <c r="B4" s="19" t="inlineStr">
        <is>
          <t>Amazon Web Services</t>
        </is>
      </c>
      <c r="C4" s="19" t="inlineStr">
        <is>
          <t>AWS Credits for AI Startups</t>
        </is>
      </c>
      <c r="D4" s="19" t="inlineStr">
        <is>
          <t>Startup credits (startup-specific)</t>
        </is>
      </c>
      <c r="E4" s="22" t="n">
        <v>200000</v>
      </c>
      <c r="F4" s="19" t="inlineStr">
        <is>
          <t>USD</t>
        </is>
      </c>
      <c r="G4" s="19" t="inlineStr">
        <is>
          <t>Credits</t>
        </is>
      </c>
      <c r="H4" s="19" t="inlineStr">
        <is>
          <t>Waitlist</t>
        </is>
      </c>
      <c r="I4" s="19" t="inlineStr">
        <is>
          <t>Invite only; startups ready to scale after Activate Portfolio.</t>
        </is>
      </c>
      <c r="J4" s="19" t="inlineStr">
        <is>
          <t>Unverified</t>
        </is>
      </c>
      <c r="K4" s="19" t="inlineStr">
        <is>
          <t>No</t>
        </is>
      </c>
      <c r="L4" s="19" t="inlineStr">
        <is>
          <t>High</t>
        </is>
      </c>
      <c r="M4" s="24" t="inlineStr">
        <is>
          <t>https://aws.amazon.com/startups/credits/</t>
        </is>
      </c>
      <c r="N4" s="24" t="inlineStr">
        <is>
          <t>https://aws.amazon.com/startups/credits/</t>
        </is>
      </c>
      <c r="O4" s="19" t="n"/>
    </row>
    <row r="5" ht="46.25" customHeight="1" s="17">
      <c r="A5" s="19" t="inlineStr">
        <is>
          <t>SB-005</t>
        </is>
      </c>
      <c r="B5" s="19" t="inlineStr">
        <is>
          <t>Google Cloud</t>
        </is>
      </c>
      <c r="C5" s="19" t="inlineStr">
        <is>
          <t>Google for Startups Cloud Program - Start tier</t>
        </is>
      </c>
      <c r="D5" s="19" t="inlineStr">
        <is>
          <t>Startup credits (startup-specific)</t>
        </is>
      </c>
      <c r="E5" s="22" t="n">
        <v>2000</v>
      </c>
      <c r="F5" s="19" t="inlineStr">
        <is>
          <t>USD</t>
        </is>
      </c>
      <c r="G5" s="19" t="inlineStr">
        <is>
          <t>Credits</t>
        </is>
      </c>
      <c r="H5" s="19" t="inlineStr">
        <is>
          <t>Open</t>
        </is>
      </c>
      <c r="I5" s="19" t="inlineStr">
        <is>
          <t>Founded within 2 years, working MVP, clear business model, plans to seek venture funding. Business email must match website domain; active website required; GCP billing account owned by a company-domain user.</t>
        </is>
      </c>
      <c r="J5" s="19" t="inlineStr">
        <is>
          <t>Unverified (regional restrictions noted)</t>
        </is>
      </c>
      <c r="K5" s="19" t="inlineStr">
        <is>
          <t>Likely (Start tier not funding-gated)</t>
        </is>
      </c>
      <c r="L5" s="19" t="inlineStr">
        <is>
          <t>High</t>
        </is>
      </c>
      <c r="M5" s="24" t="inlineStr">
        <is>
          <t>https://cloud.google.com/startup</t>
        </is>
      </c>
      <c r="N5" s="24" t="inlineStr">
        <is>
          <t>https://cloud.google.com/startup</t>
        </is>
      </c>
      <c r="O5" s="24" t="inlineStr">
        <is>
          <t>https://aifree.dev/offer/google-cloud-ai-startup-program</t>
        </is>
      </c>
    </row>
    <row r="6" ht="46.25" customHeight="1" s="17">
      <c r="A6" s="19" t="inlineStr">
        <is>
          <t>SB-006</t>
        </is>
      </c>
      <c r="B6" s="19" t="inlineStr">
        <is>
          <t>Google Cloud</t>
        </is>
      </c>
      <c r="C6" s="19" t="inlineStr">
        <is>
          <t>Google for Startups Cloud Program - Scale / Scale AI</t>
        </is>
      </c>
      <c r="D6" s="19" t="inlineStr">
        <is>
          <t>Startup credits (startup-specific)</t>
        </is>
      </c>
      <c r="E6" s="22" t="n">
        <v>350000</v>
      </c>
      <c r="F6" s="19" t="inlineStr">
        <is>
          <t>USD</t>
        </is>
      </c>
      <c r="G6" s="19" t="inlineStr">
        <is>
          <t>Credits</t>
        </is>
      </c>
      <c r="H6" s="19" t="inlineStr">
        <is>
          <t>Open</t>
        </is>
      </c>
      <c r="I6" s="19" t="inlineStr">
        <is>
          <t>Verifiable Pre-Seed to Series A funding from a known investor, founded within the last 3-5 years depending on tier. Grants, loans, crowdfunding and friends-and-family money do not qualify for Scale tier.</t>
        </is>
      </c>
      <c r="J6" s="19" t="inlineStr">
        <is>
          <t>Unverified (regional restrictions noted)</t>
        </is>
      </c>
      <c r="K6" s="19" t="inlineStr">
        <is>
          <t>No (Scale tiers need funding)</t>
        </is>
      </c>
      <c r="L6" s="19" t="inlineStr">
        <is>
          <t>High</t>
        </is>
      </c>
      <c r="M6" s="24" t="inlineStr">
        <is>
          <t>https://cloud.google.com/startup</t>
        </is>
      </c>
      <c r="N6" s="24" t="inlineStr">
        <is>
          <t>https://cloud.google.com/startup</t>
        </is>
      </c>
      <c r="O6" s="24" t="inlineStr">
        <is>
          <t>https://aifree.dev/offer/google-cloud-ai-startup-program</t>
        </is>
      </c>
    </row>
    <row r="7" ht="35.05" customHeight="1" s="17">
      <c r="A7" s="19" t="inlineStr">
        <is>
          <t>SB-007</t>
        </is>
      </c>
      <c r="B7" s="19" t="inlineStr">
        <is>
          <t>Microsoft</t>
        </is>
      </c>
      <c r="C7" s="19" t="inlineStr">
        <is>
          <t>Microsoft for Startups Founders Hub</t>
        </is>
      </c>
      <c r="D7" s="19" t="inlineStr">
        <is>
          <t>Startup credits (startup-specific)</t>
        </is>
      </c>
      <c r="E7" s="22" t="n">
        <v>150000</v>
      </c>
      <c r="F7" s="19" t="inlineStr">
        <is>
          <t>USD</t>
        </is>
      </c>
      <c r="G7" s="19" t="inlineStr">
        <is>
          <t>Credits</t>
        </is>
      </c>
      <c r="H7" s="19" t="inlineStr">
        <is>
          <t>Open</t>
        </is>
      </c>
      <c r="I7" s="19" t="inlineStr">
        <is>
          <t>Entry reportedly open without VC backing. Secondary source lists rejection reasons: existing paid Azure customer, ineligible company type (agency, consultancy, crypto mining), unsupported region.</t>
        </is>
      </c>
      <c r="J7" s="19" t="inlineStr">
        <is>
          <t>Unverified (regional restrictions noted)</t>
        </is>
      </c>
      <c r="K7" s="19" t="inlineStr">
        <is>
          <t>Yes (reported)</t>
        </is>
      </c>
      <c r="L7" s="19" t="inlineStr">
        <is>
          <t>Medium</t>
        </is>
      </c>
      <c r="M7" s="24" t="inlineStr">
        <is>
          <t>https://www.microsoft.com/en-us/startups</t>
        </is>
      </c>
      <c r="N7" s="24" t="inlineStr">
        <is>
          <t>https://partner.microsoft.com/en-cy/partnership/founders-hub-benefits-guide</t>
        </is>
      </c>
      <c r="O7" s="24" t="inlineStr">
        <is>
          <t>https://guptadeepak.com/startup-offers/programs/microsoft-founders-hub</t>
        </is>
      </c>
    </row>
    <row r="8" ht="23.85" customHeight="1" s="17">
      <c r="A8" s="19" t="inlineStr">
        <is>
          <t>SB-018</t>
        </is>
      </c>
      <c r="B8" s="19" t="inlineStr">
        <is>
          <t>Cloudflare</t>
        </is>
      </c>
      <c r="C8" s="19" t="inlineStr">
        <is>
          <t>Cloudflare for Startups</t>
        </is>
      </c>
      <c r="D8" s="19" t="inlineStr">
        <is>
          <t>Startup credits (startup-specific)</t>
        </is>
      </c>
      <c r="E8" s="22" t="n">
        <v>350000</v>
      </c>
      <c r="F8" s="19" t="inlineStr">
        <is>
          <t>USD</t>
        </is>
      </c>
      <c r="G8" s="19" t="inlineStr">
        <is>
          <t>Credits</t>
        </is>
      </c>
      <c r="H8" s="19" t="inlineStr">
        <is>
          <t>Open</t>
        </is>
      </c>
      <c r="I8" s="19" t="inlineStr">
        <is>
          <t>Not stated</t>
        </is>
      </c>
      <c r="J8" s="19" t="inlineStr">
        <is>
          <t>Unverified</t>
        </is>
      </c>
      <c r="K8" s="19" t="inlineStr">
        <is>
          <t>Unknown</t>
        </is>
      </c>
      <c r="L8" s="19" t="inlineStr">
        <is>
          <t>Medium</t>
        </is>
      </c>
      <c r="M8" s="24" t="inlineStr">
        <is>
          <t>https://www.cloudflare.com/forstartups/</t>
        </is>
      </c>
      <c r="N8" s="24" t="inlineStr">
        <is>
          <t>https://aifree.dev/offer/cloudflare-for-startups</t>
        </is>
      </c>
      <c r="O8" s="24" t="inlineStr">
        <is>
          <t>https://aifree.dev/startup-ai-credits</t>
        </is>
      </c>
    </row>
    <row r="9" ht="23.85" customHeight="1" s="17">
      <c r="A9" s="19" t="inlineStr">
        <is>
          <t>SB-019</t>
        </is>
      </c>
      <c r="B9" s="19" t="inlineStr">
        <is>
          <t>Databricks</t>
        </is>
      </c>
      <c r="C9" s="19" t="inlineStr">
        <is>
          <t>Databricks for Startups</t>
        </is>
      </c>
      <c r="D9" s="19" t="inlineStr">
        <is>
          <t>Startup credits (startup-specific)</t>
        </is>
      </c>
      <c r="E9" s="22" t="n">
        <v>200000</v>
      </c>
      <c r="F9" s="19" t="inlineStr">
        <is>
          <t>USD</t>
        </is>
      </c>
      <c r="G9" s="19" t="inlineStr">
        <is>
          <t>Credits</t>
        </is>
      </c>
      <c r="H9" s="19" t="inlineStr">
        <is>
          <t>Open</t>
        </is>
      </c>
      <c r="I9" s="19" t="inlineStr">
        <is>
          <t>Not stated</t>
        </is>
      </c>
      <c r="J9" s="19" t="inlineStr">
        <is>
          <t>Unverified</t>
        </is>
      </c>
      <c r="K9" s="19" t="inlineStr">
        <is>
          <t>Unknown</t>
        </is>
      </c>
      <c r="L9" s="19" t="inlineStr">
        <is>
          <t>Medium</t>
        </is>
      </c>
      <c r="M9" s="19" t="inlineStr">
        <is>
          <t>Not verified this session</t>
        </is>
      </c>
      <c r="N9" s="24" t="inlineStr">
        <is>
          <t>https://aifree.dev/offer/databricks-for-startups</t>
        </is>
      </c>
      <c r="O9" s="24" t="inlineStr">
        <is>
          <t>https://aifree.dev/startup-ai-credits</t>
        </is>
      </c>
    </row>
    <row r="10" ht="23.85" customHeight="1" s="17">
      <c r="A10" s="19" t="inlineStr">
        <is>
          <t>SB-020</t>
        </is>
      </c>
      <c r="B10" s="19" t="inlineStr">
        <is>
          <t>Neon (Databricks)</t>
        </is>
      </c>
      <c r="C10" s="19" t="inlineStr">
        <is>
          <t>Neon Startup Program</t>
        </is>
      </c>
      <c r="D10" s="19" t="inlineStr">
        <is>
          <t>Startup credits (startup-specific)</t>
        </is>
      </c>
      <c r="E10" s="22" t="n"/>
      <c r="F10" s="19" t="inlineStr">
        <is>
          <t>USD</t>
        </is>
      </c>
      <c r="G10" s="19" t="inlineStr">
        <is>
          <t>Credits</t>
        </is>
      </c>
      <c r="H10" s="19" t="inlineStr">
        <is>
          <t>Open</t>
        </is>
      </c>
      <c r="I10" s="19" t="inlineStr">
        <is>
          <t>Not stated</t>
        </is>
      </c>
      <c r="J10" s="19" t="inlineStr">
        <is>
          <t>Unverified</t>
        </is>
      </c>
      <c r="K10" s="19" t="inlineStr">
        <is>
          <t>Yes (self-funded tier)</t>
        </is>
      </c>
      <c r="L10" s="19" t="inlineStr">
        <is>
          <t>Medium</t>
        </is>
      </c>
      <c r="M10" s="19" t="inlineStr">
        <is>
          <t>Not verified this session</t>
        </is>
      </c>
      <c r="N10" s="24" t="inlineStr">
        <is>
          <t>https://aifree.dev/offer/neon-startup-program</t>
        </is>
      </c>
      <c r="O10" s="24" t="inlineStr">
        <is>
          <t>https://aifree.dev/startup-ai-credits</t>
        </is>
      </c>
    </row>
    <row r="11" ht="23.85" customHeight="1" s="17">
      <c r="A11" s="19" t="inlineStr">
        <is>
          <t>SB-021</t>
        </is>
      </c>
      <c r="B11" s="19" t="inlineStr">
        <is>
          <t>Datadog</t>
        </is>
      </c>
      <c r="C11" s="19" t="inlineStr">
        <is>
          <t>Datadog for Startups</t>
        </is>
      </c>
      <c r="D11" s="19" t="inlineStr">
        <is>
          <t>Startup credits (startup-specific)</t>
        </is>
      </c>
      <c r="E11" s="22" t="n">
        <v>100000</v>
      </c>
      <c r="F11" s="19" t="inlineStr">
        <is>
          <t>USD</t>
        </is>
      </c>
      <c r="G11" s="19" t="inlineStr">
        <is>
          <t>Credits</t>
        </is>
      </c>
      <c r="H11" s="19" t="inlineStr">
        <is>
          <t>Open</t>
        </is>
      </c>
      <c r="I11" s="19" t="inlineStr">
        <is>
          <t>Not stated</t>
        </is>
      </c>
      <c r="J11" s="19" t="inlineStr">
        <is>
          <t>Unverified</t>
        </is>
      </c>
      <c r="K11" s="19" t="inlineStr">
        <is>
          <t>Unknown</t>
        </is>
      </c>
      <c r="L11" s="19" t="inlineStr">
        <is>
          <t>Medium</t>
        </is>
      </c>
      <c r="M11" s="19" t="inlineStr">
        <is>
          <t>Not verified this session</t>
        </is>
      </c>
      <c r="N11" s="24" t="inlineStr">
        <is>
          <t>https://aifree.dev/offer/datadog-for-startups</t>
        </is>
      </c>
      <c r="O11" s="24" t="inlineStr">
        <is>
          <t>https://aifree.dev/startup-ai-credits</t>
        </is>
      </c>
    </row>
    <row r="12" ht="23.85" customHeight="1" s="17">
      <c r="A12" s="19" t="inlineStr">
        <is>
          <t>SB-022</t>
        </is>
      </c>
      <c r="B12" s="19" t="inlineStr">
        <is>
          <t>Grafana Labs</t>
        </is>
      </c>
      <c r="C12" s="19" t="inlineStr">
        <is>
          <t>Grafana for Startups</t>
        </is>
      </c>
      <c r="D12" s="19" t="inlineStr">
        <is>
          <t>Startup credits (startup-specific)</t>
        </is>
      </c>
      <c r="E12" s="22" t="n">
        <v>100000</v>
      </c>
      <c r="F12" s="19" t="inlineStr">
        <is>
          <t>USD</t>
        </is>
      </c>
      <c r="G12" s="19" t="inlineStr">
        <is>
          <t>Credits</t>
        </is>
      </c>
      <c r="H12" s="19" t="inlineStr">
        <is>
          <t>Open</t>
        </is>
      </c>
      <c r="I12" s="19" t="inlineStr">
        <is>
          <t>Not stated</t>
        </is>
      </c>
      <c r="J12" s="19" t="inlineStr">
        <is>
          <t>Unverified</t>
        </is>
      </c>
      <c r="K12" s="19" t="inlineStr">
        <is>
          <t>Unknown</t>
        </is>
      </c>
      <c r="L12" s="19" t="inlineStr">
        <is>
          <t>Medium</t>
        </is>
      </c>
      <c r="M12" s="19" t="inlineStr">
        <is>
          <t>Not verified this session</t>
        </is>
      </c>
      <c r="N12" s="24" t="inlineStr">
        <is>
          <t>https://aifree.dev/offer/grafana-for-startups</t>
        </is>
      </c>
      <c r="O12" s="24" t="inlineStr">
        <is>
          <t>https://aifree.dev/startup-ai-credits</t>
        </is>
      </c>
    </row>
    <row r="13" ht="23.85" customHeight="1" s="17">
      <c r="A13" s="19" t="inlineStr">
        <is>
          <t>SB-023</t>
        </is>
      </c>
      <c r="B13" s="19" t="inlineStr">
        <is>
          <t>Render</t>
        </is>
      </c>
      <c r="C13" s="19" t="inlineStr">
        <is>
          <t>Render Startup Program</t>
        </is>
      </c>
      <c r="D13" s="19" t="inlineStr">
        <is>
          <t>Startup credits (startup-specific)</t>
        </is>
      </c>
      <c r="E13" s="22" t="n">
        <v>100000</v>
      </c>
      <c r="F13" s="19" t="inlineStr">
        <is>
          <t>USD</t>
        </is>
      </c>
      <c r="G13" s="19" t="inlineStr">
        <is>
          <t>Credits</t>
        </is>
      </c>
      <c r="H13" s="19" t="inlineStr">
        <is>
          <t>Open</t>
        </is>
      </c>
      <c r="I13" s="19" t="inlineStr">
        <is>
          <t>Not stated</t>
        </is>
      </c>
      <c r="J13" s="19" t="inlineStr">
        <is>
          <t>Unverified</t>
        </is>
      </c>
      <c r="K13" s="19" t="inlineStr">
        <is>
          <t>Unknown</t>
        </is>
      </c>
      <c r="L13" s="19" t="inlineStr">
        <is>
          <t>Medium</t>
        </is>
      </c>
      <c r="M13" s="19" t="inlineStr">
        <is>
          <t>Not verified this session</t>
        </is>
      </c>
      <c r="N13" s="24" t="inlineStr">
        <is>
          <t>https://aifree.dev/offer/render-startup-program</t>
        </is>
      </c>
      <c r="O13" s="24" t="inlineStr">
        <is>
          <t>https://aifree.dev/startup-ai-credits</t>
        </is>
      </c>
    </row>
    <row r="14" ht="23.85" customHeight="1" s="17">
      <c r="A14" s="19" t="inlineStr">
        <is>
          <t>SB-025</t>
        </is>
      </c>
      <c r="B14" s="19" t="inlineStr">
        <is>
          <t>Vercel</t>
        </is>
      </c>
      <c r="C14" s="19" t="inlineStr">
        <is>
          <t>Vercel for Startups</t>
        </is>
      </c>
      <c r="D14" s="19" t="inlineStr">
        <is>
          <t>Startup credits (startup-specific)</t>
        </is>
      </c>
      <c r="E14" s="22" t="n">
        <v>30000</v>
      </c>
      <c r="F14" s="19" t="inlineStr">
        <is>
          <t>USD</t>
        </is>
      </c>
      <c r="G14" s="19" t="inlineStr">
        <is>
          <t>Credits</t>
        </is>
      </c>
      <c r="H14" s="19" t="inlineStr">
        <is>
          <t>Open</t>
        </is>
      </c>
      <c r="I14" s="19" t="inlineStr">
        <is>
          <t>Not stated</t>
        </is>
      </c>
      <c r="J14" s="19" t="inlineStr">
        <is>
          <t>Unverified</t>
        </is>
      </c>
      <c r="K14" s="19" t="inlineStr">
        <is>
          <t>Unknown</t>
        </is>
      </c>
      <c r="L14" s="19" t="inlineStr">
        <is>
          <t>Medium</t>
        </is>
      </c>
      <c r="M14" s="19" t="inlineStr">
        <is>
          <t>Not verified this session</t>
        </is>
      </c>
      <c r="N14" s="24" t="inlineStr">
        <is>
          <t>https://aifree.dev/offer/vercel-startups</t>
        </is>
      </c>
      <c r="O14" s="24" t="inlineStr">
        <is>
          <t>https://aifree.dev/startup-ai-credits</t>
        </is>
      </c>
    </row>
    <row r="15" ht="23.85" customHeight="1" s="17">
      <c r="A15" s="19" t="inlineStr">
        <is>
          <t>SB-027</t>
        </is>
      </c>
      <c r="B15" s="19" t="inlineStr">
        <is>
          <t>Yandex Cloud</t>
        </is>
      </c>
      <c r="C15" s="19" t="inlineStr">
        <is>
          <t>Yandex Cloud Startup Credits</t>
        </is>
      </c>
      <c r="D15" s="19" t="inlineStr">
        <is>
          <t>Startup credits (startup-specific)</t>
        </is>
      </c>
      <c r="E15" s="22" t="n">
        <v>20000</v>
      </c>
      <c r="F15" s="19" t="inlineStr">
        <is>
          <t>USD</t>
        </is>
      </c>
      <c r="G15" s="19" t="inlineStr">
        <is>
          <t>Credits</t>
        </is>
      </c>
      <c r="H15" s="19" t="inlineStr">
        <is>
          <t>Open</t>
        </is>
      </c>
      <c r="I15" s="19" t="inlineStr">
        <is>
          <t>Not stated</t>
        </is>
      </c>
      <c r="J15" s="19" t="inlineStr">
        <is>
          <t>Unverified (regional restrictions noted)</t>
        </is>
      </c>
      <c r="K15" s="19" t="inlineStr">
        <is>
          <t>Unknown</t>
        </is>
      </c>
      <c r="L15" s="19" t="inlineStr">
        <is>
          <t>Low</t>
        </is>
      </c>
      <c r="M15" s="19" t="inlineStr">
        <is>
          <t>Not verified this session</t>
        </is>
      </c>
      <c r="N15" s="24" t="inlineStr">
        <is>
          <t>https://aifree.dev/offer/yandex-cloud-startup-credits</t>
        </is>
      </c>
      <c r="O15" s="24" t="inlineStr">
        <is>
          <t>https://aifree.dev/startup-ai-credits</t>
        </is>
      </c>
    </row>
    <row r="16" ht="23.85" customHeight="1" s="17">
      <c r="A16" s="19" t="inlineStr">
        <is>
          <t>SB-028</t>
        </is>
      </c>
      <c r="B16" s="19" t="inlineStr">
        <is>
          <t>Neo4j</t>
        </is>
      </c>
      <c r="C16" s="19" t="inlineStr">
        <is>
          <t>Neo4j Startup Program</t>
        </is>
      </c>
      <c r="D16" s="19" t="inlineStr">
        <is>
          <t>Startup credits (startup-specific)</t>
        </is>
      </c>
      <c r="E16" s="22" t="n">
        <v>16000</v>
      </c>
      <c r="F16" s="19" t="inlineStr">
        <is>
          <t>USD</t>
        </is>
      </c>
      <c r="G16" s="19" t="inlineStr">
        <is>
          <t>Credits</t>
        </is>
      </c>
      <c r="H16" s="19" t="inlineStr">
        <is>
          <t>Open</t>
        </is>
      </c>
      <c r="I16" s="19" t="inlineStr">
        <is>
          <t>Not stated</t>
        </is>
      </c>
      <c r="J16" s="19" t="inlineStr">
        <is>
          <t>Unverified</t>
        </is>
      </c>
      <c r="K16" s="19" t="inlineStr">
        <is>
          <t>Unknown</t>
        </is>
      </c>
      <c r="L16" s="19" t="inlineStr">
        <is>
          <t>Medium</t>
        </is>
      </c>
      <c r="M16" s="19" t="inlineStr">
        <is>
          <t>Not verified this session</t>
        </is>
      </c>
      <c r="N16" s="24" t="inlineStr">
        <is>
          <t>https://aifree.dev/offer/neo4j-startup-program</t>
        </is>
      </c>
      <c r="O16" s="24" t="inlineStr">
        <is>
          <t>https://aifree.dev/startup-ai-credits</t>
        </is>
      </c>
    </row>
    <row r="17" ht="23.85" customHeight="1" s="17">
      <c r="A17" s="19" t="inlineStr">
        <is>
          <t>SB-031</t>
        </is>
      </c>
      <c r="B17" s="19" t="inlineStr">
        <is>
          <t>ClickHouse</t>
        </is>
      </c>
      <c r="C17" s="19" t="inlineStr">
        <is>
          <t>ClickHouse Cloud for Y Combinator</t>
        </is>
      </c>
      <c r="D17" s="19" t="inlineStr">
        <is>
          <t>Startup credits (startup-specific)</t>
        </is>
      </c>
      <c r="E17" s="22" t="n">
        <v>10000</v>
      </c>
      <c r="F17" s="19" t="inlineStr">
        <is>
          <t>USD</t>
        </is>
      </c>
      <c r="G17" s="19" t="inlineStr">
        <is>
          <t>Credits</t>
        </is>
      </c>
      <c r="H17" s="19" t="inlineStr">
        <is>
          <t>Open</t>
        </is>
      </c>
      <c r="I17" s="19" t="inlineStr">
        <is>
          <t>Not stated</t>
        </is>
      </c>
      <c r="J17" s="19" t="inlineStr">
        <is>
          <t>Unverified</t>
        </is>
      </c>
      <c r="K17" s="19" t="inlineStr">
        <is>
          <t>Unknown</t>
        </is>
      </c>
      <c r="L17" s="19" t="inlineStr">
        <is>
          <t>Medium</t>
        </is>
      </c>
      <c r="M17" s="19" t="inlineStr">
        <is>
          <t>Not verified this session</t>
        </is>
      </c>
      <c r="N17" s="24" t="inlineStr">
        <is>
          <t>https://aifree.dev/offer/clickhouse-cloud-yc-credits</t>
        </is>
      </c>
      <c r="O17" s="24" t="inlineStr">
        <is>
          <t>https://aifree.dev/startup-ai-credits</t>
        </is>
      </c>
    </row>
    <row r="18" ht="23.85" customHeight="1" s="17">
      <c r="A18" s="19" t="inlineStr">
        <is>
          <t>SB-034</t>
        </is>
      </c>
      <c r="B18" s="19" t="inlineStr">
        <is>
          <t>GitHub (Microsoft)</t>
        </is>
      </c>
      <c r="C18" s="19" t="inlineStr">
        <is>
          <t>GitHub for Startups</t>
        </is>
      </c>
      <c r="D18" s="19" t="inlineStr">
        <is>
          <t>Startup credits (startup-specific)</t>
        </is>
      </c>
      <c r="E18" s="22" t="n">
        <v>10000</v>
      </c>
      <c r="F18" s="19" t="inlineStr">
        <is>
          <t>USD</t>
        </is>
      </c>
      <c r="G18" s="19" t="inlineStr">
        <is>
          <t>Credits</t>
        </is>
      </c>
      <c r="H18" s="19" t="inlineStr">
        <is>
          <t>Open</t>
        </is>
      </c>
      <c r="I18" s="19" t="inlineStr">
        <is>
          <t>Not stated</t>
        </is>
      </c>
      <c r="J18" s="19" t="inlineStr">
        <is>
          <t>Unverified</t>
        </is>
      </c>
      <c r="K18" s="19" t="inlineStr">
        <is>
          <t>Unknown</t>
        </is>
      </c>
      <c r="L18" s="19" t="inlineStr">
        <is>
          <t>Medium</t>
        </is>
      </c>
      <c r="M18" s="19" t="inlineStr">
        <is>
          <t>Not verified this session</t>
        </is>
      </c>
      <c r="N18" s="24" t="inlineStr">
        <is>
          <t>https://aifree.dev/offer/github-for-startups</t>
        </is>
      </c>
      <c r="O18" s="24" t="inlineStr">
        <is>
          <t>https://aifree.dev/startup-ai-credits</t>
        </is>
      </c>
    </row>
    <row r="19" ht="23.85" customHeight="1" s="17">
      <c r="A19" s="19" t="inlineStr">
        <is>
          <t>SB-035</t>
        </is>
      </c>
      <c r="B19" s="19" t="inlineStr">
        <is>
          <t>Indent</t>
        </is>
      </c>
      <c r="C19" s="19" t="inlineStr">
        <is>
          <t>Indent for Startups</t>
        </is>
      </c>
      <c r="D19" s="19" t="inlineStr">
        <is>
          <t>Startup credits (startup-specific)</t>
        </is>
      </c>
      <c r="E19" s="22" t="n">
        <v>10000</v>
      </c>
      <c r="F19" s="19" t="inlineStr">
        <is>
          <t>USD</t>
        </is>
      </c>
      <c r="G19" s="19" t="inlineStr">
        <is>
          <t>Credits</t>
        </is>
      </c>
      <c r="H19" s="19" t="inlineStr">
        <is>
          <t>Open</t>
        </is>
      </c>
      <c r="I19" s="19" t="inlineStr">
        <is>
          <t>Not stated</t>
        </is>
      </c>
      <c r="J19" s="19" t="inlineStr">
        <is>
          <t>Unverified</t>
        </is>
      </c>
      <c r="K19" s="19" t="inlineStr">
        <is>
          <t>Unknown</t>
        </is>
      </c>
      <c r="L19" s="19" t="inlineStr">
        <is>
          <t>Medium</t>
        </is>
      </c>
      <c r="M19" s="19" t="inlineStr">
        <is>
          <t>Not verified this session</t>
        </is>
      </c>
      <c r="N19" s="24" t="inlineStr">
        <is>
          <t>https://aifree.dev/offer/indent-for-startups</t>
        </is>
      </c>
      <c r="O19" s="24" t="inlineStr">
        <is>
          <t>https://aifree.dev/startup-ai-credits</t>
        </is>
      </c>
    </row>
    <row r="20" ht="23.85" customHeight="1" s="17">
      <c r="A20" s="19" t="inlineStr">
        <is>
          <t>SB-038</t>
        </is>
      </c>
      <c r="B20" s="19" t="inlineStr">
        <is>
          <t>Sentry</t>
        </is>
      </c>
      <c r="C20" s="19" t="inlineStr">
        <is>
          <t>Sentry for Startups</t>
        </is>
      </c>
      <c r="D20" s="19" t="inlineStr">
        <is>
          <t>Startup credits (startup-specific)</t>
        </is>
      </c>
      <c r="E20" s="22" t="n">
        <v>5000</v>
      </c>
      <c r="F20" s="19" t="inlineStr">
        <is>
          <t>USD</t>
        </is>
      </c>
      <c r="G20" s="19" t="inlineStr">
        <is>
          <t>Credits</t>
        </is>
      </c>
      <c r="H20" s="19" t="inlineStr">
        <is>
          <t>Open</t>
        </is>
      </c>
      <c r="I20" s="19" t="inlineStr">
        <is>
          <t>Not stated</t>
        </is>
      </c>
      <c r="J20" s="19" t="inlineStr">
        <is>
          <t>Unverified</t>
        </is>
      </c>
      <c r="K20" s="19" t="inlineStr">
        <is>
          <t>Unknown</t>
        </is>
      </c>
      <c r="L20" s="19" t="inlineStr">
        <is>
          <t>Medium</t>
        </is>
      </c>
      <c r="M20" s="19" t="inlineStr">
        <is>
          <t>Not verified this session</t>
        </is>
      </c>
      <c r="N20" s="24" t="inlineStr">
        <is>
          <t>https://aifree.dev/offer/sentry-for-startups</t>
        </is>
      </c>
      <c r="O20" s="24" t="inlineStr">
        <is>
          <t>https://aifree.dev/startup-ai-credits</t>
        </is>
      </c>
    </row>
    <row r="21" ht="23.85" customHeight="1" s="17">
      <c r="A21" s="19" t="inlineStr">
        <is>
          <t>SB-040</t>
        </is>
      </c>
      <c r="B21" s="19" t="inlineStr">
        <is>
          <t>RunPod</t>
        </is>
      </c>
      <c r="C21" s="19" t="inlineStr">
        <is>
          <t>RunPod Startup Program</t>
        </is>
      </c>
      <c r="D21" s="19" t="inlineStr">
        <is>
          <t>Startup credits (startup-specific)</t>
        </is>
      </c>
      <c r="E21" s="22" t="n">
        <v>1000</v>
      </c>
      <c r="F21" s="19" t="inlineStr">
        <is>
          <t>USD</t>
        </is>
      </c>
      <c r="G21" s="19" t="inlineStr">
        <is>
          <t>Credits</t>
        </is>
      </c>
      <c r="H21" s="19" t="inlineStr">
        <is>
          <t>Open</t>
        </is>
      </c>
      <c r="I21" s="19" t="inlineStr">
        <is>
          <t>Not stated</t>
        </is>
      </c>
      <c r="J21" s="19" t="inlineStr">
        <is>
          <t>Unverified</t>
        </is>
      </c>
      <c r="K21" s="19" t="inlineStr">
        <is>
          <t>Unknown</t>
        </is>
      </c>
      <c r="L21" s="19" t="inlineStr">
        <is>
          <t>Medium</t>
        </is>
      </c>
      <c r="M21" s="19" t="inlineStr">
        <is>
          <t>Not verified this session</t>
        </is>
      </c>
      <c r="N21" s="24" t="inlineStr">
        <is>
          <t>https://aifree.dev/offer/runpod-startup-program</t>
        </is>
      </c>
      <c r="O21" s="24" t="inlineStr">
        <is>
          <t>https://aifree.dev/startup-ai-credits</t>
        </is>
      </c>
    </row>
    <row r="22" ht="23.85" customHeight="1" s="17">
      <c r="A22" s="19" t="inlineStr">
        <is>
          <t>SB-042</t>
        </is>
      </c>
      <c r="B22" s="19" t="inlineStr">
        <is>
          <t>UpCloud</t>
        </is>
      </c>
      <c r="C22" s="19" t="inlineStr">
        <is>
          <t>UpCloud free trial credits</t>
        </is>
      </c>
      <c r="D22" s="19" t="inlineStr">
        <is>
          <t>Free trial credit (not startup-exclusive)</t>
        </is>
      </c>
      <c r="E22" s="22" t="n">
        <v>500</v>
      </c>
      <c r="F22" s="19" t="inlineStr">
        <is>
          <t>USD</t>
        </is>
      </c>
      <c r="G22" s="19" t="inlineStr">
        <is>
          <t>Credits</t>
        </is>
      </c>
      <c r="H22" s="19" t="inlineStr">
        <is>
          <t>Open</t>
        </is>
      </c>
      <c r="I22" s="19" t="inlineStr">
        <is>
          <t>Not stated</t>
        </is>
      </c>
      <c r="J22" s="19" t="inlineStr">
        <is>
          <t>Unverified</t>
        </is>
      </c>
      <c r="K22" s="19" t="inlineStr">
        <is>
          <t>Unknown</t>
        </is>
      </c>
      <c r="L22" s="19" t="inlineStr">
        <is>
          <t>Medium</t>
        </is>
      </c>
      <c r="M22" s="19" t="inlineStr">
        <is>
          <t>Not verified this session</t>
        </is>
      </c>
      <c r="N22" s="24" t="inlineStr">
        <is>
          <t>https://aifree.dev/offer/upcloud-free-trial-credits</t>
        </is>
      </c>
      <c r="O22" s="24" t="inlineStr">
        <is>
          <t>https://aifree.dev/startup-ai-credits</t>
        </is>
      </c>
    </row>
    <row r="23" ht="23.85" customHeight="1" s="17">
      <c r="A23" s="19" t="inlineStr">
        <is>
          <t>SB-043</t>
        </is>
      </c>
      <c r="B23" s="19" t="inlineStr">
        <is>
          <t>Google Cloud</t>
        </is>
      </c>
      <c r="C23" s="19" t="inlineStr">
        <is>
          <t>Google Cloud Free Program ($300)</t>
        </is>
      </c>
      <c r="D23" s="19" t="inlineStr">
        <is>
          <t>Free trial credit (not startup-exclusive)</t>
        </is>
      </c>
      <c r="E23" s="22" t="n">
        <v>300</v>
      </c>
      <c r="F23" s="19" t="inlineStr">
        <is>
          <t>USD</t>
        </is>
      </c>
      <c r="G23" s="19" t="inlineStr">
        <is>
          <t>Credits</t>
        </is>
      </c>
      <c r="H23" s="19" t="inlineStr">
        <is>
          <t>Open</t>
        </is>
      </c>
      <c r="I23" s="19" t="inlineStr">
        <is>
          <t>Not stated</t>
        </is>
      </c>
      <c r="J23" s="19" t="inlineStr">
        <is>
          <t>Unverified</t>
        </is>
      </c>
      <c r="K23" s="19" t="inlineStr">
        <is>
          <t>Unknown</t>
        </is>
      </c>
      <c r="L23" s="19" t="inlineStr">
        <is>
          <t>Medium</t>
        </is>
      </c>
      <c r="M23" s="19" t="inlineStr">
        <is>
          <t>Not verified this session</t>
        </is>
      </c>
      <c r="N23" s="24" t="inlineStr">
        <is>
          <t>https://aifree.dev/offer/google-cloud-free-program</t>
        </is>
      </c>
      <c r="O23" s="24" t="inlineStr">
        <is>
          <t>https://aifree.dev/startup-ai-credits</t>
        </is>
      </c>
    </row>
    <row r="24" ht="23.85" customHeight="1" s="17">
      <c r="A24" s="19" t="inlineStr">
        <is>
          <t>SB-044</t>
        </is>
      </c>
      <c r="B24" s="19" t="inlineStr">
        <is>
          <t>Oracle</t>
        </is>
      </c>
      <c r="C24" s="19" t="inlineStr">
        <is>
          <t>Oracle Cloud Free Tier</t>
        </is>
      </c>
      <c r="D24" s="19" t="inlineStr">
        <is>
          <t>Free trial credit (not startup-exclusive)</t>
        </is>
      </c>
      <c r="E24" s="22" t="n">
        <v>300</v>
      </c>
      <c r="F24" s="19" t="inlineStr">
        <is>
          <t>USD</t>
        </is>
      </c>
      <c r="G24" s="19" t="inlineStr">
        <is>
          <t>Credits</t>
        </is>
      </c>
      <c r="H24" s="19" t="inlineStr">
        <is>
          <t>Open</t>
        </is>
      </c>
      <c r="I24" s="19" t="inlineStr">
        <is>
          <t>Not stated</t>
        </is>
      </c>
      <c r="J24" s="19" t="inlineStr">
        <is>
          <t>Unverified</t>
        </is>
      </c>
      <c r="K24" s="19" t="inlineStr">
        <is>
          <t>Unknown</t>
        </is>
      </c>
      <c r="L24" s="19" t="inlineStr">
        <is>
          <t>Medium</t>
        </is>
      </c>
      <c r="M24" s="19" t="inlineStr">
        <is>
          <t>Not verified this session</t>
        </is>
      </c>
      <c r="N24" s="24" t="inlineStr">
        <is>
          <t>https://aifree.dev/offer/oracle-cloud-free-tier</t>
        </is>
      </c>
      <c r="O24" s="24" t="inlineStr">
        <is>
          <t>https://aifree.dev/startup-ai-credits</t>
        </is>
      </c>
    </row>
    <row r="25" ht="23.85" customHeight="1" s="17">
      <c r="A25" s="19" t="inlineStr">
        <is>
          <t>SB-045</t>
        </is>
      </c>
      <c r="B25" s="19" t="inlineStr">
        <is>
          <t>Vultr</t>
        </is>
      </c>
      <c r="C25" s="19" t="inlineStr">
        <is>
          <t>Vultr free trial credits</t>
        </is>
      </c>
      <c r="D25" s="19" t="inlineStr">
        <is>
          <t>Free trial credit (not startup-exclusive)</t>
        </is>
      </c>
      <c r="E25" s="22" t="n">
        <v>300</v>
      </c>
      <c r="F25" s="19" t="inlineStr">
        <is>
          <t>USD</t>
        </is>
      </c>
      <c r="G25" s="19" t="inlineStr">
        <is>
          <t>Credits</t>
        </is>
      </c>
      <c r="H25" s="19" t="inlineStr">
        <is>
          <t>Open</t>
        </is>
      </c>
      <c r="I25" s="19" t="inlineStr">
        <is>
          <t>Not stated</t>
        </is>
      </c>
      <c r="J25" s="19" t="inlineStr">
        <is>
          <t>Unverified</t>
        </is>
      </c>
      <c r="K25" s="19" t="inlineStr">
        <is>
          <t>Unknown</t>
        </is>
      </c>
      <c r="L25" s="19" t="inlineStr">
        <is>
          <t>Medium</t>
        </is>
      </c>
      <c r="M25" s="19" t="inlineStr">
        <is>
          <t>Not verified this session</t>
        </is>
      </c>
      <c r="N25" s="24" t="inlineStr">
        <is>
          <t>https://aifree.dev/offer/vultr-free-trial-credits</t>
        </is>
      </c>
      <c r="O25" s="24" t="inlineStr">
        <is>
          <t>https://aifree.dev/startup-ai-credits</t>
        </is>
      </c>
    </row>
    <row r="26" ht="23.85" customHeight="1" s="17">
      <c r="A26" s="19" t="inlineStr">
        <is>
          <t>SB-046</t>
        </is>
      </c>
      <c r="B26" s="19" t="inlineStr">
        <is>
          <t>Civo</t>
        </is>
      </c>
      <c r="C26" s="19" t="inlineStr">
        <is>
          <t>Civo $250 free trial credit</t>
        </is>
      </c>
      <c r="D26" s="19" t="inlineStr">
        <is>
          <t>Free trial credit (not startup-exclusive)</t>
        </is>
      </c>
      <c r="E26" s="22" t="n">
        <v>250</v>
      </c>
      <c r="F26" s="19" t="inlineStr">
        <is>
          <t>USD</t>
        </is>
      </c>
      <c r="G26" s="19" t="inlineStr">
        <is>
          <t>Credits</t>
        </is>
      </c>
      <c r="H26" s="19" t="inlineStr">
        <is>
          <t>Open</t>
        </is>
      </c>
      <c r="I26" s="19" t="inlineStr">
        <is>
          <t>Not stated</t>
        </is>
      </c>
      <c r="J26" s="19" t="inlineStr">
        <is>
          <t>Unverified</t>
        </is>
      </c>
      <c r="K26" s="19" t="inlineStr">
        <is>
          <t>Unknown</t>
        </is>
      </c>
      <c r="L26" s="19" t="inlineStr">
        <is>
          <t>Medium</t>
        </is>
      </c>
      <c r="M26" s="19" t="inlineStr">
        <is>
          <t>Not verified this session</t>
        </is>
      </c>
      <c r="N26" s="24" t="inlineStr">
        <is>
          <t>https://aifree.dev/offer/civo-free-trial-credit</t>
        </is>
      </c>
      <c r="O26" s="24" t="inlineStr">
        <is>
          <t>https://aifree.dev/startup-ai-credits</t>
        </is>
      </c>
    </row>
    <row r="27" ht="23.85" customHeight="1" s="17">
      <c r="A27" s="19" t="inlineStr">
        <is>
          <t>SB-047</t>
        </is>
      </c>
      <c r="B27" s="19" t="inlineStr">
        <is>
          <t>IBM</t>
        </is>
      </c>
      <c r="C27" s="19" t="inlineStr">
        <is>
          <t>IBM Cloud free tier</t>
        </is>
      </c>
      <c r="D27" s="19" t="inlineStr">
        <is>
          <t>Free trial credit (not startup-exclusive)</t>
        </is>
      </c>
      <c r="E27" s="22" t="n">
        <v>200</v>
      </c>
      <c r="F27" s="19" t="inlineStr">
        <is>
          <t>USD</t>
        </is>
      </c>
      <c r="G27" s="19" t="inlineStr">
        <is>
          <t>Credits</t>
        </is>
      </c>
      <c r="H27" s="19" t="inlineStr">
        <is>
          <t>Open</t>
        </is>
      </c>
      <c r="I27" s="19" t="inlineStr">
        <is>
          <t>Not stated</t>
        </is>
      </c>
      <c r="J27" s="19" t="inlineStr">
        <is>
          <t>Unverified</t>
        </is>
      </c>
      <c r="K27" s="19" t="inlineStr">
        <is>
          <t>Unknown</t>
        </is>
      </c>
      <c r="L27" s="19" t="inlineStr">
        <is>
          <t>Medium</t>
        </is>
      </c>
      <c r="M27" s="19" t="inlineStr">
        <is>
          <t>Not verified this session</t>
        </is>
      </c>
      <c r="N27" s="24" t="inlineStr">
        <is>
          <t>https://aifree.dev/offer/ibm-cloud-free-tier</t>
        </is>
      </c>
      <c r="O27" s="24" t="inlineStr">
        <is>
          <t>https://aifree.dev/startup-ai-credits</t>
        </is>
      </c>
    </row>
    <row r="28" ht="23.85" customHeight="1" s="17">
      <c r="A28" s="19" t="inlineStr">
        <is>
          <t>SB-049</t>
        </is>
      </c>
      <c r="B28" s="19" t="inlineStr">
        <is>
          <t>IONOS</t>
        </is>
      </c>
      <c r="C28" s="19" t="inlineStr">
        <is>
          <t>IONOS Cloud free trial credit</t>
        </is>
      </c>
      <c r="D28" s="19" t="inlineStr">
        <is>
          <t>Free trial credit (not startup-exclusive)</t>
        </is>
      </c>
      <c r="E28" s="22" t="n">
        <v>200</v>
      </c>
      <c r="F28" s="19" t="inlineStr">
        <is>
          <t>USD</t>
        </is>
      </c>
      <c r="G28" s="19" t="inlineStr">
        <is>
          <t>Credits</t>
        </is>
      </c>
      <c r="H28" s="19" t="inlineStr">
        <is>
          <t>Open</t>
        </is>
      </c>
      <c r="I28" s="19" t="inlineStr">
        <is>
          <t>Not stated</t>
        </is>
      </c>
      <c r="J28" s="19" t="inlineStr">
        <is>
          <t>Unverified</t>
        </is>
      </c>
      <c r="K28" s="19" t="inlineStr">
        <is>
          <t>Unknown</t>
        </is>
      </c>
      <c r="L28" s="19" t="inlineStr">
        <is>
          <t>Medium</t>
        </is>
      </c>
      <c r="M28" s="19" t="inlineStr">
        <is>
          <t>Not verified this session</t>
        </is>
      </c>
      <c r="N28" s="24" t="inlineStr">
        <is>
          <t>https://aifree.dev/offer/ionos-cloud-free-trial-credit</t>
        </is>
      </c>
      <c r="O28" s="24" t="inlineStr">
        <is>
          <t>https://aifree.dev/startup-ai-credits</t>
        </is>
      </c>
    </row>
    <row r="29" ht="23.85" customHeight="1" s="17">
      <c r="A29" s="19" t="inlineStr">
        <is>
          <t>SB-050</t>
        </is>
      </c>
      <c r="B29" s="19" t="inlineStr">
        <is>
          <t>Akamai (Linode)</t>
        </is>
      </c>
      <c r="C29" s="19" t="inlineStr">
        <is>
          <t>Akamai Cloud $100 credit</t>
        </is>
      </c>
      <c r="D29" s="19" t="inlineStr">
        <is>
          <t>Free trial credit (not startup-exclusive)</t>
        </is>
      </c>
      <c r="E29" s="22" t="n">
        <v>100</v>
      </c>
      <c r="F29" s="19" t="inlineStr">
        <is>
          <t>USD</t>
        </is>
      </c>
      <c r="G29" s="19" t="inlineStr">
        <is>
          <t>Credits</t>
        </is>
      </c>
      <c r="H29" s="19" t="inlineStr">
        <is>
          <t>Open</t>
        </is>
      </c>
      <c r="I29" s="19" t="inlineStr">
        <is>
          <t>Not stated</t>
        </is>
      </c>
      <c r="J29" s="19" t="inlineStr">
        <is>
          <t>Unverified</t>
        </is>
      </c>
      <c r="K29" s="19" t="inlineStr">
        <is>
          <t>Unknown</t>
        </is>
      </c>
      <c r="L29" s="19" t="inlineStr">
        <is>
          <t>Medium</t>
        </is>
      </c>
      <c r="M29" s="19" t="inlineStr">
        <is>
          <t>Not verified this session</t>
        </is>
      </c>
      <c r="N29" s="24" t="inlineStr">
        <is>
          <t>https://aifree.dev/offer/akamai-cloud-100-free-credit</t>
        </is>
      </c>
      <c r="O29" s="24" t="inlineStr">
        <is>
          <t>https://aifree.dev/startup-ai-credits</t>
        </is>
      </c>
    </row>
    <row r="30" ht="23.85" customHeight="1" s="17">
      <c r="A30" s="19" t="inlineStr">
        <is>
          <t>SB-057</t>
        </is>
      </c>
      <c r="B30" s="19" t="inlineStr">
        <is>
          <t>Alibaba Cloud</t>
        </is>
      </c>
      <c r="C30" s="19" t="inlineStr">
        <is>
          <t>Alibaba Cloud free trial</t>
        </is>
      </c>
      <c r="D30" s="19" t="inlineStr">
        <is>
          <t>Free trial credit (not startup-exclusive)</t>
        </is>
      </c>
      <c r="E30" s="22" t="n">
        <v>90</v>
      </c>
      <c r="F30" s="19" t="inlineStr">
        <is>
          <t>USD</t>
        </is>
      </c>
      <c r="G30" s="19" t="inlineStr">
        <is>
          <t>Credits</t>
        </is>
      </c>
      <c r="H30" s="19" t="inlineStr">
        <is>
          <t>Open</t>
        </is>
      </c>
      <c r="I30" s="19" t="inlineStr">
        <is>
          <t>Not stated</t>
        </is>
      </c>
      <c r="J30" s="19" t="inlineStr">
        <is>
          <t>Unverified</t>
        </is>
      </c>
      <c r="K30" s="19" t="inlineStr">
        <is>
          <t>Unknown</t>
        </is>
      </c>
      <c r="L30" s="19" t="inlineStr">
        <is>
          <t>Medium</t>
        </is>
      </c>
      <c r="M30" s="19" t="inlineStr">
        <is>
          <t>Not verified this session</t>
        </is>
      </c>
      <c r="N30" s="24" t="inlineStr">
        <is>
          <t>https://aifree.dev/offer/alibaba-cloud-free-trial</t>
        </is>
      </c>
      <c r="O30" s="24" t="inlineStr">
        <is>
          <t>https://aifree.dev/startup-ai-credits</t>
        </is>
      </c>
    </row>
    <row r="31" ht="23.85" customHeight="1" s="17">
      <c r="A31" s="19" t="inlineStr">
        <is>
          <t>SB-058</t>
        </is>
      </c>
      <c r="B31" s="19" t="inlineStr">
        <is>
          <t>Railway</t>
        </is>
      </c>
      <c r="C31" s="19" t="inlineStr">
        <is>
          <t>Railway free plan and trial credit</t>
        </is>
      </c>
      <c r="D31" s="19" t="inlineStr">
        <is>
          <t>Free trial credit (not startup-exclusive)</t>
        </is>
      </c>
      <c r="E31" s="22" t="n">
        <v>5</v>
      </c>
      <c r="F31" s="19" t="inlineStr">
        <is>
          <t>USD</t>
        </is>
      </c>
      <c r="G31" s="19" t="inlineStr">
        <is>
          <t>Credits</t>
        </is>
      </c>
      <c r="H31" s="19" t="inlineStr">
        <is>
          <t>Open</t>
        </is>
      </c>
      <c r="I31" s="19" t="inlineStr">
        <is>
          <t>Not stated</t>
        </is>
      </c>
      <c r="J31" s="19" t="inlineStr">
        <is>
          <t>Unverified</t>
        </is>
      </c>
      <c r="K31" s="19" t="inlineStr">
        <is>
          <t>Unknown</t>
        </is>
      </c>
      <c r="L31" s="19" t="inlineStr">
        <is>
          <t>Medium</t>
        </is>
      </c>
      <c r="M31" s="19" t="inlineStr">
        <is>
          <t>Not verified this session</t>
        </is>
      </c>
      <c r="N31" s="24" t="inlineStr">
        <is>
          <t>https://aifree.dev/offer/railway-free-plan-and-trial-credits</t>
        </is>
      </c>
      <c r="O31" s="24" t="inlineStr">
        <is>
          <t>https://aifree.dev/startup-ai-credits</t>
        </is>
      </c>
    </row>
    <row r="32" ht="23.85" customHeight="1" s="17">
      <c r="A32" s="19" t="inlineStr">
        <is>
          <t>SB-061</t>
        </is>
      </c>
      <c r="B32" s="19" t="inlineStr">
        <is>
          <t>Netlify</t>
        </is>
      </c>
      <c r="C32" s="19" t="inlineStr">
        <is>
          <t>Netlify free plan</t>
        </is>
      </c>
      <c r="D32" s="19" t="inlineStr">
        <is>
          <t>Free tier (ongoing, not startup-exclusive)</t>
        </is>
      </c>
      <c r="E32" s="22" t="n"/>
      <c r="F32" s="19" t="inlineStr">
        <is>
          <t>USD</t>
        </is>
      </c>
      <c r="G32" s="19" t="inlineStr">
        <is>
          <t>Unknown</t>
        </is>
      </c>
      <c r="H32" s="19" t="inlineStr">
        <is>
          <t>Open</t>
        </is>
      </c>
      <c r="I32" s="19" t="inlineStr">
        <is>
          <t>Not stated</t>
        </is>
      </c>
      <c r="J32" s="19" t="inlineStr">
        <is>
          <t>Unverified</t>
        </is>
      </c>
      <c r="K32" s="19" t="inlineStr">
        <is>
          <t>Unknown</t>
        </is>
      </c>
      <c r="L32" s="19" t="inlineStr">
        <is>
          <t>Medium</t>
        </is>
      </c>
      <c r="M32" s="19" t="inlineStr">
        <is>
          <t>Not verified this session</t>
        </is>
      </c>
      <c r="N32" s="24" t="inlineStr">
        <is>
          <t>https://aifree.dev/offer/netlify-free-plan</t>
        </is>
      </c>
      <c r="O32" s="24" t="inlineStr">
        <is>
          <t>https://aifree.dev/startup-ai-credits</t>
        </is>
      </c>
    </row>
    <row r="33" ht="23.85" customHeight="1" s="17">
      <c r="A33" s="19" t="inlineStr">
        <is>
          <t>SB-067</t>
        </is>
      </c>
      <c r="B33" s="19" t="inlineStr">
        <is>
          <t>Convex</t>
        </is>
      </c>
      <c r="C33" s="19" t="inlineStr">
        <is>
          <t>Convex for Startups</t>
        </is>
      </c>
      <c r="D33" s="19" t="inlineStr">
        <is>
          <t>Startup plan / free subscription period</t>
        </is>
      </c>
      <c r="E33" s="22" t="n">
        <v>30000</v>
      </c>
      <c r="F33" s="19" t="inlineStr">
        <is>
          <t>USD</t>
        </is>
      </c>
      <c r="G33" s="19" t="inlineStr">
        <is>
          <t>Discount</t>
        </is>
      </c>
      <c r="H33" s="19" t="inlineStr">
        <is>
          <t>Open</t>
        </is>
      </c>
      <c r="I33" s="19" t="inlineStr">
        <is>
          <t>Not stated</t>
        </is>
      </c>
      <c r="J33" s="19" t="inlineStr">
        <is>
          <t>Unverified</t>
        </is>
      </c>
      <c r="K33" s="19" t="inlineStr">
        <is>
          <t>Unknown</t>
        </is>
      </c>
      <c r="L33" s="19" t="inlineStr">
        <is>
          <t>Medium</t>
        </is>
      </c>
      <c r="M33" s="19" t="inlineStr">
        <is>
          <t>Not verified this session</t>
        </is>
      </c>
      <c r="N33" s="24" t="inlineStr">
        <is>
          <t>https://aifree.dev/offer/convex-for-startups</t>
        </is>
      </c>
      <c r="O33" s="24" t="inlineStr">
        <is>
          <t>https://aifree.dev/startup-ai-credits</t>
        </is>
      </c>
    </row>
    <row r="34" ht="23.85" customHeight="1" s="17">
      <c r="A34" s="19" t="inlineStr">
        <is>
          <t>SB-069</t>
        </is>
      </c>
      <c r="B34" s="19" t="inlineStr">
        <is>
          <t>DigitalOcean</t>
        </is>
      </c>
      <c r="C34" s="19" t="inlineStr">
        <is>
          <t>DigitalOcean Hatch</t>
        </is>
      </c>
      <c r="D34" s="19" t="inlineStr">
        <is>
          <t>Startup credits (startup-specific)</t>
        </is>
      </c>
      <c r="E34" s="22" t="n"/>
      <c r="F34" s="19" t="inlineStr">
        <is>
          <t>USD</t>
        </is>
      </c>
      <c r="G34" s="19" t="inlineStr">
        <is>
          <t>Credits</t>
        </is>
      </c>
      <c r="H34" s="19" t="inlineStr">
        <is>
          <t>Open</t>
        </is>
      </c>
      <c r="I34" s="19" t="inlineStr">
        <is>
          <t>Not stated</t>
        </is>
      </c>
      <c r="J34" s="19" t="inlineStr">
        <is>
          <t>Unverified</t>
        </is>
      </c>
      <c r="K34" s="19" t="inlineStr">
        <is>
          <t>Unknown</t>
        </is>
      </c>
      <c r="L34" s="19" t="inlineStr">
        <is>
          <t>Medium</t>
        </is>
      </c>
      <c r="M34" s="19" t="inlineStr">
        <is>
          <t>Not verified this session</t>
        </is>
      </c>
      <c r="N34" s="24" t="inlineStr">
        <is>
          <t>https://aifree.dev/offer/digitalocean-hatch</t>
        </is>
      </c>
      <c r="O34" s="24" t="inlineStr">
        <is>
          <t>https://aifree.dev/startup-ai-credits</t>
        </is>
      </c>
    </row>
    <row r="35" ht="23.85" customHeight="1" s="17">
      <c r="A35" s="19" t="inlineStr">
        <is>
          <t>SB-070</t>
        </is>
      </c>
      <c r="B35" s="19" t="inlineStr">
        <is>
          <t>Exoscale</t>
        </is>
      </c>
      <c r="C35" s="19" t="inlineStr">
        <is>
          <t>Exoscale trial credit</t>
        </is>
      </c>
      <c r="D35" s="19" t="inlineStr">
        <is>
          <t>Free trial credit (not startup-exclusive)</t>
        </is>
      </c>
      <c r="E35" s="22" t="n">
        <v>20</v>
      </c>
      <c r="F35" s="19" t="inlineStr">
        <is>
          <t>EUR</t>
        </is>
      </c>
      <c r="G35" s="19" t="inlineStr">
        <is>
          <t>Credits</t>
        </is>
      </c>
      <c r="H35" s="19" t="inlineStr">
        <is>
          <t>Open</t>
        </is>
      </c>
      <c r="I35" s="19" t="inlineStr">
        <is>
          <t>Not stated</t>
        </is>
      </c>
      <c r="J35" s="19" t="inlineStr">
        <is>
          <t>Unverified</t>
        </is>
      </c>
      <c r="K35" s="19" t="inlineStr">
        <is>
          <t>Unknown</t>
        </is>
      </c>
      <c r="L35" s="19" t="inlineStr">
        <is>
          <t>Medium</t>
        </is>
      </c>
      <c r="M35" s="19" t="inlineStr">
        <is>
          <t>Not verified this session</t>
        </is>
      </c>
      <c r="N35" s="24" t="inlineStr">
        <is>
          <t>https://aifree.dev/offer/exoscale-free-trial-credit</t>
        </is>
      </c>
      <c r="O35" s="24" t="inlineStr">
        <is>
          <t>https://aifree.dev/startup-ai-credits</t>
        </is>
      </c>
    </row>
    <row r="36" ht="23.85" customHeight="1" s="17">
      <c r="A36" s="19" t="inlineStr">
        <is>
          <t>SB-072</t>
        </is>
      </c>
      <c r="B36" s="19" t="inlineStr">
        <is>
          <t>Koyeb</t>
        </is>
      </c>
      <c r="C36" s="19" t="inlineStr">
        <is>
          <t>Koyeb free web service and Postgres</t>
        </is>
      </c>
      <c r="D36" s="19" t="inlineStr">
        <is>
          <t>Free tier (ongoing, not startup-exclusive)</t>
        </is>
      </c>
      <c r="E36" s="22" t="n"/>
      <c r="F36" s="19" t="inlineStr">
        <is>
          <t>USD</t>
        </is>
      </c>
      <c r="G36" s="19" t="inlineStr">
        <is>
          <t>In-Kind</t>
        </is>
      </c>
      <c r="H36" s="19" t="inlineStr">
        <is>
          <t>Open</t>
        </is>
      </c>
      <c r="I36" s="19" t="inlineStr">
        <is>
          <t>Not stated</t>
        </is>
      </c>
      <c r="J36" s="19" t="inlineStr">
        <is>
          <t>Unverified</t>
        </is>
      </c>
      <c r="K36" s="19" t="inlineStr">
        <is>
          <t>Unknown</t>
        </is>
      </c>
      <c r="L36" s="19" t="inlineStr">
        <is>
          <t>Medium</t>
        </is>
      </c>
      <c r="M36" s="19" t="inlineStr">
        <is>
          <t>Not verified this session</t>
        </is>
      </c>
      <c r="N36" s="24" t="inlineStr">
        <is>
          <t>https://aifree.dev/offer/koyeb-free-tier</t>
        </is>
      </c>
      <c r="O36" s="24" t="inlineStr">
        <is>
          <t>https://aifree.dev/startup-ai-credits</t>
        </is>
      </c>
    </row>
    <row r="37" ht="23.85" customHeight="1" s="17">
      <c r="A37" s="19" t="inlineStr">
        <is>
          <t>SB-076</t>
        </is>
      </c>
      <c r="B37" s="19" t="inlineStr">
        <is>
          <t>MongoDB</t>
        </is>
      </c>
      <c r="C37" s="19" t="inlineStr">
        <is>
          <t>MongoDB for Startups</t>
        </is>
      </c>
      <c r="D37" s="19" t="inlineStr">
        <is>
          <t>Startup credits (startup-specific)</t>
        </is>
      </c>
      <c r="E37" s="22" t="n"/>
      <c r="F37" s="19" t="inlineStr">
        <is>
          <t>USD</t>
        </is>
      </c>
      <c r="G37" s="19" t="inlineStr">
        <is>
          <t>Credits</t>
        </is>
      </c>
      <c r="H37" s="19" t="inlineStr">
        <is>
          <t>Open</t>
        </is>
      </c>
      <c r="I37" s="19" t="inlineStr">
        <is>
          <t>Not stated</t>
        </is>
      </c>
      <c r="J37" s="19" t="inlineStr">
        <is>
          <t>Unverified</t>
        </is>
      </c>
      <c r="K37" s="19" t="inlineStr">
        <is>
          <t>Unknown</t>
        </is>
      </c>
      <c r="L37" s="19" t="inlineStr">
        <is>
          <t>Medium</t>
        </is>
      </c>
      <c r="M37" s="19" t="inlineStr">
        <is>
          <t>Not verified this session</t>
        </is>
      </c>
      <c r="N37" s="24" t="inlineStr">
        <is>
          <t>https://aifree.dev/offer/mongodb-for-startups</t>
        </is>
      </c>
      <c r="O37" s="24" t="inlineStr">
        <is>
          <t>https://aifree.dev/startup-ai-credits</t>
        </is>
      </c>
    </row>
    <row r="38" ht="23.85" customHeight="1" s="17">
      <c r="A38" s="19" t="inlineStr">
        <is>
          <t>SB-077</t>
        </is>
      </c>
      <c r="B38" s="19" t="inlineStr">
        <is>
          <t>Northflank</t>
        </is>
      </c>
      <c r="C38" s="19" t="inlineStr">
        <is>
          <t>Northflank Developer Sandbox</t>
        </is>
      </c>
      <c r="D38" s="19" t="inlineStr">
        <is>
          <t>Free tier (ongoing, not startup-exclusive)</t>
        </is>
      </c>
      <c r="E38" s="22" t="n"/>
      <c r="F38" s="19" t="inlineStr">
        <is>
          <t>USD</t>
        </is>
      </c>
      <c r="G38" s="19" t="inlineStr">
        <is>
          <t>In-Kind</t>
        </is>
      </c>
      <c r="H38" s="19" t="inlineStr">
        <is>
          <t>Open</t>
        </is>
      </c>
      <c r="I38" s="19" t="inlineStr">
        <is>
          <t>Not stated</t>
        </is>
      </c>
      <c r="J38" s="19" t="inlineStr">
        <is>
          <t>Unverified</t>
        </is>
      </c>
      <c r="K38" s="19" t="inlineStr">
        <is>
          <t>Unknown</t>
        </is>
      </c>
      <c r="L38" s="19" t="inlineStr">
        <is>
          <t>Medium</t>
        </is>
      </c>
      <c r="M38" s="19" t="inlineStr">
        <is>
          <t>Not verified this session</t>
        </is>
      </c>
      <c r="N38" s="24" t="inlineStr">
        <is>
          <t>https://aifree.dev/offer/northflank-developer-sandbox</t>
        </is>
      </c>
      <c r="O38" s="24" t="inlineStr">
        <is>
          <t>https://aifree.dev/startup-ai-credits</t>
        </is>
      </c>
    </row>
    <row r="39" ht="23.85" customHeight="1" s="17">
      <c r="A39" s="19" t="inlineStr">
        <is>
          <t>SB-080</t>
        </is>
      </c>
      <c r="B39" s="19" t="inlineStr">
        <is>
          <t>OVHcloud</t>
        </is>
      </c>
      <c r="C39" s="19" t="inlineStr">
        <is>
          <t>OVHcloud Startup Program</t>
        </is>
      </c>
      <c r="D39" s="19" t="inlineStr">
        <is>
          <t>Startup credits (startup-specific)</t>
        </is>
      </c>
      <c r="E39" s="22" t="n">
        <v>10000</v>
      </c>
      <c r="F39" s="19" t="inlineStr">
        <is>
          <t>EUR</t>
        </is>
      </c>
      <c r="G39" s="19" t="inlineStr">
        <is>
          <t>Credits</t>
        </is>
      </c>
      <c r="H39" s="19" t="inlineStr">
        <is>
          <t>Open</t>
        </is>
      </c>
      <c r="I39" s="19" t="inlineStr">
        <is>
          <t>Not stated</t>
        </is>
      </c>
      <c r="J39" s="19" t="inlineStr">
        <is>
          <t>Unverified</t>
        </is>
      </c>
      <c r="K39" s="19" t="inlineStr">
        <is>
          <t>Unknown</t>
        </is>
      </c>
      <c r="L39" s="19" t="inlineStr">
        <is>
          <t>Medium</t>
        </is>
      </c>
      <c r="M39" s="19" t="inlineStr">
        <is>
          <t>Not verified this session</t>
        </is>
      </c>
      <c r="N39" s="24" t="inlineStr">
        <is>
          <t>https://aifree.dev/offer/ovhcloud-startup-program</t>
        </is>
      </c>
      <c r="O39" s="24" t="inlineStr">
        <is>
          <t>https://aifree.dev/startup-ai-credits</t>
        </is>
      </c>
    </row>
    <row r="40" ht="23.85" customHeight="1" s="17">
      <c r="A40" s="19" t="inlineStr">
        <is>
          <t>SB-083</t>
        </is>
      </c>
      <c r="B40" s="19" t="inlineStr">
        <is>
          <t>RunPod</t>
        </is>
      </c>
      <c r="C40" s="19" t="inlineStr">
        <is>
          <t>RunPod referral bonus credits</t>
        </is>
      </c>
      <c r="D40" s="19" t="inlineStr">
        <is>
          <t>Free trial credit (not startup-exclusive)</t>
        </is>
      </c>
      <c r="E40" s="22" t="n"/>
      <c r="F40" s="19" t="inlineStr">
        <is>
          <t>USD</t>
        </is>
      </c>
      <c r="G40" s="19" t="inlineStr">
        <is>
          <t>Credits</t>
        </is>
      </c>
      <c r="H40" s="19" t="inlineStr">
        <is>
          <t>Open</t>
        </is>
      </c>
      <c r="I40" s="19" t="inlineStr">
        <is>
          <t>Not stated</t>
        </is>
      </c>
      <c r="J40" s="19" t="inlineStr">
        <is>
          <t>Unverified</t>
        </is>
      </c>
      <c r="K40" s="19" t="inlineStr">
        <is>
          <t>Unknown</t>
        </is>
      </c>
      <c r="L40" s="19" t="inlineStr">
        <is>
          <t>Medium</t>
        </is>
      </c>
      <c r="M40" s="19" t="inlineStr">
        <is>
          <t>Not verified this session</t>
        </is>
      </c>
      <c r="N40" s="24" t="inlineStr">
        <is>
          <t>https://aifree.dev/offer/runpod-referral-bonus-credits</t>
        </is>
      </c>
      <c r="O40" s="24" t="inlineStr">
        <is>
          <t>https://aifree.dev/startup-ai-credits</t>
        </is>
      </c>
    </row>
    <row r="41" ht="23.85" customHeight="1" s="17">
      <c r="A41" s="19" t="inlineStr">
        <is>
          <t>SB-086</t>
        </is>
      </c>
      <c r="B41" s="19" t="inlineStr">
        <is>
          <t>Snowflake</t>
        </is>
      </c>
      <c r="C41" s="19" t="inlineStr">
        <is>
          <t>Snowflake for Startups</t>
        </is>
      </c>
      <c r="D41" s="19" t="inlineStr">
        <is>
          <t>Startup credits (startup-specific)</t>
        </is>
      </c>
      <c r="E41" s="22" t="n"/>
      <c r="F41" s="19" t="inlineStr">
        <is>
          <t>USD</t>
        </is>
      </c>
      <c r="G41" s="19" t="inlineStr">
        <is>
          <t>Credits</t>
        </is>
      </c>
      <c r="H41" s="19" t="inlineStr">
        <is>
          <t>Open</t>
        </is>
      </c>
      <c r="I41" s="19" t="inlineStr">
        <is>
          <t>Not stated</t>
        </is>
      </c>
      <c r="J41" s="19" t="inlineStr">
        <is>
          <t>Unverified</t>
        </is>
      </c>
      <c r="K41" s="19" t="inlineStr">
        <is>
          <t>Unknown</t>
        </is>
      </c>
      <c r="L41" s="19" t="inlineStr">
        <is>
          <t>Medium</t>
        </is>
      </c>
      <c r="M41" s="19" t="inlineStr">
        <is>
          <t>Not verified this session</t>
        </is>
      </c>
      <c r="N41" s="24" t="inlineStr">
        <is>
          <t>https://aifree.dev/offer/snowflake-for-startups</t>
        </is>
      </c>
      <c r="O41" s="24" t="inlineStr">
        <is>
          <t>https://aifree.dev/startup-ai-credits</t>
        </is>
      </c>
    </row>
    <row r="42" ht="23.85" customHeight="1" s="17">
      <c r="A42" s="19" t="inlineStr">
        <is>
          <t>SB-088</t>
        </is>
      </c>
      <c r="B42" s="19" t="inlineStr">
        <is>
          <t>T-Systems (T Cloud Public)</t>
        </is>
      </c>
      <c r="C42" s="19" t="inlineStr">
        <is>
          <t>T Cloud Public EUR 250 starter credit</t>
        </is>
      </c>
      <c r="D42" s="19" t="inlineStr">
        <is>
          <t>Free trial credit (not startup-exclusive)</t>
        </is>
      </c>
      <c r="E42" s="22" t="n">
        <v>250</v>
      </c>
      <c r="F42" s="19" t="inlineStr">
        <is>
          <t>EUR</t>
        </is>
      </c>
      <c r="G42" s="19" t="inlineStr">
        <is>
          <t>Credits</t>
        </is>
      </c>
      <c r="H42" s="19" t="inlineStr">
        <is>
          <t>Open</t>
        </is>
      </c>
      <c r="I42" s="19" t="inlineStr">
        <is>
          <t>Not stated</t>
        </is>
      </c>
      <c r="J42" s="19" t="inlineStr">
        <is>
          <t>Unverified</t>
        </is>
      </c>
      <c r="K42" s="19" t="inlineStr">
        <is>
          <t>Unknown</t>
        </is>
      </c>
      <c r="L42" s="19" t="inlineStr">
        <is>
          <t>Medium</t>
        </is>
      </c>
      <c r="M42" s="19" t="inlineStr">
        <is>
          <t>Not verified this session</t>
        </is>
      </c>
      <c r="N42" s="24" t="inlineStr">
        <is>
          <t>https://aifree.dev/offer/t-cloud-public-starter-credit</t>
        </is>
      </c>
      <c r="O42" s="24" t="inlineStr">
        <is>
          <t>https://aifree.dev/startup-ai-credits</t>
        </is>
      </c>
    </row>
    <row r="43" ht="23.85" customHeight="1" s="17">
      <c r="A43" s="19" t="inlineStr">
        <is>
          <t>SB-089</t>
        </is>
      </c>
      <c r="B43" s="19" t="inlineStr">
        <is>
          <t>Tencent Cloud</t>
        </is>
      </c>
      <c r="C43" s="19" t="inlineStr">
        <is>
          <t>Tencent Cloud free tier</t>
        </is>
      </c>
      <c r="D43" s="19" t="inlineStr">
        <is>
          <t>Free tier (ongoing, not startup-exclusive)</t>
        </is>
      </c>
      <c r="E43" s="22" t="n"/>
      <c r="F43" s="19" t="inlineStr">
        <is>
          <t>USD</t>
        </is>
      </c>
      <c r="G43" s="19" t="inlineStr">
        <is>
          <t>In-Kind</t>
        </is>
      </c>
      <c r="H43" s="19" t="inlineStr">
        <is>
          <t>Open</t>
        </is>
      </c>
      <c r="I43" s="19" t="inlineStr">
        <is>
          <t>Not stated</t>
        </is>
      </c>
      <c r="J43" s="19" t="inlineStr">
        <is>
          <t>Unverified</t>
        </is>
      </c>
      <c r="K43" s="19" t="inlineStr">
        <is>
          <t>Unknown</t>
        </is>
      </c>
      <c r="L43" s="19" t="inlineStr">
        <is>
          <t>Medium</t>
        </is>
      </c>
      <c r="M43" s="19" t="inlineStr">
        <is>
          <t>Not verified this session</t>
        </is>
      </c>
      <c r="N43" s="24" t="inlineStr">
        <is>
          <t>https://aifree.dev/offer/tencent-cloud-free-tier</t>
        </is>
      </c>
      <c r="O43" s="24" t="inlineStr">
        <is>
          <t>https://aifree.dev/startup-ai-credits</t>
        </is>
      </c>
    </row>
    <row r="44" ht="23.85" customHeight="1" s="17">
      <c r="A44" s="19" t="inlineStr">
        <is>
          <t>SB-090</t>
        </is>
      </c>
      <c r="B44" s="19" t="inlineStr">
        <is>
          <t>Vultr</t>
        </is>
      </c>
      <c r="C44" s="19" t="inlineStr">
        <is>
          <t>Vultr Free Tier Program</t>
        </is>
      </c>
      <c r="D44" s="19" t="inlineStr">
        <is>
          <t>Free tier (ongoing, not startup-exclusive)</t>
        </is>
      </c>
      <c r="E44" s="22" t="n"/>
      <c r="F44" s="19" t="inlineStr">
        <is>
          <t>USD</t>
        </is>
      </c>
      <c r="G44" s="19" t="inlineStr">
        <is>
          <t>In-Kind</t>
        </is>
      </c>
      <c r="H44" s="19" t="inlineStr">
        <is>
          <t>Open</t>
        </is>
      </c>
      <c r="I44" s="19" t="inlineStr">
        <is>
          <t>Not stated</t>
        </is>
      </c>
      <c r="J44" s="19" t="inlineStr">
        <is>
          <t>Unverified</t>
        </is>
      </c>
      <c r="K44" s="19" t="inlineStr">
        <is>
          <t>Unknown</t>
        </is>
      </c>
      <c r="L44" s="19" t="inlineStr">
        <is>
          <t>Medium</t>
        </is>
      </c>
      <c r="M44" s="19" t="inlineStr">
        <is>
          <t>Not verified this session</t>
        </is>
      </c>
      <c r="N44" s="24" t="inlineStr">
        <is>
          <t>https://aifree.dev/offer/vultr-free-tier-program</t>
        </is>
      </c>
      <c r="O44" s="24" t="inlineStr">
        <is>
          <t>https://aifree.dev/startup-ai-credits</t>
        </is>
      </c>
    </row>
    <row r="45" ht="23.85" customHeight="1" s="17">
      <c r="A45" s="19" t="inlineStr">
        <is>
          <t>SB-092</t>
        </is>
      </c>
      <c r="B45" s="19" t="inlineStr">
        <is>
          <t>Huawei Cloud</t>
        </is>
      </c>
      <c r="C45" s="19" t="inlineStr">
        <is>
          <t>Huawei Cloud free packages for new users</t>
        </is>
      </c>
      <c r="D45" s="19" t="inlineStr">
        <is>
          <t>Free trial credit (not startup-exclusive)</t>
        </is>
      </c>
      <c r="E45" s="22" t="n"/>
      <c r="F45" s="19" t="inlineStr">
        <is>
          <t>USD</t>
        </is>
      </c>
      <c r="G45" s="19" t="inlineStr">
        <is>
          <t>In-Kind</t>
        </is>
      </c>
      <c r="H45" s="19" t="inlineStr">
        <is>
          <t>Open</t>
        </is>
      </c>
      <c r="I45" s="19" t="inlineStr">
        <is>
          <t>Not stated</t>
        </is>
      </c>
      <c r="J45" s="19" t="inlineStr">
        <is>
          <t>Unverified</t>
        </is>
      </c>
      <c r="K45" s="19" t="inlineStr">
        <is>
          <t>Unknown</t>
        </is>
      </c>
      <c r="L45" s="19" t="inlineStr">
        <is>
          <t>Low</t>
        </is>
      </c>
      <c r="M45" s="19" t="inlineStr">
        <is>
          <t>Not verified this session</t>
        </is>
      </c>
      <c r="N45" s="24" t="inlineStr">
        <is>
          <t>https://aifree.dev/offer/huawei-cloud-free-packages</t>
        </is>
      </c>
      <c r="O45" s="24" t="inlineStr">
        <is>
          <t>https://aifree.dev/startup-ai-credits</t>
        </is>
      </c>
    </row>
  </sheetData>
  <conditionalFormatting sqref="H2:H500">
    <cfRule type="cellIs" rank="0" priority="2" equalAverage="0" operator="equal" aboveAverage="0" dxfId="9" text="" percent="0" bottom="0">
      <formula>"Open"</formula>
    </cfRule>
    <cfRule type="cellIs" rank="0" priority="3" equalAverage="0" operator="equal" aboveAverage="0" dxfId="10" text="" percent="0" bottom="0">
      <formula>"Closed"</formula>
    </cfRule>
    <cfRule type="cellIs" rank="0" priority="4" equalAverage="0" operator="equal" aboveAverage="0" dxfId="11" text="" percent="0" bottom="0">
      <formula>"Waitlist"</formula>
    </cfRule>
  </conditionalFormatting>
  <hyperlinks>
    <hyperlink xmlns:r="http://schemas.openxmlformats.org/officeDocument/2006/relationships" ref="M2" display="https://aws.amazon.com/startups/credits/" r:id="rId1"/>
    <hyperlink xmlns:r="http://schemas.openxmlformats.org/officeDocument/2006/relationships" ref="N2" display="https://aws.amazon.com/startups/credits/" r:id="rId2"/>
    <hyperlink xmlns:r="http://schemas.openxmlformats.org/officeDocument/2006/relationships" ref="O2" display="https://aifree.dev/offer/aws-activate-credits" r:id="rId3"/>
    <hyperlink xmlns:r="http://schemas.openxmlformats.org/officeDocument/2006/relationships" ref="M3" display="https://aws.amazon.com/startups/credits/" r:id="rId4"/>
    <hyperlink xmlns:r="http://schemas.openxmlformats.org/officeDocument/2006/relationships" ref="N3" display="https://aws.amazon.com/startups/credits/" r:id="rId5"/>
    <hyperlink xmlns:r="http://schemas.openxmlformats.org/officeDocument/2006/relationships" ref="O3" display="https://aws.amazon.com/startups/providers" r:id="rId6"/>
    <hyperlink xmlns:r="http://schemas.openxmlformats.org/officeDocument/2006/relationships" ref="M4" display="https://aws.amazon.com/startups/credits/" r:id="rId7"/>
    <hyperlink xmlns:r="http://schemas.openxmlformats.org/officeDocument/2006/relationships" ref="N4" display="https://aws.amazon.com/startups/credits/" r:id="rId8"/>
    <hyperlink xmlns:r="http://schemas.openxmlformats.org/officeDocument/2006/relationships" ref="M5" display="https://cloud.google.com/startup" r:id="rId9"/>
    <hyperlink xmlns:r="http://schemas.openxmlformats.org/officeDocument/2006/relationships" ref="N5" display="https://cloud.google.com/startup" r:id="rId10"/>
    <hyperlink xmlns:r="http://schemas.openxmlformats.org/officeDocument/2006/relationships" ref="O5" display="https://aifree.dev/offer/google-cloud-ai-startup-program" r:id="rId11"/>
    <hyperlink xmlns:r="http://schemas.openxmlformats.org/officeDocument/2006/relationships" ref="M6" display="https://cloud.google.com/startup" r:id="rId12"/>
    <hyperlink xmlns:r="http://schemas.openxmlformats.org/officeDocument/2006/relationships" ref="N6" display="https://cloud.google.com/startup" r:id="rId13"/>
    <hyperlink xmlns:r="http://schemas.openxmlformats.org/officeDocument/2006/relationships" ref="O6" display="https://aifree.dev/offer/google-cloud-ai-startup-program" r:id="rId14"/>
    <hyperlink xmlns:r="http://schemas.openxmlformats.org/officeDocument/2006/relationships" ref="M7" display="https://www.microsoft.com/en-us/startups" r:id="rId15"/>
    <hyperlink xmlns:r="http://schemas.openxmlformats.org/officeDocument/2006/relationships" ref="N7" display="https://partner.microsoft.com/en-cy/partnership/founders-hub-benefits-guide" r:id="rId16"/>
    <hyperlink xmlns:r="http://schemas.openxmlformats.org/officeDocument/2006/relationships" ref="O7" display="https://guptadeepak.com/startup-offers/programs/microsoft-founders-hub" r:id="rId17"/>
    <hyperlink xmlns:r="http://schemas.openxmlformats.org/officeDocument/2006/relationships" ref="M8" display="https://www.cloudflare.com/forstartups/" r:id="rId18"/>
    <hyperlink xmlns:r="http://schemas.openxmlformats.org/officeDocument/2006/relationships" ref="N8" display="https://aifree.dev/offer/cloudflare-for-startups" r:id="rId19"/>
    <hyperlink xmlns:r="http://schemas.openxmlformats.org/officeDocument/2006/relationships" ref="O8" display="https://aifree.dev/startup-ai-credits" r:id="rId20"/>
    <hyperlink xmlns:r="http://schemas.openxmlformats.org/officeDocument/2006/relationships" ref="N9" display="https://aifree.dev/offer/databricks-for-startups" r:id="rId21"/>
    <hyperlink xmlns:r="http://schemas.openxmlformats.org/officeDocument/2006/relationships" ref="O9" display="https://aifree.dev/startup-ai-credits" r:id="rId22"/>
    <hyperlink xmlns:r="http://schemas.openxmlformats.org/officeDocument/2006/relationships" ref="N10" display="https://aifree.dev/offer/neon-startup-program" r:id="rId23"/>
    <hyperlink xmlns:r="http://schemas.openxmlformats.org/officeDocument/2006/relationships" ref="O10" display="https://aifree.dev/startup-ai-credits" r:id="rId24"/>
    <hyperlink xmlns:r="http://schemas.openxmlformats.org/officeDocument/2006/relationships" ref="N11" display="https://aifree.dev/offer/datadog-for-startups" r:id="rId25"/>
    <hyperlink xmlns:r="http://schemas.openxmlformats.org/officeDocument/2006/relationships" ref="O11" display="https://aifree.dev/startup-ai-credits" r:id="rId26"/>
    <hyperlink xmlns:r="http://schemas.openxmlformats.org/officeDocument/2006/relationships" ref="N12" display="https://aifree.dev/offer/grafana-for-startups" r:id="rId27"/>
    <hyperlink xmlns:r="http://schemas.openxmlformats.org/officeDocument/2006/relationships" ref="O12" display="https://aifree.dev/startup-ai-credits" r:id="rId28"/>
    <hyperlink xmlns:r="http://schemas.openxmlformats.org/officeDocument/2006/relationships" ref="N13" display="https://aifree.dev/offer/render-startup-program" r:id="rId29"/>
    <hyperlink xmlns:r="http://schemas.openxmlformats.org/officeDocument/2006/relationships" ref="O13" display="https://aifree.dev/startup-ai-credits" r:id="rId30"/>
    <hyperlink xmlns:r="http://schemas.openxmlformats.org/officeDocument/2006/relationships" ref="N14" display="https://aifree.dev/offer/vercel-startups" r:id="rId31"/>
    <hyperlink xmlns:r="http://schemas.openxmlformats.org/officeDocument/2006/relationships" ref="O14" display="https://aifree.dev/startup-ai-credits" r:id="rId32"/>
    <hyperlink xmlns:r="http://schemas.openxmlformats.org/officeDocument/2006/relationships" ref="N15" display="https://aifree.dev/offer/yandex-cloud-startup-credits" r:id="rId33"/>
    <hyperlink xmlns:r="http://schemas.openxmlformats.org/officeDocument/2006/relationships" ref="O15" display="https://aifree.dev/startup-ai-credits" r:id="rId34"/>
    <hyperlink xmlns:r="http://schemas.openxmlformats.org/officeDocument/2006/relationships" ref="N16" display="https://aifree.dev/offer/neo4j-startup-program" r:id="rId35"/>
    <hyperlink xmlns:r="http://schemas.openxmlformats.org/officeDocument/2006/relationships" ref="O16" display="https://aifree.dev/startup-ai-credits" r:id="rId36"/>
    <hyperlink xmlns:r="http://schemas.openxmlformats.org/officeDocument/2006/relationships" ref="N17" display="https://aifree.dev/offer/clickhouse-cloud-yc-credits" r:id="rId37"/>
    <hyperlink xmlns:r="http://schemas.openxmlformats.org/officeDocument/2006/relationships" ref="O17" display="https://aifree.dev/startup-ai-credits" r:id="rId38"/>
    <hyperlink xmlns:r="http://schemas.openxmlformats.org/officeDocument/2006/relationships" ref="N18" display="https://aifree.dev/offer/github-for-startups" r:id="rId39"/>
    <hyperlink xmlns:r="http://schemas.openxmlformats.org/officeDocument/2006/relationships" ref="O18" display="https://aifree.dev/startup-ai-credits" r:id="rId40"/>
    <hyperlink xmlns:r="http://schemas.openxmlformats.org/officeDocument/2006/relationships" ref="N19" display="https://aifree.dev/offer/indent-for-startups" r:id="rId41"/>
    <hyperlink xmlns:r="http://schemas.openxmlformats.org/officeDocument/2006/relationships" ref="O19" display="https://aifree.dev/startup-ai-credits" r:id="rId42"/>
    <hyperlink xmlns:r="http://schemas.openxmlformats.org/officeDocument/2006/relationships" ref="N20" display="https://aifree.dev/offer/sentry-for-startups" r:id="rId43"/>
    <hyperlink xmlns:r="http://schemas.openxmlformats.org/officeDocument/2006/relationships" ref="O20" display="https://aifree.dev/startup-ai-credits" r:id="rId44"/>
    <hyperlink xmlns:r="http://schemas.openxmlformats.org/officeDocument/2006/relationships" ref="N21" display="https://aifree.dev/offer/runpod-startup-program" r:id="rId45"/>
    <hyperlink xmlns:r="http://schemas.openxmlformats.org/officeDocument/2006/relationships" ref="O21" display="https://aifree.dev/startup-ai-credits" r:id="rId46"/>
    <hyperlink xmlns:r="http://schemas.openxmlformats.org/officeDocument/2006/relationships" ref="N22" display="https://aifree.dev/offer/upcloud-free-trial-credits" r:id="rId47"/>
    <hyperlink xmlns:r="http://schemas.openxmlformats.org/officeDocument/2006/relationships" ref="O22" display="https://aifree.dev/startup-ai-credits" r:id="rId48"/>
    <hyperlink xmlns:r="http://schemas.openxmlformats.org/officeDocument/2006/relationships" ref="N23" display="https://aifree.dev/offer/google-cloud-free-program" r:id="rId49"/>
    <hyperlink xmlns:r="http://schemas.openxmlformats.org/officeDocument/2006/relationships" ref="O23" display="https://aifree.dev/startup-ai-credits" r:id="rId50"/>
    <hyperlink xmlns:r="http://schemas.openxmlformats.org/officeDocument/2006/relationships" ref="N24" display="https://aifree.dev/offer/oracle-cloud-free-tier" r:id="rId51"/>
    <hyperlink xmlns:r="http://schemas.openxmlformats.org/officeDocument/2006/relationships" ref="O24" display="https://aifree.dev/startup-ai-credits" r:id="rId52"/>
    <hyperlink xmlns:r="http://schemas.openxmlformats.org/officeDocument/2006/relationships" ref="N25" display="https://aifree.dev/offer/vultr-free-trial-credits" r:id="rId53"/>
    <hyperlink xmlns:r="http://schemas.openxmlformats.org/officeDocument/2006/relationships" ref="O25" display="https://aifree.dev/startup-ai-credits" r:id="rId54"/>
    <hyperlink xmlns:r="http://schemas.openxmlformats.org/officeDocument/2006/relationships" ref="N26" display="https://aifree.dev/offer/civo-free-trial-credit" r:id="rId55"/>
    <hyperlink xmlns:r="http://schemas.openxmlformats.org/officeDocument/2006/relationships" ref="O26" display="https://aifree.dev/startup-ai-credits" r:id="rId56"/>
    <hyperlink xmlns:r="http://schemas.openxmlformats.org/officeDocument/2006/relationships" ref="N27" display="https://aifree.dev/offer/ibm-cloud-free-tier" r:id="rId57"/>
    <hyperlink xmlns:r="http://schemas.openxmlformats.org/officeDocument/2006/relationships" ref="O27" display="https://aifree.dev/startup-ai-credits" r:id="rId58"/>
    <hyperlink xmlns:r="http://schemas.openxmlformats.org/officeDocument/2006/relationships" ref="N28" display="https://aifree.dev/offer/ionos-cloud-free-trial-credit" r:id="rId59"/>
    <hyperlink xmlns:r="http://schemas.openxmlformats.org/officeDocument/2006/relationships" ref="O28" display="https://aifree.dev/startup-ai-credits" r:id="rId60"/>
    <hyperlink xmlns:r="http://schemas.openxmlformats.org/officeDocument/2006/relationships" ref="N29" display="https://aifree.dev/offer/akamai-cloud-100-free-credit" r:id="rId61"/>
    <hyperlink xmlns:r="http://schemas.openxmlformats.org/officeDocument/2006/relationships" ref="O29" display="https://aifree.dev/startup-ai-credits" r:id="rId62"/>
    <hyperlink xmlns:r="http://schemas.openxmlformats.org/officeDocument/2006/relationships" ref="N30" display="https://aifree.dev/offer/alibaba-cloud-free-trial" r:id="rId63"/>
    <hyperlink xmlns:r="http://schemas.openxmlformats.org/officeDocument/2006/relationships" ref="O30" display="https://aifree.dev/startup-ai-credits" r:id="rId64"/>
    <hyperlink xmlns:r="http://schemas.openxmlformats.org/officeDocument/2006/relationships" ref="N31" display="https://aifree.dev/offer/railway-free-plan-and-trial-credits" r:id="rId65"/>
    <hyperlink xmlns:r="http://schemas.openxmlformats.org/officeDocument/2006/relationships" ref="O31" display="https://aifree.dev/startup-ai-credits" r:id="rId66"/>
    <hyperlink xmlns:r="http://schemas.openxmlformats.org/officeDocument/2006/relationships" ref="N32" display="https://aifree.dev/offer/netlify-free-plan" r:id="rId67"/>
    <hyperlink xmlns:r="http://schemas.openxmlformats.org/officeDocument/2006/relationships" ref="O32" display="https://aifree.dev/startup-ai-credits" r:id="rId68"/>
    <hyperlink xmlns:r="http://schemas.openxmlformats.org/officeDocument/2006/relationships" ref="N33" display="https://aifree.dev/offer/convex-for-startups" r:id="rId69"/>
    <hyperlink xmlns:r="http://schemas.openxmlformats.org/officeDocument/2006/relationships" ref="O33" display="https://aifree.dev/startup-ai-credits" r:id="rId70"/>
    <hyperlink xmlns:r="http://schemas.openxmlformats.org/officeDocument/2006/relationships" ref="N34" display="https://aifree.dev/offer/digitalocean-hatch" r:id="rId71"/>
    <hyperlink xmlns:r="http://schemas.openxmlformats.org/officeDocument/2006/relationships" ref="O34" display="https://aifree.dev/startup-ai-credits" r:id="rId72"/>
    <hyperlink xmlns:r="http://schemas.openxmlformats.org/officeDocument/2006/relationships" ref="N35" display="https://aifree.dev/offer/exoscale-free-trial-credit" r:id="rId73"/>
    <hyperlink xmlns:r="http://schemas.openxmlformats.org/officeDocument/2006/relationships" ref="O35" display="https://aifree.dev/startup-ai-credits" r:id="rId74"/>
    <hyperlink xmlns:r="http://schemas.openxmlformats.org/officeDocument/2006/relationships" ref="N36" display="https://aifree.dev/offer/koyeb-free-tier" r:id="rId75"/>
    <hyperlink xmlns:r="http://schemas.openxmlformats.org/officeDocument/2006/relationships" ref="O36" display="https://aifree.dev/startup-ai-credits" r:id="rId76"/>
    <hyperlink xmlns:r="http://schemas.openxmlformats.org/officeDocument/2006/relationships" ref="N37" display="https://aifree.dev/offer/mongodb-for-startups" r:id="rId77"/>
    <hyperlink xmlns:r="http://schemas.openxmlformats.org/officeDocument/2006/relationships" ref="O37" display="https://aifree.dev/startup-ai-credits" r:id="rId78"/>
    <hyperlink xmlns:r="http://schemas.openxmlformats.org/officeDocument/2006/relationships" ref="N38" display="https://aifree.dev/offer/northflank-developer-sandbox" r:id="rId79"/>
    <hyperlink xmlns:r="http://schemas.openxmlformats.org/officeDocument/2006/relationships" ref="O38" display="https://aifree.dev/startup-ai-credits" r:id="rId80"/>
    <hyperlink xmlns:r="http://schemas.openxmlformats.org/officeDocument/2006/relationships" ref="N39" display="https://aifree.dev/offer/ovhcloud-startup-program" r:id="rId81"/>
    <hyperlink xmlns:r="http://schemas.openxmlformats.org/officeDocument/2006/relationships" ref="O39" display="https://aifree.dev/startup-ai-credits" r:id="rId82"/>
    <hyperlink xmlns:r="http://schemas.openxmlformats.org/officeDocument/2006/relationships" ref="N40" display="https://aifree.dev/offer/runpod-referral-bonus-credits" r:id="rId83"/>
    <hyperlink xmlns:r="http://schemas.openxmlformats.org/officeDocument/2006/relationships" ref="O40" display="https://aifree.dev/startup-ai-credits" r:id="rId84"/>
    <hyperlink xmlns:r="http://schemas.openxmlformats.org/officeDocument/2006/relationships" ref="N41" display="https://aifree.dev/offer/snowflake-for-startups" r:id="rId85"/>
    <hyperlink xmlns:r="http://schemas.openxmlformats.org/officeDocument/2006/relationships" ref="O41" display="https://aifree.dev/startup-ai-credits" r:id="rId86"/>
    <hyperlink xmlns:r="http://schemas.openxmlformats.org/officeDocument/2006/relationships" ref="N42" display="https://aifree.dev/offer/t-cloud-public-starter-credit" r:id="rId87"/>
    <hyperlink xmlns:r="http://schemas.openxmlformats.org/officeDocument/2006/relationships" ref="O42" display="https://aifree.dev/startup-ai-credits" r:id="rId88"/>
    <hyperlink xmlns:r="http://schemas.openxmlformats.org/officeDocument/2006/relationships" ref="N43" display="https://aifree.dev/offer/tencent-cloud-free-tier" r:id="rId89"/>
    <hyperlink xmlns:r="http://schemas.openxmlformats.org/officeDocument/2006/relationships" ref="O43" display="https://aifree.dev/startup-ai-credits" r:id="rId90"/>
    <hyperlink xmlns:r="http://schemas.openxmlformats.org/officeDocument/2006/relationships" ref="N44" display="https://aifree.dev/offer/vultr-free-tier-program" r:id="rId91"/>
    <hyperlink xmlns:r="http://schemas.openxmlformats.org/officeDocument/2006/relationships" ref="O44" display="https://aifree.dev/startup-ai-credits" r:id="rId92"/>
    <hyperlink xmlns:r="http://schemas.openxmlformats.org/officeDocument/2006/relationships" ref="N45" display="https://aifree.dev/offer/huawei-cloud-free-packages" r:id="rId93"/>
    <hyperlink xmlns:r="http://schemas.openxmlformats.org/officeDocument/2006/relationships" ref="O45" display="https://aifree.dev/startup-ai-credits" r:id="rId9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95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1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24" customWidth="1" style="16" min="2" max="2"/>
    <col width="34" customWidth="1" style="16" min="3" max="3"/>
    <col width="26" customWidth="1" style="16" min="4" max="4"/>
    <col width="14" customWidth="1" style="16" min="5" max="5"/>
    <col width="9" customWidth="1" style="16" min="6" max="6"/>
    <col width="11" customWidth="1" style="16" min="7" max="8"/>
    <col width="55" customWidth="1" style="16" min="9" max="9"/>
    <col width="18" customWidth="1" style="16" min="10" max="10"/>
    <col width="16" customWidth="1" style="16" min="11" max="11"/>
    <col width="12" customWidth="1" style="16" min="12" max="12"/>
    <col width="30" customWidth="1" style="16" min="13" max="15"/>
  </cols>
  <sheetData>
    <row r="1" ht="46.25" customHeight="1" s="17">
      <c r="A1" s="21" t="inlineStr">
        <is>
          <t>Record ID</t>
        </is>
      </c>
      <c r="B1" s="21" t="inlineStr">
        <is>
          <t>Company Name</t>
        </is>
      </c>
      <c r="C1" s="21" t="inlineStr">
        <is>
          <t>Program Name</t>
        </is>
      </c>
      <c r="D1" s="21" t="inlineStr">
        <is>
          <t>Benefit Type</t>
        </is>
      </c>
      <c r="E1" s="21" t="inlineStr">
        <is>
          <t>Maximum Advertised Value</t>
        </is>
      </c>
      <c r="F1" s="21" t="inlineStr">
        <is>
          <t>Currency</t>
        </is>
      </c>
      <c r="G1" s="21" t="inlineStr">
        <is>
          <t>Value Type</t>
        </is>
      </c>
      <c r="H1" s="21" t="inlineStr">
        <is>
          <t>Program Status</t>
        </is>
      </c>
      <c r="I1" s="21" t="inlineStr">
        <is>
          <t>Eligibility Requirements</t>
        </is>
      </c>
      <c r="J1" s="21" t="inlineStr">
        <is>
          <t>Available to Egypt-Based Startups?</t>
        </is>
      </c>
      <c r="K1" s="21" t="inlineStr">
        <is>
          <t>Available to Bootstrapped Startups?</t>
        </is>
      </c>
      <c r="L1" s="21" t="inlineStr">
        <is>
          <t>Verification Confidence</t>
        </is>
      </c>
      <c r="M1" s="21" t="inlineStr">
        <is>
          <t>Official Program URL</t>
        </is>
      </c>
      <c r="N1" s="21" t="inlineStr">
        <is>
          <t>Official Evidence URL</t>
        </is>
      </c>
      <c r="O1" s="21" t="inlineStr">
        <is>
          <t>Secondary Evidence URL</t>
        </is>
      </c>
    </row>
    <row r="2" ht="35.05" customHeight="1" s="17">
      <c r="A2" s="19" t="inlineStr">
        <is>
          <t>SB-009</t>
        </is>
      </c>
      <c r="B2" s="19" t="inlineStr">
        <is>
          <t>SendPulse</t>
        </is>
      </c>
      <c r="C2" s="19" t="inlineStr">
        <is>
          <t>SendPulse Startup Grant</t>
        </is>
      </c>
      <c r="D2" s="19" t="inlineStr">
        <is>
          <t>Startup credits (startup-specific)</t>
        </is>
      </c>
      <c r="E2" s="22" t="n">
        <v>5000</v>
      </c>
      <c r="F2" s="19" t="inlineStr">
        <is>
          <t>USD</t>
        </is>
      </c>
      <c r="G2" s="19" t="inlineStr">
        <is>
          <t>Credits</t>
        </is>
      </c>
      <c r="H2" s="19" t="inlineStr">
        <is>
          <t>Open</t>
        </is>
      </c>
      <c r="I2" s="19" t="inlineStr">
        <is>
          <t>Startup launched within the past 3 years; innovative product; not an eCommerce project or online business; no history of paid SendPulse plans.</t>
        </is>
      </c>
      <c r="J2" s="19" t="inlineStr">
        <is>
          <t>Unverified (regional restrictions noted)</t>
        </is>
      </c>
      <c r="K2" s="19" t="inlineStr">
        <is>
          <t>Yes (no funding requirement stated)</t>
        </is>
      </c>
      <c r="L2" s="19" t="inlineStr">
        <is>
          <t>High</t>
        </is>
      </c>
      <c r="M2" s="24" t="inlineStr">
        <is>
          <t>https://sendpulse.com/startup</t>
        </is>
      </c>
      <c r="N2" s="24" t="inlineStr">
        <is>
          <t>https://sendpulse.com/startup</t>
        </is>
      </c>
      <c r="O2" s="19" t="n"/>
    </row>
    <row r="3" ht="23.85" customHeight="1" s="17">
      <c r="A3" s="19" t="inlineStr">
        <is>
          <t>SB-010</t>
        </is>
      </c>
      <c r="B3" s="19" t="inlineStr">
        <is>
          <t>UniOne</t>
        </is>
      </c>
      <c r="C3" s="19" t="inlineStr">
        <is>
          <t>UniOne email trial for startups</t>
        </is>
      </c>
      <c r="D3" s="19" t="inlineStr">
        <is>
          <t>Free trial credit (not startup-exclusive)</t>
        </is>
      </c>
      <c r="E3" s="22" t="n"/>
      <c r="F3" s="19" t="inlineStr">
        <is>
          <t>USD</t>
        </is>
      </c>
      <c r="G3" s="19" t="inlineStr">
        <is>
          <t>Unknown</t>
        </is>
      </c>
      <c r="H3" s="19" t="inlineStr">
        <is>
          <t>Open</t>
        </is>
      </c>
      <c r="I3" s="19" t="inlineStr">
        <is>
          <t>Open registration; no startup verification stated.</t>
        </is>
      </c>
      <c r="J3" s="19" t="inlineStr">
        <is>
          <t>Unverified</t>
        </is>
      </c>
      <c r="K3" s="19" t="inlineStr">
        <is>
          <t>Yes</t>
        </is>
      </c>
      <c r="L3" s="19" t="inlineStr">
        <is>
          <t>High</t>
        </is>
      </c>
      <c r="M3" s="24" t="inlineStr">
        <is>
          <t>https://unione.io/en/email-service-for-startups/</t>
        </is>
      </c>
      <c r="N3" s="24" t="inlineStr">
        <is>
          <t>https://unione.io/en/email-service-for-startups/</t>
        </is>
      </c>
      <c r="O3" s="19" t="n"/>
    </row>
    <row r="4" ht="23.85" customHeight="1" s="17">
      <c r="A4" s="19" t="inlineStr">
        <is>
          <t>SB-024</t>
        </is>
      </c>
      <c r="B4" s="19" t="inlineStr">
        <is>
          <t>PostHog</t>
        </is>
      </c>
      <c r="C4" s="19" t="inlineStr">
        <is>
          <t>PostHog Startup Program</t>
        </is>
      </c>
      <c r="D4" s="19" t="inlineStr">
        <is>
          <t>Startup credits (startup-specific)</t>
        </is>
      </c>
      <c r="E4" s="22" t="n">
        <v>50000</v>
      </c>
      <c r="F4" s="19" t="inlineStr">
        <is>
          <t>USD</t>
        </is>
      </c>
      <c r="G4" s="19" t="inlineStr">
        <is>
          <t>Credits</t>
        </is>
      </c>
      <c r="H4" s="19" t="inlineStr">
        <is>
          <t>Open</t>
        </is>
      </c>
      <c r="I4" s="19" t="inlineStr">
        <is>
          <t>Not stated</t>
        </is>
      </c>
      <c r="J4" s="19" t="inlineStr">
        <is>
          <t>Unverified</t>
        </is>
      </c>
      <c r="K4" s="19" t="inlineStr">
        <is>
          <t>Unknown</t>
        </is>
      </c>
      <c r="L4" s="19" t="inlineStr">
        <is>
          <t>Medium</t>
        </is>
      </c>
      <c r="M4" s="19" t="inlineStr">
        <is>
          <t>Not verified this session</t>
        </is>
      </c>
      <c r="N4" s="24" t="inlineStr">
        <is>
          <t>https://aifree.dev/offer/posthog-startup-program</t>
        </is>
      </c>
      <c r="O4" s="24" t="inlineStr">
        <is>
          <t>https://aifree.dev/startup-ai-credits</t>
        </is>
      </c>
    </row>
    <row r="5" ht="23.85" customHeight="1" s="17">
      <c r="A5" s="19" t="inlineStr">
        <is>
          <t>SB-029</t>
        </is>
      </c>
      <c r="B5" s="19" t="inlineStr">
        <is>
          <t>Notion</t>
        </is>
      </c>
      <c r="C5" s="19" t="inlineStr">
        <is>
          <t>Notion for Startups</t>
        </is>
      </c>
      <c r="D5" s="19" t="inlineStr">
        <is>
          <t>Startup plan / free subscription period</t>
        </is>
      </c>
      <c r="E5" s="22" t="n">
        <v>12000</v>
      </c>
      <c r="F5" s="19" t="inlineStr">
        <is>
          <t>USD</t>
        </is>
      </c>
      <c r="G5" s="19" t="inlineStr">
        <is>
          <t>In-Kind</t>
        </is>
      </c>
      <c r="H5" s="19" t="inlineStr">
        <is>
          <t>Open</t>
        </is>
      </c>
      <c r="I5" s="19" t="inlineStr">
        <is>
          <t>Not stated</t>
        </is>
      </c>
      <c r="J5" s="19" t="inlineStr">
        <is>
          <t>Unverified</t>
        </is>
      </c>
      <c r="K5" s="19" t="inlineStr">
        <is>
          <t>Unknown</t>
        </is>
      </c>
      <c r="L5" s="19" t="inlineStr">
        <is>
          <t>Medium</t>
        </is>
      </c>
      <c r="M5" s="19" t="inlineStr">
        <is>
          <t>Not verified this session</t>
        </is>
      </c>
      <c r="N5" s="24" t="inlineStr">
        <is>
          <t>https://aifree.dev/offer/notion-for-startups</t>
        </is>
      </c>
      <c r="O5" s="24" t="inlineStr">
        <is>
          <t>https://aifree.dev/startup-ai-credits</t>
        </is>
      </c>
    </row>
    <row r="6" ht="23.85" customHeight="1" s="17">
      <c r="A6" s="19" t="inlineStr">
        <is>
          <t>SB-030</t>
        </is>
      </c>
      <c r="B6" s="19" t="inlineStr">
        <is>
          <t>Algolia</t>
        </is>
      </c>
      <c r="C6" s="19" t="inlineStr">
        <is>
          <t>Algolia Startup Program</t>
        </is>
      </c>
      <c r="D6" s="19" t="inlineStr">
        <is>
          <t>Startup credits (startup-specific)</t>
        </is>
      </c>
      <c r="E6" s="22" t="n">
        <v>10000</v>
      </c>
      <c r="F6" s="19" t="inlineStr">
        <is>
          <t>USD</t>
        </is>
      </c>
      <c r="G6" s="19" t="inlineStr">
        <is>
          <t>Credits</t>
        </is>
      </c>
      <c r="H6" s="19" t="inlineStr">
        <is>
          <t>Open</t>
        </is>
      </c>
      <c r="I6" s="19" t="inlineStr">
        <is>
          <t>Not stated</t>
        </is>
      </c>
      <c r="J6" s="19" t="inlineStr">
        <is>
          <t>Unverified</t>
        </is>
      </c>
      <c r="K6" s="19" t="inlineStr">
        <is>
          <t>Unknown</t>
        </is>
      </c>
      <c r="L6" s="19" t="inlineStr">
        <is>
          <t>Medium</t>
        </is>
      </c>
      <c r="M6" s="19" t="inlineStr">
        <is>
          <t>Not verified this session</t>
        </is>
      </c>
      <c r="N6" s="24" t="inlineStr">
        <is>
          <t>https://aifree.dev/offer/algolia-startup-program</t>
        </is>
      </c>
      <c r="O6" s="24" t="inlineStr">
        <is>
          <t>https://aifree.dev/startup-ai-credits</t>
        </is>
      </c>
    </row>
    <row r="7" ht="23.85" customHeight="1" s="17">
      <c r="A7" s="19" t="inlineStr">
        <is>
          <t>SB-037</t>
        </is>
      </c>
      <c r="B7" s="19" t="inlineStr">
        <is>
          <t>Sanity</t>
        </is>
      </c>
      <c r="C7" s="19" t="inlineStr">
        <is>
          <t>Sanity Startup Program</t>
        </is>
      </c>
      <c r="D7" s="19" t="inlineStr">
        <is>
          <t>Startup credits (startup-specific)</t>
        </is>
      </c>
      <c r="E7" s="22" t="n">
        <v>9000</v>
      </c>
      <c r="F7" s="19" t="inlineStr">
        <is>
          <t>USD</t>
        </is>
      </c>
      <c r="G7" s="19" t="inlineStr">
        <is>
          <t>Credits</t>
        </is>
      </c>
      <c r="H7" s="19" t="inlineStr">
        <is>
          <t>Open</t>
        </is>
      </c>
      <c r="I7" s="19" t="inlineStr">
        <is>
          <t>Not stated</t>
        </is>
      </c>
      <c r="J7" s="19" t="inlineStr">
        <is>
          <t>Unverified</t>
        </is>
      </c>
      <c r="K7" s="19" t="inlineStr">
        <is>
          <t>Unknown</t>
        </is>
      </c>
      <c r="L7" s="19" t="inlineStr">
        <is>
          <t>Medium</t>
        </is>
      </c>
      <c r="M7" s="19" t="inlineStr">
        <is>
          <t>Not verified this session</t>
        </is>
      </c>
      <c r="N7" s="24" t="inlineStr">
        <is>
          <t>https://aifree.dev/offer/sanity-startup-program</t>
        </is>
      </c>
      <c r="O7" s="24" t="inlineStr">
        <is>
          <t>https://aifree.dev/startup-ai-credits</t>
        </is>
      </c>
    </row>
    <row r="8" ht="23.85" customHeight="1" s="17">
      <c r="A8" s="19" t="inlineStr">
        <is>
          <t>SB-065</t>
        </is>
      </c>
      <c r="B8" s="19" t="inlineStr">
        <is>
          <t>Atlassian</t>
        </is>
      </c>
      <c r="C8" s="19" t="inlineStr">
        <is>
          <t>Atlassian for Startups</t>
        </is>
      </c>
      <c r="D8" s="19" t="inlineStr">
        <is>
          <t>Startup plan / free subscription period</t>
        </is>
      </c>
      <c r="E8" s="22" t="n"/>
      <c r="F8" s="19" t="inlineStr">
        <is>
          <t>USD</t>
        </is>
      </c>
      <c r="G8" s="19" t="inlineStr">
        <is>
          <t>In-Kind</t>
        </is>
      </c>
      <c r="H8" s="19" t="inlineStr">
        <is>
          <t>Open</t>
        </is>
      </c>
      <c r="I8" s="19" t="inlineStr">
        <is>
          <t>Not stated</t>
        </is>
      </c>
      <c r="J8" s="19" t="inlineStr">
        <is>
          <t>Unverified</t>
        </is>
      </c>
      <c r="K8" s="19" t="inlineStr">
        <is>
          <t>Unknown</t>
        </is>
      </c>
      <c r="L8" s="19" t="inlineStr">
        <is>
          <t>Medium</t>
        </is>
      </c>
      <c r="M8" s="19" t="inlineStr">
        <is>
          <t>Not verified this session</t>
        </is>
      </c>
      <c r="N8" s="24" t="inlineStr">
        <is>
          <t>https://aifree.dev/offer/atlassian-startup-program</t>
        </is>
      </c>
      <c r="O8" s="24" t="inlineStr">
        <is>
          <t>https://aifree.dev/startup-ai-credits</t>
        </is>
      </c>
    </row>
    <row r="9" ht="23.85" customHeight="1" s="17">
      <c r="A9" s="19" t="inlineStr">
        <is>
          <t>SB-066</t>
        </is>
      </c>
      <c r="B9" s="19" t="inlineStr">
        <is>
          <t>Auth0 (Okta)</t>
        </is>
      </c>
      <c r="C9" s="19" t="inlineStr">
        <is>
          <t>Auth0 for Startups</t>
        </is>
      </c>
      <c r="D9" s="19" t="inlineStr">
        <is>
          <t>Startup plan / free subscription period</t>
        </is>
      </c>
      <c r="E9" s="22" t="n"/>
      <c r="F9" s="19" t="inlineStr">
        <is>
          <t>USD</t>
        </is>
      </c>
      <c r="G9" s="19" t="inlineStr">
        <is>
          <t>In-Kind</t>
        </is>
      </c>
      <c r="H9" s="19" t="inlineStr">
        <is>
          <t>Open</t>
        </is>
      </c>
      <c r="I9" s="19" t="inlineStr">
        <is>
          <t>Not stated</t>
        </is>
      </c>
      <c r="J9" s="19" t="inlineStr">
        <is>
          <t>Unverified</t>
        </is>
      </c>
      <c r="K9" s="19" t="inlineStr">
        <is>
          <t>Unknown</t>
        </is>
      </c>
      <c r="L9" s="19" t="inlineStr">
        <is>
          <t>Medium</t>
        </is>
      </c>
      <c r="M9" s="19" t="inlineStr">
        <is>
          <t>Not verified this session</t>
        </is>
      </c>
      <c r="N9" s="24" t="inlineStr">
        <is>
          <t>https://aifree.dev/offer/auth0-for-startups</t>
        </is>
      </c>
      <c r="O9" s="24" t="inlineStr">
        <is>
          <t>https://aifree.dev/startup-ai-credits</t>
        </is>
      </c>
    </row>
    <row r="10" ht="23.85" customHeight="1" s="17">
      <c r="A10" s="19" t="inlineStr">
        <is>
          <t>SB-068</t>
        </is>
      </c>
      <c r="B10" s="19" t="inlineStr">
        <is>
          <t>Customer.io</t>
        </is>
      </c>
      <c r="C10" s="19" t="inlineStr">
        <is>
          <t>Customer.io Startup Program</t>
        </is>
      </c>
      <c r="D10" s="19" t="inlineStr">
        <is>
          <t>Startup plan / free subscription period</t>
        </is>
      </c>
      <c r="E10" s="22" t="n"/>
      <c r="F10" s="19" t="inlineStr">
        <is>
          <t>USD</t>
        </is>
      </c>
      <c r="G10" s="19" t="inlineStr">
        <is>
          <t>In-Kind</t>
        </is>
      </c>
      <c r="H10" s="19" t="inlineStr">
        <is>
          <t>Open</t>
        </is>
      </c>
      <c r="I10" s="19" t="inlineStr">
        <is>
          <t>Not stated</t>
        </is>
      </c>
      <c r="J10" s="19" t="inlineStr">
        <is>
          <t>Unverified</t>
        </is>
      </c>
      <c r="K10" s="19" t="inlineStr">
        <is>
          <t>Unknown</t>
        </is>
      </c>
      <c r="L10" s="19" t="inlineStr">
        <is>
          <t>Medium</t>
        </is>
      </c>
      <c r="M10" s="19" t="inlineStr">
        <is>
          <t>Not verified this session</t>
        </is>
      </c>
      <c r="N10" s="24" t="inlineStr">
        <is>
          <t>https://aifree.dev/offer/customer-io-startup-program</t>
        </is>
      </c>
      <c r="O10" s="24" t="inlineStr">
        <is>
          <t>https://aifree.dev/startup-ai-credits</t>
        </is>
      </c>
    </row>
    <row r="11" ht="23.85" customHeight="1" s="17">
      <c r="A11" s="19" t="inlineStr">
        <is>
          <t>SB-073</t>
        </is>
      </c>
      <c r="B11" s="19" t="inlineStr">
        <is>
          <t>Linear</t>
        </is>
      </c>
      <c r="C11" s="19" t="inlineStr">
        <is>
          <t>Linear Startup Program</t>
        </is>
      </c>
      <c r="D11" s="19" t="inlineStr">
        <is>
          <t>Startup plan / free subscription period</t>
        </is>
      </c>
      <c r="E11" s="22" t="n"/>
      <c r="F11" s="19" t="inlineStr">
        <is>
          <t>USD</t>
        </is>
      </c>
      <c r="G11" s="19" t="inlineStr">
        <is>
          <t>In-Kind</t>
        </is>
      </c>
      <c r="H11" s="19" t="inlineStr">
        <is>
          <t>Open</t>
        </is>
      </c>
      <c r="I11" s="19" t="inlineStr">
        <is>
          <t>Not stated</t>
        </is>
      </c>
      <c r="J11" s="19" t="inlineStr">
        <is>
          <t>Unverified</t>
        </is>
      </c>
      <c r="K11" s="19" t="inlineStr">
        <is>
          <t>Unknown</t>
        </is>
      </c>
      <c r="L11" s="19" t="inlineStr">
        <is>
          <t>Medium</t>
        </is>
      </c>
      <c r="M11" s="19" t="inlineStr">
        <is>
          <t>Not verified this session</t>
        </is>
      </c>
      <c r="N11" s="24" t="inlineStr">
        <is>
          <t>https://aifree.dev/offer/linear-startup-program</t>
        </is>
      </c>
      <c r="O11" s="24" t="inlineStr">
        <is>
          <t>https://aifree.dev/startup-ai-credits</t>
        </is>
      </c>
    </row>
    <row r="12" ht="23.85" customHeight="1" s="17">
      <c r="A12" s="19" t="inlineStr">
        <is>
          <t>SB-074</t>
        </is>
      </c>
      <c r="B12" s="19" t="inlineStr">
        <is>
          <t>Mintlify</t>
        </is>
      </c>
      <c r="C12" s="19" t="inlineStr">
        <is>
          <t>Mintlify Startup Program</t>
        </is>
      </c>
      <c r="D12" s="19" t="inlineStr">
        <is>
          <t>Startup plan / free subscription period</t>
        </is>
      </c>
      <c r="E12" s="22" t="n"/>
      <c r="F12" s="19" t="inlineStr">
        <is>
          <t>USD</t>
        </is>
      </c>
      <c r="G12" s="19" t="inlineStr">
        <is>
          <t>Discount</t>
        </is>
      </c>
      <c r="H12" s="19" t="inlineStr">
        <is>
          <t>Open</t>
        </is>
      </c>
      <c r="I12" s="19" t="inlineStr">
        <is>
          <t>Not stated</t>
        </is>
      </c>
      <c r="J12" s="19" t="inlineStr">
        <is>
          <t>Unverified</t>
        </is>
      </c>
      <c r="K12" s="19" t="inlineStr">
        <is>
          <t>Unknown</t>
        </is>
      </c>
      <c r="L12" s="19" t="inlineStr">
        <is>
          <t>Medium</t>
        </is>
      </c>
      <c r="M12" s="19" t="inlineStr">
        <is>
          <t>Not verified this session</t>
        </is>
      </c>
      <c r="N12" s="24" t="inlineStr">
        <is>
          <t>https://aifree.dev/offer/mintlify-startup-program</t>
        </is>
      </c>
      <c r="O12" s="24" t="inlineStr">
        <is>
          <t>https://aifree.dev/startup-ai-credits</t>
        </is>
      </c>
    </row>
    <row r="13" ht="23.85" customHeight="1" s="17">
      <c r="A13" s="19" t="inlineStr">
        <is>
          <t>SB-085</t>
        </is>
      </c>
      <c r="B13" s="19" t="inlineStr">
        <is>
          <t>Shortcut</t>
        </is>
      </c>
      <c r="C13" s="19" t="inlineStr">
        <is>
          <t>Shortcut for Startups</t>
        </is>
      </c>
      <c r="D13" s="19" t="inlineStr">
        <is>
          <t>Startup plan / free subscription period</t>
        </is>
      </c>
      <c r="E13" s="22" t="n"/>
      <c r="F13" s="19" t="inlineStr">
        <is>
          <t>USD</t>
        </is>
      </c>
      <c r="G13" s="19" t="inlineStr">
        <is>
          <t>In-Kind</t>
        </is>
      </c>
      <c r="H13" s="19" t="inlineStr">
        <is>
          <t>Open</t>
        </is>
      </c>
      <c r="I13" s="19" t="inlineStr">
        <is>
          <t>Not stated</t>
        </is>
      </c>
      <c r="J13" s="19" t="inlineStr">
        <is>
          <t>Unverified</t>
        </is>
      </c>
      <c r="K13" s="19" t="inlineStr">
        <is>
          <t>Unknown</t>
        </is>
      </c>
      <c r="L13" s="19" t="inlineStr">
        <is>
          <t>Medium</t>
        </is>
      </c>
      <c r="M13" s="19" t="inlineStr">
        <is>
          <t>Not verified this session</t>
        </is>
      </c>
      <c r="N13" s="24" t="inlineStr">
        <is>
          <t>https://aifree.dev/offer/shortcut-startup-program</t>
        </is>
      </c>
      <c r="O13" s="24" t="inlineStr">
        <is>
          <t>https://aifree.dev/startup-ai-credits</t>
        </is>
      </c>
    </row>
    <row r="14" ht="23.85" customHeight="1" s="17">
      <c r="A14" s="19" t="inlineStr">
        <is>
          <t>SB-087</t>
        </is>
      </c>
      <c r="B14" s="19" t="inlineStr">
        <is>
          <t>Stripe</t>
        </is>
      </c>
      <c r="C14" s="19" t="inlineStr">
        <is>
          <t>Stripe for Startups</t>
        </is>
      </c>
      <c r="D14" s="19" t="inlineStr">
        <is>
          <t>Startup plan / free subscription period</t>
        </is>
      </c>
      <c r="E14" s="22" t="n"/>
      <c r="F14" s="19" t="inlineStr">
        <is>
          <t>USD</t>
        </is>
      </c>
      <c r="G14" s="19" t="inlineStr">
        <is>
          <t>Discount</t>
        </is>
      </c>
      <c r="H14" s="19" t="inlineStr">
        <is>
          <t>Open</t>
        </is>
      </c>
      <c r="I14" s="19" t="inlineStr">
        <is>
          <t>Not stated</t>
        </is>
      </c>
      <c r="J14" s="19" t="inlineStr">
        <is>
          <t>Unverified</t>
        </is>
      </c>
      <c r="K14" s="19" t="inlineStr">
        <is>
          <t>Unknown</t>
        </is>
      </c>
      <c r="L14" s="19" t="inlineStr">
        <is>
          <t>Medium</t>
        </is>
      </c>
      <c r="M14" s="24" t="inlineStr">
        <is>
          <t>https://stripe.com/startup-benefits/aws-activate</t>
        </is>
      </c>
      <c r="N14" s="24" t="inlineStr">
        <is>
          <t>https://aifree.dev/offer/stripe-for-startups</t>
        </is>
      </c>
      <c r="O14" s="24" t="inlineStr">
        <is>
          <t>https://aifree.dev/startup-ai-credits</t>
        </is>
      </c>
    </row>
  </sheetData>
  <conditionalFormatting sqref="H2:H500">
    <cfRule type="cellIs" rank="0" priority="2" equalAverage="0" operator="equal" aboveAverage="0" dxfId="9" text="" percent="0" bottom="0">
      <formula>"Open"</formula>
    </cfRule>
    <cfRule type="cellIs" rank="0" priority="3" equalAverage="0" operator="equal" aboveAverage="0" dxfId="10" text="" percent="0" bottom="0">
      <formula>"Closed"</formula>
    </cfRule>
    <cfRule type="cellIs" rank="0" priority="4" equalAverage="0" operator="equal" aboveAverage="0" dxfId="11" text="" percent="0" bottom="0">
      <formula>"Waitlist"</formula>
    </cfRule>
  </conditionalFormatting>
  <hyperlinks>
    <hyperlink xmlns:r="http://schemas.openxmlformats.org/officeDocument/2006/relationships" ref="M2" display="https://sendpulse.com/startup" r:id="rId1"/>
    <hyperlink xmlns:r="http://schemas.openxmlformats.org/officeDocument/2006/relationships" ref="N2" display="https://sendpulse.com/startup" r:id="rId2"/>
    <hyperlink xmlns:r="http://schemas.openxmlformats.org/officeDocument/2006/relationships" ref="M3" display="https://unione.io/en/email-service-for-startups/" r:id="rId3"/>
    <hyperlink xmlns:r="http://schemas.openxmlformats.org/officeDocument/2006/relationships" ref="N3" display="https://unione.io/en/email-service-for-startups/" r:id="rId4"/>
    <hyperlink xmlns:r="http://schemas.openxmlformats.org/officeDocument/2006/relationships" ref="N4" display="https://aifree.dev/offer/posthog-startup-program" r:id="rId5"/>
    <hyperlink xmlns:r="http://schemas.openxmlformats.org/officeDocument/2006/relationships" ref="O4" display="https://aifree.dev/startup-ai-credits" r:id="rId6"/>
    <hyperlink xmlns:r="http://schemas.openxmlformats.org/officeDocument/2006/relationships" ref="N5" display="https://aifree.dev/offer/notion-for-startups" r:id="rId7"/>
    <hyperlink xmlns:r="http://schemas.openxmlformats.org/officeDocument/2006/relationships" ref="O5" display="https://aifree.dev/startup-ai-credits" r:id="rId8"/>
    <hyperlink xmlns:r="http://schemas.openxmlformats.org/officeDocument/2006/relationships" ref="N6" display="https://aifree.dev/offer/algolia-startup-program" r:id="rId9"/>
    <hyperlink xmlns:r="http://schemas.openxmlformats.org/officeDocument/2006/relationships" ref="O6" display="https://aifree.dev/startup-ai-credits" r:id="rId10"/>
    <hyperlink xmlns:r="http://schemas.openxmlformats.org/officeDocument/2006/relationships" ref="N7" display="https://aifree.dev/offer/sanity-startup-program" r:id="rId11"/>
    <hyperlink xmlns:r="http://schemas.openxmlformats.org/officeDocument/2006/relationships" ref="O7" display="https://aifree.dev/startup-ai-credits" r:id="rId12"/>
    <hyperlink xmlns:r="http://schemas.openxmlformats.org/officeDocument/2006/relationships" ref="N8" display="https://aifree.dev/offer/atlassian-startup-program" r:id="rId13"/>
    <hyperlink xmlns:r="http://schemas.openxmlformats.org/officeDocument/2006/relationships" ref="O8" display="https://aifree.dev/startup-ai-credits" r:id="rId14"/>
    <hyperlink xmlns:r="http://schemas.openxmlformats.org/officeDocument/2006/relationships" ref="N9" display="https://aifree.dev/offer/auth0-for-startups" r:id="rId15"/>
    <hyperlink xmlns:r="http://schemas.openxmlformats.org/officeDocument/2006/relationships" ref="O9" display="https://aifree.dev/startup-ai-credits" r:id="rId16"/>
    <hyperlink xmlns:r="http://schemas.openxmlformats.org/officeDocument/2006/relationships" ref="N10" display="https://aifree.dev/offer/customer-io-startup-program" r:id="rId17"/>
    <hyperlink xmlns:r="http://schemas.openxmlformats.org/officeDocument/2006/relationships" ref="O10" display="https://aifree.dev/startup-ai-credits" r:id="rId18"/>
    <hyperlink xmlns:r="http://schemas.openxmlformats.org/officeDocument/2006/relationships" ref="N11" display="https://aifree.dev/offer/linear-startup-program" r:id="rId19"/>
    <hyperlink xmlns:r="http://schemas.openxmlformats.org/officeDocument/2006/relationships" ref="O11" display="https://aifree.dev/startup-ai-credits" r:id="rId20"/>
    <hyperlink xmlns:r="http://schemas.openxmlformats.org/officeDocument/2006/relationships" ref="N12" display="https://aifree.dev/offer/mintlify-startup-program" r:id="rId21"/>
    <hyperlink xmlns:r="http://schemas.openxmlformats.org/officeDocument/2006/relationships" ref="O12" display="https://aifree.dev/startup-ai-credits" r:id="rId22"/>
    <hyperlink xmlns:r="http://schemas.openxmlformats.org/officeDocument/2006/relationships" ref="N13" display="https://aifree.dev/offer/shortcut-startup-program" r:id="rId23"/>
    <hyperlink xmlns:r="http://schemas.openxmlformats.org/officeDocument/2006/relationships" ref="O13" display="https://aifree.dev/startup-ai-credits" r:id="rId24"/>
    <hyperlink xmlns:r="http://schemas.openxmlformats.org/officeDocument/2006/relationships" ref="M14" display="https://stripe.com/startup-benefits/aws-activate" r:id="rId25"/>
    <hyperlink xmlns:r="http://schemas.openxmlformats.org/officeDocument/2006/relationships" ref="N14" display="https://aifree.dev/offer/stripe-for-startups" r:id="rId26"/>
    <hyperlink xmlns:r="http://schemas.openxmlformats.org/officeDocument/2006/relationships" ref="O14" display="https://aifree.dev/startup-ai-credits" r:id="rId2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8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24" customWidth="1" style="16" min="2" max="2"/>
    <col width="34" customWidth="1" style="16" min="3" max="3"/>
    <col width="26" customWidth="1" style="16" min="4" max="4"/>
    <col width="14" customWidth="1" style="16" min="5" max="5"/>
    <col width="9" customWidth="1" style="16" min="6" max="6"/>
    <col width="11" customWidth="1" style="16" min="7" max="8"/>
    <col width="55" customWidth="1" style="16" min="9" max="9"/>
    <col width="18" customWidth="1" style="16" min="10" max="10"/>
    <col width="16" customWidth="1" style="16" min="11" max="11"/>
    <col width="12" customWidth="1" style="16" min="12" max="12"/>
    <col width="30" customWidth="1" style="16" min="13" max="15"/>
  </cols>
  <sheetData>
    <row r="1" ht="46.25" customHeight="1" s="17">
      <c r="A1" s="21" t="inlineStr">
        <is>
          <t>Record ID</t>
        </is>
      </c>
      <c r="B1" s="21" t="inlineStr">
        <is>
          <t>Company Name</t>
        </is>
      </c>
      <c r="C1" s="21" t="inlineStr">
        <is>
          <t>Program Name</t>
        </is>
      </c>
      <c r="D1" s="21" t="inlineStr">
        <is>
          <t>Benefit Type</t>
        </is>
      </c>
      <c r="E1" s="21" t="inlineStr">
        <is>
          <t>Maximum Advertised Value</t>
        </is>
      </c>
      <c r="F1" s="21" t="inlineStr">
        <is>
          <t>Currency</t>
        </is>
      </c>
      <c r="G1" s="21" t="inlineStr">
        <is>
          <t>Value Type</t>
        </is>
      </c>
      <c r="H1" s="21" t="inlineStr">
        <is>
          <t>Program Status</t>
        </is>
      </c>
      <c r="I1" s="21" t="inlineStr">
        <is>
          <t>Eligibility Requirements</t>
        </is>
      </c>
      <c r="J1" s="21" t="inlineStr">
        <is>
          <t>Available to Egypt-Based Startups?</t>
        </is>
      </c>
      <c r="K1" s="21" t="inlineStr">
        <is>
          <t>Available to Bootstrapped Startups?</t>
        </is>
      </c>
      <c r="L1" s="21" t="inlineStr">
        <is>
          <t>Verification Confidence</t>
        </is>
      </c>
      <c r="M1" s="21" t="inlineStr">
        <is>
          <t>Official Program URL</t>
        </is>
      </c>
      <c r="N1" s="21" t="inlineStr">
        <is>
          <t>Official Evidence URL</t>
        </is>
      </c>
      <c r="O1" s="21" t="inlineStr">
        <is>
          <t>Secondary Evidence URL</t>
        </is>
      </c>
    </row>
    <row r="2" ht="23.85" customHeight="1" s="17">
      <c r="A2" s="19" t="inlineStr">
        <is>
          <t>SB-011</t>
        </is>
      </c>
      <c r="B2" s="19" t="inlineStr">
        <is>
          <t>TIEC (ITIDA)</t>
        </is>
      </c>
      <c r="C2" s="19" t="inlineStr">
        <is>
          <t>Start IT incubation program (TIEC)</t>
        </is>
      </c>
      <c r="D2" s="19" t="inlineStr">
        <is>
          <t>Cash grant + incubation + AWS support</t>
        </is>
      </c>
      <c r="E2" s="22" t="n">
        <v>480000</v>
      </c>
      <c r="F2" s="19" t="inlineStr">
        <is>
          <t>EGP</t>
        </is>
      </c>
      <c r="G2" s="19" t="inlineStr">
        <is>
          <t>Cash</t>
        </is>
      </c>
      <c r="H2" s="19" t="inlineStr">
        <is>
          <t>Rolling</t>
        </is>
      </c>
      <c r="I2" s="19" t="inlineStr">
        <is>
          <t>Early-stage startups with scalable ICT-based solutions or tech-enabled prototypes (per the round announcement).</t>
        </is>
      </c>
      <c r="J2" s="19" t="inlineStr">
        <is>
          <t>Confirmed</t>
        </is>
      </c>
      <c r="K2" s="19" t="inlineStr">
        <is>
          <t>Unknown</t>
        </is>
      </c>
      <c r="L2" s="19" t="inlineStr">
        <is>
          <t>Low</t>
        </is>
      </c>
      <c r="M2" s="19" t="inlineStr">
        <is>
          <t>Not verified this session</t>
        </is>
      </c>
      <c r="N2" s="24" t="inlineStr">
        <is>
          <t>https://meatechwatch.com/?p=23538</t>
        </is>
      </c>
      <c r="O2" s="24" t="inlineStr">
        <is>
          <t>https://menastartupdigest.com/?p=40213</t>
        </is>
      </c>
    </row>
  </sheetData>
  <conditionalFormatting sqref="H2:H500">
    <cfRule type="cellIs" rank="0" priority="2" equalAverage="0" operator="equal" aboveAverage="0" dxfId="9" text="" percent="0" bottom="0">
      <formula>"Open"</formula>
    </cfRule>
    <cfRule type="cellIs" rank="0" priority="3" equalAverage="0" operator="equal" aboveAverage="0" dxfId="10" text="" percent="0" bottom="0">
      <formula>"Closed"</formula>
    </cfRule>
    <cfRule type="cellIs" rank="0" priority="4" equalAverage="0" operator="equal" aboveAverage="0" dxfId="11" text="" percent="0" bottom="0">
      <formula>"Waitlist"</formula>
    </cfRule>
  </conditionalFormatting>
  <hyperlinks>
    <hyperlink xmlns:r="http://schemas.openxmlformats.org/officeDocument/2006/relationships" ref="N2" display="https://meatechwatch.com/?p=23538" r:id="rId1"/>
    <hyperlink xmlns:r="http://schemas.openxmlformats.org/officeDocument/2006/relationships" ref="O2" display="https://menastartupdigest.com/?p=40213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1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24" customWidth="1" style="16" min="2" max="2"/>
    <col width="34" customWidth="1" style="16" min="3" max="3"/>
    <col width="26" customWidth="1" style="16" min="4" max="4"/>
    <col width="14" customWidth="1" style="16" min="5" max="5"/>
    <col width="9" customWidth="1" style="16" min="6" max="6"/>
    <col width="11" customWidth="1" style="16" min="7" max="8"/>
    <col width="55" customWidth="1" style="16" min="9" max="9"/>
    <col width="18" customWidth="1" style="16" min="10" max="10"/>
    <col width="16" customWidth="1" style="16" min="11" max="11"/>
    <col width="12" customWidth="1" style="16" min="12" max="12"/>
    <col width="30" customWidth="1" style="16" min="13" max="15"/>
  </cols>
  <sheetData>
    <row r="1" ht="46.25" customHeight="1" s="17">
      <c r="A1" s="21" t="inlineStr">
        <is>
          <t>Record ID</t>
        </is>
      </c>
      <c r="B1" s="21" t="inlineStr">
        <is>
          <t>Company Name</t>
        </is>
      </c>
      <c r="C1" s="21" t="inlineStr">
        <is>
          <t>Program Name</t>
        </is>
      </c>
      <c r="D1" s="21" t="inlineStr">
        <is>
          <t>Benefit Type</t>
        </is>
      </c>
      <c r="E1" s="21" t="inlineStr">
        <is>
          <t>Maximum Advertised Value</t>
        </is>
      </c>
      <c r="F1" s="21" t="inlineStr">
        <is>
          <t>Currency</t>
        </is>
      </c>
      <c r="G1" s="21" t="inlineStr">
        <is>
          <t>Value Type</t>
        </is>
      </c>
      <c r="H1" s="21" t="inlineStr">
        <is>
          <t>Program Status</t>
        </is>
      </c>
      <c r="I1" s="21" t="inlineStr">
        <is>
          <t>Eligibility Requirements</t>
        </is>
      </c>
      <c r="J1" s="21" t="inlineStr">
        <is>
          <t>Available to Egypt-Based Startups?</t>
        </is>
      </c>
      <c r="K1" s="21" t="inlineStr">
        <is>
          <t>Available to Bootstrapped Startups?</t>
        </is>
      </c>
      <c r="L1" s="21" t="inlineStr">
        <is>
          <t>Verification Confidence</t>
        </is>
      </c>
      <c r="M1" s="21" t="inlineStr">
        <is>
          <t>Official Program URL</t>
        </is>
      </c>
      <c r="N1" s="21" t="inlineStr">
        <is>
          <t>Official Evidence URL</t>
        </is>
      </c>
      <c r="O1" s="21" t="inlineStr">
        <is>
          <t>Secondary Evidence URL</t>
        </is>
      </c>
    </row>
    <row r="2" ht="35.05" customHeight="1" s="17">
      <c r="A2" s="19" t="inlineStr">
        <is>
          <t>SB-001</t>
        </is>
      </c>
      <c r="B2" s="19" t="inlineStr">
        <is>
          <t>Amazon Web Services</t>
        </is>
      </c>
      <c r="C2" s="19" t="inlineStr">
        <is>
          <t>AWS Activate Founders</t>
        </is>
      </c>
      <c r="D2" s="19" t="inlineStr">
        <is>
          <t>Startup credits (startup-specific)</t>
        </is>
      </c>
      <c r="E2" s="22" t="n">
        <v>5000</v>
      </c>
      <c r="F2" s="19" t="inlineStr">
        <is>
          <t>USD</t>
        </is>
      </c>
      <c r="G2" s="19" t="inlineStr">
        <is>
          <t>Credits</t>
        </is>
      </c>
      <c r="H2" s="19" t="inlineStr">
        <is>
          <t>Open</t>
        </is>
      </c>
      <c r="I2" s="19" t="inlineStr">
        <is>
          <t>Pre-Series B, founded in the last 10 years, AWS account on Paid Tier plan, and either new to Activate Credits or requesting more than previously received.</t>
        </is>
      </c>
      <c r="J2" s="19" t="inlineStr">
        <is>
          <t>Unverified</t>
        </is>
      </c>
      <c r="K2" s="19" t="inlineStr">
        <is>
          <t>Yes</t>
        </is>
      </c>
      <c r="L2" s="19" t="inlineStr">
        <is>
          <t>High</t>
        </is>
      </c>
      <c r="M2" s="24" t="inlineStr">
        <is>
          <t>https://aws.amazon.com/startups/credits/</t>
        </is>
      </c>
      <c r="N2" s="24" t="inlineStr">
        <is>
          <t>https://aws.amazon.com/startups/credits/</t>
        </is>
      </c>
      <c r="O2" s="24" t="inlineStr">
        <is>
          <t>https://aifree.dev/offer/aws-activate-credits</t>
        </is>
      </c>
    </row>
    <row r="3" ht="23.85" customHeight="1" s="17">
      <c r="A3" s="19" t="inlineStr">
        <is>
          <t>SB-002</t>
        </is>
      </c>
      <c r="B3" s="19" t="inlineStr">
        <is>
          <t>Amazon Web Services</t>
        </is>
      </c>
      <c r="C3" s="19" t="inlineStr">
        <is>
          <t>AWS Activate Portfolio</t>
        </is>
      </c>
      <c r="D3" s="19" t="inlineStr">
        <is>
          <t>Startup credits (startup-specific)</t>
        </is>
      </c>
      <c r="E3" s="22" t="n">
        <v>200000</v>
      </c>
      <c r="F3" s="19" t="inlineStr">
        <is>
          <t>USD</t>
        </is>
      </c>
      <c r="G3" s="19" t="inlineStr">
        <is>
          <t>Credits</t>
        </is>
      </c>
      <c r="H3" s="19" t="inlineStr">
        <is>
          <t>Open</t>
        </is>
      </c>
      <c r="I3" s="19" t="inlineStr">
        <is>
          <t>Pre-Series B, founded within 10 years, Paid Tier AWS account, valid Org ID from an Activate Provider.</t>
        </is>
      </c>
      <c r="J3" s="19" t="inlineStr">
        <is>
          <t>Unverified</t>
        </is>
      </c>
      <c r="K3" s="19" t="inlineStr">
        <is>
          <t>No (needs provider)</t>
        </is>
      </c>
      <c r="L3" s="19" t="inlineStr">
        <is>
          <t>High</t>
        </is>
      </c>
      <c r="M3" s="24" t="inlineStr">
        <is>
          <t>https://aws.amazon.com/startups/credits/</t>
        </is>
      </c>
      <c r="N3" s="24" t="inlineStr">
        <is>
          <t>https://aws.amazon.com/startups/credits/</t>
        </is>
      </c>
      <c r="O3" s="24" t="inlineStr">
        <is>
          <t>https://aws.amazon.com/startups/providers</t>
        </is>
      </c>
    </row>
    <row r="4" ht="23.85" customHeight="1" s="17">
      <c r="A4" s="19" t="inlineStr">
        <is>
          <t>SB-003</t>
        </is>
      </c>
      <c r="B4" s="19" t="inlineStr">
        <is>
          <t>Amazon Web Services</t>
        </is>
      </c>
      <c r="C4" s="19" t="inlineStr">
        <is>
          <t>AWS Credits for AI Startups</t>
        </is>
      </c>
      <c r="D4" s="19" t="inlineStr">
        <is>
          <t>Startup credits (startup-specific)</t>
        </is>
      </c>
      <c r="E4" s="22" t="n">
        <v>200000</v>
      </c>
      <c r="F4" s="19" t="inlineStr">
        <is>
          <t>USD</t>
        </is>
      </c>
      <c r="G4" s="19" t="inlineStr">
        <is>
          <t>Credits</t>
        </is>
      </c>
      <c r="H4" s="19" t="inlineStr">
        <is>
          <t>Waitlist</t>
        </is>
      </c>
      <c r="I4" s="19" t="inlineStr">
        <is>
          <t>Invite only; startups ready to scale after Activate Portfolio.</t>
        </is>
      </c>
      <c r="J4" s="19" t="inlineStr">
        <is>
          <t>Unverified</t>
        </is>
      </c>
      <c r="K4" s="19" t="inlineStr">
        <is>
          <t>No</t>
        </is>
      </c>
      <c r="L4" s="19" t="inlineStr">
        <is>
          <t>High</t>
        </is>
      </c>
      <c r="M4" s="24" t="inlineStr">
        <is>
          <t>https://aws.amazon.com/startups/credits/</t>
        </is>
      </c>
      <c r="N4" s="24" t="inlineStr">
        <is>
          <t>https://aws.amazon.com/startups/credits/</t>
        </is>
      </c>
      <c r="O4" s="19" t="n"/>
    </row>
    <row r="5" ht="23.85" customHeight="1" s="17">
      <c r="A5" s="19" t="inlineStr">
        <is>
          <t>SB-004</t>
        </is>
      </c>
      <c r="B5" s="19" t="inlineStr">
        <is>
          <t>Amazon Web Services (Kiro)</t>
        </is>
      </c>
      <c r="C5" s="19" t="inlineStr">
        <is>
          <t>Kiro Startup Credits</t>
        </is>
      </c>
      <c r="D5" s="19" t="inlineStr">
        <is>
          <t>Startup credits (startup-specific)</t>
        </is>
      </c>
      <c r="E5" s="22" t="n"/>
      <c r="F5" s="19" t="inlineStr">
        <is>
          <t>USD</t>
        </is>
      </c>
      <c r="G5" s="19" t="inlineStr">
        <is>
          <t>Credits</t>
        </is>
      </c>
      <c r="H5" s="19" t="inlineStr">
        <is>
          <t>Open</t>
        </is>
      </c>
      <c r="I5" s="19" t="inlineStr">
        <is>
          <t>Eligible startups without current AWS Activate Credits (per AWS page).</t>
        </is>
      </c>
      <c r="J5" s="19" t="inlineStr">
        <is>
          <t>Unverified</t>
        </is>
      </c>
      <c r="K5" s="19" t="inlineStr">
        <is>
          <t>Unknown</t>
        </is>
      </c>
      <c r="L5" s="19" t="inlineStr">
        <is>
          <t>Medium</t>
        </is>
      </c>
      <c r="M5" s="24" t="inlineStr">
        <is>
          <t>https://kiro.dev/startups/</t>
        </is>
      </c>
      <c r="N5" s="24" t="inlineStr">
        <is>
          <t>https://aws.amazon.com/startups/credits/</t>
        </is>
      </c>
      <c r="O5" s="24" t="inlineStr">
        <is>
          <t>https://kiro.dev/startups/</t>
        </is>
      </c>
    </row>
    <row r="6" ht="46.25" customHeight="1" s="17">
      <c r="A6" s="19" t="inlineStr">
        <is>
          <t>SB-005</t>
        </is>
      </c>
      <c r="B6" s="19" t="inlineStr">
        <is>
          <t>Google Cloud</t>
        </is>
      </c>
      <c r="C6" s="19" t="inlineStr">
        <is>
          <t>Google for Startups Cloud Program - Start tier</t>
        </is>
      </c>
      <c r="D6" s="19" t="inlineStr">
        <is>
          <t>Startup credits (startup-specific)</t>
        </is>
      </c>
      <c r="E6" s="22" t="n">
        <v>2000</v>
      </c>
      <c r="F6" s="19" t="inlineStr">
        <is>
          <t>USD</t>
        </is>
      </c>
      <c r="G6" s="19" t="inlineStr">
        <is>
          <t>Credits</t>
        </is>
      </c>
      <c r="H6" s="19" t="inlineStr">
        <is>
          <t>Open</t>
        </is>
      </c>
      <c r="I6" s="19" t="inlineStr">
        <is>
          <t>Founded within 2 years, working MVP, clear business model, plans to seek venture funding. Business email must match website domain; active website required; GCP billing account owned by a company-domain user.</t>
        </is>
      </c>
      <c r="J6" s="19" t="inlineStr">
        <is>
          <t>Unverified (regional restrictions noted)</t>
        </is>
      </c>
      <c r="K6" s="19" t="inlineStr">
        <is>
          <t>Likely (Start tier not funding-gated)</t>
        </is>
      </c>
      <c r="L6" s="19" t="inlineStr">
        <is>
          <t>High</t>
        </is>
      </c>
      <c r="M6" s="24" t="inlineStr">
        <is>
          <t>https://cloud.google.com/startup</t>
        </is>
      </c>
      <c r="N6" s="24" t="inlineStr">
        <is>
          <t>https://cloud.google.com/startup</t>
        </is>
      </c>
      <c r="O6" s="24" t="inlineStr">
        <is>
          <t>https://aifree.dev/offer/google-cloud-ai-startup-program</t>
        </is>
      </c>
    </row>
    <row r="7" ht="46.25" customHeight="1" s="17">
      <c r="A7" s="19" t="inlineStr">
        <is>
          <t>SB-006</t>
        </is>
      </c>
      <c r="B7" s="19" t="inlineStr">
        <is>
          <t>Google Cloud</t>
        </is>
      </c>
      <c r="C7" s="19" t="inlineStr">
        <is>
          <t>Google for Startups Cloud Program - Scale / Scale AI</t>
        </is>
      </c>
      <c r="D7" s="19" t="inlineStr">
        <is>
          <t>Startup credits (startup-specific)</t>
        </is>
      </c>
      <c r="E7" s="22" t="n">
        <v>350000</v>
      </c>
      <c r="F7" s="19" t="inlineStr">
        <is>
          <t>USD</t>
        </is>
      </c>
      <c r="G7" s="19" t="inlineStr">
        <is>
          <t>Credits</t>
        </is>
      </c>
      <c r="H7" s="19" t="inlineStr">
        <is>
          <t>Open</t>
        </is>
      </c>
      <c r="I7" s="19" t="inlineStr">
        <is>
          <t>Verifiable Pre-Seed to Series A funding from a known investor, founded within the last 3-5 years depending on tier. Grants, loans, crowdfunding and friends-and-family money do not qualify for Scale tier.</t>
        </is>
      </c>
      <c r="J7" s="19" t="inlineStr">
        <is>
          <t>Unverified (regional restrictions noted)</t>
        </is>
      </c>
      <c r="K7" s="19" t="inlineStr">
        <is>
          <t>No (Scale tiers need funding)</t>
        </is>
      </c>
      <c r="L7" s="19" t="inlineStr">
        <is>
          <t>High</t>
        </is>
      </c>
      <c r="M7" s="24" t="inlineStr">
        <is>
          <t>https://cloud.google.com/startup</t>
        </is>
      </c>
      <c r="N7" s="24" t="inlineStr">
        <is>
          <t>https://cloud.google.com/startup</t>
        </is>
      </c>
      <c r="O7" s="24" t="inlineStr">
        <is>
          <t>https://aifree.dev/offer/google-cloud-ai-startup-program</t>
        </is>
      </c>
    </row>
    <row r="8" ht="35.05" customHeight="1" s="17">
      <c r="A8" s="19" t="inlineStr">
        <is>
          <t>SB-007</t>
        </is>
      </c>
      <c r="B8" s="19" t="inlineStr">
        <is>
          <t>Microsoft</t>
        </is>
      </c>
      <c r="C8" s="19" t="inlineStr">
        <is>
          <t>Microsoft for Startups Founders Hub</t>
        </is>
      </c>
      <c r="D8" s="19" t="inlineStr">
        <is>
          <t>Startup credits (startup-specific)</t>
        </is>
      </c>
      <c r="E8" s="22" t="n">
        <v>150000</v>
      </c>
      <c r="F8" s="19" t="inlineStr">
        <is>
          <t>USD</t>
        </is>
      </c>
      <c r="G8" s="19" t="inlineStr">
        <is>
          <t>Credits</t>
        </is>
      </c>
      <c r="H8" s="19" t="inlineStr">
        <is>
          <t>Open</t>
        </is>
      </c>
      <c r="I8" s="19" t="inlineStr">
        <is>
          <t>Entry reportedly open without VC backing. Secondary source lists rejection reasons: existing paid Azure customer, ineligible company type (agency, consultancy, crypto mining), unsupported region.</t>
        </is>
      </c>
      <c r="J8" s="19" t="inlineStr">
        <is>
          <t>Unverified (regional restrictions noted)</t>
        </is>
      </c>
      <c r="K8" s="19" t="inlineStr">
        <is>
          <t>Yes (reported)</t>
        </is>
      </c>
      <c r="L8" s="19" t="inlineStr">
        <is>
          <t>Medium</t>
        </is>
      </c>
      <c r="M8" s="24" t="inlineStr">
        <is>
          <t>https://www.microsoft.com/en-us/startups</t>
        </is>
      </c>
      <c r="N8" s="24" t="inlineStr">
        <is>
          <t>https://partner.microsoft.com/en-cy/partnership/founders-hub-benefits-guide</t>
        </is>
      </c>
      <c r="O8" s="24" t="inlineStr">
        <is>
          <t>https://guptadeepak.com/startup-offers/programs/microsoft-founders-hub</t>
        </is>
      </c>
    </row>
    <row r="9" ht="23.85" customHeight="1" s="17">
      <c r="A9" s="19" t="inlineStr">
        <is>
          <t>SB-008</t>
        </is>
      </c>
      <c r="B9" s="19" t="inlineStr">
        <is>
          <t>ElevenLabs</t>
        </is>
      </c>
      <c r="C9" s="19" t="inlineStr">
        <is>
          <t>ElevenLabs Startup Grants</t>
        </is>
      </c>
      <c r="D9" s="19" t="inlineStr">
        <is>
          <t>Startup credits (startup-specific)</t>
        </is>
      </c>
      <c r="E9" s="22" t="n">
        <v>5500</v>
      </c>
      <c r="F9" s="19" t="inlineStr">
        <is>
          <t>USD</t>
        </is>
      </c>
      <c r="G9" s="19" t="inlineStr">
        <is>
          <t>Credits</t>
        </is>
      </c>
      <c r="H9" s="19" t="inlineStr">
        <is>
          <t>Open</t>
        </is>
      </c>
      <c r="I9" s="19" t="inlineStr">
        <is>
          <t>Eligibility FAQ is collapsed on the fetched page; page says decisions within one week.</t>
        </is>
      </c>
      <c r="J9" s="19" t="inlineStr">
        <is>
          <t>Unverified</t>
        </is>
      </c>
      <c r="K9" s="19" t="inlineStr">
        <is>
          <t>Unknown</t>
        </is>
      </c>
      <c r="L9" s="19" t="inlineStr">
        <is>
          <t>Medium</t>
        </is>
      </c>
      <c r="M9" s="24" t="inlineStr">
        <is>
          <t>https://elevenlabs.io/startup-grants</t>
        </is>
      </c>
      <c r="N9" s="24" t="inlineStr">
        <is>
          <t>https://elevenlabs.io/startup-grants</t>
        </is>
      </c>
      <c r="O9" s="24" t="inlineStr">
        <is>
          <t>https://aifree.dev/offer/elevenlabs-startup-program</t>
        </is>
      </c>
    </row>
    <row r="10" ht="35.05" customHeight="1" s="17">
      <c r="A10" s="19" t="inlineStr">
        <is>
          <t>SB-009</t>
        </is>
      </c>
      <c r="B10" s="19" t="inlineStr">
        <is>
          <t>SendPulse</t>
        </is>
      </c>
      <c r="C10" s="19" t="inlineStr">
        <is>
          <t>SendPulse Startup Grant</t>
        </is>
      </c>
      <c r="D10" s="19" t="inlineStr">
        <is>
          <t>Startup credits (startup-specific)</t>
        </is>
      </c>
      <c r="E10" s="22" t="n">
        <v>5000</v>
      </c>
      <c r="F10" s="19" t="inlineStr">
        <is>
          <t>USD</t>
        </is>
      </c>
      <c r="G10" s="19" t="inlineStr">
        <is>
          <t>Credits</t>
        </is>
      </c>
      <c r="H10" s="19" t="inlineStr">
        <is>
          <t>Open</t>
        </is>
      </c>
      <c r="I10" s="19" t="inlineStr">
        <is>
          <t>Startup launched within the past 3 years; innovative product; not an eCommerce project or online business; no history of paid SendPulse plans.</t>
        </is>
      </c>
      <c r="J10" s="19" t="inlineStr">
        <is>
          <t>Unverified (regional restrictions noted)</t>
        </is>
      </c>
      <c r="K10" s="19" t="inlineStr">
        <is>
          <t>Yes (no funding requirement stated)</t>
        </is>
      </c>
      <c r="L10" s="19" t="inlineStr">
        <is>
          <t>High</t>
        </is>
      </c>
      <c r="M10" s="24" t="inlineStr">
        <is>
          <t>https://sendpulse.com/startup</t>
        </is>
      </c>
      <c r="N10" s="24" t="inlineStr">
        <is>
          <t>https://sendpulse.com/startup</t>
        </is>
      </c>
      <c r="O10" s="19" t="n"/>
    </row>
    <row r="11" ht="23.85" customHeight="1" s="17">
      <c r="A11" s="19" t="inlineStr">
        <is>
          <t>SB-010</t>
        </is>
      </c>
      <c r="B11" s="19" t="inlineStr">
        <is>
          <t>UniOne</t>
        </is>
      </c>
      <c r="C11" s="19" t="inlineStr">
        <is>
          <t>UniOne email trial for startups</t>
        </is>
      </c>
      <c r="D11" s="19" t="inlineStr">
        <is>
          <t>Free trial credit (not startup-exclusive)</t>
        </is>
      </c>
      <c r="E11" s="22" t="n"/>
      <c r="F11" s="19" t="inlineStr">
        <is>
          <t>USD</t>
        </is>
      </c>
      <c r="G11" s="19" t="inlineStr">
        <is>
          <t>Unknown</t>
        </is>
      </c>
      <c r="H11" s="19" t="inlineStr">
        <is>
          <t>Open</t>
        </is>
      </c>
      <c r="I11" s="19" t="inlineStr">
        <is>
          <t>Open registration; no startup verification stated.</t>
        </is>
      </c>
      <c r="J11" s="19" t="inlineStr">
        <is>
          <t>Unverified</t>
        </is>
      </c>
      <c r="K11" s="19" t="inlineStr">
        <is>
          <t>Yes</t>
        </is>
      </c>
      <c r="L11" s="19" t="inlineStr">
        <is>
          <t>High</t>
        </is>
      </c>
      <c r="M11" s="24" t="inlineStr">
        <is>
          <t>https://unione.io/en/email-service-for-startups/</t>
        </is>
      </c>
      <c r="N11" s="24" t="inlineStr">
        <is>
          <t>https://unione.io/en/email-service-for-startups/</t>
        </is>
      </c>
      <c r="O11" s="19" t="n"/>
    </row>
    <row r="12" ht="23.85" customHeight="1" s="17">
      <c r="A12" s="19" t="inlineStr">
        <is>
          <t>SB-011</t>
        </is>
      </c>
      <c r="B12" s="19" t="inlineStr">
        <is>
          <t>TIEC (ITIDA)</t>
        </is>
      </c>
      <c r="C12" s="19" t="inlineStr">
        <is>
          <t>Start IT incubation program (TIEC)</t>
        </is>
      </c>
      <c r="D12" s="19" t="inlineStr">
        <is>
          <t>Cash grant + incubation + AWS support</t>
        </is>
      </c>
      <c r="E12" s="22" t="n">
        <v>480000</v>
      </c>
      <c r="F12" s="19" t="inlineStr">
        <is>
          <t>EGP</t>
        </is>
      </c>
      <c r="G12" s="19" t="inlineStr">
        <is>
          <t>Cash</t>
        </is>
      </c>
      <c r="H12" s="19" t="inlineStr">
        <is>
          <t>Rolling</t>
        </is>
      </c>
      <c r="I12" s="19" t="inlineStr">
        <is>
          <t>Early-stage startups with scalable ICT-based solutions or tech-enabled prototypes (per the round announcement).</t>
        </is>
      </c>
      <c r="J12" s="19" t="inlineStr">
        <is>
          <t>Confirmed</t>
        </is>
      </c>
      <c r="K12" s="19" t="inlineStr">
        <is>
          <t>Unknown</t>
        </is>
      </c>
      <c r="L12" s="19" t="inlineStr">
        <is>
          <t>Low</t>
        </is>
      </c>
      <c r="M12" s="19" t="inlineStr">
        <is>
          <t>Not verified this session</t>
        </is>
      </c>
      <c r="N12" s="24" t="inlineStr">
        <is>
          <t>https://meatechwatch.com/?p=23538</t>
        </is>
      </c>
      <c r="O12" s="24" t="inlineStr">
        <is>
          <t>https://menastartupdigest.com/?p=40213</t>
        </is>
      </c>
    </row>
    <row r="13" ht="35.05" customHeight="1" s="17">
      <c r="A13" s="19" t="inlineStr">
        <is>
          <t>SB-012</t>
        </is>
      </c>
      <c r="B13" s="19" t="inlineStr">
        <is>
          <t>ITIDA / TIEC / Flat6Labs</t>
        </is>
      </c>
      <c r="C13" s="19" t="inlineStr">
        <is>
          <t>Invest-IT investment readiness program</t>
        </is>
      </c>
      <c r="D13" s="19" t="inlineStr">
        <is>
          <t>Program (benefit value not stated)</t>
        </is>
      </c>
      <c r="E13" s="22" t="n"/>
      <c r="F13" s="19" t="inlineStr">
        <is>
          <t>EGP</t>
        </is>
      </c>
      <c r="G13" s="19" t="inlineStr">
        <is>
          <t>Unknown</t>
        </is>
      </c>
      <c r="H13" s="19" t="inlineStr">
        <is>
          <t>Unknown</t>
        </is>
      </c>
      <c r="I13" s="19" t="inlineStr">
        <is>
          <t>ICT-enabled startups at seed or pre-Series A with a launched product; operating in Egypt at least two years; founding team of two or more.</t>
        </is>
      </c>
      <c r="J13" s="19" t="inlineStr">
        <is>
          <t>Confirmed</t>
        </is>
      </c>
      <c r="K13" s="19" t="inlineStr">
        <is>
          <t>Unknown</t>
        </is>
      </c>
      <c r="L13" s="19" t="inlineStr">
        <is>
          <t>Medium</t>
        </is>
      </c>
      <c r="M13" s="24" t="inlineStr">
        <is>
          <t>https://itida.gov.eg/English/PressReleases/Pages/itida-launches-invest-it-startup-funding-program-egypt.aspx</t>
        </is>
      </c>
      <c r="N13" s="24" t="inlineStr">
        <is>
          <t>https://flat6labs.com/2024/11/</t>
        </is>
      </c>
      <c r="O13" s="24" t="inlineStr">
        <is>
          <t>https://itida.gov.eg/English/PressReleases/Pages/itida-launches-invest-it-startup-funding-program-egypt.aspx</t>
        </is>
      </c>
    </row>
    <row r="14" ht="23.85" customHeight="1" s="17">
      <c r="A14" s="19" t="inlineStr">
        <is>
          <t>SB-013</t>
        </is>
      </c>
      <c r="B14" s="19" t="inlineStr">
        <is>
          <t>ITIDA x Plug and Play</t>
        </is>
      </c>
      <c r="C14" s="19" t="inlineStr">
        <is>
          <t>ITIDA x Plug and Play Cairo Program - Cohort 8</t>
        </is>
      </c>
      <c r="D14" s="19" t="inlineStr">
        <is>
          <t>Accelerator program</t>
        </is>
      </c>
      <c r="E14" s="22" t="n"/>
      <c r="F14" s="19" t="inlineStr">
        <is>
          <t>USD</t>
        </is>
      </c>
      <c r="G14" s="19" t="inlineStr">
        <is>
          <t>Unknown</t>
        </is>
      </c>
      <c r="H14" s="19" t="inlineStr">
        <is>
          <t>Unknown</t>
        </is>
      </c>
      <c r="I14" s="19" t="inlineStr">
        <is>
          <t>Early- to growth-stage Egyptian startups (per ITIDA post).</t>
        </is>
      </c>
      <c r="J14" s="19" t="inlineStr">
        <is>
          <t>Confirmed</t>
        </is>
      </c>
      <c r="K14" s="19" t="inlineStr">
        <is>
          <t>Unknown</t>
        </is>
      </c>
      <c r="L14" s="19" t="inlineStr">
        <is>
          <t>Low</t>
        </is>
      </c>
      <c r="M14" s="19" t="inlineStr">
        <is>
          <t>Not verified this session</t>
        </is>
      </c>
      <c r="N14" s="24" t="inlineStr">
        <is>
          <t>https://www.linkedin.com/company/itida/</t>
        </is>
      </c>
      <c r="O14" s="19" t="n"/>
    </row>
    <row r="15" ht="23.85" customHeight="1" s="17">
      <c r="A15" s="19" t="inlineStr">
        <is>
          <t>SB-014</t>
        </is>
      </c>
      <c r="B15" s="19" t="inlineStr">
        <is>
          <t>Flat6Labs</t>
        </is>
      </c>
      <c r="C15" s="19" t="inlineStr">
        <is>
          <t>Flat6Labs seed accelerator (Egypt)</t>
        </is>
      </c>
      <c r="D15" s="19" t="inlineStr">
        <is>
          <t>Equity investment + accelerator (dilutive)</t>
        </is>
      </c>
      <c r="E15" s="22" t="n"/>
      <c r="F15" s="19" t="inlineStr">
        <is>
          <t>EGP</t>
        </is>
      </c>
      <c r="G15" s="19" t="inlineStr">
        <is>
          <t>Cash</t>
        </is>
      </c>
      <c r="H15" s="19" t="inlineStr">
        <is>
          <t>Unknown</t>
        </is>
      </c>
      <c r="I15" s="19" t="inlineStr">
        <is>
          <t>Not stated</t>
        </is>
      </c>
      <c r="J15" s="19" t="inlineStr">
        <is>
          <t>Confirmed</t>
        </is>
      </c>
      <c r="K15" s="19" t="inlineStr">
        <is>
          <t>Unknown</t>
        </is>
      </c>
      <c r="L15" s="19" t="inlineStr">
        <is>
          <t>Low</t>
        </is>
      </c>
      <c r="M15" s="19" t="inlineStr">
        <is>
          <t>Not verified this session</t>
        </is>
      </c>
      <c r="N15" s="24" t="inlineStr">
        <is>
          <t>https://enterprise.press/?p=137230</t>
        </is>
      </c>
      <c r="O15" s="24" t="inlineStr">
        <is>
          <t>https://techcrunch.com/?p=2156316</t>
        </is>
      </c>
    </row>
  </sheetData>
  <conditionalFormatting sqref="H2:H500">
    <cfRule type="cellIs" rank="0" priority="2" equalAverage="0" operator="equal" aboveAverage="0" dxfId="9" text="" percent="0" bottom="0">
      <formula>"Open"</formula>
    </cfRule>
    <cfRule type="cellIs" rank="0" priority="3" equalAverage="0" operator="equal" aboveAverage="0" dxfId="10" text="" percent="0" bottom="0">
      <formula>"Closed"</formula>
    </cfRule>
    <cfRule type="cellIs" rank="0" priority="4" equalAverage="0" operator="equal" aboveAverage="0" dxfId="11" text="" percent="0" bottom="0">
      <formula>"Waitlist"</formula>
    </cfRule>
  </conditionalFormatting>
  <hyperlinks>
    <hyperlink xmlns:r="http://schemas.openxmlformats.org/officeDocument/2006/relationships" ref="M2" display="https://aws.amazon.com/startups/credits/" r:id="rId1"/>
    <hyperlink xmlns:r="http://schemas.openxmlformats.org/officeDocument/2006/relationships" ref="N2" display="https://aws.amazon.com/startups/credits/" r:id="rId2"/>
    <hyperlink xmlns:r="http://schemas.openxmlformats.org/officeDocument/2006/relationships" ref="O2" display="https://aifree.dev/offer/aws-activate-credits" r:id="rId3"/>
    <hyperlink xmlns:r="http://schemas.openxmlformats.org/officeDocument/2006/relationships" ref="M3" display="https://aws.amazon.com/startups/credits/" r:id="rId4"/>
    <hyperlink xmlns:r="http://schemas.openxmlformats.org/officeDocument/2006/relationships" ref="N3" display="https://aws.amazon.com/startups/credits/" r:id="rId5"/>
    <hyperlink xmlns:r="http://schemas.openxmlformats.org/officeDocument/2006/relationships" ref="O3" display="https://aws.amazon.com/startups/providers" r:id="rId6"/>
    <hyperlink xmlns:r="http://schemas.openxmlformats.org/officeDocument/2006/relationships" ref="M4" display="https://aws.amazon.com/startups/credits/" r:id="rId7"/>
    <hyperlink xmlns:r="http://schemas.openxmlformats.org/officeDocument/2006/relationships" ref="N4" display="https://aws.amazon.com/startups/credits/" r:id="rId8"/>
    <hyperlink xmlns:r="http://schemas.openxmlformats.org/officeDocument/2006/relationships" ref="M5" display="https://kiro.dev/startups/" r:id="rId9"/>
    <hyperlink xmlns:r="http://schemas.openxmlformats.org/officeDocument/2006/relationships" ref="N5" display="https://aws.amazon.com/startups/credits/" r:id="rId10"/>
    <hyperlink xmlns:r="http://schemas.openxmlformats.org/officeDocument/2006/relationships" ref="O5" display="https://kiro.dev/startups/" r:id="rId11"/>
    <hyperlink xmlns:r="http://schemas.openxmlformats.org/officeDocument/2006/relationships" ref="M6" display="https://cloud.google.com/startup" r:id="rId12"/>
    <hyperlink xmlns:r="http://schemas.openxmlformats.org/officeDocument/2006/relationships" ref="N6" display="https://cloud.google.com/startup" r:id="rId13"/>
    <hyperlink xmlns:r="http://schemas.openxmlformats.org/officeDocument/2006/relationships" ref="O6" display="https://aifree.dev/offer/google-cloud-ai-startup-program" r:id="rId14"/>
    <hyperlink xmlns:r="http://schemas.openxmlformats.org/officeDocument/2006/relationships" ref="M7" display="https://cloud.google.com/startup" r:id="rId15"/>
    <hyperlink xmlns:r="http://schemas.openxmlformats.org/officeDocument/2006/relationships" ref="N7" display="https://cloud.google.com/startup" r:id="rId16"/>
    <hyperlink xmlns:r="http://schemas.openxmlformats.org/officeDocument/2006/relationships" ref="O7" display="https://aifree.dev/offer/google-cloud-ai-startup-program" r:id="rId17"/>
    <hyperlink xmlns:r="http://schemas.openxmlformats.org/officeDocument/2006/relationships" ref="M8" display="https://www.microsoft.com/en-us/startups" r:id="rId18"/>
    <hyperlink xmlns:r="http://schemas.openxmlformats.org/officeDocument/2006/relationships" ref="N8" display="https://partner.microsoft.com/en-cy/partnership/founders-hub-benefits-guide" r:id="rId19"/>
    <hyperlink xmlns:r="http://schemas.openxmlformats.org/officeDocument/2006/relationships" ref="O8" display="https://guptadeepak.com/startup-offers/programs/microsoft-founders-hub" r:id="rId20"/>
    <hyperlink xmlns:r="http://schemas.openxmlformats.org/officeDocument/2006/relationships" ref="M9" display="https://elevenlabs.io/startup-grants" r:id="rId21"/>
    <hyperlink xmlns:r="http://schemas.openxmlformats.org/officeDocument/2006/relationships" ref="N9" display="https://elevenlabs.io/startup-grants" r:id="rId22"/>
    <hyperlink xmlns:r="http://schemas.openxmlformats.org/officeDocument/2006/relationships" ref="O9" display="https://aifree.dev/offer/elevenlabs-startup-program" r:id="rId23"/>
    <hyperlink xmlns:r="http://schemas.openxmlformats.org/officeDocument/2006/relationships" ref="M10" display="https://sendpulse.com/startup" r:id="rId24"/>
    <hyperlink xmlns:r="http://schemas.openxmlformats.org/officeDocument/2006/relationships" ref="N10" display="https://sendpulse.com/startup" r:id="rId25"/>
    <hyperlink xmlns:r="http://schemas.openxmlformats.org/officeDocument/2006/relationships" ref="M11" display="https://unione.io/en/email-service-for-startups/" r:id="rId26"/>
    <hyperlink xmlns:r="http://schemas.openxmlformats.org/officeDocument/2006/relationships" ref="N11" display="https://unione.io/en/email-service-for-startups/" r:id="rId27"/>
    <hyperlink xmlns:r="http://schemas.openxmlformats.org/officeDocument/2006/relationships" ref="N12" display="https://meatechwatch.com/?p=23538" r:id="rId28"/>
    <hyperlink xmlns:r="http://schemas.openxmlformats.org/officeDocument/2006/relationships" ref="O12" display="https://menastartupdigest.com/?p=40213" r:id="rId29"/>
    <hyperlink xmlns:r="http://schemas.openxmlformats.org/officeDocument/2006/relationships" ref="M13" display="https://itida.gov.eg/English/PressReleases/Pages/itida-launches-invest-it-startup-funding-program-egypt.aspx" r:id="rId30"/>
    <hyperlink xmlns:r="http://schemas.openxmlformats.org/officeDocument/2006/relationships" ref="N13" display="https://flat6labs.com/2024/11/" r:id="rId31"/>
    <hyperlink xmlns:r="http://schemas.openxmlformats.org/officeDocument/2006/relationships" ref="O13" display="https://itida.gov.eg/English/PressReleases/Pages/itida-launches-invest-it-startup-funding-program-egypt.aspx" r:id="rId32"/>
    <hyperlink xmlns:r="http://schemas.openxmlformats.org/officeDocument/2006/relationships" ref="N14" display="https://www.linkedin.com/company/itida/" r:id="rId33"/>
    <hyperlink xmlns:r="http://schemas.openxmlformats.org/officeDocument/2006/relationships" ref="N15" display="https://enterprise.press/?p=137230" r:id="rId34"/>
    <hyperlink xmlns:r="http://schemas.openxmlformats.org/officeDocument/2006/relationships" ref="O15" display="https://techcrunch.com/?p=2156316" r:id="rId3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36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10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24" customWidth="1" style="16" min="2" max="2"/>
    <col width="34" customWidth="1" style="16" min="3" max="3"/>
    <col width="26" customWidth="1" style="16" min="4" max="4"/>
    <col width="14" customWidth="1" style="16" min="5" max="5"/>
    <col width="9" customWidth="1" style="16" min="6" max="6"/>
    <col width="11" customWidth="1" style="16" min="7" max="8"/>
    <col width="55" customWidth="1" style="16" min="9" max="9"/>
    <col width="18" customWidth="1" style="16" min="10" max="10"/>
    <col width="16" customWidth="1" style="16" min="11" max="11"/>
    <col width="12" customWidth="1" style="16" min="12" max="12"/>
    <col width="30" customWidth="1" style="16" min="13" max="15"/>
  </cols>
  <sheetData>
    <row r="1" ht="46.25" customHeight="1" s="17">
      <c r="A1" s="21" t="inlineStr">
        <is>
          <t>Record ID</t>
        </is>
      </c>
      <c r="B1" s="21" t="inlineStr">
        <is>
          <t>Company Name</t>
        </is>
      </c>
      <c r="C1" s="21" t="inlineStr">
        <is>
          <t>Program Name</t>
        </is>
      </c>
      <c r="D1" s="21" t="inlineStr">
        <is>
          <t>Benefit Type</t>
        </is>
      </c>
      <c r="E1" s="21" t="inlineStr">
        <is>
          <t>Maximum Advertised Value</t>
        </is>
      </c>
      <c r="F1" s="21" t="inlineStr">
        <is>
          <t>Currency</t>
        </is>
      </c>
      <c r="G1" s="21" t="inlineStr">
        <is>
          <t>Value Type</t>
        </is>
      </c>
      <c r="H1" s="21" t="inlineStr">
        <is>
          <t>Program Status</t>
        </is>
      </c>
      <c r="I1" s="21" t="inlineStr">
        <is>
          <t>Eligibility Requirements</t>
        </is>
      </c>
      <c r="J1" s="21" t="inlineStr">
        <is>
          <t>Available to Egypt-Based Startups?</t>
        </is>
      </c>
      <c r="K1" s="21" t="inlineStr">
        <is>
          <t>Available to Bootstrapped Startups?</t>
        </is>
      </c>
      <c r="L1" s="21" t="inlineStr">
        <is>
          <t>Verification Confidence</t>
        </is>
      </c>
      <c r="M1" s="21" t="inlineStr">
        <is>
          <t>Official Program URL</t>
        </is>
      </c>
      <c r="N1" s="21" t="inlineStr">
        <is>
          <t>Official Evidence URL</t>
        </is>
      </c>
      <c r="O1" s="21" t="inlineStr">
        <is>
          <t>Secondary Evidence URL</t>
        </is>
      </c>
    </row>
    <row r="2" ht="23.85" customHeight="1" s="17">
      <c r="A2" s="19" t="inlineStr">
        <is>
          <t>SB-002</t>
        </is>
      </c>
      <c r="B2" s="19" t="inlineStr">
        <is>
          <t>Amazon Web Services</t>
        </is>
      </c>
      <c r="C2" s="19" t="inlineStr">
        <is>
          <t>AWS Activate Portfolio</t>
        </is>
      </c>
      <c r="D2" s="19" t="inlineStr">
        <is>
          <t>Startup credits (startup-specific)</t>
        </is>
      </c>
      <c r="E2" s="22" t="n">
        <v>200000</v>
      </c>
      <c r="F2" s="19" t="inlineStr">
        <is>
          <t>USD</t>
        </is>
      </c>
      <c r="G2" s="19" t="inlineStr">
        <is>
          <t>Credits</t>
        </is>
      </c>
      <c r="H2" s="19" t="inlineStr">
        <is>
          <t>Open</t>
        </is>
      </c>
      <c r="I2" s="19" t="inlineStr">
        <is>
          <t>Pre-Series B, founded within 10 years, Paid Tier AWS account, valid Org ID from an Activate Provider.</t>
        </is>
      </c>
      <c r="J2" s="19" t="inlineStr">
        <is>
          <t>Unverified</t>
        </is>
      </c>
      <c r="K2" s="19" t="inlineStr">
        <is>
          <t>No (needs provider)</t>
        </is>
      </c>
      <c r="L2" s="19" t="inlineStr">
        <is>
          <t>High</t>
        </is>
      </c>
      <c r="M2" s="24" t="inlineStr">
        <is>
          <t>https://aws.amazon.com/startups/credits/</t>
        </is>
      </c>
      <c r="N2" s="24" t="inlineStr">
        <is>
          <t>https://aws.amazon.com/startups/credits/</t>
        </is>
      </c>
      <c r="O2" s="24" t="inlineStr">
        <is>
          <t>https://aws.amazon.com/startups/providers</t>
        </is>
      </c>
    </row>
    <row r="3" ht="35.05" customHeight="1" s="17">
      <c r="A3" s="19" t="inlineStr">
        <is>
          <t>SB-012</t>
        </is>
      </c>
      <c r="B3" s="19" t="inlineStr">
        <is>
          <t>ITIDA / TIEC / Flat6Labs</t>
        </is>
      </c>
      <c r="C3" s="19" t="inlineStr">
        <is>
          <t>Invest-IT investment readiness program</t>
        </is>
      </c>
      <c r="D3" s="19" t="inlineStr">
        <is>
          <t>Program (benefit value not stated)</t>
        </is>
      </c>
      <c r="E3" s="22" t="n"/>
      <c r="F3" s="19" t="inlineStr">
        <is>
          <t>EGP</t>
        </is>
      </c>
      <c r="G3" s="19" t="inlineStr">
        <is>
          <t>Unknown</t>
        </is>
      </c>
      <c r="H3" s="19" t="inlineStr">
        <is>
          <t>Unknown</t>
        </is>
      </c>
      <c r="I3" s="19" t="inlineStr">
        <is>
          <t>ICT-enabled startups at seed or pre-Series A with a launched product; operating in Egypt at least two years; founding team of two or more.</t>
        </is>
      </c>
      <c r="J3" s="19" t="inlineStr">
        <is>
          <t>Confirmed</t>
        </is>
      </c>
      <c r="K3" s="19" t="inlineStr">
        <is>
          <t>Unknown</t>
        </is>
      </c>
      <c r="L3" s="19" t="inlineStr">
        <is>
          <t>Medium</t>
        </is>
      </c>
      <c r="M3" s="24" t="inlineStr">
        <is>
          <t>https://itida.gov.eg/English/PressReleases/Pages/itida-launches-invest-it-startup-funding-program-egypt.aspx</t>
        </is>
      </c>
      <c r="N3" s="24" t="inlineStr">
        <is>
          <t>https://flat6labs.com/2024/11/</t>
        </is>
      </c>
      <c r="O3" s="24" t="inlineStr">
        <is>
          <t>https://itida.gov.eg/English/PressReleases/Pages/itida-launches-invest-it-startup-funding-program-egypt.aspx</t>
        </is>
      </c>
    </row>
    <row r="4" ht="23.85" customHeight="1" s="17">
      <c r="A4" s="19" t="inlineStr">
        <is>
          <t>SB-013</t>
        </is>
      </c>
      <c r="B4" s="19" t="inlineStr">
        <is>
          <t>ITIDA x Plug and Play</t>
        </is>
      </c>
      <c r="C4" s="19" t="inlineStr">
        <is>
          <t>ITIDA x Plug and Play Cairo Program - Cohort 8</t>
        </is>
      </c>
      <c r="D4" s="19" t="inlineStr">
        <is>
          <t>Accelerator program</t>
        </is>
      </c>
      <c r="E4" s="22" t="n"/>
      <c r="F4" s="19" t="inlineStr">
        <is>
          <t>USD</t>
        </is>
      </c>
      <c r="G4" s="19" t="inlineStr">
        <is>
          <t>Unknown</t>
        </is>
      </c>
      <c r="H4" s="19" t="inlineStr">
        <is>
          <t>Unknown</t>
        </is>
      </c>
      <c r="I4" s="19" t="inlineStr">
        <is>
          <t>Early- to growth-stage Egyptian startups (per ITIDA post).</t>
        </is>
      </c>
      <c r="J4" s="19" t="inlineStr">
        <is>
          <t>Confirmed</t>
        </is>
      </c>
      <c r="K4" s="19" t="inlineStr">
        <is>
          <t>Unknown</t>
        </is>
      </c>
      <c r="L4" s="19" t="inlineStr">
        <is>
          <t>Low</t>
        </is>
      </c>
      <c r="M4" s="19" t="inlineStr">
        <is>
          <t>Not verified this session</t>
        </is>
      </c>
      <c r="N4" s="24" t="inlineStr">
        <is>
          <t>https://www.linkedin.com/company/itida/</t>
        </is>
      </c>
      <c r="O4" s="19" t="n"/>
    </row>
    <row r="5" ht="23.85" customHeight="1" s="17">
      <c r="A5" s="19" t="inlineStr">
        <is>
          <t>SB-014</t>
        </is>
      </c>
      <c r="B5" s="19" t="inlineStr">
        <is>
          <t>Flat6Labs</t>
        </is>
      </c>
      <c r="C5" s="19" t="inlineStr">
        <is>
          <t>Flat6Labs seed accelerator (Egypt)</t>
        </is>
      </c>
      <c r="D5" s="19" t="inlineStr">
        <is>
          <t>Equity investment + accelerator (dilutive)</t>
        </is>
      </c>
      <c r="E5" s="22" t="n"/>
      <c r="F5" s="19" t="inlineStr">
        <is>
          <t>EGP</t>
        </is>
      </c>
      <c r="G5" s="19" t="inlineStr">
        <is>
          <t>Cash</t>
        </is>
      </c>
      <c r="H5" s="19" t="inlineStr">
        <is>
          <t>Unknown</t>
        </is>
      </c>
      <c r="I5" s="19" t="inlineStr">
        <is>
          <t>Not stated</t>
        </is>
      </c>
      <c r="J5" s="19" t="inlineStr">
        <is>
          <t>Confirmed</t>
        </is>
      </c>
      <c r="K5" s="19" t="inlineStr">
        <is>
          <t>Unknown</t>
        </is>
      </c>
      <c r="L5" s="19" t="inlineStr">
        <is>
          <t>Low</t>
        </is>
      </c>
      <c r="M5" s="19" t="inlineStr">
        <is>
          <t>Not verified this session</t>
        </is>
      </c>
      <c r="N5" s="24" t="inlineStr">
        <is>
          <t>https://enterprise.press/?p=137230</t>
        </is>
      </c>
      <c r="O5" s="24" t="inlineStr">
        <is>
          <t>https://techcrunch.com/?p=2156316</t>
        </is>
      </c>
    </row>
    <row r="6" ht="23.85" customHeight="1" s="17">
      <c r="A6" s="19" t="inlineStr">
        <is>
          <t>SB-017</t>
        </is>
      </c>
      <c r="B6" s="19" t="inlineStr">
        <is>
          <t>Antler</t>
        </is>
      </c>
      <c r="C6" s="19" t="inlineStr">
        <is>
          <t>Antler Disrupt AI Credits and Perks</t>
        </is>
      </c>
      <c r="D6" s="19" t="inlineStr">
        <is>
          <t>Startup credits (startup-specific)</t>
        </is>
      </c>
      <c r="E6" s="22" t="n">
        <v>650000</v>
      </c>
      <c r="F6" s="19" t="inlineStr">
        <is>
          <t>USD</t>
        </is>
      </c>
      <c r="G6" s="19" t="inlineStr">
        <is>
          <t>Credits</t>
        </is>
      </c>
      <c r="H6" s="19" t="inlineStr">
        <is>
          <t>Open</t>
        </is>
      </c>
      <c r="I6" s="19" t="inlineStr">
        <is>
          <t>Not stated</t>
        </is>
      </c>
      <c r="J6" s="19" t="inlineStr">
        <is>
          <t>Unverified</t>
        </is>
      </c>
      <c r="K6" s="19" t="inlineStr">
        <is>
          <t>Unknown</t>
        </is>
      </c>
      <c r="L6" s="19" t="inlineStr">
        <is>
          <t>Medium</t>
        </is>
      </c>
      <c r="M6" s="19" t="inlineStr">
        <is>
          <t>Not verified this session</t>
        </is>
      </c>
      <c r="N6" s="24" t="inlineStr">
        <is>
          <t>https://aifree.dev/offer/antler-disrupt-ai-perks</t>
        </is>
      </c>
      <c r="O6" s="24" t="inlineStr">
        <is>
          <t>https://aifree.dev/startup-ai-credits</t>
        </is>
      </c>
    </row>
    <row r="7" ht="23.85" customHeight="1" s="17">
      <c r="A7" s="19" t="inlineStr">
        <is>
          <t>SB-021</t>
        </is>
      </c>
      <c r="B7" s="19" t="inlineStr">
        <is>
          <t>Datadog</t>
        </is>
      </c>
      <c r="C7" s="19" t="inlineStr">
        <is>
          <t>Datadog for Startups</t>
        </is>
      </c>
      <c r="D7" s="19" t="inlineStr">
        <is>
          <t>Startup credits (startup-specific)</t>
        </is>
      </c>
      <c r="E7" s="22" t="n">
        <v>100000</v>
      </c>
      <c r="F7" s="19" t="inlineStr">
        <is>
          <t>USD</t>
        </is>
      </c>
      <c r="G7" s="19" t="inlineStr">
        <is>
          <t>Credits</t>
        </is>
      </c>
      <c r="H7" s="19" t="inlineStr">
        <is>
          <t>Open</t>
        </is>
      </c>
      <c r="I7" s="19" t="inlineStr">
        <is>
          <t>Not stated</t>
        </is>
      </c>
      <c r="J7" s="19" t="inlineStr">
        <is>
          <t>Unverified</t>
        </is>
      </c>
      <c r="K7" s="19" t="inlineStr">
        <is>
          <t>Unknown</t>
        </is>
      </c>
      <c r="L7" s="19" t="inlineStr">
        <is>
          <t>Medium</t>
        </is>
      </c>
      <c r="M7" s="19" t="inlineStr">
        <is>
          <t>Not verified this session</t>
        </is>
      </c>
      <c r="N7" s="24" t="inlineStr">
        <is>
          <t>https://aifree.dev/offer/datadog-for-startups</t>
        </is>
      </c>
      <c r="O7" s="24" t="inlineStr">
        <is>
          <t>https://aifree.dev/startup-ai-credits</t>
        </is>
      </c>
    </row>
    <row r="8" ht="23.85" customHeight="1" s="17">
      <c r="A8" s="19" t="inlineStr">
        <is>
          <t>SB-031</t>
        </is>
      </c>
      <c r="B8" s="19" t="inlineStr">
        <is>
          <t>ClickHouse</t>
        </is>
      </c>
      <c r="C8" s="19" t="inlineStr">
        <is>
          <t>ClickHouse Cloud for Y Combinator</t>
        </is>
      </c>
      <c r="D8" s="19" t="inlineStr">
        <is>
          <t>Startup credits (startup-specific)</t>
        </is>
      </c>
      <c r="E8" s="22" t="n">
        <v>10000</v>
      </c>
      <c r="F8" s="19" t="inlineStr">
        <is>
          <t>USD</t>
        </is>
      </c>
      <c r="G8" s="19" t="inlineStr">
        <is>
          <t>Credits</t>
        </is>
      </c>
      <c r="H8" s="19" t="inlineStr">
        <is>
          <t>Open</t>
        </is>
      </c>
      <c r="I8" s="19" t="inlineStr">
        <is>
          <t>Not stated</t>
        </is>
      </c>
      <c r="J8" s="19" t="inlineStr">
        <is>
          <t>Unverified</t>
        </is>
      </c>
      <c r="K8" s="19" t="inlineStr">
        <is>
          <t>Unknown</t>
        </is>
      </c>
      <c r="L8" s="19" t="inlineStr">
        <is>
          <t>Medium</t>
        </is>
      </c>
      <c r="M8" s="19" t="inlineStr">
        <is>
          <t>Not verified this session</t>
        </is>
      </c>
      <c r="N8" s="24" t="inlineStr">
        <is>
          <t>https://aifree.dev/offer/clickhouse-cloud-yc-credits</t>
        </is>
      </c>
      <c r="O8" s="24" t="inlineStr">
        <is>
          <t>https://aifree.dev/startup-ai-credits</t>
        </is>
      </c>
    </row>
    <row r="9" ht="23.85" customHeight="1" s="17">
      <c r="A9" s="19" t="inlineStr">
        <is>
          <t>SB-073</t>
        </is>
      </c>
      <c r="B9" s="19" t="inlineStr">
        <is>
          <t>Linear</t>
        </is>
      </c>
      <c r="C9" s="19" t="inlineStr">
        <is>
          <t>Linear Startup Program</t>
        </is>
      </c>
      <c r="D9" s="19" t="inlineStr">
        <is>
          <t>Startup plan / free subscription period</t>
        </is>
      </c>
      <c r="E9" s="22" t="n"/>
      <c r="F9" s="19" t="inlineStr">
        <is>
          <t>USD</t>
        </is>
      </c>
      <c r="G9" s="19" t="inlineStr">
        <is>
          <t>In-Kind</t>
        </is>
      </c>
      <c r="H9" s="19" t="inlineStr">
        <is>
          <t>Open</t>
        </is>
      </c>
      <c r="I9" s="19" t="inlineStr">
        <is>
          <t>Not stated</t>
        </is>
      </c>
      <c r="J9" s="19" t="inlineStr">
        <is>
          <t>Unverified</t>
        </is>
      </c>
      <c r="K9" s="19" t="inlineStr">
        <is>
          <t>Unknown</t>
        </is>
      </c>
      <c r="L9" s="19" t="inlineStr">
        <is>
          <t>Medium</t>
        </is>
      </c>
      <c r="M9" s="19" t="inlineStr">
        <is>
          <t>Not verified this session</t>
        </is>
      </c>
      <c r="N9" s="24" t="inlineStr">
        <is>
          <t>https://aifree.dev/offer/linear-startup-program</t>
        </is>
      </c>
      <c r="O9" s="24" t="inlineStr">
        <is>
          <t>https://aifree.dev/startup-ai-credits</t>
        </is>
      </c>
    </row>
    <row r="10" ht="23.85" customHeight="1" s="17">
      <c r="A10" s="19" t="inlineStr">
        <is>
          <t>SB-078</t>
        </is>
      </c>
      <c r="B10" s="19" t="inlineStr">
        <is>
          <t>NVIDIA</t>
        </is>
      </c>
      <c r="C10" s="19" t="inlineStr">
        <is>
          <t>NVIDIA Inception</t>
        </is>
      </c>
      <c r="D10" s="19" t="inlineStr">
        <is>
          <t>Startup credits (startup-specific)</t>
        </is>
      </c>
      <c r="E10" s="22" t="n"/>
      <c r="F10" s="19" t="inlineStr">
        <is>
          <t>USD</t>
        </is>
      </c>
      <c r="G10" s="19" t="inlineStr">
        <is>
          <t>Credits</t>
        </is>
      </c>
      <c r="H10" s="19" t="inlineStr">
        <is>
          <t>Open</t>
        </is>
      </c>
      <c r="I10" s="19" t="inlineStr">
        <is>
          <t>Not stated</t>
        </is>
      </c>
      <c r="J10" s="19" t="inlineStr">
        <is>
          <t>Unverified</t>
        </is>
      </c>
      <c r="K10" s="19" t="inlineStr">
        <is>
          <t>Unknown</t>
        </is>
      </c>
      <c r="L10" s="19" t="inlineStr">
        <is>
          <t>Medium</t>
        </is>
      </c>
      <c r="M10" s="19" t="inlineStr">
        <is>
          <t>Not verified this session</t>
        </is>
      </c>
      <c r="N10" s="24" t="inlineStr">
        <is>
          <t>https://aifree.dev/offer/nvidia-inception</t>
        </is>
      </c>
      <c r="O10" s="24" t="inlineStr">
        <is>
          <t>https://aifree.dev/startup-ai-credits</t>
        </is>
      </c>
    </row>
  </sheetData>
  <conditionalFormatting sqref="H2:H500">
    <cfRule type="cellIs" rank="0" priority="2" equalAverage="0" operator="equal" aboveAverage="0" dxfId="9" text="" percent="0" bottom="0">
      <formula>"Open"</formula>
    </cfRule>
    <cfRule type="cellIs" rank="0" priority="3" equalAverage="0" operator="equal" aboveAverage="0" dxfId="10" text="" percent="0" bottom="0">
      <formula>"Closed"</formula>
    </cfRule>
    <cfRule type="cellIs" rank="0" priority="4" equalAverage="0" operator="equal" aboveAverage="0" dxfId="11" text="" percent="0" bottom="0">
      <formula>"Waitlist"</formula>
    </cfRule>
  </conditionalFormatting>
  <hyperlinks>
    <hyperlink xmlns:r="http://schemas.openxmlformats.org/officeDocument/2006/relationships" ref="M2" display="https://aws.amazon.com/startups/credits/" r:id="rId1"/>
    <hyperlink xmlns:r="http://schemas.openxmlformats.org/officeDocument/2006/relationships" ref="N2" display="https://aws.amazon.com/startups/credits/" r:id="rId2"/>
    <hyperlink xmlns:r="http://schemas.openxmlformats.org/officeDocument/2006/relationships" ref="O2" display="https://aws.amazon.com/startups/providers" r:id="rId3"/>
    <hyperlink xmlns:r="http://schemas.openxmlformats.org/officeDocument/2006/relationships" ref="M3" display="https://itida.gov.eg/English/PressReleases/Pages/itida-launches-invest-it-startup-funding-program-egypt.aspx" r:id="rId4"/>
    <hyperlink xmlns:r="http://schemas.openxmlformats.org/officeDocument/2006/relationships" ref="N3" display="https://flat6labs.com/2024/11/" r:id="rId5"/>
    <hyperlink xmlns:r="http://schemas.openxmlformats.org/officeDocument/2006/relationships" ref="O3" display="https://itida.gov.eg/English/PressReleases/Pages/itida-launches-invest-it-startup-funding-program-egypt.aspx" r:id="rId6"/>
    <hyperlink xmlns:r="http://schemas.openxmlformats.org/officeDocument/2006/relationships" ref="N4" display="https://www.linkedin.com/company/itida/" r:id="rId7"/>
    <hyperlink xmlns:r="http://schemas.openxmlformats.org/officeDocument/2006/relationships" ref="N5" display="https://enterprise.press/?p=137230" r:id="rId8"/>
    <hyperlink xmlns:r="http://schemas.openxmlformats.org/officeDocument/2006/relationships" ref="O5" display="https://techcrunch.com/?p=2156316" r:id="rId9"/>
    <hyperlink xmlns:r="http://schemas.openxmlformats.org/officeDocument/2006/relationships" ref="N6" display="https://aifree.dev/offer/antler-disrupt-ai-perks" r:id="rId10"/>
    <hyperlink xmlns:r="http://schemas.openxmlformats.org/officeDocument/2006/relationships" ref="O6" display="https://aifree.dev/startup-ai-credits" r:id="rId11"/>
    <hyperlink xmlns:r="http://schemas.openxmlformats.org/officeDocument/2006/relationships" ref="N7" display="https://aifree.dev/offer/datadog-for-startups" r:id="rId12"/>
    <hyperlink xmlns:r="http://schemas.openxmlformats.org/officeDocument/2006/relationships" ref="O7" display="https://aifree.dev/startup-ai-credits" r:id="rId13"/>
    <hyperlink xmlns:r="http://schemas.openxmlformats.org/officeDocument/2006/relationships" ref="N8" display="https://aifree.dev/offer/clickhouse-cloud-yc-credits" r:id="rId14"/>
    <hyperlink xmlns:r="http://schemas.openxmlformats.org/officeDocument/2006/relationships" ref="O8" display="https://aifree.dev/startup-ai-credits" r:id="rId15"/>
    <hyperlink xmlns:r="http://schemas.openxmlformats.org/officeDocument/2006/relationships" ref="N9" display="https://aifree.dev/offer/linear-startup-program" r:id="rId16"/>
    <hyperlink xmlns:r="http://schemas.openxmlformats.org/officeDocument/2006/relationships" ref="O9" display="https://aifree.dev/startup-ai-credits" r:id="rId17"/>
    <hyperlink xmlns:r="http://schemas.openxmlformats.org/officeDocument/2006/relationships" ref="N10" display="https://aifree.dev/offer/nvidia-inception" r:id="rId18"/>
    <hyperlink xmlns:r="http://schemas.openxmlformats.org/officeDocument/2006/relationships" ref="O10" display="https://aifree.dev/startup-ai-credits" r:id="rId19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0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26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16" min="1" max="1"/>
    <col width="9" customWidth="1" style="16" min="2" max="2"/>
    <col width="40" customWidth="1" style="16" min="3" max="3"/>
    <col width="10" customWidth="1" style="16" min="4" max="4"/>
    <col width="16" customWidth="1" style="16" min="5" max="6"/>
    <col width="44" customWidth="1" style="16" min="7" max="7"/>
    <col width="30" customWidth="1" style="16" min="8" max="8"/>
    <col width="12" customWidth="1" style="16" min="9" max="9"/>
    <col width="14" customWidth="1" style="16" min="10" max="10"/>
    <col width="12" customWidth="1" style="16" min="11" max="11"/>
    <col width="14" customWidth="1" style="16" min="12" max="12"/>
    <col width="34" customWidth="1" style="16" min="13" max="13"/>
  </cols>
  <sheetData>
    <row r="1" ht="23.85" customHeight="1" s="17">
      <c r="A1" s="21" t="inlineStr">
        <is>
          <t>Company / Program</t>
        </is>
      </c>
      <c r="B1" s="21" t="inlineStr">
        <is>
          <t>Record ID</t>
        </is>
      </c>
      <c r="C1" s="21" t="inlineStr">
        <is>
          <t>Application URL</t>
        </is>
      </c>
      <c r="D1" s="21" t="inlineStr">
        <is>
          <t>Priority</t>
        </is>
      </c>
      <c r="E1" s="21" t="inlineStr">
        <is>
          <t>Eligibility Status</t>
        </is>
      </c>
      <c r="F1" s="21" t="inlineStr">
        <is>
          <t>Application Status</t>
        </is>
      </c>
      <c r="G1" s="21" t="inlineStr">
        <is>
          <t>Required Action</t>
        </is>
      </c>
      <c r="H1" s="21" t="inlineStr">
        <is>
          <t>Documents Needed</t>
        </is>
      </c>
      <c r="I1" s="21" t="inlineStr">
        <is>
          <t>Date Started</t>
        </is>
      </c>
      <c r="J1" s="21" t="inlineStr">
        <is>
          <t>Submission Deadline</t>
        </is>
      </c>
      <c r="K1" s="21" t="inlineStr">
        <is>
          <t>Follow-up Date</t>
        </is>
      </c>
      <c r="L1" s="21" t="inlineStr">
        <is>
          <t>Outcome</t>
        </is>
      </c>
      <c r="M1" s="21" t="inlineStr">
        <is>
          <t>Notes</t>
        </is>
      </c>
    </row>
    <row r="2" ht="23.85" customHeight="1" s="17">
      <c r="A2" s="19" t="inlineStr">
        <is>
          <t>Microsoft - Microsoft for Startups Founders Hub</t>
        </is>
      </c>
      <c r="B2" s="19" t="inlineStr">
        <is>
          <t>SB-007</t>
        </is>
      </c>
      <c r="C2" s="24" t="inlineStr">
        <is>
          <t>https://www.microsoft.com/en-us/startups</t>
        </is>
      </c>
      <c r="D2" s="19" t="inlineStr">
        <is>
          <t>High</t>
        </is>
      </c>
      <c r="E2" s="19" t="inlineStr">
        <is>
          <t>Not checked</t>
        </is>
      </c>
      <c r="F2" s="19" t="inlineStr">
        <is>
          <t>Not started</t>
        </is>
      </c>
      <c r="G2" s="19" t="inlineStr">
        <is>
          <t>Open the official page, confirm eligibility (incl. Egypt) and apply</t>
        </is>
      </c>
      <c r="H2" s="19" t="n"/>
      <c r="I2" s="23" t="n"/>
      <c r="J2" s="23" t="n"/>
      <c r="K2" s="23" t="n"/>
      <c r="L2" s="19" t="n"/>
      <c r="M2" s="19" t="inlineStr">
        <is>
          <t>Score 81/100. Confidence Medium.</t>
        </is>
      </c>
    </row>
    <row r="3" ht="23.85" customHeight="1" s="17">
      <c r="A3" s="19" t="inlineStr">
        <is>
          <t>Amazon Web Services - AWS Activate Founders</t>
        </is>
      </c>
      <c r="B3" s="19" t="inlineStr">
        <is>
          <t>SB-001</t>
        </is>
      </c>
      <c r="C3" s="24" t="inlineStr">
        <is>
          <t>https://aws.amazon.com/startups/join?destination=/credits/apply</t>
        </is>
      </c>
      <c r="D3" s="19" t="inlineStr">
        <is>
          <t>High</t>
        </is>
      </c>
      <c r="E3" s="19" t="inlineStr">
        <is>
          <t>Not checked</t>
        </is>
      </c>
      <c r="F3" s="19" t="inlineStr">
        <is>
          <t>Not started</t>
        </is>
      </c>
      <c r="G3" s="19" t="inlineStr">
        <is>
          <t>Open the official page, confirm eligibility (incl. Egypt) and apply</t>
        </is>
      </c>
      <c r="H3" s="19" t="inlineStr">
        <is>
          <t>Builder ID; AWS account on Paid Tier plan; startup profile details</t>
        </is>
      </c>
      <c r="I3" s="23" t="n"/>
      <c r="J3" s="23" t="n"/>
      <c r="K3" s="23" t="n"/>
      <c r="L3" s="19" t="n"/>
      <c r="M3" s="19" t="inlineStr">
        <is>
          <t>Score 76/100. Confidence High.</t>
        </is>
      </c>
    </row>
    <row r="4" ht="23.85" customHeight="1" s="17">
      <c r="A4" s="19" t="inlineStr">
        <is>
          <t>TIEC (ITIDA) - Start IT incubation program (TIEC)</t>
        </is>
      </c>
      <c r="B4" s="19" t="inlineStr">
        <is>
          <t>SB-011</t>
        </is>
      </c>
      <c r="C4" s="19" t="n"/>
      <c r="D4" s="19" t="inlineStr">
        <is>
          <t>High</t>
        </is>
      </c>
      <c r="E4" s="19" t="inlineStr">
        <is>
          <t>Not checked</t>
        </is>
      </c>
      <c r="F4" s="19" t="inlineStr">
        <is>
          <t>Not started</t>
        </is>
      </c>
      <c r="G4" s="19" t="inlineStr">
        <is>
          <t>Find the official application page first, then confirm eligibility</t>
        </is>
      </c>
      <c r="H4" s="19" t="n"/>
      <c r="I4" s="23" t="n"/>
      <c r="J4" s="23" t="n"/>
      <c r="K4" s="23" t="n"/>
      <c r="L4" s="19" t="n"/>
      <c r="M4" s="19" t="inlineStr">
        <is>
          <t>Score 75/100. Confidence Low.</t>
        </is>
      </c>
    </row>
    <row r="5" ht="23.85" customHeight="1" s="17">
      <c r="A5" s="19" t="inlineStr">
        <is>
          <t>Databricks - Databricks for Startups</t>
        </is>
      </c>
      <c r="B5" s="19" t="inlineStr">
        <is>
          <t>SB-019</t>
        </is>
      </c>
      <c r="C5" s="19" t="n"/>
      <c r="D5" s="19" t="inlineStr">
        <is>
          <t>High</t>
        </is>
      </c>
      <c r="E5" s="19" t="inlineStr">
        <is>
          <t>Not checked</t>
        </is>
      </c>
      <c r="F5" s="19" t="inlineStr">
        <is>
          <t>Not started</t>
        </is>
      </c>
      <c r="G5" s="19" t="inlineStr">
        <is>
          <t>Find the official application page first, then confirm eligibility</t>
        </is>
      </c>
      <c r="H5" s="19" t="n"/>
      <c r="I5" s="23" t="n"/>
      <c r="J5" s="23" t="n"/>
      <c r="K5" s="23" t="n"/>
      <c r="L5" s="19" t="n"/>
      <c r="M5" s="19" t="inlineStr">
        <is>
          <t>Score 75/100. Confidence Medium.</t>
        </is>
      </c>
    </row>
    <row r="6" ht="23.85" customHeight="1" s="17">
      <c r="A6" s="19" t="inlineStr">
        <is>
          <t>Grafana Labs - Grafana for Startups</t>
        </is>
      </c>
      <c r="B6" s="19" t="inlineStr">
        <is>
          <t>SB-022</t>
        </is>
      </c>
      <c r="C6" s="19" t="n"/>
      <c r="D6" s="19" t="inlineStr">
        <is>
          <t>High</t>
        </is>
      </c>
      <c r="E6" s="19" t="inlineStr">
        <is>
          <t>Not checked</t>
        </is>
      </c>
      <c r="F6" s="19" t="inlineStr">
        <is>
          <t>Not started</t>
        </is>
      </c>
      <c r="G6" s="19" t="inlineStr">
        <is>
          <t>Find the official application page first, then confirm eligibility</t>
        </is>
      </c>
      <c r="H6" s="19" t="n"/>
      <c r="I6" s="23" t="n"/>
      <c r="J6" s="23" t="n"/>
      <c r="K6" s="23" t="n"/>
      <c r="L6" s="19" t="n"/>
      <c r="M6" s="19" t="inlineStr">
        <is>
          <t>Score 75/100. Confidence Medium.</t>
        </is>
      </c>
    </row>
    <row r="7" ht="46.25" customHeight="1" s="17">
      <c r="A7" s="19" t="inlineStr">
        <is>
          <t>SendPulse - SendPulse Startup Grant</t>
        </is>
      </c>
      <c r="B7" s="19" t="inlineStr">
        <is>
          <t>SB-009</t>
        </is>
      </c>
      <c r="C7" s="24" t="inlineStr">
        <is>
          <t>https://sendpulse.com/startup#request-form</t>
        </is>
      </c>
      <c r="D7" s="19" t="inlineStr">
        <is>
          <t>High</t>
        </is>
      </c>
      <c r="E7" s="19" t="inlineStr">
        <is>
          <t>Not checked</t>
        </is>
      </c>
      <c r="F7" s="19" t="inlineStr">
        <is>
          <t>Not started</t>
        </is>
      </c>
      <c r="G7" s="19" t="inlineStr">
        <is>
          <t>Open the official page, confirm eligibility (incl. Egypt) and apply</t>
        </is>
      </c>
      <c r="H7" s="19" t="inlineStr">
        <is>
          <t>Startup name, website, applicant name, team size, country of registration, SendPulse account email</t>
        </is>
      </c>
      <c r="I7" s="23" t="n"/>
      <c r="J7" s="23" t="n"/>
      <c r="K7" s="23" t="n"/>
      <c r="L7" s="19" t="n"/>
      <c r="M7" s="19" t="inlineStr">
        <is>
          <t>Score 73/100. Confidence High.</t>
        </is>
      </c>
    </row>
    <row r="8" ht="23.85" customHeight="1" s="17">
      <c r="A8" s="19" t="inlineStr">
        <is>
          <t>Together AI - Together AI Startup Accelerator</t>
        </is>
      </c>
      <c r="B8" s="19" t="inlineStr">
        <is>
          <t>SB-015</t>
        </is>
      </c>
      <c r="C8" s="19" t="n"/>
      <c r="D8" s="19" t="inlineStr">
        <is>
          <t>High</t>
        </is>
      </c>
      <c r="E8" s="19" t="inlineStr">
        <is>
          <t>Not checked</t>
        </is>
      </c>
      <c r="F8" s="19" t="inlineStr">
        <is>
          <t>Not started</t>
        </is>
      </c>
      <c r="G8" s="19" t="inlineStr">
        <is>
          <t>Find the official application page first, then confirm eligibility</t>
        </is>
      </c>
      <c r="H8" s="19" t="n"/>
      <c r="I8" s="23" t="n"/>
      <c r="J8" s="23" t="n"/>
      <c r="K8" s="23" t="n"/>
      <c r="L8" s="19" t="n"/>
      <c r="M8" s="19" t="inlineStr">
        <is>
          <t>Score 73/100. Confidence Medium.</t>
        </is>
      </c>
    </row>
    <row r="9" ht="23.85" customHeight="1" s="17">
      <c r="A9" s="19" t="inlineStr">
        <is>
          <t>Cognition (Devin) - Devin for Startups</t>
        </is>
      </c>
      <c r="B9" s="19" t="inlineStr">
        <is>
          <t>SB-016</t>
        </is>
      </c>
      <c r="C9" s="19" t="n"/>
      <c r="D9" s="19" t="inlineStr">
        <is>
          <t>High</t>
        </is>
      </c>
      <c r="E9" s="19" t="inlineStr">
        <is>
          <t>Not checked</t>
        </is>
      </c>
      <c r="F9" s="19" t="inlineStr">
        <is>
          <t>Not started</t>
        </is>
      </c>
      <c r="G9" s="19" t="inlineStr">
        <is>
          <t>Find the official application page first, then confirm eligibility</t>
        </is>
      </c>
      <c r="H9" s="19" t="n"/>
      <c r="I9" s="23" t="n"/>
      <c r="J9" s="23" t="n"/>
      <c r="K9" s="23" t="n"/>
      <c r="L9" s="19" t="n"/>
      <c r="M9" s="19" t="inlineStr">
        <is>
          <t>Score 73/100. Confidence Medium.</t>
        </is>
      </c>
    </row>
    <row r="10" ht="23.85" customHeight="1" s="17">
      <c r="A10" s="19" t="inlineStr">
        <is>
          <t>Baseten - Baseten AI Startup Program</t>
        </is>
      </c>
      <c r="B10" s="19" t="inlineStr">
        <is>
          <t>SB-026</t>
        </is>
      </c>
      <c r="C10" s="19" t="n"/>
      <c r="D10" s="19" t="inlineStr">
        <is>
          <t>Medium</t>
        </is>
      </c>
      <c r="E10" s="19" t="inlineStr">
        <is>
          <t>Not checked</t>
        </is>
      </c>
      <c r="F10" s="19" t="inlineStr">
        <is>
          <t>Not started</t>
        </is>
      </c>
      <c r="G10" s="19" t="inlineStr">
        <is>
          <t>Find the official application page first, then confirm eligibility</t>
        </is>
      </c>
      <c r="H10" s="19" t="n"/>
      <c r="I10" s="23" t="n"/>
      <c r="J10" s="23" t="n"/>
      <c r="K10" s="23" t="n"/>
      <c r="L10" s="19" t="n"/>
      <c r="M10" s="19" t="inlineStr">
        <is>
          <t>Score 73/100. Confidence Medium.</t>
        </is>
      </c>
    </row>
    <row r="11" ht="23.85" customHeight="1" s="17">
      <c r="A11" s="19" t="inlineStr">
        <is>
          <t>Cloudflare - Cloudflare for Startups</t>
        </is>
      </c>
      <c r="B11" s="19" t="inlineStr">
        <is>
          <t>SB-018</t>
        </is>
      </c>
      <c r="C11" s="24" t="inlineStr">
        <is>
          <t>https://www.cloudflare.com/forstartups/</t>
        </is>
      </c>
      <c r="D11" s="19" t="inlineStr">
        <is>
          <t>Medium</t>
        </is>
      </c>
      <c r="E11" s="19" t="inlineStr">
        <is>
          <t>Not checked</t>
        </is>
      </c>
      <c r="F11" s="19" t="inlineStr">
        <is>
          <t>Not started</t>
        </is>
      </c>
      <c r="G11" s="19" t="inlineStr">
        <is>
          <t>Open the official page, confirm eligibility (incl. Egypt) and apply</t>
        </is>
      </c>
      <c r="H11" s="19" t="n"/>
      <c r="I11" s="23" t="n"/>
      <c r="J11" s="23" t="n"/>
      <c r="K11" s="23" t="n"/>
      <c r="L11" s="19" t="n"/>
      <c r="M11" s="19" t="inlineStr">
        <is>
          <t>Score 72/100. Confidence Medium.</t>
        </is>
      </c>
    </row>
    <row r="12" ht="23.85" customHeight="1" s="17">
      <c r="A12" s="19" t="inlineStr">
        <is>
          <t>Vercel - Vercel for Startups</t>
        </is>
      </c>
      <c r="B12" s="19" t="inlineStr">
        <is>
          <t>SB-025</t>
        </is>
      </c>
      <c r="C12" s="19" t="n"/>
      <c r="D12" s="19" t="inlineStr">
        <is>
          <t>Medium</t>
        </is>
      </c>
      <c r="E12" s="19" t="inlineStr">
        <is>
          <t>Not checked</t>
        </is>
      </c>
      <c r="F12" s="19" t="inlineStr">
        <is>
          <t>Not started</t>
        </is>
      </c>
      <c r="G12" s="19" t="inlineStr">
        <is>
          <t>Find the official application page first, then confirm eligibility</t>
        </is>
      </c>
      <c r="H12" s="19" t="n"/>
      <c r="I12" s="23" t="n"/>
      <c r="J12" s="23" t="n"/>
      <c r="K12" s="23" t="n"/>
      <c r="L12" s="19" t="n"/>
      <c r="M12" s="19" t="inlineStr">
        <is>
          <t>Score 71/100. Confidence Medium.</t>
        </is>
      </c>
    </row>
    <row r="13" ht="23.85" customHeight="1" s="17">
      <c r="A13" s="19" t="inlineStr">
        <is>
          <t>Render - Render Startup Program</t>
        </is>
      </c>
      <c r="B13" s="19" t="inlineStr">
        <is>
          <t>SB-023</t>
        </is>
      </c>
      <c r="C13" s="19" t="n"/>
      <c r="D13" s="19" t="inlineStr">
        <is>
          <t>Medium</t>
        </is>
      </c>
      <c r="E13" s="19" t="inlineStr">
        <is>
          <t>Not checked</t>
        </is>
      </c>
      <c r="F13" s="19" t="inlineStr">
        <is>
          <t>Not started</t>
        </is>
      </c>
      <c r="G13" s="19" t="inlineStr">
        <is>
          <t>Find the official application page first, then confirm eligibility</t>
        </is>
      </c>
      <c r="H13" s="19" t="n"/>
      <c r="I13" s="23" t="n"/>
      <c r="J13" s="23" t="n"/>
      <c r="K13" s="23" t="n"/>
      <c r="L13" s="19" t="n"/>
      <c r="M13" s="19" t="inlineStr">
        <is>
          <t>Score 69/100. Confidence Medium.</t>
        </is>
      </c>
    </row>
    <row r="14" ht="23.85" customHeight="1" s="17">
      <c r="A14" s="19" t="inlineStr">
        <is>
          <t>Daytona - Daytona Startup Grid</t>
        </is>
      </c>
      <c r="B14" s="19" t="inlineStr">
        <is>
          <t>SB-032</t>
        </is>
      </c>
      <c r="C14" s="19" t="n"/>
      <c r="D14" s="19" t="inlineStr">
        <is>
          <t>Medium</t>
        </is>
      </c>
      <c r="E14" s="19" t="inlineStr">
        <is>
          <t>Not checked</t>
        </is>
      </c>
      <c r="F14" s="19" t="inlineStr">
        <is>
          <t>Not started</t>
        </is>
      </c>
      <c r="G14" s="19" t="inlineStr">
        <is>
          <t>Find the official application page first, then confirm eligibility</t>
        </is>
      </c>
      <c r="H14" s="19" t="n"/>
      <c r="I14" s="23" t="n"/>
      <c r="J14" s="23" t="n"/>
      <c r="K14" s="23" t="n"/>
      <c r="L14" s="19" t="n"/>
      <c r="M14" s="19" t="inlineStr">
        <is>
          <t>Score 69/100. Confidence Medium.</t>
        </is>
      </c>
    </row>
    <row r="15" ht="23.85" customHeight="1" s="17">
      <c r="A15" s="19" t="inlineStr">
        <is>
          <t>LangChain (LangSmith) - LangSmith for Startups</t>
        </is>
      </c>
      <c r="B15" s="19" t="inlineStr">
        <is>
          <t>SB-036</t>
        </is>
      </c>
      <c r="C15" s="19" t="n"/>
      <c r="D15" s="19" t="inlineStr">
        <is>
          <t>Medium</t>
        </is>
      </c>
      <c r="E15" s="19" t="inlineStr">
        <is>
          <t>Not checked</t>
        </is>
      </c>
      <c r="F15" s="19" t="inlineStr">
        <is>
          <t>Not started</t>
        </is>
      </c>
      <c r="G15" s="19" t="inlineStr">
        <is>
          <t>Find the official application page first, then confirm eligibility</t>
        </is>
      </c>
      <c r="H15" s="19" t="n"/>
      <c r="I15" s="23" t="n"/>
      <c r="J15" s="23" t="n"/>
      <c r="K15" s="23" t="n"/>
      <c r="L15" s="19" t="n"/>
      <c r="M15" s="19" t="inlineStr">
        <is>
          <t>Score 69/100. Confidence Medium.</t>
        </is>
      </c>
    </row>
    <row r="16" ht="23.85" customHeight="1" s="17">
      <c r="A16" s="19" t="inlineStr">
        <is>
          <t>fal - fal Startup Program</t>
        </is>
      </c>
      <c r="B16" s="19" t="inlineStr">
        <is>
          <t>SB-039</t>
        </is>
      </c>
      <c r="C16" s="19" t="n"/>
      <c r="D16" s="19" t="inlineStr">
        <is>
          <t>Medium</t>
        </is>
      </c>
      <c r="E16" s="19" t="inlineStr">
        <is>
          <t>Not checked</t>
        </is>
      </c>
      <c r="F16" s="19" t="inlineStr">
        <is>
          <t>Not started</t>
        </is>
      </c>
      <c r="G16" s="19" t="inlineStr">
        <is>
          <t>Find the official application page first, then confirm eligibility</t>
        </is>
      </c>
      <c r="H16" s="19" t="n"/>
      <c r="I16" s="23" t="n"/>
      <c r="J16" s="23" t="n"/>
      <c r="K16" s="23" t="n"/>
      <c r="L16" s="19" t="n"/>
      <c r="M16" s="19" t="inlineStr">
        <is>
          <t>Score 69/100. Confidence Medium.</t>
        </is>
      </c>
    </row>
    <row r="17" ht="23.85" customHeight="1" s="17">
      <c r="A17" s="19" t="inlineStr">
        <is>
          <t>Neon (Databricks) - Neon Startup Program</t>
        </is>
      </c>
      <c r="B17" s="19" t="inlineStr">
        <is>
          <t>SB-020</t>
        </is>
      </c>
      <c r="C17" s="19" t="n"/>
      <c r="D17" s="19" t="inlineStr">
        <is>
          <t>Medium</t>
        </is>
      </c>
      <c r="E17" s="19" t="inlineStr">
        <is>
          <t>Not checked</t>
        </is>
      </c>
      <c r="F17" s="19" t="inlineStr">
        <is>
          <t>Not started</t>
        </is>
      </c>
      <c r="G17" s="19" t="inlineStr">
        <is>
          <t>Find the official application page first, then confirm eligibility</t>
        </is>
      </c>
      <c r="H17" s="19" t="n"/>
      <c r="I17" s="23" t="n"/>
      <c r="J17" s="23" t="n"/>
      <c r="K17" s="23" t="n"/>
      <c r="L17" s="19" t="n"/>
      <c r="M17" s="19" t="inlineStr">
        <is>
          <t>Score 68/100. Confidence Medium.</t>
        </is>
      </c>
    </row>
    <row r="18" ht="23.85" customHeight="1" s="17">
      <c r="A18" s="19" t="inlineStr">
        <is>
          <t>ElevenLabs - ElevenLabs Startup Grants</t>
        </is>
      </c>
      <c r="B18" s="19" t="inlineStr">
        <is>
          <t>SB-008</t>
        </is>
      </c>
      <c r="C18" s="24" t="inlineStr">
        <is>
          <t>https://elevenlabs.io/grants-application</t>
        </is>
      </c>
      <c r="D18" s="19" t="inlineStr">
        <is>
          <t>Medium</t>
        </is>
      </c>
      <c r="E18" s="19" t="inlineStr">
        <is>
          <t>Not checked</t>
        </is>
      </c>
      <c r="F18" s="19" t="inlineStr">
        <is>
          <t>Not started</t>
        </is>
      </c>
      <c r="G18" s="19" t="inlineStr">
        <is>
          <t>Open the official page, confirm eligibility (incl. Egypt) and apply</t>
        </is>
      </c>
      <c r="H18" s="19" t="n"/>
      <c r="I18" s="23" t="n"/>
      <c r="J18" s="23" t="n"/>
      <c r="K18" s="23" t="n"/>
      <c r="L18" s="19" t="n"/>
      <c r="M18" s="19" t="inlineStr">
        <is>
          <t>Score 67/100. Confidence Medium.</t>
        </is>
      </c>
    </row>
    <row r="19" ht="23.85" customHeight="1" s="17">
      <c r="A19" s="19" t="inlineStr">
        <is>
          <t>Neo4j - Neo4j Startup Program</t>
        </is>
      </c>
      <c r="B19" s="19" t="inlineStr">
        <is>
          <t>SB-028</t>
        </is>
      </c>
      <c r="C19" s="19" t="n"/>
      <c r="D19" s="19" t="inlineStr">
        <is>
          <t>Low</t>
        </is>
      </c>
      <c r="E19" s="19" t="inlineStr">
        <is>
          <t>Not checked</t>
        </is>
      </c>
      <c r="F19" s="19" t="inlineStr">
        <is>
          <t>Not started</t>
        </is>
      </c>
      <c r="G19" s="19" t="inlineStr">
        <is>
          <t>Find the official application page first, then confirm eligibility</t>
        </is>
      </c>
      <c r="H19" s="19" t="n"/>
      <c r="I19" s="23" t="n"/>
      <c r="J19" s="23" t="n"/>
      <c r="K19" s="23" t="n"/>
      <c r="L19" s="19" t="n"/>
      <c r="M19" s="19" t="inlineStr">
        <is>
          <t>Score 67/100. Confidence Medium.</t>
        </is>
      </c>
    </row>
    <row r="20" ht="23.85" customHeight="1" s="17">
      <c r="A20" s="19" t="inlineStr">
        <is>
          <t>Notion - Notion for Startups</t>
        </is>
      </c>
      <c r="B20" s="19" t="inlineStr">
        <is>
          <t>SB-029</t>
        </is>
      </c>
      <c r="C20" s="19" t="n"/>
      <c r="D20" s="19" t="inlineStr">
        <is>
          <t>Low</t>
        </is>
      </c>
      <c r="E20" s="19" t="inlineStr">
        <is>
          <t>Not checked</t>
        </is>
      </c>
      <c r="F20" s="19" t="inlineStr">
        <is>
          <t>Not started</t>
        </is>
      </c>
      <c r="G20" s="19" t="inlineStr">
        <is>
          <t>Find the official application page first, then confirm eligibility</t>
        </is>
      </c>
      <c r="H20" s="19" t="n"/>
      <c r="I20" s="23" t="n"/>
      <c r="J20" s="23" t="n"/>
      <c r="K20" s="23" t="n"/>
      <c r="L20" s="19" t="n"/>
      <c r="M20" s="19" t="inlineStr">
        <is>
          <t>Score 67/100. Confidence Medium.</t>
        </is>
      </c>
    </row>
    <row r="21" ht="23.85" customHeight="1" s="17">
      <c r="A21" s="19" t="inlineStr">
        <is>
          <t>Algolia - Algolia Startup Program</t>
        </is>
      </c>
      <c r="B21" s="19" t="inlineStr">
        <is>
          <t>SB-030</t>
        </is>
      </c>
      <c r="C21" s="19" t="n"/>
      <c r="D21" s="19" t="inlineStr">
        <is>
          <t>Low</t>
        </is>
      </c>
      <c r="E21" s="19" t="inlineStr">
        <is>
          <t>Not checked</t>
        </is>
      </c>
      <c r="F21" s="19" t="inlineStr">
        <is>
          <t>Not started</t>
        </is>
      </c>
      <c r="G21" s="19" t="inlineStr">
        <is>
          <t>Find the official application page first, then confirm eligibility</t>
        </is>
      </c>
      <c r="H21" s="19" t="n"/>
      <c r="I21" s="23" t="n"/>
      <c r="J21" s="23" t="n"/>
      <c r="K21" s="23" t="n"/>
      <c r="L21" s="19" t="n"/>
      <c r="M21" s="19" t="inlineStr">
        <is>
          <t>Score 67/100. Confidence Medium.</t>
        </is>
      </c>
    </row>
    <row r="22" ht="23.85" customHeight="1" s="17">
      <c r="A22" s="19" t="inlineStr">
        <is>
          <t>Indent - Indent for Startups</t>
        </is>
      </c>
      <c r="B22" s="19" t="inlineStr">
        <is>
          <t>SB-035</t>
        </is>
      </c>
      <c r="C22" s="19" t="n"/>
      <c r="D22" s="19" t="inlineStr">
        <is>
          <t>Low</t>
        </is>
      </c>
      <c r="E22" s="19" t="inlineStr">
        <is>
          <t>Not checked</t>
        </is>
      </c>
      <c r="F22" s="19" t="inlineStr">
        <is>
          <t>Not started</t>
        </is>
      </c>
      <c r="G22" s="19" t="inlineStr">
        <is>
          <t>Find the official application page first, then confirm eligibility</t>
        </is>
      </c>
      <c r="H22" s="19" t="n"/>
      <c r="I22" s="23" t="n"/>
      <c r="J22" s="23" t="n"/>
      <c r="K22" s="23" t="n"/>
      <c r="L22" s="19" t="n"/>
      <c r="M22" s="19" t="inlineStr">
        <is>
          <t>Score 67/100. Confidence Medium.</t>
        </is>
      </c>
    </row>
    <row r="23" ht="23.85" customHeight="1" s="17">
      <c r="A23" s="19" t="inlineStr">
        <is>
          <t>Sanity - Sanity Startup Program</t>
        </is>
      </c>
      <c r="B23" s="19" t="inlineStr">
        <is>
          <t>SB-037</t>
        </is>
      </c>
      <c r="C23" s="19" t="n"/>
      <c r="D23" s="19" t="inlineStr">
        <is>
          <t>Low</t>
        </is>
      </c>
      <c r="E23" s="19" t="inlineStr">
        <is>
          <t>Not checked</t>
        </is>
      </c>
      <c r="F23" s="19" t="inlineStr">
        <is>
          <t>Not started</t>
        </is>
      </c>
      <c r="G23" s="19" t="inlineStr">
        <is>
          <t>Find the official application page first, then confirm eligibility</t>
        </is>
      </c>
      <c r="H23" s="19" t="n"/>
      <c r="I23" s="23" t="n"/>
      <c r="J23" s="23" t="n"/>
      <c r="K23" s="23" t="n"/>
      <c r="L23" s="19" t="n"/>
      <c r="M23" s="19" t="inlineStr">
        <is>
          <t>Score 67/100. Confidence Medium.</t>
        </is>
      </c>
    </row>
    <row r="24" ht="23.85" customHeight="1" s="17">
      <c r="A24" s="19" t="inlineStr">
        <is>
          <t>Sentry - Sentry for Startups</t>
        </is>
      </c>
      <c r="B24" s="19" t="inlineStr">
        <is>
          <t>SB-038</t>
        </is>
      </c>
      <c r="C24" s="19" t="n"/>
      <c r="D24" s="19" t="inlineStr">
        <is>
          <t>Low</t>
        </is>
      </c>
      <c r="E24" s="19" t="inlineStr">
        <is>
          <t>Not checked</t>
        </is>
      </c>
      <c r="F24" s="19" t="inlineStr">
        <is>
          <t>Not started</t>
        </is>
      </c>
      <c r="G24" s="19" t="inlineStr">
        <is>
          <t>Find the official application page first, then confirm eligibility</t>
        </is>
      </c>
      <c r="H24" s="19" t="n"/>
      <c r="I24" s="23" t="n"/>
      <c r="J24" s="23" t="n"/>
      <c r="K24" s="23" t="n"/>
      <c r="L24" s="19" t="n"/>
      <c r="M24" s="19" t="inlineStr">
        <is>
          <t>Score 67/100. Confidence Medium.</t>
        </is>
      </c>
    </row>
    <row r="25" ht="23.85" customHeight="1" s="17">
      <c r="A25" s="19" t="inlineStr">
        <is>
          <t>OVHcloud - OVHcloud Startup Program</t>
        </is>
      </c>
      <c r="B25" s="19" t="inlineStr">
        <is>
          <t>SB-080</t>
        </is>
      </c>
      <c r="C25" s="19" t="n"/>
      <c r="D25" s="19" t="inlineStr">
        <is>
          <t>Low</t>
        </is>
      </c>
      <c r="E25" s="19" t="inlineStr">
        <is>
          <t>Not checked</t>
        </is>
      </c>
      <c r="F25" s="19" t="inlineStr">
        <is>
          <t>Not started</t>
        </is>
      </c>
      <c r="G25" s="19" t="inlineStr">
        <is>
          <t>Find the official application page first, then confirm eligibility</t>
        </is>
      </c>
      <c r="H25" s="19" t="n"/>
      <c r="I25" s="23" t="n"/>
      <c r="J25" s="23" t="n"/>
      <c r="K25" s="23" t="n"/>
      <c r="L25" s="19" t="n"/>
      <c r="M25" s="19" t="inlineStr">
        <is>
          <t>Score 67/100. Confidence Medium.</t>
        </is>
      </c>
    </row>
    <row r="26" ht="23.85" customHeight="1" s="17">
      <c r="A26" s="19" t="inlineStr">
        <is>
          <t>PostHog - PostHog Startup Program</t>
        </is>
      </c>
      <c r="B26" s="19" t="inlineStr">
        <is>
          <t>SB-024</t>
        </is>
      </c>
      <c r="C26" s="19" t="n"/>
      <c r="D26" s="19" t="inlineStr">
        <is>
          <t>Low</t>
        </is>
      </c>
      <c r="E26" s="19" t="inlineStr">
        <is>
          <t>Not checked</t>
        </is>
      </c>
      <c r="F26" s="19" t="inlineStr">
        <is>
          <t>Not started</t>
        </is>
      </c>
      <c r="G26" s="19" t="inlineStr">
        <is>
          <t>Find the official application page first, then confirm eligibility</t>
        </is>
      </c>
      <c r="H26" s="19" t="n"/>
      <c r="I26" s="23" t="n"/>
      <c r="J26" s="23" t="n"/>
      <c r="K26" s="23" t="n"/>
      <c r="L26" s="19" t="n"/>
      <c r="M26" s="19" t="inlineStr">
        <is>
          <t>Score 66/100. Confidence Medium.</t>
        </is>
      </c>
    </row>
  </sheetData>
  <conditionalFormatting sqref="J2:J300">
    <cfRule type="expression" rank="0" priority="2" equalAverage="0" aboveAverage="0" dxfId="10" text="" percent="0" bottom="0">
      <formula>AND(ISNUMBER(J2),J2&lt;TODAY())</formula>
    </cfRule>
    <cfRule type="expression" rank="0" priority="3" equalAverage="0" aboveAverage="0" dxfId="11" text="" percent="0" bottom="0">
      <formula>AND(ISNUMBER(J2),J2&gt;=TODAY(),J2&lt;=TODAY()+30)</formula>
    </cfRule>
  </conditionalFormatting>
  <conditionalFormatting sqref="F2:F300">
    <cfRule type="cellIs" rank="0" priority="4" equalAverage="0" operator="equal" aboveAverage="0" dxfId="9" text="" percent="0" bottom="0">
      <formula>"Approved"</formula>
    </cfRule>
    <cfRule type="cellIs" rank="0" priority="5" equalAverage="0" operator="equal" aboveAverage="0" dxfId="10" text="" percent="0" bottom="0">
      <formula>"Rejected"</formula>
    </cfRule>
  </conditionalFormatting>
  <dataValidations count="3">
    <dataValidation sqref="D2:D300" showDropDown="0" showInputMessage="0" showErrorMessage="0" allowBlank="1" type="list" errorStyle="stop" operator="between">
      <formula1>"High,Medium,Low"</formula1>
      <formula2>0</formula2>
    </dataValidation>
    <dataValidation sqref="E2:E300" showDropDown="0" showInputMessage="0" showErrorMessage="0" allowBlank="1" type="list" errorStyle="stop" operator="between">
      <formula1>"Not checked,Likely eligible,Eligible,Not eligible"</formula1>
      <formula2>0</formula2>
    </dataValidation>
    <dataValidation sqref="F2:F300" showDropDown="0" showInputMessage="0" showErrorMessage="0" allowBlank="1" type="list" errorStyle="stop" operator="between">
      <formula1>"Not started,In progress,Submitted,Approved,Rejected,Waitlisted"</formula1>
      <formula2>0</formula2>
    </dataValidation>
  </dataValidations>
  <hyperlinks>
    <hyperlink xmlns:r="http://schemas.openxmlformats.org/officeDocument/2006/relationships" ref="C2" display="https://www.microsoft.com/en-us/startups" r:id="rId1"/>
    <hyperlink xmlns:r="http://schemas.openxmlformats.org/officeDocument/2006/relationships" ref="C3" display="https://aws.amazon.com/startups/join?destination=/credits/apply" r:id="rId2"/>
    <hyperlink xmlns:r="http://schemas.openxmlformats.org/officeDocument/2006/relationships" ref="C7" location="request-form" display="https://sendpulse.com/startup#request-form" r:id="rId3"/>
    <hyperlink xmlns:r="http://schemas.openxmlformats.org/officeDocument/2006/relationships" ref="C11" display="https://www.cloudflare.com/forstartups/" r:id="rId4"/>
    <hyperlink xmlns:r="http://schemas.openxmlformats.org/officeDocument/2006/relationships" ref="C18" display="https://elevenlabs.io/grants-application" r:id="rId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6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6" min="1" max="1"/>
    <col width="60" customWidth="1" style="16" min="2" max="2"/>
    <col width="11" customWidth="1" style="16" min="3" max="3"/>
    <col width="36" customWidth="1" style="16" min="4" max="4"/>
    <col width="34" customWidth="1" style="16" min="5" max="5"/>
    <col width="52" customWidth="1" style="16" min="6" max="6"/>
  </cols>
  <sheetData>
    <row r="1" ht="15" customHeight="1" s="17">
      <c r="A1" s="21" t="inlineStr">
        <is>
          <t>Source</t>
        </is>
      </c>
      <c r="B1" s="21" t="inlineStr">
        <is>
          <t>URL</t>
        </is>
      </c>
      <c r="C1" s="21" t="inlineStr">
        <is>
          <t>Type</t>
        </is>
      </c>
      <c r="D1" s="21" t="inlineStr">
        <is>
          <t>Used for</t>
        </is>
      </c>
      <c r="E1" s="21" t="inlineStr">
        <is>
          <t>Access status (2026-10-24)</t>
        </is>
      </c>
      <c r="F1" s="21" t="inlineStr">
        <is>
          <t>Notes</t>
        </is>
      </c>
    </row>
    <row r="2" ht="23.85" customHeight="1" s="17">
      <c r="A2" s="19" t="inlineStr">
        <is>
          <t>AWS Activate Credits</t>
        </is>
      </c>
      <c r="B2" s="24" t="inlineStr">
        <is>
          <t>https://aws.amazon.com/startups/credits/</t>
        </is>
      </c>
      <c r="C2" s="19" t="inlineStr">
        <is>
          <t>Official</t>
        </is>
      </c>
      <c r="D2" s="19" t="inlineStr">
        <is>
          <t>Three AWS tiers, Kiro link</t>
        </is>
      </c>
      <c r="E2" s="19" t="inlineStr">
        <is>
          <t>Opened and read</t>
        </is>
      </c>
      <c r="F2" s="19" t="inlineStr">
        <is>
          <t>Page metadata shows a test variant URL; content read as published.</t>
        </is>
      </c>
    </row>
    <row r="3" ht="15" customHeight="1" s="17">
      <c r="A3" s="19" t="inlineStr">
        <is>
          <t>Google for Startups Cloud Program</t>
        </is>
      </c>
      <c r="B3" s="24" t="inlineStr">
        <is>
          <t>https://cloud.google.com/startup</t>
        </is>
      </c>
      <c r="C3" s="19" t="inlineStr">
        <is>
          <t>Official</t>
        </is>
      </c>
      <c r="D3" s="19" t="inlineStr">
        <is>
          <t>Start and Scale/AI tiers, FAQ</t>
        </is>
      </c>
      <c r="E3" s="19" t="inlineStr">
        <is>
          <t>Opened and read</t>
        </is>
      </c>
      <c r="F3" s="19" t="inlineStr">
        <is>
          <t>Application link target not captured.</t>
        </is>
      </c>
    </row>
    <row r="4" ht="15" customHeight="1" s="17">
      <c r="A4" s="19" t="inlineStr">
        <is>
          <t>ElevenLabs Startup Grants</t>
        </is>
      </c>
      <c r="B4" s="24" t="inlineStr">
        <is>
          <t>https://elevenlabs.io/startup-grants</t>
        </is>
      </c>
      <c r="C4" s="19" t="inlineStr">
        <is>
          <t>Official</t>
        </is>
      </c>
      <c r="D4" s="19" t="inlineStr">
        <is>
          <t>12-month grant terms</t>
        </is>
      </c>
      <c r="E4" s="19" t="inlineStr">
        <is>
          <t>Opened; FAQ answers collapsed</t>
        </is>
      </c>
      <c r="F4" s="19" t="inlineStr">
        <is>
          <t>Eligibility text not visible.</t>
        </is>
      </c>
    </row>
    <row r="5" ht="15" customHeight="1" s="17">
      <c r="A5" s="19" t="inlineStr">
        <is>
          <t>SendPulse Startup Grant</t>
        </is>
      </c>
      <c r="B5" s="24" t="inlineStr">
        <is>
          <t>https://sendpulse.com/startup</t>
        </is>
      </c>
      <c r="C5" s="19" t="inlineStr">
        <is>
          <t>Official</t>
        </is>
      </c>
      <c r="D5" s="19" t="inlineStr">
        <is>
          <t>$5,000 grant and criteria</t>
        </is>
      </c>
      <c r="E5" s="19" t="inlineStr">
        <is>
          <t>Opened and read</t>
        </is>
      </c>
      <c r="F5" s="19" t="n"/>
    </row>
    <row r="6" ht="23.85" customHeight="1" s="17">
      <c r="A6" s="19" t="inlineStr">
        <is>
          <t>UniOne startup page</t>
        </is>
      </c>
      <c r="B6" s="24" t="inlineStr">
        <is>
          <t>https://unione.io/en/startup-offer</t>
        </is>
      </c>
      <c r="C6" s="19" t="inlineStr">
        <is>
          <t>Official</t>
        </is>
      </c>
      <c r="D6" s="19" t="inlineStr">
        <is>
          <t>Email trial</t>
        </is>
      </c>
      <c r="E6" s="19" t="inlineStr">
        <is>
          <t>Opened; redirected to /email-service-for-startups/</t>
        </is>
      </c>
      <c r="F6" s="19" t="inlineStr">
        <is>
          <t>A free trial, not a grant.</t>
        </is>
      </c>
    </row>
    <row r="7" ht="23.85" customHeight="1" s="17">
      <c r="A7" s="19" t="inlineStr">
        <is>
          <t>aifree.dev AI startup credits</t>
        </is>
      </c>
      <c r="B7" s="24" t="inlineStr">
        <is>
          <t>https://aifree.dev/startup-ai-credits</t>
        </is>
      </c>
      <c r="C7" s="19" t="inlineStr">
        <is>
          <t>Directory</t>
        </is>
      </c>
      <c r="D7" s="19" t="inlineStr">
        <is>
          <t>Discovery of ~78 offers, dated verification</t>
        </is>
      </c>
      <c r="E7" s="19" t="inlineStr">
        <is>
          <t>Opened and read</t>
        </is>
      </c>
      <c r="F7" s="19" t="inlineStr">
        <is>
          <t>Directory states offers re-checked monthly; provider pages not opened by me.</t>
        </is>
      </c>
    </row>
    <row r="8" ht="15" customHeight="1" s="17">
      <c r="A8" s="19" t="inlineStr">
        <is>
          <t>Microsoft for Startups (via search)</t>
        </is>
      </c>
      <c r="B8" s="24" t="inlineStr">
        <is>
          <t>https://www.microsoft.com/en-us/startups</t>
        </is>
      </c>
      <c r="C8" s="19" t="inlineStr">
        <is>
          <t>Official</t>
        </is>
      </c>
      <c r="D8" s="19" t="inlineStr">
        <is>
          <t>Founders Hub levels</t>
        </is>
      </c>
      <c r="E8" s="19" t="inlineStr">
        <is>
          <t>Seen in search snippets only</t>
        </is>
      </c>
      <c r="F8" s="19" t="inlineStr">
        <is>
          <t>Official page not opened.</t>
        </is>
      </c>
    </row>
    <row r="9" ht="15" customHeight="1" s="17">
      <c r="A9" s="19" t="inlineStr">
        <is>
          <t>Microsoft partner benefits guide</t>
        </is>
      </c>
      <c r="B9" s="24" t="inlineStr">
        <is>
          <t>https://partner.microsoft.com/en-cy/partnership/founders-hub-benefits-guide</t>
        </is>
      </c>
      <c r="C9" s="19" t="inlineStr">
        <is>
          <t>Official</t>
        </is>
      </c>
      <c r="D9" s="19" t="inlineStr">
        <is>
          <t>Level 1-3 credits</t>
        </is>
      </c>
      <c r="E9" s="19" t="inlineStr">
        <is>
          <t>Seen in search snippet</t>
        </is>
      </c>
      <c r="F9" s="19" t="n"/>
    </row>
    <row r="10" ht="15" customHeight="1" s="17">
      <c r="A10" s="19" t="inlineStr">
        <is>
          <t>ITIDA Invest-IT press release</t>
        </is>
      </c>
      <c r="B10" s="24" t="inlineStr">
        <is>
          <t>https://itida.gov.eg/English/PressReleases/Pages/itida-launches-invest-it-startup-funding-program-egypt.aspx</t>
        </is>
      </c>
      <c r="C10" s="19" t="inlineStr">
        <is>
          <t>Official</t>
        </is>
      </c>
      <c r="D10" s="19" t="inlineStr">
        <is>
          <t>Egypt program</t>
        </is>
      </c>
      <c r="E10" s="19" t="inlineStr">
        <is>
          <t>Seen in search results</t>
        </is>
      </c>
      <c r="F10" s="19" t="inlineStr">
        <is>
          <t>Not opened.</t>
        </is>
      </c>
    </row>
    <row r="11" ht="15" customHeight="1" s="17">
      <c r="A11" s="19" t="inlineStr">
        <is>
          <t>Flat6Labs news archive Nov 2024</t>
        </is>
      </c>
      <c r="B11" s="24" t="inlineStr">
        <is>
          <t>https://flat6labs.com/2024/11/</t>
        </is>
      </c>
      <c r="C11" s="19" t="inlineStr">
        <is>
          <t>Official</t>
        </is>
      </c>
      <c r="D11" s="19" t="inlineStr">
        <is>
          <t>Invest-IT eligibility</t>
        </is>
      </c>
      <c r="E11" s="19" t="inlineStr">
        <is>
          <t>Seen in search snippet</t>
        </is>
      </c>
      <c r="F11" s="19" t="n"/>
    </row>
    <row r="12" ht="15" customHeight="1" s="17">
      <c r="A12" s="19" t="inlineStr">
        <is>
          <t>MEA Tech Watch - TIEC Start IT round 47</t>
        </is>
      </c>
      <c r="B12" s="24" t="inlineStr">
        <is>
          <t>https://meatechwatch.com/?p=23538</t>
        </is>
      </c>
      <c r="C12" s="19" t="inlineStr">
        <is>
          <t>Community</t>
        </is>
      </c>
      <c r="D12" s="19" t="inlineStr">
        <is>
          <t>EGP 480K and USD 10K AWS claims</t>
        </is>
      </c>
      <c r="E12" s="19" t="inlineStr">
        <is>
          <t>Seen in search snippet</t>
        </is>
      </c>
      <c r="F12" s="19" t="inlineStr">
        <is>
          <t>Press reprint.</t>
        </is>
      </c>
    </row>
    <row r="13" ht="15" customHeight="1" s="17">
      <c r="A13" s="19" t="inlineStr">
        <is>
          <t>MENA Startup Digest - ITIDA playbook</t>
        </is>
      </c>
      <c r="B13" s="24" t="inlineStr">
        <is>
          <t>https://menastartupdigest.com/?p=40213</t>
        </is>
      </c>
      <c r="C13" s="19" t="inlineStr">
        <is>
          <t>Community</t>
        </is>
      </c>
      <c r="D13" s="19" t="inlineStr">
        <is>
          <t>Year-round applications claim</t>
        </is>
      </c>
      <c r="E13" s="19" t="inlineStr">
        <is>
          <t>Seen in search snippet</t>
        </is>
      </c>
      <c r="F13" s="19" t="n"/>
    </row>
    <row r="14" ht="15" customHeight="1" s="17">
      <c r="A14" s="19" t="inlineStr">
        <is>
          <t>OpenRouter</t>
        </is>
      </c>
      <c r="B14" s="24" t="inlineStr">
        <is>
          <t>https://openrouter.ai</t>
        </is>
      </c>
      <c r="C14" s="19" t="inlineStr">
        <is>
          <t>Seed</t>
        </is>
      </c>
      <c r="D14" s="19" t="inlineStr">
        <is>
          <t>Not yet researched</t>
        </is>
      </c>
      <c r="E14" s="19" t="inlineStr">
        <is>
          <t>NOT OPENED</t>
        </is>
      </c>
      <c r="F14" s="19" t="inlineStr">
        <is>
          <t>Pending batch 2.</t>
        </is>
      </c>
    </row>
    <row r="15" ht="15" customHeight="1" s="17">
      <c r="A15" s="19" t="inlineStr">
        <is>
          <t>AgentRouter</t>
        </is>
      </c>
      <c r="B15" s="24" t="inlineStr">
        <is>
          <t>https://agentrouter.org</t>
        </is>
      </c>
      <c r="C15" s="19" t="inlineStr">
        <is>
          <t>Seed</t>
        </is>
      </c>
      <c r="D15" s="19" t="inlineStr">
        <is>
          <t>Not yet researched</t>
        </is>
      </c>
      <c r="E15" s="19" t="inlineStr">
        <is>
          <t>NOT OPENED</t>
        </is>
      </c>
      <c r="F15" s="19" t="inlineStr">
        <is>
          <t>Pending batch 2.</t>
        </is>
      </c>
    </row>
    <row r="16" ht="15" customHeight="1" s="17">
      <c r="A16" s="19" t="inlineStr">
        <is>
          <t>Firecrawl</t>
        </is>
      </c>
      <c r="B16" s="24" t="inlineStr">
        <is>
          <t>https://firecrawl.dev</t>
        </is>
      </c>
      <c r="C16" s="19" t="inlineStr">
        <is>
          <t>Seed</t>
        </is>
      </c>
      <c r="D16" s="19" t="inlineStr">
        <is>
          <t>Not yet researched</t>
        </is>
      </c>
      <c r="E16" s="19" t="inlineStr">
        <is>
          <t>NOT OPENED</t>
        </is>
      </c>
      <c r="F16" s="19" t="inlineStr">
        <is>
          <t>Pending batch 2.</t>
        </is>
      </c>
    </row>
    <row r="17" ht="15" customHeight="1" s="17">
      <c r="A17" s="19" t="inlineStr">
        <is>
          <t>Make startups</t>
        </is>
      </c>
      <c r="B17" s="24" t="inlineStr">
        <is>
          <t>https://f.make.com/startups</t>
        </is>
      </c>
      <c r="C17" s="19" t="inlineStr">
        <is>
          <t>Seed</t>
        </is>
      </c>
      <c r="D17" s="19" t="inlineStr">
        <is>
          <t>Not yet researched</t>
        </is>
      </c>
      <c r="E17" s="19" t="inlineStr">
        <is>
          <t>NOT OPENED</t>
        </is>
      </c>
      <c r="F17" s="19" t="inlineStr">
        <is>
          <t>Pending batch 2.</t>
        </is>
      </c>
    </row>
    <row r="18" ht="15" customHeight="1" s="17">
      <c r="A18" s="19" t="inlineStr">
        <is>
          <t>Stripe startup benefits (AWS Activate)</t>
        </is>
      </c>
      <c r="B18" s="24" t="inlineStr">
        <is>
          <t>https://stripe.com/startup-benefits/aws-activate</t>
        </is>
      </c>
      <c r="C18" s="19" t="inlineStr">
        <is>
          <t>Seed</t>
        </is>
      </c>
      <c r="D18" s="19" t="inlineStr">
        <is>
          <t>Directory-only mention</t>
        </is>
      </c>
      <c r="E18" s="19" t="inlineStr">
        <is>
          <t>NOT OPENED</t>
        </is>
      </c>
      <c r="F18" s="19" t="inlineStr">
        <is>
          <t>Pending batch 2.</t>
        </is>
      </c>
    </row>
    <row r="19" ht="23.85" customHeight="1" s="17">
      <c r="A19" s="19" t="inlineStr">
        <is>
          <t>Credits for Startups directory</t>
        </is>
      </c>
      <c r="B19" s="24" t="inlineStr">
        <is>
          <t>https://creditforstartups.com/companies</t>
        </is>
      </c>
      <c r="C19" s="19" t="inlineStr">
        <is>
          <t>Seed</t>
        </is>
      </c>
      <c r="D19" s="19" t="inlineStr">
        <is>
          <t>Not yet researched</t>
        </is>
      </c>
      <c r="E19" s="19" t="inlineStr">
        <is>
          <t>NOT OPENED</t>
        </is>
      </c>
      <c r="F19" s="19" t="inlineStr">
        <is>
          <t>Pending batch 2; seed URL was spelled creditforstartups.com in the brief.</t>
        </is>
      </c>
    </row>
    <row r="20" ht="15" customHeight="1" s="17">
      <c r="A20" s="19" t="inlineStr">
        <is>
          <t>Cloudflare for Startups</t>
        </is>
      </c>
      <c r="B20" s="24" t="inlineStr">
        <is>
          <t>https://www.cloudflare.com/forstartups/</t>
        </is>
      </c>
      <c r="C20" s="19" t="inlineStr">
        <is>
          <t>Seed</t>
        </is>
      </c>
      <c r="D20" s="19" t="inlineStr">
        <is>
          <t>Directory-only mention</t>
        </is>
      </c>
      <c r="E20" s="19" t="inlineStr">
        <is>
          <t>NOT OPENED</t>
        </is>
      </c>
      <c r="F20" s="19" t="inlineStr">
        <is>
          <t>Pending batch 2.</t>
        </is>
      </c>
    </row>
    <row r="21" ht="15" customHeight="1" s="17">
      <c r="A21" s="19" t="inlineStr">
        <is>
          <t>TokenThrift credits</t>
        </is>
      </c>
      <c r="B21" s="24" t="inlineStr">
        <is>
          <t>https://tokenthrift.io/credits</t>
        </is>
      </c>
      <c r="C21" s="19" t="inlineStr">
        <is>
          <t>Seed</t>
        </is>
      </c>
      <c r="D21" s="19" t="inlineStr">
        <is>
          <t>Not yet researched</t>
        </is>
      </c>
      <c r="E21" s="19" t="inlineStr">
        <is>
          <t>NOT OPENED</t>
        </is>
      </c>
      <c r="F21" s="19" t="inlineStr">
        <is>
          <t>Pending batch 2.</t>
        </is>
      </c>
    </row>
  </sheetData>
  <hyperlinks>
    <hyperlink xmlns:r="http://schemas.openxmlformats.org/officeDocument/2006/relationships" ref="B2" display="https://aws.amazon.com/startups/credits/" r:id="rId1"/>
    <hyperlink xmlns:r="http://schemas.openxmlformats.org/officeDocument/2006/relationships" ref="B3" display="https://cloud.google.com/startup" r:id="rId2"/>
    <hyperlink xmlns:r="http://schemas.openxmlformats.org/officeDocument/2006/relationships" ref="B4" display="https://elevenlabs.io/startup-grants" r:id="rId3"/>
    <hyperlink xmlns:r="http://schemas.openxmlformats.org/officeDocument/2006/relationships" ref="B5" display="https://sendpulse.com/startup" r:id="rId4"/>
    <hyperlink xmlns:r="http://schemas.openxmlformats.org/officeDocument/2006/relationships" ref="B6" display="https://unione.io/en/startup-offer" r:id="rId5"/>
    <hyperlink xmlns:r="http://schemas.openxmlformats.org/officeDocument/2006/relationships" ref="B7" display="https://aifree.dev/startup-ai-credits" r:id="rId6"/>
    <hyperlink xmlns:r="http://schemas.openxmlformats.org/officeDocument/2006/relationships" ref="B8" display="https://www.microsoft.com/en-us/startups" r:id="rId7"/>
    <hyperlink xmlns:r="http://schemas.openxmlformats.org/officeDocument/2006/relationships" ref="B9" display="https://partner.microsoft.com/en-cy/partnership/founders-hub-benefits-guide" r:id="rId8"/>
    <hyperlink xmlns:r="http://schemas.openxmlformats.org/officeDocument/2006/relationships" ref="B10" display="https://itida.gov.eg/English/PressReleases/Pages/itida-launches-invest-it-startup-funding-program-egypt.aspx" r:id="rId9"/>
    <hyperlink xmlns:r="http://schemas.openxmlformats.org/officeDocument/2006/relationships" ref="B11" display="https://flat6labs.com/2024/11/" r:id="rId10"/>
    <hyperlink xmlns:r="http://schemas.openxmlformats.org/officeDocument/2006/relationships" ref="B12" display="https://meatechwatch.com/?p=23538" r:id="rId11"/>
    <hyperlink xmlns:r="http://schemas.openxmlformats.org/officeDocument/2006/relationships" ref="B13" display="https://menastartupdigest.com/?p=40213" r:id="rId12"/>
    <hyperlink xmlns:r="http://schemas.openxmlformats.org/officeDocument/2006/relationships" ref="B14" display="https://openrouter.ai" r:id="rId13"/>
    <hyperlink xmlns:r="http://schemas.openxmlformats.org/officeDocument/2006/relationships" ref="B15" display="https://agentrouter.org" r:id="rId14"/>
    <hyperlink xmlns:r="http://schemas.openxmlformats.org/officeDocument/2006/relationships" ref="B16" display="https://firecrawl.dev" r:id="rId15"/>
    <hyperlink xmlns:r="http://schemas.openxmlformats.org/officeDocument/2006/relationships" ref="B17" display="https://f.make.com/startups" r:id="rId16"/>
    <hyperlink xmlns:r="http://schemas.openxmlformats.org/officeDocument/2006/relationships" ref="B18" display="https://stripe.com/startup-benefits/aws-activate" r:id="rId17"/>
    <hyperlink xmlns:r="http://schemas.openxmlformats.org/officeDocument/2006/relationships" ref="B19" display="https://creditforstartups.com/companies" r:id="rId18"/>
    <hyperlink xmlns:r="http://schemas.openxmlformats.org/officeDocument/2006/relationships" ref="B20" display="https://www.cloudflare.com/forstartups/" r:id="rId19"/>
    <hyperlink xmlns:r="http://schemas.openxmlformats.org/officeDocument/2006/relationships" ref="B21" display="https://tokenthrift.io/credits" r:id="rId2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4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2" customWidth="1" style="16" min="1" max="1"/>
    <col width="14" customWidth="1" style="16" min="2" max="5"/>
  </cols>
  <sheetData>
    <row r="1" ht="17.35" customHeight="1" s="17">
      <c r="A1" s="26" t="inlineStr">
        <is>
          <t>Dashboard - Global Startup Benefits Database (Batch 1)</t>
        </is>
      </c>
    </row>
    <row r="2" ht="15" customHeight="1" s="17">
      <c r="A2" s="27" t="inlineStr">
        <is>
          <t>All figures are formulas on the Master Database sheet. Advertised maxima are ceilings, not guaranteed awards.</t>
        </is>
      </c>
    </row>
    <row r="4" ht="15" customHeight="1" s="17">
      <c r="A4" s="28" t="inlineStr">
        <is>
          <t>KPI</t>
        </is>
      </c>
      <c r="B4" s="28" t="inlineStr">
        <is>
          <t>Value</t>
        </is>
      </c>
    </row>
    <row r="5" ht="15" customHeight="1" s="17">
      <c r="A5" s="27" t="inlineStr">
        <is>
          <t>Total unique programs (distinct Duplicate Group IDs)</t>
        </is>
      </c>
      <c r="B5" s="29">
        <f>SUMPRODUCT(1/COUNTIF('Master Database'!$AV$2:$AV$93,'Master Database'!$AV$2:$AV$93))</f>
        <v/>
      </c>
    </row>
    <row r="6" ht="15" customHeight="1" s="17">
      <c r="A6" s="27" t="inlineStr">
        <is>
          <t>Total records</t>
        </is>
      </c>
      <c r="B6" s="29">
        <f>COUNTA('Master Database'!$A$2:$A$93)</f>
        <v/>
      </c>
    </row>
    <row r="7" ht="15" customHeight="1" s="17">
      <c r="A7" s="27" t="inlineStr">
        <is>
          <t>Verified: High confidence (official page read)</t>
        </is>
      </c>
      <c r="B7" s="29">
        <f>COUNTIF('Master Database'!$AQ$2:$AQ$93,"High")</f>
        <v/>
      </c>
    </row>
    <row r="8" ht="15" customHeight="1" s="17">
      <c r="A8" s="27" t="inlineStr">
        <is>
          <t>Records with Official source type</t>
        </is>
      </c>
      <c r="B8" s="29">
        <f>COUNTIF('Master Database'!$AR$2:$AR$93,"Official")</f>
        <v/>
      </c>
    </row>
    <row r="9" ht="15" customHeight="1" s="17">
      <c r="A9" s="27" t="inlineStr">
        <is>
          <t>Programs accepting applications (Open or Rolling)</t>
        </is>
      </c>
      <c r="B9" s="29">
        <f>COUNTIF('Master Database'!$R$2:$R$93,"Open")+COUNTIF('Master Database'!$R$2:$R$93,"Rolling")</f>
        <v/>
      </c>
    </row>
    <row r="10" ht="15" customHeight="1" s="17">
      <c r="A10" s="27" t="inlineStr">
        <is>
          <t>AI-specific programs</t>
        </is>
      </c>
      <c r="B10" s="29">
        <f>COUNTIF('Master Database'!$AD$2:$AD$93,"Yes*")</f>
        <v/>
      </c>
    </row>
    <row r="11" ht="15" customHeight="1" s="17">
      <c r="A11" s="27" t="inlineStr">
        <is>
          <t>Cloud &amp; infrastructure records</t>
        </is>
      </c>
      <c r="B11" s="29">
        <f>COUNTIF('Master Database'!$E$2:$E$93,"Cloud &amp; Infrastructure")</f>
        <v/>
      </c>
    </row>
    <row r="12" ht="15" customHeight="1" s="17">
      <c r="A12" s="27" t="inlineStr">
        <is>
          <t>SaaS &amp; marketing records</t>
        </is>
      </c>
      <c r="B12" s="29">
        <f>COUNTIF('Master Database'!$E$2:$E$93,"SaaS &amp; Marketing")</f>
        <v/>
      </c>
    </row>
    <row r="13" ht="15" customHeight="1" s="17">
      <c r="A13" s="27" t="inlineStr">
        <is>
          <t>Cash grant / non-dilutive opportunities</t>
        </is>
      </c>
      <c r="B13" s="29">
        <f>COUNTIF('Master Database'!$E$2:$E$93,"Cash Grants &amp; Non-Dilutive")</f>
        <v/>
      </c>
    </row>
    <row r="14" ht="15" customHeight="1" s="17">
      <c r="A14" s="27" t="inlineStr">
        <is>
          <t>Confirmed available in Egypt</t>
        </is>
      </c>
      <c r="B14" s="29">
        <f>COUNTIF('Master Database'!$AA$2:$AA$93,"Confirmed")</f>
        <v/>
      </c>
    </row>
    <row r="15" ht="15" customHeight="1" s="17">
      <c r="A15" s="27" t="inlineStr">
        <is>
          <t>Egypt eligibility unverified</t>
        </is>
      </c>
      <c r="B15" s="29">
        <f>COUNTIF('Master Database'!$AA$2:$AA$93,"Unverified*")</f>
        <v/>
      </c>
    </row>
    <row r="16" ht="15" customHeight="1" s="17">
      <c r="A16" s="27" t="inlineStr">
        <is>
          <t>Programs with deadlines in next 90 days</t>
        </is>
      </c>
      <c r="B16" s="29">
        <f>COUNTIFS('Master Database'!$Q$2:$Q$93,"&gt;="&amp;TODAY(),'Master Database'!$Q$2:$Q$93,"&lt;="&amp;TODAY()+90)</f>
        <v/>
      </c>
    </row>
    <row r="17" ht="15" customHeight="1" s="17">
      <c r="A17" s="27" t="inlineStr">
        <is>
          <t>Startup-specific programs (excl. generic trials/free tiers)</t>
        </is>
      </c>
      <c r="B17" s="29">
        <f>COUNTA('Master Database'!$A$2:$A$93)-COUNTIF('Master Database'!$G$2:$G$93,"Free trial*")-COUNTIF('Master Database'!$G$2:$G$93,"Free tier*")</f>
        <v/>
      </c>
    </row>
    <row r="20" ht="15" customHeight="1" s="17">
      <c r="A20" s="30" t="inlineStr">
        <is>
          <t>Records by main category</t>
        </is>
      </c>
    </row>
    <row r="21" ht="15" customHeight="1" s="17">
      <c r="A21" s="28" t="inlineStr">
        <is>
          <t>Category</t>
        </is>
      </c>
      <c r="B21" s="28" t="inlineStr">
        <is>
          <t>Records</t>
        </is>
      </c>
    </row>
    <row r="22" ht="15" customHeight="1" s="17">
      <c r="A22" s="27" t="inlineStr">
        <is>
          <t>AI &amp; LLM Credits</t>
        </is>
      </c>
      <c r="B22" s="27">
        <f>COUNTIF('Master Database'!$E$2:$E$93,A22)</f>
        <v/>
      </c>
    </row>
    <row r="23" ht="15" customHeight="1" s="17">
      <c r="A23" s="27" t="inlineStr">
        <is>
          <t>Cloud &amp; Infrastructure</t>
        </is>
      </c>
      <c r="B23" s="27">
        <f>COUNTIF('Master Database'!$E$2:$E$93,A23)</f>
        <v/>
      </c>
    </row>
    <row r="24" ht="15" customHeight="1" s="17">
      <c r="A24" s="27" t="inlineStr">
        <is>
          <t>SaaS &amp; Marketing</t>
        </is>
      </c>
      <c r="B24" s="27">
        <f>COUNTIF('Master Database'!$E$2:$E$93,A24)</f>
        <v/>
      </c>
    </row>
    <row r="25" ht="15" customHeight="1" s="17">
      <c r="A25" s="27" t="inlineStr">
        <is>
          <t>Cash Grants &amp; Non-Dilutive</t>
        </is>
      </c>
      <c r="B25" s="27">
        <f>COUNTIF('Master Database'!$E$2:$E$93,A25)</f>
        <v/>
      </c>
    </row>
    <row r="26" ht="15" customHeight="1" s="17">
      <c r="A26" s="27" t="inlineStr">
        <is>
          <t>Accelerators &amp; Partner Networks</t>
        </is>
      </c>
      <c r="B26" s="27">
        <f>COUNTIF('Master Database'!$E$2:$E$93,A26)</f>
        <v/>
      </c>
    </row>
    <row r="29" ht="15" customHeight="1" s="17">
      <c r="A29" s="30" t="inlineStr">
        <is>
          <t>Records by program status</t>
        </is>
      </c>
    </row>
    <row r="30" ht="15" customHeight="1" s="17">
      <c r="A30" s="28" t="inlineStr">
        <is>
          <t>Status</t>
        </is>
      </c>
      <c r="B30" s="28" t="inlineStr">
        <is>
          <t>Records</t>
        </is>
      </c>
    </row>
    <row r="31" ht="15" customHeight="1" s="17">
      <c r="A31" s="27" t="inlineStr">
        <is>
          <t>Open</t>
        </is>
      </c>
      <c r="B31" s="27">
        <f>COUNTIF('Master Database'!$R$2:$R$93,A31)</f>
        <v/>
      </c>
    </row>
    <row r="32" ht="15" customHeight="1" s="17">
      <c r="A32" s="27" t="inlineStr">
        <is>
          <t>Rolling</t>
        </is>
      </c>
      <c r="B32" s="27">
        <f>COUNTIF('Master Database'!$R$2:$R$93,A32)</f>
        <v/>
      </c>
    </row>
    <row r="33" ht="15" customHeight="1" s="17">
      <c r="A33" s="27" t="inlineStr">
        <is>
          <t>Waitlist</t>
        </is>
      </c>
      <c r="B33" s="27">
        <f>COUNTIF('Master Database'!$R$2:$R$93,A33)</f>
        <v/>
      </c>
    </row>
    <row r="34" ht="15" customHeight="1" s="17">
      <c r="A34" s="27" t="inlineStr">
        <is>
          <t>Closed</t>
        </is>
      </c>
      <c r="B34" s="27">
        <f>COUNTIF('Master Database'!$R$2:$R$93,A34)</f>
        <v/>
      </c>
    </row>
    <row r="35" ht="15" customHeight="1" s="17">
      <c r="A35" s="27" t="inlineStr">
        <is>
          <t>Unknown</t>
        </is>
      </c>
      <c r="B35" s="27">
        <f>COUNTIF('Master Database'!$R$2:$R$93,A35)</f>
        <v/>
      </c>
    </row>
    <row r="38" ht="15" customHeight="1" s="17">
      <c r="A38" s="30" t="inlineStr">
        <is>
          <t>Advertised maximum value by currency and value type (ceilings, NOT additive per startup; shared caps exist)</t>
        </is>
      </c>
    </row>
    <row r="39" ht="15" customHeight="1" s="17">
      <c r="A39" s="28" t="inlineStr">
        <is>
          <t>Currency</t>
        </is>
      </c>
      <c r="B39" s="28" t="inlineStr">
        <is>
          <t>Credits</t>
        </is>
      </c>
      <c r="C39" s="28" t="inlineStr">
        <is>
          <t>Cash</t>
        </is>
      </c>
      <c r="D39" s="28" t="inlineStr">
        <is>
          <t>Discount</t>
        </is>
      </c>
      <c r="E39" s="28" t="inlineStr">
        <is>
          <t>In-Kind</t>
        </is>
      </c>
    </row>
    <row r="40" ht="15" customHeight="1" s="17">
      <c r="A40" s="27" t="inlineStr">
        <is>
          <t>USD</t>
        </is>
      </c>
      <c r="B40" s="31">
        <f>SUMIFS('Master Database'!$I$2:$I$93,'Master Database'!$J$2:$J$93,$A40,'Master Database'!$K$2:$K$93,"Credits")</f>
        <v/>
      </c>
      <c r="C40" s="31">
        <f>SUMIFS('Master Database'!$I$2:$I$93,'Master Database'!$J$2:$J$93,$A40,'Master Database'!$K$2:$K$93,"Cash")</f>
        <v/>
      </c>
      <c r="D40" s="31">
        <f>SUMIFS('Master Database'!$I$2:$I$93,'Master Database'!$J$2:$J$93,$A40,'Master Database'!$K$2:$K$93,"Discount")</f>
        <v/>
      </c>
      <c r="E40" s="31">
        <f>SUMIFS('Master Database'!$I$2:$I$93,'Master Database'!$J$2:$J$93,$A40,'Master Database'!$K$2:$K$93,"In-Kind")</f>
        <v/>
      </c>
    </row>
    <row r="41" ht="15" customHeight="1" s="17">
      <c r="A41" s="27" t="inlineStr">
        <is>
          <t>EUR</t>
        </is>
      </c>
      <c r="B41" s="31">
        <f>SUMIFS('Master Database'!$I$2:$I$93,'Master Database'!$J$2:$J$93,$A41,'Master Database'!$K$2:$K$93,"Credits")</f>
        <v/>
      </c>
      <c r="C41" s="31">
        <f>SUMIFS('Master Database'!$I$2:$I$93,'Master Database'!$J$2:$J$93,$A41,'Master Database'!$K$2:$K$93,"Cash")</f>
        <v/>
      </c>
      <c r="D41" s="31">
        <f>SUMIFS('Master Database'!$I$2:$I$93,'Master Database'!$J$2:$J$93,$A41,'Master Database'!$K$2:$K$93,"Discount")</f>
        <v/>
      </c>
      <c r="E41" s="31">
        <f>SUMIFS('Master Database'!$I$2:$I$93,'Master Database'!$J$2:$J$93,$A41,'Master Database'!$K$2:$K$93,"In-Kind")</f>
        <v/>
      </c>
    </row>
    <row r="42" ht="15" customHeight="1" s="17">
      <c r="A42" s="27" t="inlineStr">
        <is>
          <t>EGP</t>
        </is>
      </c>
      <c r="B42" s="31">
        <f>SUMIFS('Master Database'!$I$2:$I$93,'Master Database'!$J$2:$J$93,$A42,'Master Database'!$K$2:$K$93,"Credits")</f>
        <v/>
      </c>
      <c r="C42" s="31">
        <f>SUMIFS('Master Database'!$I$2:$I$93,'Master Database'!$J$2:$J$93,$A42,'Master Database'!$K$2:$K$93,"Cash")</f>
        <v/>
      </c>
      <c r="D42" s="31">
        <f>SUMIFS('Master Database'!$I$2:$I$93,'Master Database'!$J$2:$J$93,$A42,'Master Database'!$K$2:$K$93,"Discount")</f>
        <v/>
      </c>
      <c r="E42" s="31">
        <f>SUMIFS('Master Database'!$I$2:$I$93,'Master Database'!$J$2:$J$93,$A42,'Master Database'!$K$2:$K$93,"In-Kind")</f>
        <v/>
      </c>
    </row>
    <row r="44" ht="15" customHeight="1" s="17">
      <c r="A44" s="27" t="inlineStr">
        <is>
          <t>Reading note: the USD Credits total counts each program's headline ceiling once; most startups qualify for a small fraction. Tokens (DeepInfra, Free.ai) are excluded as they are not currency.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6" min="1" max="1"/>
    <col width="9" customWidth="1" style="16" min="2" max="2"/>
    <col width="24" customWidth="1" style="16" min="3" max="3"/>
    <col width="36" customWidth="1" style="16" min="4" max="4"/>
    <col width="60" customWidth="1" style="16" min="5" max="5"/>
    <col width="12" customWidth="1" style="16" min="6" max="6"/>
    <col width="9" customWidth="1" style="16" min="7" max="7"/>
    <col width="44" customWidth="1" style="16" min="8" max="8"/>
    <col width="60" customWidth="1" style="16" min="9" max="9"/>
    <col width="10" customWidth="1" style="16" min="10" max="10"/>
  </cols>
  <sheetData>
    <row r="1" ht="23.85" customHeight="1" s="17">
      <c r="A1" s="21" t="inlineStr">
        <is>
          <t>Rank</t>
        </is>
      </c>
      <c r="B1" s="21" t="inlineStr">
        <is>
          <t>Record ID</t>
        </is>
      </c>
      <c r="C1" s="21" t="inlineStr">
        <is>
          <t>Company</t>
        </is>
      </c>
      <c r="D1" s="21" t="inlineStr">
        <is>
          <t>Program</t>
        </is>
      </c>
      <c r="E1" s="21" t="inlineStr">
        <is>
          <t>Benefit</t>
        </is>
      </c>
      <c r="F1" s="21" t="inlineStr">
        <is>
          <t>Max Value</t>
        </is>
      </c>
      <c r="G1" s="21" t="inlineStr">
        <is>
          <t>Currency</t>
        </is>
      </c>
      <c r="H1" s="21" t="inlineStr">
        <is>
          <t>Application URL</t>
        </is>
      </c>
      <c r="I1" s="21" t="inlineStr">
        <is>
          <t>Why it qualifies / caveat</t>
        </is>
      </c>
      <c r="J1" s="21" t="inlineStr">
        <is>
          <t>Priority score</t>
        </is>
      </c>
    </row>
    <row r="2" ht="35.05" customHeight="1" s="17">
      <c r="A2" s="19" t="n">
        <v>1</v>
      </c>
      <c r="B2" s="19" t="inlineStr">
        <is>
          <t>SB-007</t>
        </is>
      </c>
      <c r="C2" s="19" t="inlineStr">
        <is>
          <t>Microsoft</t>
        </is>
      </c>
      <c r="D2" s="19" t="inlineStr">
        <is>
          <t>Microsoft for Startups Founders Hub</t>
        </is>
      </c>
      <c r="E2" s="19" t="inlineStr">
        <is>
          <t>Tiered Azure credits unlocked progressively (Microsoft partner guide shows core levels of $1,000 / $5,000 / $25,000; up to $150,000 at the top tier per secondary sources) plus GitHub, Microsoft 365 and partner offers.</t>
        </is>
      </c>
      <c r="F2" s="22" t="n">
        <v>150000</v>
      </c>
      <c r="G2" s="19" t="inlineStr">
        <is>
          <t>USD</t>
        </is>
      </c>
      <c r="H2" s="24" t="inlineStr">
        <is>
          <t>https://www.microsoft.com/en-us/startups</t>
        </is>
      </c>
      <c r="I2" s="19" t="inlineStr">
        <is>
          <t>Open application path; no VC/partner requirement stated as required; confidence Medium. Egypt: Unverified (regional restrictions noted). Top levels depend on progress or investor referral; credits are time-bound.</t>
        </is>
      </c>
      <c r="J2" s="19" t="n">
        <v>81</v>
      </c>
    </row>
    <row r="3" ht="35.05" customHeight="1" s="17">
      <c r="A3" s="19" t="n">
        <v>2</v>
      </c>
      <c r="B3" s="19" t="inlineStr">
        <is>
          <t>SB-001</t>
        </is>
      </c>
      <c r="C3" s="19" t="inlineStr">
        <is>
          <t>Amazon Web Services</t>
        </is>
      </c>
      <c r="D3" s="19" t="inlineStr">
        <is>
          <t>AWS Activate Founders</t>
        </is>
      </c>
      <c r="E3" s="19" t="inlineStr">
        <is>
          <t>Promotional AWS credits for self-funded startups: start with $1,000; select participants may qualify for up to $5,000.</t>
        </is>
      </c>
      <c r="F3" s="22" t="n">
        <v>5000</v>
      </c>
      <c r="G3" s="19" t="inlineStr">
        <is>
          <t>USD</t>
        </is>
      </c>
      <c r="H3" s="24" t="inlineStr">
        <is>
          <t>https://aws.amazon.com/startups/join?destination=/credits/apply</t>
        </is>
      </c>
      <c r="I3" s="19" t="inlineStr">
        <is>
          <t>Open application path; no VC/partner requirement stated as required; confidence High. Egypt: Unverified. Starts at $1,000; the $5,000 ceiling is for select participants only. Decision in 5-10 business days.</t>
        </is>
      </c>
      <c r="J3" s="19" t="n">
        <v>76</v>
      </c>
    </row>
    <row r="4" ht="35.05" customHeight="1" s="17">
      <c r="A4" s="19" t="n">
        <v>3</v>
      </c>
      <c r="B4" s="19" t="inlineStr">
        <is>
          <t>SB-009</t>
        </is>
      </c>
      <c r="C4" s="19" t="inlineStr">
        <is>
          <t>SendPulse</t>
        </is>
      </c>
      <c r="D4" s="19" t="inlineStr">
        <is>
          <t>SendPulse Startup Grant</t>
        </is>
      </c>
      <c r="E4" s="19" t="inlineStr">
        <is>
          <t>$5,000 in SendPulse bonus-balance credits valid one year for email, chatbots, CRM, landing pages and automation (not usable for email verifier, SMS marketing, WhatsApp and Viber campaigns).</t>
        </is>
      </c>
      <c r="F4" s="22" t="n">
        <v>5000</v>
      </c>
      <c r="G4" s="19" t="inlineStr">
        <is>
          <t>USD</t>
        </is>
      </c>
      <c r="H4" s="24" t="inlineStr">
        <is>
          <t>https://sendpulse.com/startup#request-form</t>
        </is>
      </c>
      <c r="I4" s="19" t="inlineStr">
        <is>
          <t>Open application path; no VC/partner requirement stated as required; confidence High. Egypt: Unverified (regional restrictions noted). Review takes 1-3 business days; eCommerce projects excluded.</t>
        </is>
      </c>
      <c r="J4" s="19" t="n">
        <v>73</v>
      </c>
    </row>
    <row r="5" ht="23.85" customHeight="1" s="17">
      <c r="A5" s="19" t="n">
        <v>4</v>
      </c>
      <c r="B5" s="19" t="inlineStr">
        <is>
          <t>SB-018</t>
        </is>
      </c>
      <c r="C5" s="19" t="inlineStr">
        <is>
          <t>Cloudflare</t>
        </is>
      </c>
      <c r="D5" s="19" t="inlineStr">
        <is>
          <t>Cloudflare for Startups</t>
        </is>
      </c>
      <c r="E5" s="19" t="inlineStr">
        <is>
          <t>Up to $350,000 in credits valid one year or until fully consumed; payment method required.</t>
        </is>
      </c>
      <c r="F5" s="22" t="n">
        <v>350000</v>
      </c>
      <c r="G5" s="19" t="inlineStr">
        <is>
          <t>USD</t>
        </is>
      </c>
      <c r="H5" s="24" t="inlineStr">
        <is>
          <t>https://www.cloudflare.com/forstartups/</t>
        </is>
      </c>
      <c r="I5" s="19" t="inlineStr">
        <is>
          <t xml:space="preserve">Open application path; no VC/partner requirement stated as required; confidence Medium. Egypt: Unverified. </t>
        </is>
      </c>
      <c r="J5" s="19" t="n">
        <v>72</v>
      </c>
    </row>
    <row r="6" ht="35.05" customHeight="1" s="17">
      <c r="A6" s="19" t="n">
        <v>5</v>
      </c>
      <c r="B6" s="19" t="inlineStr">
        <is>
          <t>SB-008</t>
        </is>
      </c>
      <c r="C6" s="19" t="inlineStr">
        <is>
          <t>ElevenLabs</t>
        </is>
      </c>
      <c r="D6" s="19" t="inlineStr">
        <is>
          <t>ElevenLabs Startup Grants</t>
        </is>
      </c>
      <c r="E6" s="19" t="inlineStr">
        <is>
          <t>12 months of free access to the ElevenLabs platform: 33,000,000 characters (over 680 hours of Agents usage, valued at $5,500+), plus community access and events.</t>
        </is>
      </c>
      <c r="F6" s="22" t="n">
        <v>5500</v>
      </c>
      <c r="G6" s="19" t="inlineStr">
        <is>
          <t>USD</t>
        </is>
      </c>
      <c r="H6" s="24" t="inlineStr">
        <is>
          <t>https://elevenlabs.io/grants-application</t>
        </is>
      </c>
      <c r="I6" s="19" t="inlineStr">
        <is>
          <t>Open application path; no VC/partner requirement stated as required; confidence Medium. Egypt: Unverified. Eligibility details not captured; allowance is characters, not cash.</t>
        </is>
      </c>
      <c r="J6" s="19" t="n">
        <v>67</v>
      </c>
    </row>
    <row r="7" ht="35.05" customHeight="1" s="17">
      <c r="A7" s="19" t="n">
        <v>6</v>
      </c>
      <c r="B7" s="19" t="inlineStr">
        <is>
          <t>SB-004</t>
        </is>
      </c>
      <c r="C7" s="19" t="inlineStr">
        <is>
          <t>Amazon Web Services (Kiro)</t>
        </is>
      </c>
      <c r="D7" s="19" t="inlineStr">
        <is>
          <t>Kiro Startup Credits</t>
        </is>
      </c>
      <c r="E7" s="19" t="inlineStr">
        <is>
          <t>Credits for the Kiro agentic development environment, for eligible startups without current Activate Credits; amount not stated on the AWS page.</t>
        </is>
      </c>
      <c r="F7" s="22" t="n"/>
      <c r="G7" s="19" t="inlineStr">
        <is>
          <t>USD</t>
        </is>
      </c>
      <c r="H7" s="24" t="inlineStr">
        <is>
          <t>https://kiro.dev/startups/</t>
        </is>
      </c>
      <c r="I7" s="19" t="inlineStr">
        <is>
          <t>Open application path; no VC/partner requirement stated as required; confidence Medium. Egypt: Unverified. Not available to startups that currently hold Activate Credits.</t>
        </is>
      </c>
      <c r="J7" s="19" t="n">
        <v>57</v>
      </c>
    </row>
  </sheetData>
  <hyperlinks>
    <hyperlink xmlns:r="http://schemas.openxmlformats.org/officeDocument/2006/relationships" ref="H2" display="https://www.microsoft.com/en-us/startups" r:id="rId1"/>
    <hyperlink xmlns:r="http://schemas.openxmlformats.org/officeDocument/2006/relationships" ref="H3" display="https://aws.amazon.com/startups/join?destination=/credits/apply" r:id="rId2"/>
    <hyperlink xmlns:r="http://schemas.openxmlformats.org/officeDocument/2006/relationships" ref="H4" location="request-form" display="https://sendpulse.com/startup#request-form" r:id="rId3"/>
    <hyperlink xmlns:r="http://schemas.openxmlformats.org/officeDocument/2006/relationships" ref="H5" display="https://www.cloudflare.com/forstartups/" r:id="rId4"/>
    <hyperlink xmlns:r="http://schemas.openxmlformats.org/officeDocument/2006/relationships" ref="H6" display="https://elevenlabs.io/grants-application" r:id="rId5"/>
    <hyperlink xmlns:r="http://schemas.openxmlformats.org/officeDocument/2006/relationships" ref="H7" display="https://kiro.dev/startups/" r:id="rId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7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9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26" customWidth="1" style="16" min="2" max="2"/>
    <col width="44" customWidth="1" style="16" min="3" max="3"/>
    <col width="14" customWidth="1" style="16" min="4" max="11"/>
    <col width="36" customWidth="1" style="16" min="12" max="12"/>
    <col width="110" customWidth="1" style="16" min="14" max="14"/>
  </cols>
  <sheetData>
    <row r="1" ht="35.05" customHeight="1" s="17">
      <c r="A1" s="21" t="inlineStr">
        <is>
          <t>Record ID</t>
        </is>
      </c>
      <c r="B1" s="21" t="inlineStr">
        <is>
          <t>Company</t>
        </is>
      </c>
      <c r="C1" s="21" t="inlineStr">
        <is>
          <t>Program</t>
        </is>
      </c>
      <c r="D1" s="21" t="inlineStr">
        <is>
          <t>Value (0-20)</t>
        </is>
      </c>
      <c r="E1" s="21" t="inlineStr">
        <is>
          <t>Eligibility likelihood (0-25)</t>
        </is>
      </c>
      <c r="F1" s="21" t="inlineStr">
        <is>
          <t>Open status (0-15)</t>
        </is>
      </c>
      <c r="G1" s="21" t="inlineStr">
        <is>
          <t>Relevance (0-10)</t>
        </is>
      </c>
      <c r="H1" s="21" t="inlineStr">
        <is>
          <t>Ease (0-10)</t>
        </is>
      </c>
      <c r="I1" s="21" t="inlineStr">
        <is>
          <t>Egypt access (0-20)</t>
        </is>
      </c>
      <c r="J1" s="21" t="inlineStr">
        <is>
          <t>Total (0-100)</t>
        </is>
      </c>
      <c r="K1" s="21" t="inlineStr">
        <is>
          <t>Rank</t>
        </is>
      </c>
      <c r="L1" s="21" t="inlineStr">
        <is>
          <t>Benefit Type</t>
        </is>
      </c>
      <c r="N1" s="30" t="inlineStr">
        <is>
          <t>Scoring rules (inputs in blue are rule-based starting values; edit freely)</t>
        </is>
      </c>
    </row>
    <row r="2" ht="15" customHeight="1" s="17">
      <c r="A2" s="19" t="inlineStr">
        <is>
          <t>SB-001</t>
        </is>
      </c>
      <c r="B2" s="19" t="inlineStr">
        <is>
          <t>Amazon Web Services</t>
        </is>
      </c>
      <c r="C2" s="19" t="inlineStr">
        <is>
          <t>AWS Activate Founders</t>
        </is>
      </c>
      <c r="D2" s="32" t="n">
        <v>12</v>
      </c>
      <c r="E2" s="32" t="n">
        <v>25</v>
      </c>
      <c r="F2" s="32" t="n">
        <v>15</v>
      </c>
      <c r="G2" s="32" t="n">
        <v>8</v>
      </c>
      <c r="H2" s="32" t="n">
        <v>8</v>
      </c>
      <c r="I2" s="32" t="n">
        <v>8</v>
      </c>
      <c r="J2" s="19">
        <f>SUM(D2:I2)</f>
        <v/>
      </c>
      <c r="K2" s="19">
        <f>RANK(J2,$J$2:$J$93)</f>
        <v/>
      </c>
      <c r="L2" s="19" t="inlineStr">
        <is>
          <t>Startup credits (startup-specific)</t>
        </is>
      </c>
      <c r="N2" s="27" t="inlineStr">
        <is>
          <t>Value: &gt;=$100K=20; &gt;=$25K=16; &gt;=$5K=12; &gt;=$1K=8; &gt;0=4; unknown=2 (trials capped at 4; EGP converted roughly at 50 per USD for ranking only)</t>
        </is>
      </c>
    </row>
    <row r="3" ht="15" customHeight="1" s="17">
      <c r="A3" s="19" t="inlineStr">
        <is>
          <t>SB-002</t>
        </is>
      </c>
      <c r="B3" s="19" t="inlineStr">
        <is>
          <t>Amazon Web Services</t>
        </is>
      </c>
      <c r="C3" s="19" t="inlineStr">
        <is>
          <t>AWS Activate Portfolio</t>
        </is>
      </c>
      <c r="D3" s="32" t="n">
        <v>20</v>
      </c>
      <c r="E3" s="32" t="n">
        <v>5</v>
      </c>
      <c r="F3" s="32" t="n">
        <v>15</v>
      </c>
      <c r="G3" s="32" t="n">
        <v>8</v>
      </c>
      <c r="H3" s="32" t="n">
        <v>5</v>
      </c>
      <c r="I3" s="32" t="n">
        <v>8</v>
      </c>
      <c r="J3" s="19">
        <f>SUM(D3:I3)</f>
        <v/>
      </c>
      <c r="K3" s="19">
        <f>RANK(J3,$J$2:$J$93)</f>
        <v/>
      </c>
      <c r="L3" s="19" t="inlineStr">
        <is>
          <t>Startup credits (startup-specific)</t>
        </is>
      </c>
      <c r="N3" s="27" t="inlineStr">
        <is>
          <t>Eligibility: partner/accelerator required=5; funding required=8; bootstrapped accepted=25; likely=20; unknown=14; trials/free tiers 22</t>
        </is>
      </c>
    </row>
    <row r="4" ht="15" customHeight="1" s="17">
      <c r="A4" s="19" t="inlineStr">
        <is>
          <t>SB-003</t>
        </is>
      </c>
      <c r="B4" s="19" t="inlineStr">
        <is>
          <t>Amazon Web Services</t>
        </is>
      </c>
      <c r="C4" s="19" t="inlineStr">
        <is>
          <t>AWS Credits for AI Startups</t>
        </is>
      </c>
      <c r="D4" s="32" t="n">
        <v>20</v>
      </c>
      <c r="E4" s="32" t="n">
        <v>14</v>
      </c>
      <c r="F4" s="32" t="n">
        <v>5</v>
      </c>
      <c r="G4" s="32" t="n">
        <v>10</v>
      </c>
      <c r="H4" s="32" t="n">
        <v>6</v>
      </c>
      <c r="I4" s="32" t="n">
        <v>8</v>
      </c>
      <c r="J4" s="19">
        <f>SUM(D4:I4)</f>
        <v/>
      </c>
      <c r="K4" s="19">
        <f>RANK(J4,$J$2:$J$93)</f>
        <v/>
      </c>
      <c r="L4" s="19" t="inlineStr">
        <is>
          <t>Startup credits (startup-specific)</t>
        </is>
      </c>
      <c r="N4" s="27" t="inlineStr">
        <is>
          <t>Open: Open/Rolling=15; Waitlist/Unknown=5; Closed=0</t>
        </is>
      </c>
    </row>
    <row r="5" ht="15" customHeight="1" s="17">
      <c r="A5" s="19" t="inlineStr">
        <is>
          <t>SB-004</t>
        </is>
      </c>
      <c r="B5" s="19" t="inlineStr">
        <is>
          <t>Amazon Web Services (Kiro)</t>
        </is>
      </c>
      <c r="C5" s="19" t="inlineStr">
        <is>
          <t>Kiro Startup Credits</t>
        </is>
      </c>
      <c r="D5" s="32" t="n">
        <v>2</v>
      </c>
      <c r="E5" s="32" t="n">
        <v>14</v>
      </c>
      <c r="F5" s="32" t="n">
        <v>15</v>
      </c>
      <c r="G5" s="32" t="n">
        <v>10</v>
      </c>
      <c r="H5" s="32" t="n">
        <v>8</v>
      </c>
      <c r="I5" s="32" t="n">
        <v>8</v>
      </c>
      <c r="J5" s="19">
        <f>SUM(D5:I5)</f>
        <v/>
      </c>
      <c r="K5" s="19">
        <f>RANK(J5,$J$2:$J$93)</f>
        <v/>
      </c>
      <c r="L5" s="19" t="inlineStr">
        <is>
          <t>Startup credits (startup-specific)</t>
        </is>
      </c>
      <c r="N5" s="27" t="inlineStr">
        <is>
          <t>Relevance: AI-specific=10; cloud/SaaS/cash=8; other=5</t>
        </is>
      </c>
    </row>
    <row r="6" ht="15" customHeight="1" s="17">
      <c r="A6" s="19" t="inlineStr">
        <is>
          <t>SB-005</t>
        </is>
      </c>
      <c r="B6" s="19" t="inlineStr">
        <is>
          <t>Google Cloud</t>
        </is>
      </c>
      <c r="C6" s="19" t="inlineStr">
        <is>
          <t>Google for Startups Cloud Program - Start tier</t>
        </is>
      </c>
      <c r="D6" s="32" t="n">
        <v>8</v>
      </c>
      <c r="E6" s="32" t="n">
        <v>20</v>
      </c>
      <c r="F6" s="32" t="n">
        <v>15</v>
      </c>
      <c r="G6" s="32" t="n">
        <v>8</v>
      </c>
      <c r="H6" s="32" t="n">
        <v>6</v>
      </c>
      <c r="I6" s="32" t="n">
        <v>5</v>
      </c>
      <c r="J6" s="19">
        <f>SUM(D6:I6)</f>
        <v/>
      </c>
      <c r="K6" s="19">
        <f>RANK(J6,$J$2:$J$93)</f>
        <v/>
      </c>
      <c r="L6" s="19" t="inlineStr">
        <is>
          <t>Startup credits (startup-specific)</t>
        </is>
      </c>
      <c r="N6" s="27" t="inlineStr">
        <is>
          <t>Ease: no card=10; card=5; otherwise 6; partner referral=3; verified application link +2 (max 10)</t>
        </is>
      </c>
    </row>
    <row r="7" ht="15" customHeight="1" s="17">
      <c r="A7" s="19" t="inlineStr">
        <is>
          <t>SB-006</t>
        </is>
      </c>
      <c r="B7" s="19" t="inlineStr">
        <is>
          <t>Google Cloud</t>
        </is>
      </c>
      <c r="C7" s="19" t="inlineStr">
        <is>
          <t>Google for Startups Cloud Program - Scale / Scale AI</t>
        </is>
      </c>
      <c r="D7" s="32" t="n">
        <v>20</v>
      </c>
      <c r="E7" s="32" t="n">
        <v>8</v>
      </c>
      <c r="F7" s="32" t="n">
        <v>15</v>
      </c>
      <c r="G7" s="32" t="n">
        <v>10</v>
      </c>
      <c r="H7" s="32" t="n">
        <v>6</v>
      </c>
      <c r="I7" s="32" t="n">
        <v>5</v>
      </c>
      <c r="J7" s="19">
        <f>SUM(D7:I7)</f>
        <v/>
      </c>
      <c r="K7" s="19">
        <f>RANK(J7,$J$2:$J$93)</f>
        <v/>
      </c>
      <c r="L7" s="19" t="inlineStr">
        <is>
          <t>Startup credits (startup-specific)</t>
        </is>
      </c>
      <c r="N7" s="27" t="inlineStr">
        <is>
          <t>Egypt: confirmed=20; unverified=8; regional restriction noted=5; excluded=0</t>
        </is>
      </c>
    </row>
    <row r="8" ht="15" customHeight="1" s="17">
      <c r="A8" s="19" t="inlineStr">
        <is>
          <t>SB-007</t>
        </is>
      </c>
      <c r="B8" s="19" t="inlineStr">
        <is>
          <t>Microsoft</t>
        </is>
      </c>
      <c r="C8" s="19" t="inlineStr">
        <is>
          <t>Microsoft for Startups Founders Hub</t>
        </is>
      </c>
      <c r="D8" s="32" t="n">
        <v>20</v>
      </c>
      <c r="E8" s="32" t="n">
        <v>25</v>
      </c>
      <c r="F8" s="32" t="n">
        <v>15</v>
      </c>
      <c r="G8" s="32" t="n">
        <v>8</v>
      </c>
      <c r="H8" s="32" t="n">
        <v>8</v>
      </c>
      <c r="I8" s="32" t="n">
        <v>5</v>
      </c>
      <c r="J8" s="19">
        <f>SUM(D8:I8)</f>
        <v/>
      </c>
      <c r="K8" s="19">
        <f>RANK(J8,$J$2:$J$93)</f>
        <v/>
      </c>
      <c r="L8" s="19" t="inlineStr">
        <is>
          <t>Startup credits (startup-specific)</t>
        </is>
      </c>
    </row>
    <row r="9" ht="15" customHeight="1" s="17">
      <c r="A9" s="19" t="inlineStr">
        <is>
          <t>SB-008</t>
        </is>
      </c>
      <c r="B9" s="19" t="inlineStr">
        <is>
          <t>ElevenLabs</t>
        </is>
      </c>
      <c r="C9" s="19" t="inlineStr">
        <is>
          <t>ElevenLabs Startup Grants</t>
        </is>
      </c>
      <c r="D9" s="32" t="n">
        <v>12</v>
      </c>
      <c r="E9" s="32" t="n">
        <v>14</v>
      </c>
      <c r="F9" s="32" t="n">
        <v>15</v>
      </c>
      <c r="G9" s="32" t="n">
        <v>10</v>
      </c>
      <c r="H9" s="32" t="n">
        <v>8</v>
      </c>
      <c r="I9" s="32" t="n">
        <v>8</v>
      </c>
      <c r="J9" s="19">
        <f>SUM(D9:I9)</f>
        <v/>
      </c>
      <c r="K9" s="19">
        <f>RANK(J9,$J$2:$J$93)</f>
        <v/>
      </c>
      <c r="L9" s="19" t="inlineStr">
        <is>
          <t>Startup credits (startup-specific)</t>
        </is>
      </c>
    </row>
    <row r="10" ht="15" customHeight="1" s="17">
      <c r="A10" s="19" t="inlineStr">
        <is>
          <t>SB-009</t>
        </is>
      </c>
      <c r="B10" s="19" t="inlineStr">
        <is>
          <t>SendPulse</t>
        </is>
      </c>
      <c r="C10" s="19" t="inlineStr">
        <is>
          <t>SendPulse Startup Grant</t>
        </is>
      </c>
      <c r="D10" s="32" t="n">
        <v>12</v>
      </c>
      <c r="E10" s="32" t="n">
        <v>25</v>
      </c>
      <c r="F10" s="32" t="n">
        <v>15</v>
      </c>
      <c r="G10" s="32" t="n">
        <v>8</v>
      </c>
      <c r="H10" s="32" t="n">
        <v>8</v>
      </c>
      <c r="I10" s="32" t="n">
        <v>5</v>
      </c>
      <c r="J10" s="19">
        <f>SUM(D10:I10)</f>
        <v/>
      </c>
      <c r="K10" s="19">
        <f>RANK(J10,$J$2:$J$93)</f>
        <v/>
      </c>
      <c r="L10" s="19" t="inlineStr">
        <is>
          <t>Startup credits (startup-specific)</t>
        </is>
      </c>
    </row>
    <row r="11" ht="15" customHeight="1" s="17">
      <c r="A11" s="19" t="inlineStr">
        <is>
          <t>SB-010</t>
        </is>
      </c>
      <c r="B11" s="19" t="inlineStr">
        <is>
          <t>UniOne</t>
        </is>
      </c>
      <c r="C11" s="19" t="inlineStr">
        <is>
          <t>UniOne email trial for startups</t>
        </is>
      </c>
      <c r="D11" s="32" t="n">
        <v>2</v>
      </c>
      <c r="E11" s="32" t="n">
        <v>25</v>
      </c>
      <c r="F11" s="32" t="n">
        <v>15</v>
      </c>
      <c r="G11" s="32" t="n">
        <v>8</v>
      </c>
      <c r="H11" s="32" t="n">
        <v>8</v>
      </c>
      <c r="I11" s="32" t="n">
        <v>8</v>
      </c>
      <c r="J11" s="19">
        <f>SUM(D11:I11)</f>
        <v/>
      </c>
      <c r="K11" s="19">
        <f>RANK(J11,$J$2:$J$93)</f>
        <v/>
      </c>
      <c r="L11" s="19" t="inlineStr">
        <is>
          <t>Free trial credit (not startup-exclusive)</t>
        </is>
      </c>
    </row>
    <row r="12" ht="15" customHeight="1" s="17">
      <c r="A12" s="19" t="inlineStr">
        <is>
          <t>SB-011</t>
        </is>
      </c>
      <c r="B12" s="19" t="inlineStr">
        <is>
          <t>TIEC (ITIDA)</t>
        </is>
      </c>
      <c r="C12" s="19" t="inlineStr">
        <is>
          <t>Start IT incubation program (TIEC)</t>
        </is>
      </c>
      <c r="D12" s="32" t="n">
        <v>12</v>
      </c>
      <c r="E12" s="32" t="n">
        <v>14</v>
      </c>
      <c r="F12" s="32" t="n">
        <v>15</v>
      </c>
      <c r="G12" s="32" t="n">
        <v>8</v>
      </c>
      <c r="H12" s="32" t="n">
        <v>6</v>
      </c>
      <c r="I12" s="32" t="n">
        <v>20</v>
      </c>
      <c r="J12" s="19">
        <f>SUM(D12:I12)</f>
        <v/>
      </c>
      <c r="K12" s="19">
        <f>RANK(J12,$J$2:$J$93)</f>
        <v/>
      </c>
      <c r="L12" s="19" t="inlineStr">
        <is>
          <t>Cash grant + incubation + AWS support</t>
        </is>
      </c>
    </row>
    <row r="13" ht="15" customHeight="1" s="17">
      <c r="A13" s="19" t="inlineStr">
        <is>
          <t>SB-012</t>
        </is>
      </c>
      <c r="B13" s="19" t="inlineStr">
        <is>
          <t>ITIDA / TIEC / Flat6Labs</t>
        </is>
      </c>
      <c r="C13" s="19" t="inlineStr">
        <is>
          <t>Invest-IT investment readiness program</t>
        </is>
      </c>
      <c r="D13" s="32" t="n">
        <v>2</v>
      </c>
      <c r="E13" s="32" t="n">
        <v>14</v>
      </c>
      <c r="F13" s="32" t="n">
        <v>5</v>
      </c>
      <c r="G13" s="32" t="n">
        <v>5</v>
      </c>
      <c r="H13" s="32" t="n">
        <v>6</v>
      </c>
      <c r="I13" s="32" t="n">
        <v>20</v>
      </c>
      <c r="J13" s="19">
        <f>SUM(D13:I13)</f>
        <v/>
      </c>
      <c r="K13" s="19">
        <f>RANK(J13,$J$2:$J$93)</f>
        <v/>
      </c>
      <c r="L13" s="19" t="inlineStr">
        <is>
          <t>Program (benefit value not stated)</t>
        </is>
      </c>
    </row>
    <row r="14" ht="15" customHeight="1" s="17">
      <c r="A14" s="19" t="inlineStr">
        <is>
          <t>SB-013</t>
        </is>
      </c>
      <c r="B14" s="19" t="inlineStr">
        <is>
          <t>ITIDA x Plug and Play</t>
        </is>
      </c>
      <c r="C14" s="19" t="inlineStr">
        <is>
          <t>ITIDA x Plug and Play Cairo Program - Cohort 8</t>
        </is>
      </c>
      <c r="D14" s="32" t="n">
        <v>2</v>
      </c>
      <c r="E14" s="32" t="n">
        <v>14</v>
      </c>
      <c r="F14" s="32" t="n">
        <v>5</v>
      </c>
      <c r="G14" s="32" t="n">
        <v>5</v>
      </c>
      <c r="H14" s="32" t="n">
        <v>6</v>
      </c>
      <c r="I14" s="32" t="n">
        <v>20</v>
      </c>
      <c r="J14" s="19">
        <f>SUM(D14:I14)</f>
        <v/>
      </c>
      <c r="K14" s="19">
        <f>RANK(J14,$J$2:$J$93)</f>
        <v/>
      </c>
      <c r="L14" s="19" t="inlineStr">
        <is>
          <t>Accelerator program</t>
        </is>
      </c>
    </row>
    <row r="15" ht="15" customHeight="1" s="17">
      <c r="A15" s="19" t="inlineStr">
        <is>
          <t>SB-014</t>
        </is>
      </c>
      <c r="B15" s="19" t="inlineStr">
        <is>
          <t>Flat6Labs</t>
        </is>
      </c>
      <c r="C15" s="19" t="inlineStr">
        <is>
          <t>Flat6Labs seed accelerator (Egypt)</t>
        </is>
      </c>
      <c r="D15" s="32" t="n">
        <v>2</v>
      </c>
      <c r="E15" s="32" t="n">
        <v>14</v>
      </c>
      <c r="F15" s="32" t="n">
        <v>5</v>
      </c>
      <c r="G15" s="32" t="n">
        <v>5</v>
      </c>
      <c r="H15" s="32" t="n">
        <v>6</v>
      </c>
      <c r="I15" s="32" t="n">
        <v>20</v>
      </c>
      <c r="J15" s="19">
        <f>SUM(D15:I15)</f>
        <v/>
      </c>
      <c r="K15" s="19">
        <f>RANK(J15,$J$2:$J$93)</f>
        <v/>
      </c>
      <c r="L15" s="19" t="inlineStr">
        <is>
          <t>Equity investment + accelerator (dilutive)</t>
        </is>
      </c>
    </row>
    <row r="16" ht="15" customHeight="1" s="17">
      <c r="A16" s="19" t="inlineStr">
        <is>
          <t>SB-015</t>
        </is>
      </c>
      <c r="B16" s="19" t="inlineStr">
        <is>
          <t>Together AI</t>
        </is>
      </c>
      <c r="C16" s="19" t="inlineStr">
        <is>
          <t>Together AI Startup Accelerator</t>
        </is>
      </c>
      <c r="D16" s="32" t="n">
        <v>16</v>
      </c>
      <c r="E16" s="32" t="n">
        <v>14</v>
      </c>
      <c r="F16" s="32" t="n">
        <v>15</v>
      </c>
      <c r="G16" s="32" t="n">
        <v>10</v>
      </c>
      <c r="H16" s="32" t="n">
        <v>10</v>
      </c>
      <c r="I16" s="32" t="n">
        <v>8</v>
      </c>
      <c r="J16" s="19">
        <f>SUM(D16:I16)</f>
        <v/>
      </c>
      <c r="K16" s="19">
        <f>RANK(J16,$J$2:$J$93)</f>
        <v/>
      </c>
      <c r="L16" s="19" t="inlineStr">
        <is>
          <t>Startup credits (startup-specific)</t>
        </is>
      </c>
    </row>
    <row r="17" ht="15" customHeight="1" s="17">
      <c r="A17" s="19" t="inlineStr">
        <is>
          <t>SB-016</t>
        </is>
      </c>
      <c r="B17" s="19" t="inlineStr">
        <is>
          <t>Cognition (Devin)</t>
        </is>
      </c>
      <c r="C17" s="19" t="inlineStr">
        <is>
          <t>Devin for Startups</t>
        </is>
      </c>
      <c r="D17" s="32" t="n">
        <v>16</v>
      </c>
      <c r="E17" s="32" t="n">
        <v>14</v>
      </c>
      <c r="F17" s="32" t="n">
        <v>15</v>
      </c>
      <c r="G17" s="32" t="n">
        <v>10</v>
      </c>
      <c r="H17" s="32" t="n">
        <v>10</v>
      </c>
      <c r="I17" s="32" t="n">
        <v>8</v>
      </c>
      <c r="J17" s="19">
        <f>SUM(D17:I17)</f>
        <v/>
      </c>
      <c r="K17" s="19">
        <f>RANK(J17,$J$2:$J$93)</f>
        <v/>
      </c>
      <c r="L17" s="19" t="inlineStr">
        <is>
          <t>Startup credits (startup-specific)</t>
        </is>
      </c>
    </row>
    <row r="18" ht="15" customHeight="1" s="17">
      <c r="A18" s="19" t="inlineStr">
        <is>
          <t>SB-017</t>
        </is>
      </c>
      <c r="B18" s="19" t="inlineStr">
        <is>
          <t>Antler</t>
        </is>
      </c>
      <c r="C18" s="19" t="inlineStr">
        <is>
          <t>Antler Disrupt AI Credits and Perks</t>
        </is>
      </c>
      <c r="D18" s="32" t="n">
        <v>20</v>
      </c>
      <c r="E18" s="32" t="n">
        <v>5</v>
      </c>
      <c r="F18" s="32" t="n">
        <v>15</v>
      </c>
      <c r="G18" s="32" t="n">
        <v>10</v>
      </c>
      <c r="H18" s="32" t="n">
        <v>3</v>
      </c>
      <c r="I18" s="32" t="n">
        <v>8</v>
      </c>
      <c r="J18" s="19">
        <f>SUM(D18:I18)</f>
        <v/>
      </c>
      <c r="K18" s="19">
        <f>RANK(J18,$J$2:$J$93)</f>
        <v/>
      </c>
      <c r="L18" s="19" t="inlineStr">
        <is>
          <t>Startup credits (startup-specific)</t>
        </is>
      </c>
    </row>
    <row r="19" ht="15" customHeight="1" s="17">
      <c r="A19" s="19" t="inlineStr">
        <is>
          <t>SB-018</t>
        </is>
      </c>
      <c r="B19" s="19" t="inlineStr">
        <is>
          <t>Cloudflare</t>
        </is>
      </c>
      <c r="C19" s="19" t="inlineStr">
        <is>
          <t>Cloudflare for Startups</t>
        </is>
      </c>
      <c r="D19" s="32" t="n">
        <v>20</v>
      </c>
      <c r="E19" s="32" t="n">
        <v>14</v>
      </c>
      <c r="F19" s="32" t="n">
        <v>15</v>
      </c>
      <c r="G19" s="32" t="n">
        <v>8</v>
      </c>
      <c r="H19" s="32" t="n">
        <v>7</v>
      </c>
      <c r="I19" s="32" t="n">
        <v>8</v>
      </c>
      <c r="J19" s="19">
        <f>SUM(D19:I19)</f>
        <v/>
      </c>
      <c r="K19" s="19">
        <f>RANK(J19,$J$2:$J$93)</f>
        <v/>
      </c>
      <c r="L19" s="19" t="inlineStr">
        <is>
          <t>Startup credits (startup-specific)</t>
        </is>
      </c>
    </row>
    <row r="20" ht="15" customHeight="1" s="17">
      <c r="A20" s="19" t="inlineStr">
        <is>
          <t>SB-019</t>
        </is>
      </c>
      <c r="B20" s="19" t="inlineStr">
        <is>
          <t>Databricks</t>
        </is>
      </c>
      <c r="C20" s="19" t="inlineStr">
        <is>
          <t>Databricks for Startups</t>
        </is>
      </c>
      <c r="D20" s="32" t="n">
        <v>20</v>
      </c>
      <c r="E20" s="32" t="n">
        <v>14</v>
      </c>
      <c r="F20" s="32" t="n">
        <v>15</v>
      </c>
      <c r="G20" s="32" t="n">
        <v>8</v>
      </c>
      <c r="H20" s="32" t="n">
        <v>10</v>
      </c>
      <c r="I20" s="32" t="n">
        <v>8</v>
      </c>
      <c r="J20" s="19">
        <f>SUM(D20:I20)</f>
        <v/>
      </c>
      <c r="K20" s="19">
        <f>RANK(J20,$J$2:$J$93)</f>
        <v/>
      </c>
      <c r="L20" s="19" t="inlineStr">
        <is>
          <t>Startup credits (startup-specific)</t>
        </is>
      </c>
    </row>
    <row r="21" ht="15" customHeight="1" s="17">
      <c r="A21" s="19" t="inlineStr">
        <is>
          <t>SB-020</t>
        </is>
      </c>
      <c r="B21" s="19" t="inlineStr">
        <is>
          <t>Neon (Databricks)</t>
        </is>
      </c>
      <c r="C21" s="19" t="inlineStr">
        <is>
          <t>Neon Startup Program</t>
        </is>
      </c>
      <c r="D21" s="32" t="n">
        <v>2</v>
      </c>
      <c r="E21" s="32" t="n">
        <v>25</v>
      </c>
      <c r="F21" s="32" t="n">
        <v>15</v>
      </c>
      <c r="G21" s="32" t="n">
        <v>8</v>
      </c>
      <c r="H21" s="32" t="n">
        <v>10</v>
      </c>
      <c r="I21" s="32" t="n">
        <v>8</v>
      </c>
      <c r="J21" s="19">
        <f>SUM(D21:I21)</f>
        <v/>
      </c>
      <c r="K21" s="19">
        <f>RANK(J21,$J$2:$J$93)</f>
        <v/>
      </c>
      <c r="L21" s="19" t="inlineStr">
        <is>
          <t>Startup credits (startup-specific)</t>
        </is>
      </c>
    </row>
    <row r="22" ht="15" customHeight="1" s="17">
      <c r="A22" s="19" t="inlineStr">
        <is>
          <t>SB-021</t>
        </is>
      </c>
      <c r="B22" s="19" t="inlineStr">
        <is>
          <t>Datadog</t>
        </is>
      </c>
      <c r="C22" s="19" t="inlineStr">
        <is>
          <t>Datadog for Startups</t>
        </is>
      </c>
      <c r="D22" s="32" t="n">
        <v>20</v>
      </c>
      <c r="E22" s="32" t="n">
        <v>5</v>
      </c>
      <c r="F22" s="32" t="n">
        <v>15</v>
      </c>
      <c r="G22" s="32" t="n">
        <v>8</v>
      </c>
      <c r="H22" s="32" t="n">
        <v>3</v>
      </c>
      <c r="I22" s="32" t="n">
        <v>8</v>
      </c>
      <c r="J22" s="19">
        <f>SUM(D22:I22)</f>
        <v/>
      </c>
      <c r="K22" s="19">
        <f>RANK(J22,$J$2:$J$93)</f>
        <v/>
      </c>
      <c r="L22" s="19" t="inlineStr">
        <is>
          <t>Startup credits (startup-specific)</t>
        </is>
      </c>
    </row>
    <row r="23" ht="15" customHeight="1" s="17">
      <c r="A23" s="19" t="inlineStr">
        <is>
          <t>SB-022</t>
        </is>
      </c>
      <c r="B23" s="19" t="inlineStr">
        <is>
          <t>Grafana Labs</t>
        </is>
      </c>
      <c r="C23" s="19" t="inlineStr">
        <is>
          <t>Grafana for Startups</t>
        </is>
      </c>
      <c r="D23" s="32" t="n">
        <v>20</v>
      </c>
      <c r="E23" s="32" t="n">
        <v>14</v>
      </c>
      <c r="F23" s="32" t="n">
        <v>15</v>
      </c>
      <c r="G23" s="32" t="n">
        <v>8</v>
      </c>
      <c r="H23" s="32" t="n">
        <v>10</v>
      </c>
      <c r="I23" s="32" t="n">
        <v>8</v>
      </c>
      <c r="J23" s="19">
        <f>SUM(D23:I23)</f>
        <v/>
      </c>
      <c r="K23" s="19">
        <f>RANK(J23,$J$2:$J$93)</f>
        <v/>
      </c>
      <c r="L23" s="19" t="inlineStr">
        <is>
          <t>Startup credits (startup-specific)</t>
        </is>
      </c>
    </row>
    <row r="24" ht="15" customHeight="1" s="17">
      <c r="A24" s="19" t="inlineStr">
        <is>
          <t>SB-023</t>
        </is>
      </c>
      <c r="B24" s="19" t="inlineStr">
        <is>
          <t>Render</t>
        </is>
      </c>
      <c r="C24" s="19" t="inlineStr">
        <is>
          <t>Render Startup Program</t>
        </is>
      </c>
      <c r="D24" s="32" t="n">
        <v>20</v>
      </c>
      <c r="E24" s="32" t="n">
        <v>8</v>
      </c>
      <c r="F24" s="32" t="n">
        <v>15</v>
      </c>
      <c r="G24" s="32" t="n">
        <v>8</v>
      </c>
      <c r="H24" s="32" t="n">
        <v>10</v>
      </c>
      <c r="I24" s="32" t="n">
        <v>8</v>
      </c>
      <c r="J24" s="19">
        <f>SUM(D24:I24)</f>
        <v/>
      </c>
      <c r="K24" s="19">
        <f>RANK(J24,$J$2:$J$93)</f>
        <v/>
      </c>
      <c r="L24" s="19" t="inlineStr">
        <is>
          <t>Startup credits (startup-specific)</t>
        </is>
      </c>
    </row>
    <row r="25" ht="15" customHeight="1" s="17">
      <c r="A25" s="19" t="inlineStr">
        <is>
          <t>SB-024</t>
        </is>
      </c>
      <c r="B25" s="19" t="inlineStr">
        <is>
          <t>PostHog</t>
        </is>
      </c>
      <c r="C25" s="19" t="inlineStr">
        <is>
          <t>PostHog Startup Program</t>
        </is>
      </c>
      <c r="D25" s="32" t="n">
        <v>16</v>
      </c>
      <c r="E25" s="32" t="n">
        <v>14</v>
      </c>
      <c r="F25" s="32" t="n">
        <v>15</v>
      </c>
      <c r="G25" s="32" t="n">
        <v>8</v>
      </c>
      <c r="H25" s="32" t="n">
        <v>5</v>
      </c>
      <c r="I25" s="32" t="n">
        <v>8</v>
      </c>
      <c r="J25" s="19">
        <f>SUM(D25:I25)</f>
        <v/>
      </c>
      <c r="K25" s="19">
        <f>RANK(J25,$J$2:$J$93)</f>
        <v/>
      </c>
      <c r="L25" s="19" t="inlineStr">
        <is>
          <t>Startup credits (startup-specific)</t>
        </is>
      </c>
    </row>
    <row r="26" ht="15" customHeight="1" s="17">
      <c r="A26" s="19" t="inlineStr">
        <is>
          <t>SB-025</t>
        </is>
      </c>
      <c r="B26" s="19" t="inlineStr">
        <is>
          <t>Vercel</t>
        </is>
      </c>
      <c r="C26" s="19" t="inlineStr">
        <is>
          <t>Vercel for Startups</t>
        </is>
      </c>
      <c r="D26" s="32" t="n">
        <v>16</v>
      </c>
      <c r="E26" s="32" t="n">
        <v>14</v>
      </c>
      <c r="F26" s="32" t="n">
        <v>15</v>
      </c>
      <c r="G26" s="32" t="n">
        <v>8</v>
      </c>
      <c r="H26" s="32" t="n">
        <v>10</v>
      </c>
      <c r="I26" s="32" t="n">
        <v>8</v>
      </c>
      <c r="J26" s="19">
        <f>SUM(D26:I26)</f>
        <v/>
      </c>
      <c r="K26" s="19">
        <f>RANK(J26,$J$2:$J$93)</f>
        <v/>
      </c>
      <c r="L26" s="19" t="inlineStr">
        <is>
          <t>Startup credits (startup-specific)</t>
        </is>
      </c>
    </row>
    <row r="27" ht="15" customHeight="1" s="17">
      <c r="A27" s="19" t="inlineStr">
        <is>
          <t>SB-026</t>
        </is>
      </c>
      <c r="B27" s="19" t="inlineStr">
        <is>
          <t>Baseten</t>
        </is>
      </c>
      <c r="C27" s="19" t="inlineStr">
        <is>
          <t>Baseten AI Startup Program</t>
        </is>
      </c>
      <c r="D27" s="32" t="n">
        <v>16</v>
      </c>
      <c r="E27" s="32" t="n">
        <v>14</v>
      </c>
      <c r="F27" s="32" t="n">
        <v>15</v>
      </c>
      <c r="G27" s="32" t="n">
        <v>10</v>
      </c>
      <c r="H27" s="32" t="n">
        <v>10</v>
      </c>
      <c r="I27" s="32" t="n">
        <v>8</v>
      </c>
      <c r="J27" s="19">
        <f>SUM(D27:I27)</f>
        <v/>
      </c>
      <c r="K27" s="19">
        <f>RANK(J27,$J$2:$J$93)</f>
        <v/>
      </c>
      <c r="L27" s="19" t="inlineStr">
        <is>
          <t>Startup credits (startup-specific)</t>
        </is>
      </c>
    </row>
    <row r="28" ht="15" customHeight="1" s="17">
      <c r="A28" s="19" t="inlineStr">
        <is>
          <t>SB-027</t>
        </is>
      </c>
      <c r="B28" s="19" t="inlineStr">
        <is>
          <t>Yandex Cloud</t>
        </is>
      </c>
      <c r="C28" s="19" t="inlineStr">
        <is>
          <t>Yandex Cloud Startup Credits</t>
        </is>
      </c>
      <c r="D28" s="32" t="n">
        <v>12</v>
      </c>
      <c r="E28" s="32" t="n">
        <v>14</v>
      </c>
      <c r="F28" s="32" t="n">
        <v>15</v>
      </c>
      <c r="G28" s="32" t="n">
        <v>8</v>
      </c>
      <c r="H28" s="32" t="n">
        <v>10</v>
      </c>
      <c r="I28" s="32" t="n">
        <v>5</v>
      </c>
      <c r="J28" s="19">
        <f>SUM(D28:I28)</f>
        <v/>
      </c>
      <c r="K28" s="19">
        <f>RANK(J28,$J$2:$J$93)</f>
        <v/>
      </c>
      <c r="L28" s="19" t="inlineStr">
        <is>
          <t>Startup credits (startup-specific)</t>
        </is>
      </c>
    </row>
    <row r="29" ht="15" customHeight="1" s="17">
      <c r="A29" s="19" t="inlineStr">
        <is>
          <t>SB-028</t>
        </is>
      </c>
      <c r="B29" s="19" t="inlineStr">
        <is>
          <t>Neo4j</t>
        </is>
      </c>
      <c r="C29" s="19" t="inlineStr">
        <is>
          <t>Neo4j Startup Program</t>
        </is>
      </c>
      <c r="D29" s="32" t="n">
        <v>12</v>
      </c>
      <c r="E29" s="32" t="n">
        <v>14</v>
      </c>
      <c r="F29" s="32" t="n">
        <v>15</v>
      </c>
      <c r="G29" s="32" t="n">
        <v>8</v>
      </c>
      <c r="H29" s="32" t="n">
        <v>10</v>
      </c>
      <c r="I29" s="32" t="n">
        <v>8</v>
      </c>
      <c r="J29" s="19">
        <f>SUM(D29:I29)</f>
        <v/>
      </c>
      <c r="K29" s="19">
        <f>RANK(J29,$J$2:$J$93)</f>
        <v/>
      </c>
      <c r="L29" s="19" t="inlineStr">
        <is>
          <t>Startup credits (startup-specific)</t>
        </is>
      </c>
    </row>
    <row r="30" ht="15" customHeight="1" s="17">
      <c r="A30" s="19" t="inlineStr">
        <is>
          <t>SB-029</t>
        </is>
      </c>
      <c r="B30" s="19" t="inlineStr">
        <is>
          <t>Notion</t>
        </is>
      </c>
      <c r="C30" s="19" t="inlineStr">
        <is>
          <t>Notion for Startups</t>
        </is>
      </c>
      <c r="D30" s="32" t="n">
        <v>12</v>
      </c>
      <c r="E30" s="32" t="n">
        <v>14</v>
      </c>
      <c r="F30" s="32" t="n">
        <v>15</v>
      </c>
      <c r="G30" s="32" t="n">
        <v>8</v>
      </c>
      <c r="H30" s="32" t="n">
        <v>10</v>
      </c>
      <c r="I30" s="32" t="n">
        <v>8</v>
      </c>
      <c r="J30" s="19">
        <f>SUM(D30:I30)</f>
        <v/>
      </c>
      <c r="K30" s="19">
        <f>RANK(J30,$J$2:$J$93)</f>
        <v/>
      </c>
      <c r="L30" s="19" t="inlineStr">
        <is>
          <t>Startup plan / free subscription period</t>
        </is>
      </c>
    </row>
    <row r="31" ht="15" customHeight="1" s="17">
      <c r="A31" s="19" t="inlineStr">
        <is>
          <t>SB-030</t>
        </is>
      </c>
      <c r="B31" s="19" t="inlineStr">
        <is>
          <t>Algolia</t>
        </is>
      </c>
      <c r="C31" s="19" t="inlineStr">
        <is>
          <t>Algolia Startup Program</t>
        </is>
      </c>
      <c r="D31" s="32" t="n">
        <v>12</v>
      </c>
      <c r="E31" s="32" t="n">
        <v>14</v>
      </c>
      <c r="F31" s="32" t="n">
        <v>15</v>
      </c>
      <c r="G31" s="32" t="n">
        <v>8</v>
      </c>
      <c r="H31" s="32" t="n">
        <v>10</v>
      </c>
      <c r="I31" s="32" t="n">
        <v>8</v>
      </c>
      <c r="J31" s="19">
        <f>SUM(D31:I31)</f>
        <v/>
      </c>
      <c r="K31" s="19">
        <f>RANK(J31,$J$2:$J$93)</f>
        <v/>
      </c>
      <c r="L31" s="19" t="inlineStr">
        <is>
          <t>Startup credits (startup-specific)</t>
        </is>
      </c>
    </row>
    <row r="32" ht="15" customHeight="1" s="17">
      <c r="A32" s="19" t="inlineStr">
        <is>
          <t>SB-031</t>
        </is>
      </c>
      <c r="B32" s="19" t="inlineStr">
        <is>
          <t>ClickHouse</t>
        </is>
      </c>
      <c r="C32" s="19" t="inlineStr">
        <is>
          <t>ClickHouse Cloud for Y Combinator</t>
        </is>
      </c>
      <c r="D32" s="32" t="n">
        <v>12</v>
      </c>
      <c r="E32" s="32" t="n">
        <v>5</v>
      </c>
      <c r="F32" s="32" t="n">
        <v>15</v>
      </c>
      <c r="G32" s="32" t="n">
        <v>8</v>
      </c>
      <c r="H32" s="32" t="n">
        <v>3</v>
      </c>
      <c r="I32" s="32" t="n">
        <v>8</v>
      </c>
      <c r="J32" s="19">
        <f>SUM(D32:I32)</f>
        <v/>
      </c>
      <c r="K32" s="19">
        <f>RANK(J32,$J$2:$J$93)</f>
        <v/>
      </c>
      <c r="L32" s="19" t="inlineStr">
        <is>
          <t>Startup credits (startup-specific)</t>
        </is>
      </c>
    </row>
    <row r="33" ht="15" customHeight="1" s="17">
      <c r="A33" s="19" t="inlineStr">
        <is>
          <t>SB-032</t>
        </is>
      </c>
      <c r="B33" s="19" t="inlineStr">
        <is>
          <t>Daytona</t>
        </is>
      </c>
      <c r="C33" s="19" t="inlineStr">
        <is>
          <t>Daytona Startup Grid</t>
        </is>
      </c>
      <c r="D33" s="32" t="n">
        <v>12</v>
      </c>
      <c r="E33" s="32" t="n">
        <v>14</v>
      </c>
      <c r="F33" s="32" t="n">
        <v>15</v>
      </c>
      <c r="G33" s="32" t="n">
        <v>10</v>
      </c>
      <c r="H33" s="32" t="n">
        <v>10</v>
      </c>
      <c r="I33" s="32" t="n">
        <v>8</v>
      </c>
      <c r="J33" s="19">
        <f>SUM(D33:I33)</f>
        <v/>
      </c>
      <c r="K33" s="19">
        <f>RANK(J33,$J$2:$J$93)</f>
        <v/>
      </c>
      <c r="L33" s="19" t="inlineStr">
        <is>
          <t>Startup credits (startup-specific)</t>
        </is>
      </c>
    </row>
    <row r="34" ht="15" customHeight="1" s="17">
      <c r="A34" s="19" t="inlineStr">
        <is>
          <t>SB-033</t>
        </is>
      </c>
      <c r="B34" s="19" t="inlineStr">
        <is>
          <t>Daytona</t>
        </is>
      </c>
      <c r="C34" s="19" t="inlineStr">
        <is>
          <t>Daytona Startup Program</t>
        </is>
      </c>
      <c r="D34" s="32" t="n">
        <v>2</v>
      </c>
      <c r="E34" s="32" t="n">
        <v>14</v>
      </c>
      <c r="F34" s="32" t="n">
        <v>15</v>
      </c>
      <c r="G34" s="32" t="n">
        <v>10</v>
      </c>
      <c r="H34" s="32" t="n">
        <v>10</v>
      </c>
      <c r="I34" s="32" t="n">
        <v>8</v>
      </c>
      <c r="J34" s="19">
        <f>SUM(D34:I34)</f>
        <v/>
      </c>
      <c r="K34" s="19">
        <f>RANK(J34,$J$2:$J$93)</f>
        <v/>
      </c>
      <c r="L34" s="19" t="inlineStr">
        <is>
          <t>Startup credits (startup-specific)</t>
        </is>
      </c>
    </row>
    <row r="35" ht="15" customHeight="1" s="17">
      <c r="A35" s="19" t="inlineStr">
        <is>
          <t>SB-034</t>
        </is>
      </c>
      <c r="B35" s="19" t="inlineStr">
        <is>
          <t>GitHub (Microsoft)</t>
        </is>
      </c>
      <c r="C35" s="19" t="inlineStr">
        <is>
          <t>GitHub for Startups</t>
        </is>
      </c>
      <c r="D35" s="32" t="n">
        <v>12</v>
      </c>
      <c r="E35" s="32" t="n">
        <v>14</v>
      </c>
      <c r="F35" s="32" t="n">
        <v>15</v>
      </c>
      <c r="G35" s="32" t="n">
        <v>8</v>
      </c>
      <c r="H35" s="32" t="n">
        <v>5</v>
      </c>
      <c r="I35" s="32" t="n">
        <v>8</v>
      </c>
      <c r="J35" s="19">
        <f>SUM(D35:I35)</f>
        <v/>
      </c>
      <c r="K35" s="19">
        <f>RANK(J35,$J$2:$J$93)</f>
        <v/>
      </c>
      <c r="L35" s="19" t="inlineStr">
        <is>
          <t>Startup credits (startup-specific)</t>
        </is>
      </c>
    </row>
    <row r="36" ht="15" customHeight="1" s="17">
      <c r="A36" s="19" t="inlineStr">
        <is>
          <t>SB-035</t>
        </is>
      </c>
      <c r="B36" s="19" t="inlineStr">
        <is>
          <t>Indent</t>
        </is>
      </c>
      <c r="C36" s="19" t="inlineStr">
        <is>
          <t>Indent for Startups</t>
        </is>
      </c>
      <c r="D36" s="32" t="n">
        <v>12</v>
      </c>
      <c r="E36" s="32" t="n">
        <v>14</v>
      </c>
      <c r="F36" s="32" t="n">
        <v>15</v>
      </c>
      <c r="G36" s="32" t="n">
        <v>8</v>
      </c>
      <c r="H36" s="32" t="n">
        <v>10</v>
      </c>
      <c r="I36" s="32" t="n">
        <v>8</v>
      </c>
      <c r="J36" s="19">
        <f>SUM(D36:I36)</f>
        <v/>
      </c>
      <c r="K36" s="19">
        <f>RANK(J36,$J$2:$J$93)</f>
        <v/>
      </c>
      <c r="L36" s="19" t="inlineStr">
        <is>
          <t>Startup credits (startup-specific)</t>
        </is>
      </c>
    </row>
    <row r="37" ht="15" customHeight="1" s="17">
      <c r="A37" s="19" t="inlineStr">
        <is>
          <t>SB-036</t>
        </is>
      </c>
      <c r="B37" s="19" t="inlineStr">
        <is>
          <t>LangChain (LangSmith)</t>
        </is>
      </c>
      <c r="C37" s="19" t="inlineStr">
        <is>
          <t>LangSmith for Startups</t>
        </is>
      </c>
      <c r="D37" s="32" t="n">
        <v>12</v>
      </c>
      <c r="E37" s="32" t="n">
        <v>14</v>
      </c>
      <c r="F37" s="32" t="n">
        <v>15</v>
      </c>
      <c r="G37" s="32" t="n">
        <v>10</v>
      </c>
      <c r="H37" s="32" t="n">
        <v>10</v>
      </c>
      <c r="I37" s="32" t="n">
        <v>8</v>
      </c>
      <c r="J37" s="19">
        <f>SUM(D37:I37)</f>
        <v/>
      </c>
      <c r="K37" s="19">
        <f>RANK(J37,$J$2:$J$93)</f>
        <v/>
      </c>
      <c r="L37" s="19" t="inlineStr">
        <is>
          <t>Startup credits (startup-specific)</t>
        </is>
      </c>
    </row>
    <row r="38" ht="15" customHeight="1" s="17">
      <c r="A38" s="19" t="inlineStr">
        <is>
          <t>SB-037</t>
        </is>
      </c>
      <c r="B38" s="19" t="inlineStr">
        <is>
          <t>Sanity</t>
        </is>
      </c>
      <c r="C38" s="19" t="inlineStr">
        <is>
          <t>Sanity Startup Program</t>
        </is>
      </c>
      <c r="D38" s="32" t="n">
        <v>12</v>
      </c>
      <c r="E38" s="32" t="n">
        <v>14</v>
      </c>
      <c r="F38" s="32" t="n">
        <v>15</v>
      </c>
      <c r="G38" s="32" t="n">
        <v>8</v>
      </c>
      <c r="H38" s="32" t="n">
        <v>10</v>
      </c>
      <c r="I38" s="32" t="n">
        <v>8</v>
      </c>
      <c r="J38" s="19">
        <f>SUM(D38:I38)</f>
        <v/>
      </c>
      <c r="K38" s="19">
        <f>RANK(J38,$J$2:$J$93)</f>
        <v/>
      </c>
      <c r="L38" s="19" t="inlineStr">
        <is>
          <t>Startup credits (startup-specific)</t>
        </is>
      </c>
    </row>
    <row r="39" ht="15" customHeight="1" s="17">
      <c r="A39" s="19" t="inlineStr">
        <is>
          <t>SB-038</t>
        </is>
      </c>
      <c r="B39" s="19" t="inlineStr">
        <is>
          <t>Sentry</t>
        </is>
      </c>
      <c r="C39" s="19" t="inlineStr">
        <is>
          <t>Sentry for Startups</t>
        </is>
      </c>
      <c r="D39" s="32" t="n">
        <v>12</v>
      </c>
      <c r="E39" s="32" t="n">
        <v>14</v>
      </c>
      <c r="F39" s="32" t="n">
        <v>15</v>
      </c>
      <c r="G39" s="32" t="n">
        <v>8</v>
      </c>
      <c r="H39" s="32" t="n">
        <v>10</v>
      </c>
      <c r="I39" s="32" t="n">
        <v>8</v>
      </c>
      <c r="J39" s="19">
        <f>SUM(D39:I39)</f>
        <v/>
      </c>
      <c r="K39" s="19">
        <f>RANK(J39,$J$2:$J$93)</f>
        <v/>
      </c>
      <c r="L39" s="19" t="inlineStr">
        <is>
          <t>Startup credits (startup-specific)</t>
        </is>
      </c>
    </row>
    <row r="40" ht="15" customHeight="1" s="17">
      <c r="A40" s="19" t="inlineStr">
        <is>
          <t>SB-039</t>
        </is>
      </c>
      <c r="B40" s="19" t="inlineStr">
        <is>
          <t>fal</t>
        </is>
      </c>
      <c r="C40" s="19" t="inlineStr">
        <is>
          <t>fal Startup Program</t>
        </is>
      </c>
      <c r="D40" s="32" t="n">
        <v>12</v>
      </c>
      <c r="E40" s="32" t="n">
        <v>14</v>
      </c>
      <c r="F40" s="32" t="n">
        <v>15</v>
      </c>
      <c r="G40" s="32" t="n">
        <v>10</v>
      </c>
      <c r="H40" s="32" t="n">
        <v>10</v>
      </c>
      <c r="I40" s="32" t="n">
        <v>8</v>
      </c>
      <c r="J40" s="19">
        <f>SUM(D40:I40)</f>
        <v/>
      </c>
      <c r="K40" s="19">
        <f>RANK(J40,$J$2:$J$93)</f>
        <v/>
      </c>
      <c r="L40" s="19" t="inlineStr">
        <is>
          <t>Startup credits (startup-specific)</t>
        </is>
      </c>
    </row>
    <row r="41" ht="15" customHeight="1" s="17">
      <c r="A41" s="19" t="inlineStr">
        <is>
          <t>SB-040</t>
        </is>
      </c>
      <c r="B41" s="19" t="inlineStr">
        <is>
          <t>RunPod</t>
        </is>
      </c>
      <c r="C41" s="19" t="inlineStr">
        <is>
          <t>RunPod Startup Program</t>
        </is>
      </c>
      <c r="D41" s="32" t="n">
        <v>8</v>
      </c>
      <c r="E41" s="32" t="n">
        <v>14</v>
      </c>
      <c r="F41" s="32" t="n">
        <v>15</v>
      </c>
      <c r="G41" s="32" t="n">
        <v>8</v>
      </c>
      <c r="H41" s="32" t="n">
        <v>10</v>
      </c>
      <c r="I41" s="32" t="n">
        <v>8</v>
      </c>
      <c r="J41" s="19">
        <f>SUM(D41:I41)</f>
        <v/>
      </c>
      <c r="K41" s="19">
        <f>RANK(J41,$J$2:$J$93)</f>
        <v/>
      </c>
      <c r="L41" s="19" t="inlineStr">
        <is>
          <t>Startup credits (startup-specific)</t>
        </is>
      </c>
    </row>
    <row r="42" ht="15" customHeight="1" s="17">
      <c r="A42" s="19" t="inlineStr">
        <is>
          <t>SB-041</t>
        </is>
      </c>
      <c r="B42" s="19" t="inlineStr">
        <is>
          <t>Runware</t>
        </is>
      </c>
      <c r="C42" s="19" t="inlineStr">
        <is>
          <t>Runware Startup Program</t>
        </is>
      </c>
      <c r="D42" s="32" t="n">
        <v>8</v>
      </c>
      <c r="E42" s="32" t="n">
        <v>14</v>
      </c>
      <c r="F42" s="32" t="n">
        <v>15</v>
      </c>
      <c r="G42" s="32" t="n">
        <v>10</v>
      </c>
      <c r="H42" s="32" t="n">
        <v>10</v>
      </c>
      <c r="I42" s="32" t="n">
        <v>8</v>
      </c>
      <c r="J42" s="19">
        <f>SUM(D42:I42)</f>
        <v/>
      </c>
      <c r="K42" s="19">
        <f>RANK(J42,$J$2:$J$93)</f>
        <v/>
      </c>
      <c r="L42" s="19" t="inlineStr">
        <is>
          <t>Startup credits (startup-specific)</t>
        </is>
      </c>
    </row>
    <row r="43" ht="15" customHeight="1" s="17">
      <c r="A43" s="19" t="inlineStr">
        <is>
          <t>SB-042</t>
        </is>
      </c>
      <c r="B43" s="19" t="inlineStr">
        <is>
          <t>UpCloud</t>
        </is>
      </c>
      <c r="C43" s="19" t="inlineStr">
        <is>
          <t>UpCloud free trial credits</t>
        </is>
      </c>
      <c r="D43" s="32" t="n">
        <v>4</v>
      </c>
      <c r="E43" s="32" t="n">
        <v>22</v>
      </c>
      <c r="F43" s="32" t="n">
        <v>15</v>
      </c>
      <c r="G43" s="32" t="n">
        <v>8</v>
      </c>
      <c r="H43" s="32" t="n">
        <v>5</v>
      </c>
      <c r="I43" s="32" t="n">
        <v>8</v>
      </c>
      <c r="J43" s="19">
        <f>SUM(D43:I43)</f>
        <v/>
      </c>
      <c r="K43" s="19">
        <f>RANK(J43,$J$2:$J$93)</f>
        <v/>
      </c>
      <c r="L43" s="19" t="inlineStr">
        <is>
          <t>Free trial credit (not startup-exclusive)</t>
        </is>
      </c>
    </row>
    <row r="44" ht="15" customHeight="1" s="17">
      <c r="A44" s="19" t="inlineStr">
        <is>
          <t>SB-043</t>
        </is>
      </c>
      <c r="B44" s="19" t="inlineStr">
        <is>
          <t>Google Cloud</t>
        </is>
      </c>
      <c r="C44" s="19" t="inlineStr">
        <is>
          <t>Google Cloud Free Program ($300)</t>
        </is>
      </c>
      <c r="D44" s="32" t="n">
        <v>4</v>
      </c>
      <c r="E44" s="32" t="n">
        <v>22</v>
      </c>
      <c r="F44" s="32" t="n">
        <v>15</v>
      </c>
      <c r="G44" s="32" t="n">
        <v>8</v>
      </c>
      <c r="H44" s="32" t="n">
        <v>5</v>
      </c>
      <c r="I44" s="32" t="n">
        <v>8</v>
      </c>
      <c r="J44" s="19">
        <f>SUM(D44:I44)</f>
        <v/>
      </c>
      <c r="K44" s="19">
        <f>RANK(J44,$J$2:$J$93)</f>
        <v/>
      </c>
      <c r="L44" s="19" t="inlineStr">
        <is>
          <t>Free trial credit (not startup-exclusive)</t>
        </is>
      </c>
    </row>
    <row r="45" ht="15" customHeight="1" s="17">
      <c r="A45" s="19" t="inlineStr">
        <is>
          <t>SB-044</t>
        </is>
      </c>
      <c r="B45" s="19" t="inlineStr">
        <is>
          <t>Oracle</t>
        </is>
      </c>
      <c r="C45" s="19" t="inlineStr">
        <is>
          <t>Oracle Cloud Free Tier</t>
        </is>
      </c>
      <c r="D45" s="32" t="n">
        <v>4</v>
      </c>
      <c r="E45" s="32" t="n">
        <v>22</v>
      </c>
      <c r="F45" s="32" t="n">
        <v>15</v>
      </c>
      <c r="G45" s="32" t="n">
        <v>8</v>
      </c>
      <c r="H45" s="32" t="n">
        <v>5</v>
      </c>
      <c r="I45" s="32" t="n">
        <v>8</v>
      </c>
      <c r="J45" s="19">
        <f>SUM(D45:I45)</f>
        <v/>
      </c>
      <c r="K45" s="19">
        <f>RANK(J45,$J$2:$J$93)</f>
        <v/>
      </c>
      <c r="L45" s="19" t="inlineStr">
        <is>
          <t>Free trial credit (not startup-exclusive)</t>
        </is>
      </c>
    </row>
    <row r="46" ht="15" customHeight="1" s="17">
      <c r="A46" s="19" t="inlineStr">
        <is>
          <t>SB-045</t>
        </is>
      </c>
      <c r="B46" s="19" t="inlineStr">
        <is>
          <t>Vultr</t>
        </is>
      </c>
      <c r="C46" s="19" t="inlineStr">
        <is>
          <t>Vultr free trial credits</t>
        </is>
      </c>
      <c r="D46" s="32" t="n">
        <v>4</v>
      </c>
      <c r="E46" s="32" t="n">
        <v>22</v>
      </c>
      <c r="F46" s="32" t="n">
        <v>15</v>
      </c>
      <c r="G46" s="32" t="n">
        <v>8</v>
      </c>
      <c r="H46" s="32" t="n">
        <v>5</v>
      </c>
      <c r="I46" s="32" t="n">
        <v>8</v>
      </c>
      <c r="J46" s="19">
        <f>SUM(D46:I46)</f>
        <v/>
      </c>
      <c r="K46" s="19">
        <f>RANK(J46,$J$2:$J$93)</f>
        <v/>
      </c>
      <c r="L46" s="19" t="inlineStr">
        <is>
          <t>Free trial credit (not startup-exclusive)</t>
        </is>
      </c>
    </row>
    <row r="47" ht="15" customHeight="1" s="17">
      <c r="A47" s="19" t="inlineStr">
        <is>
          <t>SB-046</t>
        </is>
      </c>
      <c r="B47" s="19" t="inlineStr">
        <is>
          <t>Civo</t>
        </is>
      </c>
      <c r="C47" s="19" t="inlineStr">
        <is>
          <t>Civo $250 free trial credit</t>
        </is>
      </c>
      <c r="D47" s="32" t="n">
        <v>4</v>
      </c>
      <c r="E47" s="32" t="n">
        <v>22</v>
      </c>
      <c r="F47" s="32" t="n">
        <v>15</v>
      </c>
      <c r="G47" s="32" t="n">
        <v>8</v>
      </c>
      <c r="H47" s="32" t="n">
        <v>5</v>
      </c>
      <c r="I47" s="32" t="n">
        <v>8</v>
      </c>
      <c r="J47" s="19">
        <f>SUM(D47:I47)</f>
        <v/>
      </c>
      <c r="K47" s="19">
        <f>RANK(J47,$J$2:$J$93)</f>
        <v/>
      </c>
      <c r="L47" s="19" t="inlineStr">
        <is>
          <t>Free trial credit (not startup-exclusive)</t>
        </is>
      </c>
    </row>
    <row r="48" ht="15" customHeight="1" s="17">
      <c r="A48" s="19" t="inlineStr">
        <is>
          <t>SB-047</t>
        </is>
      </c>
      <c r="B48" s="19" t="inlineStr">
        <is>
          <t>IBM</t>
        </is>
      </c>
      <c r="C48" s="19" t="inlineStr">
        <is>
          <t>IBM Cloud free tier</t>
        </is>
      </c>
      <c r="D48" s="32" t="n">
        <v>4</v>
      </c>
      <c r="E48" s="32" t="n">
        <v>22</v>
      </c>
      <c r="F48" s="32" t="n">
        <v>15</v>
      </c>
      <c r="G48" s="32" t="n">
        <v>8</v>
      </c>
      <c r="H48" s="32" t="n">
        <v>5</v>
      </c>
      <c r="I48" s="32" t="n">
        <v>8</v>
      </c>
      <c r="J48" s="19">
        <f>SUM(D48:I48)</f>
        <v/>
      </c>
      <c r="K48" s="19">
        <f>RANK(J48,$J$2:$J$93)</f>
        <v/>
      </c>
      <c r="L48" s="19" t="inlineStr">
        <is>
          <t>Free trial credit (not startup-exclusive)</t>
        </is>
      </c>
    </row>
    <row r="49" ht="15" customHeight="1" s="17">
      <c r="A49" s="19" t="inlineStr">
        <is>
          <t>SB-048</t>
        </is>
      </c>
      <c r="B49" s="19" t="inlineStr">
        <is>
          <t>Daytona</t>
        </is>
      </c>
      <c r="C49" s="19" t="inlineStr">
        <is>
          <t>Daytona free compute credits</t>
        </is>
      </c>
      <c r="D49" s="32" t="n">
        <v>4</v>
      </c>
      <c r="E49" s="32" t="n">
        <v>22</v>
      </c>
      <c r="F49" s="32" t="n">
        <v>15</v>
      </c>
      <c r="G49" s="32" t="n">
        <v>10</v>
      </c>
      <c r="H49" s="32" t="n">
        <v>10</v>
      </c>
      <c r="I49" s="32" t="n">
        <v>8</v>
      </c>
      <c r="J49" s="19">
        <f>SUM(D49:I49)</f>
        <v/>
      </c>
      <c r="K49" s="19">
        <f>RANK(J49,$J$2:$J$93)</f>
        <v/>
      </c>
      <c r="L49" s="19" t="inlineStr">
        <is>
          <t>Free trial credit (not startup-exclusive)</t>
        </is>
      </c>
    </row>
    <row r="50" ht="15" customHeight="1" s="17">
      <c r="A50" s="19" t="inlineStr">
        <is>
          <t>SB-049</t>
        </is>
      </c>
      <c r="B50" s="19" t="inlineStr">
        <is>
          <t>IONOS</t>
        </is>
      </c>
      <c r="C50" s="19" t="inlineStr">
        <is>
          <t>IONOS Cloud free trial credit</t>
        </is>
      </c>
      <c r="D50" s="32" t="n">
        <v>4</v>
      </c>
      <c r="E50" s="32" t="n">
        <v>22</v>
      </c>
      <c r="F50" s="32" t="n">
        <v>15</v>
      </c>
      <c r="G50" s="32" t="n">
        <v>8</v>
      </c>
      <c r="H50" s="32" t="n">
        <v>5</v>
      </c>
      <c r="I50" s="32" t="n">
        <v>8</v>
      </c>
      <c r="J50" s="19">
        <f>SUM(D50:I50)</f>
        <v/>
      </c>
      <c r="K50" s="19">
        <f>RANK(J50,$J$2:$J$93)</f>
        <v/>
      </c>
      <c r="L50" s="19" t="inlineStr">
        <is>
          <t>Free trial credit (not startup-exclusive)</t>
        </is>
      </c>
    </row>
    <row r="51" ht="15" customHeight="1" s="17">
      <c r="A51" s="19" t="inlineStr">
        <is>
          <t>SB-050</t>
        </is>
      </c>
      <c r="B51" s="19" t="inlineStr">
        <is>
          <t>Akamai (Linode)</t>
        </is>
      </c>
      <c r="C51" s="19" t="inlineStr">
        <is>
          <t>Akamai Cloud $100 credit</t>
        </is>
      </c>
      <c r="D51" s="32" t="n">
        <v>4</v>
      </c>
      <c r="E51" s="32" t="n">
        <v>22</v>
      </c>
      <c r="F51" s="32" t="n">
        <v>15</v>
      </c>
      <c r="G51" s="32" t="n">
        <v>8</v>
      </c>
      <c r="H51" s="32" t="n">
        <v>5</v>
      </c>
      <c r="I51" s="32" t="n">
        <v>8</v>
      </c>
      <c r="J51" s="19">
        <f>SUM(D51:I51)</f>
        <v/>
      </c>
      <c r="K51" s="19">
        <f>RANK(J51,$J$2:$J$93)</f>
        <v/>
      </c>
      <c r="L51" s="19" t="inlineStr">
        <is>
          <t>Free trial credit (not startup-exclusive)</t>
        </is>
      </c>
    </row>
    <row r="52" ht="15" customHeight="1" s="17">
      <c r="A52" s="19" t="inlineStr">
        <is>
          <t>SB-051</t>
        </is>
      </c>
      <c r="B52" s="19" t="inlineStr">
        <is>
          <t>AkashML</t>
        </is>
      </c>
      <c r="C52" s="19" t="inlineStr">
        <is>
          <t>AkashML $100 free AI token credits</t>
        </is>
      </c>
      <c r="D52" s="32" t="n">
        <v>4</v>
      </c>
      <c r="E52" s="32" t="n">
        <v>22</v>
      </c>
      <c r="F52" s="32" t="n">
        <v>15</v>
      </c>
      <c r="G52" s="32" t="n">
        <v>10</v>
      </c>
      <c r="H52" s="32" t="n">
        <v>10</v>
      </c>
      <c r="I52" s="32" t="n">
        <v>8</v>
      </c>
      <c r="J52" s="19">
        <f>SUM(D52:I52)</f>
        <v/>
      </c>
      <c r="K52" s="19">
        <f>RANK(J52,$J$2:$J$93)</f>
        <v/>
      </c>
      <c r="L52" s="19" t="inlineStr">
        <is>
          <t>Free trial credit (not startup-exclusive)</t>
        </is>
      </c>
    </row>
    <row r="53" ht="15" customHeight="1" s="17">
      <c r="A53" s="19" t="inlineStr">
        <is>
          <t>SB-052</t>
        </is>
      </c>
      <c r="B53" s="19" t="inlineStr">
        <is>
          <t>AMD</t>
        </is>
      </c>
      <c r="C53" s="19" t="inlineStr">
        <is>
          <t>AMD AI Developer Program</t>
        </is>
      </c>
      <c r="D53" s="32" t="n">
        <v>4</v>
      </c>
      <c r="E53" s="32" t="n">
        <v>22</v>
      </c>
      <c r="F53" s="32" t="n">
        <v>15</v>
      </c>
      <c r="G53" s="32" t="n">
        <v>10</v>
      </c>
      <c r="H53" s="32" t="n">
        <v>10</v>
      </c>
      <c r="I53" s="32" t="n">
        <v>8</v>
      </c>
      <c r="J53" s="19">
        <f>SUM(D53:I53)</f>
        <v/>
      </c>
      <c r="K53" s="19">
        <f>RANK(J53,$J$2:$J$93)</f>
        <v/>
      </c>
      <c r="L53" s="19" t="inlineStr">
        <is>
          <t>Free trial credit (not startup-exclusive)</t>
        </is>
      </c>
    </row>
    <row r="54" ht="15" customHeight="1" s="17">
      <c r="A54" s="19" t="inlineStr">
        <is>
          <t>SB-053</t>
        </is>
      </c>
      <c r="B54" s="19" t="inlineStr">
        <is>
          <t>Anyscale</t>
        </is>
      </c>
      <c r="C54" s="19" t="inlineStr">
        <is>
          <t>Anyscale $100 signup credit</t>
        </is>
      </c>
      <c r="D54" s="32" t="n">
        <v>4</v>
      </c>
      <c r="E54" s="32" t="n">
        <v>22</v>
      </c>
      <c r="F54" s="32" t="n">
        <v>15</v>
      </c>
      <c r="G54" s="32" t="n">
        <v>10</v>
      </c>
      <c r="H54" s="32" t="n">
        <v>10</v>
      </c>
      <c r="I54" s="32" t="n">
        <v>8</v>
      </c>
      <c r="J54" s="19">
        <f>SUM(D54:I54)</f>
        <v/>
      </c>
      <c r="K54" s="19">
        <f>RANK(J54,$J$2:$J$93)</f>
        <v/>
      </c>
      <c r="L54" s="19" t="inlineStr">
        <is>
          <t>Free trial credit (not startup-exclusive)</t>
        </is>
      </c>
    </row>
    <row r="55" ht="15" customHeight="1" s="17">
      <c r="A55" s="19" t="inlineStr">
        <is>
          <t>SB-054</t>
        </is>
      </c>
      <c r="B55" s="19" t="inlineStr">
        <is>
          <t>E2B</t>
        </is>
      </c>
      <c r="C55" s="19" t="inlineStr">
        <is>
          <t>E2B free hobby tier and $100 credits</t>
        </is>
      </c>
      <c r="D55" s="32" t="n">
        <v>4</v>
      </c>
      <c r="E55" s="32" t="n">
        <v>22</v>
      </c>
      <c r="F55" s="32" t="n">
        <v>15</v>
      </c>
      <c r="G55" s="32" t="n">
        <v>10</v>
      </c>
      <c r="H55" s="32" t="n">
        <v>10</v>
      </c>
      <c r="I55" s="32" t="n">
        <v>8</v>
      </c>
      <c r="J55" s="19">
        <f>SUM(D55:I55)</f>
        <v/>
      </c>
      <c r="K55" s="19">
        <f>RANK(J55,$J$2:$J$93)</f>
        <v/>
      </c>
      <c r="L55" s="19" t="inlineStr">
        <is>
          <t>Free trial credit (not startup-exclusive)</t>
        </is>
      </c>
    </row>
    <row r="56" ht="15" customHeight="1" s="17">
      <c r="A56" s="19" t="inlineStr">
        <is>
          <t>SB-055</t>
        </is>
      </c>
      <c r="B56" s="19" t="inlineStr">
        <is>
          <t>EmberCloud</t>
        </is>
      </c>
      <c r="C56" s="19" t="inlineStr">
        <is>
          <t>EmberCloud for Startups</t>
        </is>
      </c>
      <c r="D56" s="32" t="n">
        <v>4</v>
      </c>
      <c r="E56" s="32" t="n">
        <v>14</v>
      </c>
      <c r="F56" s="32" t="n">
        <v>15</v>
      </c>
      <c r="G56" s="32" t="n">
        <v>10</v>
      </c>
      <c r="H56" s="32" t="n">
        <v>5</v>
      </c>
      <c r="I56" s="32" t="n">
        <v>8</v>
      </c>
      <c r="J56" s="19">
        <f>SUM(D56:I56)</f>
        <v/>
      </c>
      <c r="K56" s="19">
        <f>RANK(J56,$J$2:$J$93)</f>
        <v/>
      </c>
      <c r="L56" s="19" t="inlineStr">
        <is>
          <t>Startup credits (startup-specific)</t>
        </is>
      </c>
    </row>
    <row r="57" ht="15" customHeight="1" s="17">
      <c r="A57" s="19" t="inlineStr">
        <is>
          <t>SB-056</t>
        </is>
      </c>
      <c r="B57" s="19" t="inlineStr">
        <is>
          <t>Novita</t>
        </is>
      </c>
      <c r="C57" s="19" t="inlineStr">
        <is>
          <t>Novita Sandbox $100 free credits</t>
        </is>
      </c>
      <c r="D57" s="32" t="n">
        <v>4</v>
      </c>
      <c r="E57" s="32" t="n">
        <v>22</v>
      </c>
      <c r="F57" s="32" t="n">
        <v>15</v>
      </c>
      <c r="G57" s="32" t="n">
        <v>10</v>
      </c>
      <c r="H57" s="32" t="n">
        <v>10</v>
      </c>
      <c r="I57" s="32" t="n">
        <v>8</v>
      </c>
      <c r="J57" s="19">
        <f>SUM(D57:I57)</f>
        <v/>
      </c>
      <c r="K57" s="19">
        <f>RANK(J57,$J$2:$J$93)</f>
        <v/>
      </c>
      <c r="L57" s="19" t="inlineStr">
        <is>
          <t>Free trial credit (not startup-exclusive)</t>
        </is>
      </c>
    </row>
    <row r="58" ht="15" customHeight="1" s="17">
      <c r="A58" s="19" t="inlineStr">
        <is>
          <t>SB-057</t>
        </is>
      </c>
      <c r="B58" s="19" t="inlineStr">
        <is>
          <t>Alibaba Cloud</t>
        </is>
      </c>
      <c r="C58" s="19" t="inlineStr">
        <is>
          <t>Alibaba Cloud free trial</t>
        </is>
      </c>
      <c r="D58" s="32" t="n">
        <v>4</v>
      </c>
      <c r="E58" s="32" t="n">
        <v>22</v>
      </c>
      <c r="F58" s="32" t="n">
        <v>15</v>
      </c>
      <c r="G58" s="32" t="n">
        <v>8</v>
      </c>
      <c r="H58" s="32" t="n">
        <v>5</v>
      </c>
      <c r="I58" s="32" t="n">
        <v>8</v>
      </c>
      <c r="J58" s="19">
        <f>SUM(D58:I58)</f>
        <v/>
      </c>
      <c r="K58" s="19">
        <f>RANK(J58,$J$2:$J$93)</f>
        <v/>
      </c>
      <c r="L58" s="19" t="inlineStr">
        <is>
          <t>Free trial credit (not startup-exclusive)</t>
        </is>
      </c>
    </row>
    <row r="59" ht="15" customHeight="1" s="17">
      <c r="A59" s="19" t="inlineStr">
        <is>
          <t>SB-058</t>
        </is>
      </c>
      <c r="B59" s="19" t="inlineStr">
        <is>
          <t>Railway</t>
        </is>
      </c>
      <c r="C59" s="19" t="inlineStr">
        <is>
          <t>Railway free plan and trial credit</t>
        </is>
      </c>
      <c r="D59" s="32" t="n">
        <v>4</v>
      </c>
      <c r="E59" s="32" t="n">
        <v>22</v>
      </c>
      <c r="F59" s="32" t="n">
        <v>15</v>
      </c>
      <c r="G59" s="32" t="n">
        <v>8</v>
      </c>
      <c r="H59" s="32" t="n">
        <v>10</v>
      </c>
      <c r="I59" s="32" t="n">
        <v>8</v>
      </c>
      <c r="J59" s="19">
        <f>SUM(D59:I59)</f>
        <v/>
      </c>
      <c r="K59" s="19">
        <f>RANK(J59,$J$2:$J$93)</f>
        <v/>
      </c>
      <c r="L59" s="19" t="inlineStr">
        <is>
          <t>Free trial credit (not startup-exclusive)</t>
        </is>
      </c>
    </row>
    <row r="60" ht="15" customHeight="1" s="17">
      <c r="A60" s="19" t="inlineStr">
        <is>
          <t>SB-059</t>
        </is>
      </c>
      <c r="B60" s="19" t="inlineStr">
        <is>
          <t>DeepInfra</t>
        </is>
      </c>
      <c r="C60" s="19" t="inlineStr">
        <is>
          <t>DeepInfra DeepStart free inference tokens</t>
        </is>
      </c>
      <c r="D60" s="32" t="n">
        <v>2</v>
      </c>
      <c r="E60" s="32" t="n">
        <v>14</v>
      </c>
      <c r="F60" s="32" t="n">
        <v>15</v>
      </c>
      <c r="G60" s="32" t="n">
        <v>10</v>
      </c>
      <c r="H60" s="32" t="n">
        <v>10</v>
      </c>
      <c r="I60" s="32" t="n">
        <v>8</v>
      </c>
      <c r="J60" s="19">
        <f>SUM(D60:I60)</f>
        <v/>
      </c>
      <c r="K60" s="19">
        <f>RANK(J60,$J$2:$J$93)</f>
        <v/>
      </c>
      <c r="L60" s="19" t="inlineStr">
        <is>
          <t>Startup credits (startup-specific)</t>
        </is>
      </c>
    </row>
    <row r="61" ht="15" customHeight="1" s="17">
      <c r="A61" s="19" t="inlineStr">
        <is>
          <t>SB-060</t>
        </is>
      </c>
      <c r="B61" s="19" t="inlineStr">
        <is>
          <t>Free.ai</t>
        </is>
      </c>
      <c r="C61" s="19" t="inlineStr">
        <is>
          <t>Free.ai Startup Grant</t>
        </is>
      </c>
      <c r="D61" s="32" t="n">
        <v>2</v>
      </c>
      <c r="E61" s="32" t="n">
        <v>14</v>
      </c>
      <c r="F61" s="32" t="n">
        <v>15</v>
      </c>
      <c r="G61" s="32" t="n">
        <v>10</v>
      </c>
      <c r="H61" s="32" t="n">
        <v>10</v>
      </c>
      <c r="I61" s="32" t="n">
        <v>8</v>
      </c>
      <c r="J61" s="19">
        <f>SUM(D61:I61)</f>
        <v/>
      </c>
      <c r="K61" s="19">
        <f>RANK(J61,$J$2:$J$93)</f>
        <v/>
      </c>
      <c r="L61" s="19" t="inlineStr">
        <is>
          <t>Startup credits (startup-specific)</t>
        </is>
      </c>
    </row>
    <row r="62" ht="15" customHeight="1" s="17">
      <c r="A62" s="19" t="inlineStr">
        <is>
          <t>SB-061</t>
        </is>
      </c>
      <c r="B62" s="19" t="inlineStr">
        <is>
          <t>Netlify</t>
        </is>
      </c>
      <c r="C62" s="19" t="inlineStr">
        <is>
          <t>Netlify free plan</t>
        </is>
      </c>
      <c r="D62" s="32" t="n">
        <v>2</v>
      </c>
      <c r="E62" s="32" t="n">
        <v>22</v>
      </c>
      <c r="F62" s="32" t="n">
        <v>15</v>
      </c>
      <c r="G62" s="32" t="n">
        <v>8</v>
      </c>
      <c r="H62" s="32" t="n">
        <v>10</v>
      </c>
      <c r="I62" s="32" t="n">
        <v>8</v>
      </c>
      <c r="J62" s="19">
        <f>SUM(D62:I62)</f>
        <v/>
      </c>
      <c r="K62" s="19">
        <f>RANK(J62,$J$2:$J$93)</f>
        <v/>
      </c>
      <c r="L62" s="19" t="inlineStr">
        <is>
          <t>Free tier (ongoing, not startup-exclusive)</t>
        </is>
      </c>
    </row>
    <row r="63" ht="15" customHeight="1" s="17">
      <c r="A63" s="19" t="inlineStr">
        <is>
          <t>SB-062</t>
        </is>
      </c>
      <c r="B63" s="19" t="inlineStr">
        <is>
          <t>Kaggle (Google)</t>
        </is>
      </c>
      <c r="C63" s="19" t="inlineStr">
        <is>
          <t>Kaggle free GPU/TPU notebooks</t>
        </is>
      </c>
      <c r="D63" s="32" t="n">
        <v>2</v>
      </c>
      <c r="E63" s="32" t="n">
        <v>22</v>
      </c>
      <c r="F63" s="32" t="n">
        <v>15</v>
      </c>
      <c r="G63" s="32" t="n">
        <v>10</v>
      </c>
      <c r="H63" s="32" t="n">
        <v>10</v>
      </c>
      <c r="I63" s="32" t="n">
        <v>8</v>
      </c>
      <c r="J63" s="19">
        <f>SUM(D63:I63)</f>
        <v/>
      </c>
      <c r="K63" s="19">
        <f>RANK(J63,$J$2:$J$93)</f>
        <v/>
      </c>
      <c r="L63" s="19" t="inlineStr">
        <is>
          <t>Free tier (ongoing, not startup-exclusive)</t>
        </is>
      </c>
    </row>
    <row r="64" ht="15" customHeight="1" s="17">
      <c r="A64" s="19" t="inlineStr">
        <is>
          <t>SB-063</t>
        </is>
      </c>
      <c r="B64" s="19" t="inlineStr">
        <is>
          <t>Lightning AI</t>
        </is>
      </c>
      <c r="C64" s="19" t="inlineStr">
        <is>
          <t>Lightning AI free plan</t>
        </is>
      </c>
      <c r="D64" s="32" t="n">
        <v>2</v>
      </c>
      <c r="E64" s="32" t="n">
        <v>22</v>
      </c>
      <c r="F64" s="32" t="n">
        <v>15</v>
      </c>
      <c r="G64" s="32" t="n">
        <v>10</v>
      </c>
      <c r="H64" s="32" t="n">
        <v>10</v>
      </c>
      <c r="I64" s="32" t="n">
        <v>8</v>
      </c>
      <c r="J64" s="19">
        <f>SUM(D64:I64)</f>
        <v/>
      </c>
      <c r="K64" s="19">
        <f>RANK(J64,$J$2:$J$93)</f>
        <v/>
      </c>
      <c r="L64" s="19" t="inlineStr">
        <is>
          <t>Free tier (ongoing, not startup-exclusive)</t>
        </is>
      </c>
    </row>
    <row r="65" ht="15" customHeight="1" s="17">
      <c r="A65" s="19" t="inlineStr">
        <is>
          <t>SB-064</t>
        </is>
      </c>
      <c r="B65" s="19" t="inlineStr">
        <is>
          <t>Hugging Face</t>
        </is>
      </c>
      <c r="C65" s="19" t="inlineStr">
        <is>
          <t>Hugging Face ZeroGPU on Spaces</t>
        </is>
      </c>
      <c r="D65" s="32" t="n">
        <v>2</v>
      </c>
      <c r="E65" s="32" t="n">
        <v>22</v>
      </c>
      <c r="F65" s="32" t="n">
        <v>15</v>
      </c>
      <c r="G65" s="32" t="n">
        <v>10</v>
      </c>
      <c r="H65" s="32" t="n">
        <v>10</v>
      </c>
      <c r="I65" s="32" t="n">
        <v>8</v>
      </c>
      <c r="J65" s="19">
        <f>SUM(D65:I65)</f>
        <v/>
      </c>
      <c r="K65" s="19">
        <f>RANK(J65,$J$2:$J$93)</f>
        <v/>
      </c>
      <c r="L65" s="19" t="inlineStr">
        <is>
          <t>Free tier (ongoing, not startup-exclusive)</t>
        </is>
      </c>
    </row>
    <row r="66" ht="15" customHeight="1" s="17">
      <c r="A66" s="19" t="inlineStr">
        <is>
          <t>SB-065</t>
        </is>
      </c>
      <c r="B66" s="19" t="inlineStr">
        <is>
          <t>Atlassian</t>
        </is>
      </c>
      <c r="C66" s="19" t="inlineStr">
        <is>
          <t>Atlassian for Startups</t>
        </is>
      </c>
      <c r="D66" s="32" t="n">
        <v>2</v>
      </c>
      <c r="E66" s="32" t="n">
        <v>14</v>
      </c>
      <c r="F66" s="32" t="n">
        <v>15</v>
      </c>
      <c r="G66" s="32" t="n">
        <v>8</v>
      </c>
      <c r="H66" s="32" t="n">
        <v>10</v>
      </c>
      <c r="I66" s="32" t="n">
        <v>8</v>
      </c>
      <c r="J66" s="19">
        <f>SUM(D66:I66)</f>
        <v/>
      </c>
      <c r="K66" s="19">
        <f>RANK(J66,$J$2:$J$93)</f>
        <v/>
      </c>
      <c r="L66" s="19" t="inlineStr">
        <is>
          <t>Startup plan / free subscription period</t>
        </is>
      </c>
    </row>
    <row r="67" ht="15" customHeight="1" s="17">
      <c r="A67" s="19" t="inlineStr">
        <is>
          <t>SB-066</t>
        </is>
      </c>
      <c r="B67" s="19" t="inlineStr">
        <is>
          <t>Auth0 (Okta)</t>
        </is>
      </c>
      <c r="C67" s="19" t="inlineStr">
        <is>
          <t>Auth0 for Startups</t>
        </is>
      </c>
      <c r="D67" s="32" t="n">
        <v>2</v>
      </c>
      <c r="E67" s="32" t="n">
        <v>14</v>
      </c>
      <c r="F67" s="32" t="n">
        <v>15</v>
      </c>
      <c r="G67" s="32" t="n">
        <v>8</v>
      </c>
      <c r="H67" s="32" t="n">
        <v>10</v>
      </c>
      <c r="I67" s="32" t="n">
        <v>8</v>
      </c>
      <c r="J67" s="19">
        <f>SUM(D67:I67)</f>
        <v/>
      </c>
      <c r="K67" s="19">
        <f>RANK(J67,$J$2:$J$93)</f>
        <v/>
      </c>
      <c r="L67" s="19" t="inlineStr">
        <is>
          <t>Startup plan / free subscription period</t>
        </is>
      </c>
    </row>
    <row r="68" ht="15" customHeight="1" s="17">
      <c r="A68" s="19" t="inlineStr">
        <is>
          <t>SB-067</t>
        </is>
      </c>
      <c r="B68" s="19" t="inlineStr">
        <is>
          <t>Convex</t>
        </is>
      </c>
      <c r="C68" s="19" t="inlineStr">
        <is>
          <t>Convex for Startups</t>
        </is>
      </c>
      <c r="D68" s="32" t="n">
        <v>16</v>
      </c>
      <c r="E68" s="32" t="n">
        <v>14</v>
      </c>
      <c r="F68" s="32" t="n">
        <v>15</v>
      </c>
      <c r="G68" s="32" t="n">
        <v>8</v>
      </c>
      <c r="H68" s="32" t="n">
        <v>5</v>
      </c>
      <c r="I68" s="32" t="n">
        <v>8</v>
      </c>
      <c r="J68" s="19">
        <f>SUM(D68:I68)</f>
        <v/>
      </c>
      <c r="K68" s="19">
        <f>RANK(J68,$J$2:$J$93)</f>
        <v/>
      </c>
      <c r="L68" s="19" t="inlineStr">
        <is>
          <t>Startup plan / free subscription period</t>
        </is>
      </c>
    </row>
    <row r="69" ht="15" customHeight="1" s="17">
      <c r="A69" s="19" t="inlineStr">
        <is>
          <t>SB-068</t>
        </is>
      </c>
      <c r="B69" s="19" t="inlineStr">
        <is>
          <t>Customer.io</t>
        </is>
      </c>
      <c r="C69" s="19" t="inlineStr">
        <is>
          <t>Customer.io Startup Program</t>
        </is>
      </c>
      <c r="D69" s="32" t="n">
        <v>2</v>
      </c>
      <c r="E69" s="32" t="n">
        <v>14</v>
      </c>
      <c r="F69" s="32" t="n">
        <v>15</v>
      </c>
      <c r="G69" s="32" t="n">
        <v>8</v>
      </c>
      <c r="H69" s="32" t="n">
        <v>5</v>
      </c>
      <c r="I69" s="32" t="n">
        <v>8</v>
      </c>
      <c r="J69" s="19">
        <f>SUM(D69:I69)</f>
        <v/>
      </c>
      <c r="K69" s="19">
        <f>RANK(J69,$J$2:$J$93)</f>
        <v/>
      </c>
      <c r="L69" s="19" t="inlineStr">
        <is>
          <t>Startup plan / free subscription period</t>
        </is>
      </c>
    </row>
    <row r="70" ht="15" customHeight="1" s="17">
      <c r="A70" s="19" t="inlineStr">
        <is>
          <t>SB-069</t>
        </is>
      </c>
      <c r="B70" s="19" t="inlineStr">
        <is>
          <t>DigitalOcean</t>
        </is>
      </c>
      <c r="C70" s="19" t="inlineStr">
        <is>
          <t>DigitalOcean Hatch</t>
        </is>
      </c>
      <c r="D70" s="32" t="n">
        <v>2</v>
      </c>
      <c r="E70" s="32" t="n">
        <v>14</v>
      </c>
      <c r="F70" s="32" t="n">
        <v>15</v>
      </c>
      <c r="G70" s="32" t="n">
        <v>8</v>
      </c>
      <c r="H70" s="32" t="n">
        <v>5</v>
      </c>
      <c r="I70" s="32" t="n">
        <v>8</v>
      </c>
      <c r="J70" s="19">
        <f>SUM(D70:I70)</f>
        <v/>
      </c>
      <c r="K70" s="19">
        <f>RANK(J70,$J$2:$J$93)</f>
        <v/>
      </c>
      <c r="L70" s="19" t="inlineStr">
        <is>
          <t>Startup credits (startup-specific)</t>
        </is>
      </c>
    </row>
    <row r="71" ht="15" customHeight="1" s="17">
      <c r="A71" s="19" t="inlineStr">
        <is>
          <t>SB-070</t>
        </is>
      </c>
      <c r="B71" s="19" t="inlineStr">
        <is>
          <t>Exoscale</t>
        </is>
      </c>
      <c r="C71" s="19" t="inlineStr">
        <is>
          <t>Exoscale trial credit</t>
        </is>
      </c>
      <c r="D71" s="32" t="n">
        <v>4</v>
      </c>
      <c r="E71" s="32" t="n">
        <v>22</v>
      </c>
      <c r="F71" s="32" t="n">
        <v>15</v>
      </c>
      <c r="G71" s="32" t="n">
        <v>8</v>
      </c>
      <c r="H71" s="32" t="n">
        <v>5</v>
      </c>
      <c r="I71" s="32" t="n">
        <v>8</v>
      </c>
      <c r="J71" s="19">
        <f>SUM(D71:I71)</f>
        <v/>
      </c>
      <c r="K71" s="19">
        <f>RANK(J71,$J$2:$J$93)</f>
        <v/>
      </c>
      <c r="L71" s="19" t="inlineStr">
        <is>
          <t>Free trial credit (not startup-exclusive)</t>
        </is>
      </c>
    </row>
    <row r="72" ht="15" customHeight="1" s="17">
      <c r="A72" s="19" t="inlineStr">
        <is>
          <t>SB-071</t>
        </is>
      </c>
      <c r="B72" s="19" t="inlineStr">
        <is>
          <t>Fireworks AI</t>
        </is>
      </c>
      <c r="C72" s="19" t="inlineStr">
        <is>
          <t>Fireworks for Startups</t>
        </is>
      </c>
      <c r="D72" s="32" t="n">
        <v>2</v>
      </c>
      <c r="E72" s="32" t="n">
        <v>14</v>
      </c>
      <c r="F72" s="32" t="n">
        <v>15</v>
      </c>
      <c r="G72" s="32" t="n">
        <v>10</v>
      </c>
      <c r="H72" s="32" t="n">
        <v>10</v>
      </c>
      <c r="I72" s="32" t="n">
        <v>8</v>
      </c>
      <c r="J72" s="19">
        <f>SUM(D72:I72)</f>
        <v/>
      </c>
      <c r="K72" s="19">
        <f>RANK(J72,$J$2:$J$93)</f>
        <v/>
      </c>
      <c r="L72" s="19" t="inlineStr">
        <is>
          <t>Startup credits (startup-specific)</t>
        </is>
      </c>
    </row>
    <row r="73" ht="15" customHeight="1" s="17">
      <c r="A73" s="19" t="inlineStr">
        <is>
          <t>SB-072</t>
        </is>
      </c>
      <c r="B73" s="19" t="inlineStr">
        <is>
          <t>Koyeb</t>
        </is>
      </c>
      <c r="C73" s="19" t="inlineStr">
        <is>
          <t>Koyeb free web service and Postgres</t>
        </is>
      </c>
      <c r="D73" s="32" t="n">
        <v>2</v>
      </c>
      <c r="E73" s="32" t="n">
        <v>22</v>
      </c>
      <c r="F73" s="32" t="n">
        <v>15</v>
      </c>
      <c r="G73" s="32" t="n">
        <v>8</v>
      </c>
      <c r="H73" s="32" t="n">
        <v>5</v>
      </c>
      <c r="I73" s="32" t="n">
        <v>8</v>
      </c>
      <c r="J73" s="19">
        <f>SUM(D73:I73)</f>
        <v/>
      </c>
      <c r="K73" s="19">
        <f>RANK(J73,$J$2:$J$93)</f>
        <v/>
      </c>
      <c r="L73" s="19" t="inlineStr">
        <is>
          <t>Free tier (ongoing, not startup-exclusive)</t>
        </is>
      </c>
    </row>
    <row r="74" ht="15" customHeight="1" s="17">
      <c r="A74" s="19" t="inlineStr">
        <is>
          <t>SB-073</t>
        </is>
      </c>
      <c r="B74" s="19" t="inlineStr">
        <is>
          <t>Linear</t>
        </is>
      </c>
      <c r="C74" s="19" t="inlineStr">
        <is>
          <t>Linear Startup Program</t>
        </is>
      </c>
      <c r="D74" s="32" t="n">
        <v>2</v>
      </c>
      <c r="E74" s="32" t="n">
        <v>5</v>
      </c>
      <c r="F74" s="32" t="n">
        <v>15</v>
      </c>
      <c r="G74" s="32" t="n">
        <v>8</v>
      </c>
      <c r="H74" s="32" t="n">
        <v>3</v>
      </c>
      <c r="I74" s="32" t="n">
        <v>8</v>
      </c>
      <c r="J74" s="19">
        <f>SUM(D74:I74)</f>
        <v/>
      </c>
      <c r="K74" s="19">
        <f>RANK(J74,$J$2:$J$93)</f>
        <v/>
      </c>
      <c r="L74" s="19" t="inlineStr">
        <is>
          <t>Startup plan / free subscription period</t>
        </is>
      </c>
    </row>
    <row r="75" ht="15" customHeight="1" s="17">
      <c r="A75" s="19" t="inlineStr">
        <is>
          <t>SB-074</t>
        </is>
      </c>
      <c r="B75" s="19" t="inlineStr">
        <is>
          <t>Mintlify</t>
        </is>
      </c>
      <c r="C75" s="19" t="inlineStr">
        <is>
          <t>Mintlify Startup Program</t>
        </is>
      </c>
      <c r="D75" s="32" t="n">
        <v>2</v>
      </c>
      <c r="E75" s="32" t="n">
        <v>14</v>
      </c>
      <c r="F75" s="32" t="n">
        <v>15</v>
      </c>
      <c r="G75" s="32" t="n">
        <v>8</v>
      </c>
      <c r="H75" s="32" t="n">
        <v>10</v>
      </c>
      <c r="I75" s="32" t="n">
        <v>8</v>
      </c>
      <c r="J75" s="19">
        <f>SUM(D75:I75)</f>
        <v/>
      </c>
      <c r="K75" s="19">
        <f>RANK(J75,$J$2:$J$93)</f>
        <v/>
      </c>
      <c r="L75" s="19" t="inlineStr">
        <is>
          <t>Startup plan / free subscription period</t>
        </is>
      </c>
    </row>
    <row r="76" ht="15" customHeight="1" s="17">
      <c r="A76" s="19" t="inlineStr">
        <is>
          <t>SB-075</t>
        </is>
      </c>
      <c r="B76" s="19" t="inlineStr">
        <is>
          <t>Modal</t>
        </is>
      </c>
      <c r="C76" s="19" t="inlineStr">
        <is>
          <t>Modal for Startups</t>
        </is>
      </c>
      <c r="D76" s="32" t="n">
        <v>2</v>
      </c>
      <c r="E76" s="32" t="n">
        <v>14</v>
      </c>
      <c r="F76" s="32" t="n">
        <v>15</v>
      </c>
      <c r="G76" s="32" t="n">
        <v>10</v>
      </c>
      <c r="H76" s="32" t="n">
        <v>5</v>
      </c>
      <c r="I76" s="32" t="n">
        <v>8</v>
      </c>
      <c r="J76" s="19">
        <f>SUM(D76:I76)</f>
        <v/>
      </c>
      <c r="K76" s="19">
        <f>RANK(J76,$J$2:$J$93)</f>
        <v/>
      </c>
      <c r="L76" s="19" t="inlineStr">
        <is>
          <t>Startup credits (startup-specific)</t>
        </is>
      </c>
    </row>
    <row r="77" ht="15" customHeight="1" s="17">
      <c r="A77" s="19" t="inlineStr">
        <is>
          <t>SB-076</t>
        </is>
      </c>
      <c r="B77" s="19" t="inlineStr">
        <is>
          <t>MongoDB</t>
        </is>
      </c>
      <c r="C77" s="19" t="inlineStr">
        <is>
          <t>MongoDB for Startups</t>
        </is>
      </c>
      <c r="D77" s="32" t="n">
        <v>2</v>
      </c>
      <c r="E77" s="32" t="n">
        <v>14</v>
      </c>
      <c r="F77" s="32" t="n">
        <v>15</v>
      </c>
      <c r="G77" s="32" t="n">
        <v>8</v>
      </c>
      <c r="H77" s="32" t="n">
        <v>10</v>
      </c>
      <c r="I77" s="32" t="n">
        <v>8</v>
      </c>
      <c r="J77" s="19">
        <f>SUM(D77:I77)</f>
        <v/>
      </c>
      <c r="K77" s="19">
        <f>RANK(J77,$J$2:$J$93)</f>
        <v/>
      </c>
      <c r="L77" s="19" t="inlineStr">
        <is>
          <t>Startup credits (startup-specific)</t>
        </is>
      </c>
    </row>
    <row r="78" ht="15" customHeight="1" s="17">
      <c r="A78" s="19" t="inlineStr">
        <is>
          <t>SB-077</t>
        </is>
      </c>
      <c r="B78" s="19" t="inlineStr">
        <is>
          <t>Northflank</t>
        </is>
      </c>
      <c r="C78" s="19" t="inlineStr">
        <is>
          <t>Northflank Developer Sandbox</t>
        </is>
      </c>
      <c r="D78" s="32" t="n">
        <v>2</v>
      </c>
      <c r="E78" s="32" t="n">
        <v>22</v>
      </c>
      <c r="F78" s="32" t="n">
        <v>15</v>
      </c>
      <c r="G78" s="32" t="n">
        <v>8</v>
      </c>
      <c r="H78" s="32" t="n">
        <v>5</v>
      </c>
      <c r="I78" s="32" t="n">
        <v>8</v>
      </c>
      <c r="J78" s="19">
        <f>SUM(D78:I78)</f>
        <v/>
      </c>
      <c r="K78" s="19">
        <f>RANK(J78,$J$2:$J$93)</f>
        <v/>
      </c>
      <c r="L78" s="19" t="inlineStr">
        <is>
          <t>Free tier (ongoing, not startup-exclusive)</t>
        </is>
      </c>
    </row>
    <row r="79" ht="15" customHeight="1" s="17">
      <c r="A79" s="19" t="inlineStr">
        <is>
          <t>SB-078</t>
        </is>
      </c>
      <c r="B79" s="19" t="inlineStr">
        <is>
          <t>NVIDIA</t>
        </is>
      </c>
      <c r="C79" s="19" t="inlineStr">
        <is>
          <t>NVIDIA Inception</t>
        </is>
      </c>
      <c r="D79" s="32" t="n">
        <v>2</v>
      </c>
      <c r="E79" s="32" t="n">
        <v>14</v>
      </c>
      <c r="F79" s="32" t="n">
        <v>15</v>
      </c>
      <c r="G79" s="32" t="n">
        <v>10</v>
      </c>
      <c r="H79" s="32" t="n">
        <v>10</v>
      </c>
      <c r="I79" s="32" t="n">
        <v>8</v>
      </c>
      <c r="J79" s="19">
        <f>SUM(D79:I79)</f>
        <v/>
      </c>
      <c r="K79" s="19">
        <f>RANK(J79,$J$2:$J$93)</f>
        <v/>
      </c>
      <c r="L79" s="19" t="inlineStr">
        <is>
          <t>Startup credits (startup-specific)</t>
        </is>
      </c>
    </row>
    <row r="80" ht="15" customHeight="1" s="17">
      <c r="A80" s="19" t="inlineStr">
        <is>
          <t>SB-079</t>
        </is>
      </c>
      <c r="B80" s="19" t="inlineStr">
        <is>
          <t>OpenAI</t>
        </is>
      </c>
      <c r="C80" s="19" t="inlineStr">
        <is>
          <t>OpenAI for Startups</t>
        </is>
      </c>
      <c r="D80" s="32" t="n">
        <v>2</v>
      </c>
      <c r="E80" s="32" t="n">
        <v>14</v>
      </c>
      <c r="F80" s="32" t="n">
        <v>15</v>
      </c>
      <c r="G80" s="32" t="n">
        <v>10</v>
      </c>
      <c r="H80" s="32" t="n">
        <v>10</v>
      </c>
      <c r="I80" s="32" t="n">
        <v>8</v>
      </c>
      <c r="J80" s="19">
        <f>SUM(D80:I80)</f>
        <v/>
      </c>
      <c r="K80" s="19">
        <f>RANK(J80,$J$2:$J$93)</f>
        <v/>
      </c>
      <c r="L80" s="19" t="inlineStr">
        <is>
          <t>Startup credits (startup-specific)</t>
        </is>
      </c>
    </row>
    <row r="81" ht="15" customHeight="1" s="17">
      <c r="A81" s="19" t="inlineStr">
        <is>
          <t>SB-080</t>
        </is>
      </c>
      <c r="B81" s="19" t="inlineStr">
        <is>
          <t>OVHcloud</t>
        </is>
      </c>
      <c r="C81" s="19" t="inlineStr">
        <is>
          <t>OVHcloud Startup Program</t>
        </is>
      </c>
      <c r="D81" s="32" t="n">
        <v>12</v>
      </c>
      <c r="E81" s="32" t="n">
        <v>14</v>
      </c>
      <c r="F81" s="32" t="n">
        <v>15</v>
      </c>
      <c r="G81" s="32" t="n">
        <v>8</v>
      </c>
      <c r="H81" s="32" t="n">
        <v>10</v>
      </c>
      <c r="I81" s="32" t="n">
        <v>8</v>
      </c>
      <c r="J81" s="19">
        <f>SUM(D81:I81)</f>
        <v/>
      </c>
      <c r="K81" s="19">
        <f>RANK(J81,$J$2:$J$93)</f>
        <v/>
      </c>
      <c r="L81" s="19" t="inlineStr">
        <is>
          <t>Startup credits (startup-specific)</t>
        </is>
      </c>
    </row>
    <row r="82" ht="15" customHeight="1" s="17">
      <c r="A82" s="19" t="inlineStr">
        <is>
          <t>SB-081</t>
        </is>
      </c>
      <c r="B82" s="19" t="inlineStr">
        <is>
          <t>Paperspace (DigitalOcean)</t>
        </is>
      </c>
      <c r="C82" s="19" t="inlineStr">
        <is>
          <t>Paperspace Gradient free GPU notebooks</t>
        </is>
      </c>
      <c r="D82" s="32" t="n">
        <v>2</v>
      </c>
      <c r="E82" s="32" t="n">
        <v>22</v>
      </c>
      <c r="F82" s="32" t="n">
        <v>15</v>
      </c>
      <c r="G82" s="32" t="n">
        <v>10</v>
      </c>
      <c r="H82" s="32" t="n">
        <v>5</v>
      </c>
      <c r="I82" s="32" t="n">
        <v>8</v>
      </c>
      <c r="J82" s="19">
        <f>SUM(D82:I82)</f>
        <v/>
      </c>
      <c r="K82" s="19">
        <f>RANK(J82,$J$2:$J$93)</f>
        <v/>
      </c>
      <c r="L82" s="19" t="inlineStr">
        <is>
          <t>Free tier (ongoing, not startup-exclusive)</t>
        </is>
      </c>
    </row>
    <row r="83" ht="15" customHeight="1" s="17">
      <c r="A83" s="19" t="inlineStr">
        <is>
          <t>SB-082</t>
        </is>
      </c>
      <c r="B83" s="19" t="inlineStr">
        <is>
          <t>Pinecone</t>
        </is>
      </c>
      <c r="C83" s="19" t="inlineStr">
        <is>
          <t>Pinecone for Startups</t>
        </is>
      </c>
      <c r="D83" s="32" t="n">
        <v>2</v>
      </c>
      <c r="E83" s="32" t="n">
        <v>14</v>
      </c>
      <c r="F83" s="32" t="n">
        <v>15</v>
      </c>
      <c r="G83" s="32" t="n">
        <v>10</v>
      </c>
      <c r="H83" s="32" t="n">
        <v>10</v>
      </c>
      <c r="I83" s="32" t="n">
        <v>8</v>
      </c>
      <c r="J83" s="19">
        <f>SUM(D83:I83)</f>
        <v/>
      </c>
      <c r="K83" s="19">
        <f>RANK(J83,$J$2:$J$93)</f>
        <v/>
      </c>
      <c r="L83" s="19" t="inlineStr">
        <is>
          <t>Startup plan / free subscription period</t>
        </is>
      </c>
    </row>
    <row r="84" ht="15" customHeight="1" s="17">
      <c r="A84" s="19" t="inlineStr">
        <is>
          <t>SB-083</t>
        </is>
      </c>
      <c r="B84" s="19" t="inlineStr">
        <is>
          <t>RunPod</t>
        </is>
      </c>
      <c r="C84" s="19" t="inlineStr">
        <is>
          <t>RunPod referral bonus credits</t>
        </is>
      </c>
      <c r="D84" s="32" t="n">
        <v>2</v>
      </c>
      <c r="E84" s="32" t="n">
        <v>22</v>
      </c>
      <c r="F84" s="32" t="n">
        <v>15</v>
      </c>
      <c r="G84" s="32" t="n">
        <v>8</v>
      </c>
      <c r="H84" s="32" t="n">
        <v>5</v>
      </c>
      <c r="I84" s="32" t="n">
        <v>8</v>
      </c>
      <c r="J84" s="19">
        <f>SUM(D84:I84)</f>
        <v/>
      </c>
      <c r="K84" s="19">
        <f>RANK(J84,$J$2:$J$93)</f>
        <v/>
      </c>
      <c r="L84" s="19" t="inlineStr">
        <is>
          <t>Free trial credit (not startup-exclusive)</t>
        </is>
      </c>
    </row>
    <row r="85" ht="15" customHeight="1" s="17">
      <c r="A85" s="19" t="inlineStr">
        <is>
          <t>SB-084</t>
        </is>
      </c>
      <c r="B85" s="19" t="inlineStr">
        <is>
          <t>Sarvam AI</t>
        </is>
      </c>
      <c r="C85" s="19" t="inlineStr">
        <is>
          <t>Sarvam AI Startup Program</t>
        </is>
      </c>
      <c r="D85" s="32" t="n">
        <v>2</v>
      </c>
      <c r="E85" s="32" t="n">
        <v>14</v>
      </c>
      <c r="F85" s="32" t="n">
        <v>15</v>
      </c>
      <c r="G85" s="32" t="n">
        <v>10</v>
      </c>
      <c r="H85" s="32" t="n">
        <v>10</v>
      </c>
      <c r="I85" s="32" t="n">
        <v>8</v>
      </c>
      <c r="J85" s="19">
        <f>SUM(D85:I85)</f>
        <v/>
      </c>
      <c r="K85" s="19">
        <f>RANK(J85,$J$2:$J$93)</f>
        <v/>
      </c>
      <c r="L85" s="19" t="inlineStr">
        <is>
          <t>Startup credits (startup-specific)</t>
        </is>
      </c>
    </row>
    <row r="86" ht="15" customHeight="1" s="17">
      <c r="A86" s="19" t="inlineStr">
        <is>
          <t>SB-085</t>
        </is>
      </c>
      <c r="B86" s="19" t="inlineStr">
        <is>
          <t>Shortcut</t>
        </is>
      </c>
      <c r="C86" s="19" t="inlineStr">
        <is>
          <t>Shortcut for Startups</t>
        </is>
      </c>
      <c r="D86" s="32" t="n">
        <v>2</v>
      </c>
      <c r="E86" s="32" t="n">
        <v>14</v>
      </c>
      <c r="F86" s="32" t="n">
        <v>15</v>
      </c>
      <c r="G86" s="32" t="n">
        <v>8</v>
      </c>
      <c r="H86" s="32" t="n">
        <v>10</v>
      </c>
      <c r="I86" s="32" t="n">
        <v>8</v>
      </c>
      <c r="J86" s="19">
        <f>SUM(D86:I86)</f>
        <v/>
      </c>
      <c r="K86" s="19">
        <f>RANK(J86,$J$2:$J$93)</f>
        <v/>
      </c>
      <c r="L86" s="19" t="inlineStr">
        <is>
          <t>Startup plan / free subscription period</t>
        </is>
      </c>
    </row>
    <row r="87" ht="15" customHeight="1" s="17">
      <c r="A87" s="19" t="inlineStr">
        <is>
          <t>SB-086</t>
        </is>
      </c>
      <c r="B87" s="19" t="inlineStr">
        <is>
          <t>Snowflake</t>
        </is>
      </c>
      <c r="C87" s="19" t="inlineStr">
        <is>
          <t>Snowflake for Startups</t>
        </is>
      </c>
      <c r="D87" s="32" t="n">
        <v>2</v>
      </c>
      <c r="E87" s="32" t="n">
        <v>14</v>
      </c>
      <c r="F87" s="32" t="n">
        <v>15</v>
      </c>
      <c r="G87" s="32" t="n">
        <v>8</v>
      </c>
      <c r="H87" s="32" t="n">
        <v>10</v>
      </c>
      <c r="I87" s="32" t="n">
        <v>8</v>
      </c>
      <c r="J87" s="19">
        <f>SUM(D87:I87)</f>
        <v/>
      </c>
      <c r="K87" s="19">
        <f>RANK(J87,$J$2:$J$93)</f>
        <v/>
      </c>
      <c r="L87" s="19" t="inlineStr">
        <is>
          <t>Startup credits (startup-specific)</t>
        </is>
      </c>
    </row>
    <row r="88" ht="15" customHeight="1" s="17">
      <c r="A88" s="19" t="inlineStr">
        <is>
          <t>SB-087</t>
        </is>
      </c>
      <c r="B88" s="19" t="inlineStr">
        <is>
          <t>Stripe</t>
        </is>
      </c>
      <c r="C88" s="19" t="inlineStr">
        <is>
          <t>Stripe for Startups</t>
        </is>
      </c>
      <c r="D88" s="32" t="n">
        <v>2</v>
      </c>
      <c r="E88" s="32" t="n">
        <v>14</v>
      </c>
      <c r="F88" s="32" t="n">
        <v>15</v>
      </c>
      <c r="G88" s="32" t="n">
        <v>8</v>
      </c>
      <c r="H88" s="32" t="n">
        <v>10</v>
      </c>
      <c r="I88" s="32" t="n">
        <v>8</v>
      </c>
      <c r="J88" s="19">
        <f>SUM(D88:I88)</f>
        <v/>
      </c>
      <c r="K88" s="19">
        <f>RANK(J88,$J$2:$J$93)</f>
        <v/>
      </c>
      <c r="L88" s="19" t="inlineStr">
        <is>
          <t>Startup plan / free subscription period</t>
        </is>
      </c>
    </row>
    <row r="89" ht="15" customHeight="1" s="17">
      <c r="A89" s="19" t="inlineStr">
        <is>
          <t>SB-088</t>
        </is>
      </c>
      <c r="B89" s="19" t="inlineStr">
        <is>
          <t>T-Systems (T Cloud Public)</t>
        </is>
      </c>
      <c r="C89" s="19" t="inlineStr">
        <is>
          <t>T Cloud Public EUR 250 starter credit</t>
        </is>
      </c>
      <c r="D89" s="32" t="n">
        <v>4</v>
      </c>
      <c r="E89" s="32" t="n">
        <v>22</v>
      </c>
      <c r="F89" s="32" t="n">
        <v>15</v>
      </c>
      <c r="G89" s="32" t="n">
        <v>8</v>
      </c>
      <c r="H89" s="32" t="n">
        <v>10</v>
      </c>
      <c r="I89" s="32" t="n">
        <v>8</v>
      </c>
      <c r="J89" s="19">
        <f>SUM(D89:I89)</f>
        <v/>
      </c>
      <c r="K89" s="19">
        <f>RANK(J89,$J$2:$J$93)</f>
        <v/>
      </c>
      <c r="L89" s="19" t="inlineStr">
        <is>
          <t>Free trial credit (not startup-exclusive)</t>
        </is>
      </c>
    </row>
    <row r="90" ht="15" customHeight="1" s="17">
      <c r="A90" s="19" t="inlineStr">
        <is>
          <t>SB-089</t>
        </is>
      </c>
      <c r="B90" s="19" t="inlineStr">
        <is>
          <t>Tencent Cloud</t>
        </is>
      </c>
      <c r="C90" s="19" t="inlineStr">
        <is>
          <t>Tencent Cloud free tier</t>
        </is>
      </c>
      <c r="D90" s="32" t="n">
        <v>2</v>
      </c>
      <c r="E90" s="32" t="n">
        <v>22</v>
      </c>
      <c r="F90" s="32" t="n">
        <v>15</v>
      </c>
      <c r="G90" s="32" t="n">
        <v>8</v>
      </c>
      <c r="H90" s="32" t="n">
        <v>10</v>
      </c>
      <c r="I90" s="32" t="n">
        <v>8</v>
      </c>
      <c r="J90" s="19">
        <f>SUM(D90:I90)</f>
        <v/>
      </c>
      <c r="K90" s="19">
        <f>RANK(J90,$J$2:$J$93)</f>
        <v/>
      </c>
      <c r="L90" s="19" t="inlineStr">
        <is>
          <t>Free tier (ongoing, not startup-exclusive)</t>
        </is>
      </c>
    </row>
    <row r="91" ht="15" customHeight="1" s="17">
      <c r="A91" s="19" t="inlineStr">
        <is>
          <t>SB-090</t>
        </is>
      </c>
      <c r="B91" s="19" t="inlineStr">
        <is>
          <t>Vultr</t>
        </is>
      </c>
      <c r="C91" s="19" t="inlineStr">
        <is>
          <t>Vultr Free Tier Program</t>
        </is>
      </c>
      <c r="D91" s="32" t="n">
        <v>2</v>
      </c>
      <c r="E91" s="32" t="n">
        <v>22</v>
      </c>
      <c r="F91" s="32" t="n">
        <v>15</v>
      </c>
      <c r="G91" s="32" t="n">
        <v>8</v>
      </c>
      <c r="H91" s="32" t="n">
        <v>10</v>
      </c>
      <c r="I91" s="32" t="n">
        <v>8</v>
      </c>
      <c r="J91" s="19">
        <f>SUM(D91:I91)</f>
        <v/>
      </c>
      <c r="K91" s="19">
        <f>RANK(J91,$J$2:$J$93)</f>
        <v/>
      </c>
      <c r="L91" s="19" t="inlineStr">
        <is>
          <t>Free tier (ongoing, not startup-exclusive)</t>
        </is>
      </c>
    </row>
    <row r="92" ht="15" customHeight="1" s="17">
      <c r="A92" s="19" t="inlineStr">
        <is>
          <t>SB-091</t>
        </is>
      </c>
      <c r="B92" s="19" t="inlineStr">
        <is>
          <t>Anthropic</t>
        </is>
      </c>
      <c r="C92" s="19" t="inlineStr">
        <is>
          <t>Claude for Startups</t>
        </is>
      </c>
      <c r="D92" s="32" t="n">
        <v>2</v>
      </c>
      <c r="E92" s="32" t="n">
        <v>14</v>
      </c>
      <c r="F92" s="32" t="n">
        <v>0</v>
      </c>
      <c r="G92" s="32" t="n">
        <v>10</v>
      </c>
      <c r="H92" s="32" t="n">
        <v>10</v>
      </c>
      <c r="I92" s="32" t="n">
        <v>8</v>
      </c>
      <c r="J92" s="19">
        <f>SUM(D92:I92)</f>
        <v/>
      </c>
      <c r="K92" s="19">
        <f>RANK(J92,$J$2:$J$93)</f>
        <v/>
      </c>
      <c r="L92" s="19" t="inlineStr">
        <is>
          <t>Startup credits (startup-specific)</t>
        </is>
      </c>
    </row>
    <row r="93" ht="15" customHeight="1" s="17">
      <c r="A93" s="19" t="inlineStr">
        <is>
          <t>SB-092</t>
        </is>
      </c>
      <c r="B93" s="19" t="inlineStr">
        <is>
          <t>Huawei Cloud</t>
        </is>
      </c>
      <c r="C93" s="19" t="inlineStr">
        <is>
          <t>Huawei Cloud free packages for new users</t>
        </is>
      </c>
      <c r="D93" s="32" t="n">
        <v>2</v>
      </c>
      <c r="E93" s="32" t="n">
        <v>22</v>
      </c>
      <c r="F93" s="32" t="n">
        <v>15</v>
      </c>
      <c r="G93" s="32" t="n">
        <v>8</v>
      </c>
      <c r="H93" s="32" t="n">
        <v>5</v>
      </c>
      <c r="I93" s="32" t="n">
        <v>8</v>
      </c>
      <c r="J93" s="19">
        <f>SUM(D93:I93)</f>
        <v/>
      </c>
      <c r="K93" s="19">
        <f>RANK(J93,$J$2:$J$93)</f>
        <v/>
      </c>
      <c r="L93" s="19" t="inlineStr">
        <is>
          <t>Free trial credit (not startup-exclusive)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B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26" customWidth="1" style="17" min="2" max="2"/>
    <col width="45" customWidth="1" style="17" min="3" max="3"/>
    <col width="14" customWidth="1" style="17" min="4" max="4"/>
    <col width="31" customWidth="1" style="17" min="5" max="5"/>
    <col width="38" customWidth="1" style="17" min="6" max="6"/>
    <col width="42" customWidth="1" style="17" min="7" max="7"/>
    <col width="45" customWidth="1" style="17" min="8" max="8"/>
    <col width="24" customWidth="1" style="17" min="9" max="9"/>
    <col width="12" customWidth="1" style="17" min="10" max="10"/>
    <col width="12" customWidth="1" style="17" min="11" max="11"/>
    <col width="24" customWidth="1" style="17" min="12" max="12"/>
    <col width="19" customWidth="1" style="17" min="13" max="13"/>
    <col width="19" customWidth="1" style="17" min="14" max="14"/>
    <col width="14" customWidth="1" style="17" min="15" max="15"/>
    <col width="45" customWidth="1" style="17" min="16" max="16"/>
    <col width="45" customWidth="1" style="17" min="17" max="17"/>
    <col width="45" customWidth="1" style="17" min="18" max="18"/>
    <col width="45" customWidth="1" style="17" min="19" max="19"/>
    <col width="43" customWidth="1" style="17" min="20" max="20"/>
    <col width="30" customWidth="1" style="17" min="21" max="21"/>
    <col width="45" customWidth="1" style="17" min="22" max="22"/>
    <col width="45" customWidth="1" style="17" min="23" max="23"/>
    <col width="40" customWidth="1" style="17" min="24" max="24"/>
    <col width="37" customWidth="1" style="17" min="25" max="25"/>
    <col width="27" customWidth="1" style="17" min="26" max="26"/>
    <col width="20" customWidth="1" style="17" min="27" max="27"/>
    <col width="45" customWidth="1" style="17" min="28" max="28"/>
    <col width="45" customWidth="1" style="17" min="29" max="29"/>
    <col width="45" customWidth="1" style="17" min="30" max="30"/>
    <col width="45" customWidth="1" style="17" min="31" max="31"/>
    <col width="45" customWidth="1" style="17" min="32" max="32"/>
    <col width="15" customWidth="1" style="17" min="33" max="33"/>
    <col width="41" customWidth="1" style="17" min="34" max="34"/>
    <col width="45" customWidth="1" style="17" min="35" max="35"/>
    <col width="45" customWidth="1" style="17" min="36" max="36"/>
    <col width="45" customWidth="1" style="17" min="37" max="37"/>
    <col width="45" customWidth="1" style="17" min="38" max="38"/>
    <col width="18" customWidth="1" style="17" min="39" max="39"/>
    <col width="23" customWidth="1" style="17" min="40" max="40"/>
    <col width="12" customWidth="1" style="17" min="41" max="41"/>
    <col width="34" customWidth="1" style="17" min="42" max="42"/>
    <col width="42" customWidth="1" style="17" min="43" max="43"/>
    <col width="45" customWidth="1" style="17" min="44" max="44"/>
    <col width="18" customWidth="1" style="17" min="45" max="45"/>
    <col width="19" customWidth="1" style="17" min="46" max="46"/>
    <col width="25" customWidth="1" style="17" min="47" max="47"/>
    <col width="23" customWidth="1" style="17" min="48" max="48"/>
    <col width="21" customWidth="1" style="17" min="49" max="49"/>
    <col width="40" customWidth="1" style="17" min="50" max="50"/>
    <col width="45" customWidth="1" style="17" min="51" max="51"/>
    <col width="31" customWidth="1" style="17" min="52" max="52"/>
    <col width="45" customWidth="1" style="17" min="53" max="53"/>
    <col width="21" customWidth="1" style="17" min="54" max="54"/>
    <col width="41" customWidth="1" style="17" min="55" max="55"/>
    <col width="45" customWidth="1" style="17" min="56" max="56"/>
    <col width="15" customWidth="1" style="17" min="57" max="57"/>
    <col width="22" customWidth="1" style="17" min="58" max="58"/>
  </cols>
  <sheetData>
    <row r="1">
      <c r="A1" s="33" t="inlineStr">
        <is>
          <t>Unified ID</t>
        </is>
      </c>
      <c r="B1" s="33" t="inlineStr">
        <is>
          <t>Company / Provider</t>
        </is>
      </c>
      <c r="C1" s="33" t="inlineStr">
        <is>
          <t>Program Name</t>
        </is>
      </c>
      <c r="D1" s="33" t="inlineStr">
        <is>
          <t>Parent Company</t>
        </is>
      </c>
      <c r="E1" s="33" t="inlineStr">
        <is>
          <t>Main Category</t>
        </is>
      </c>
      <c r="F1" s="33" t="inlineStr">
        <is>
          <t>Subcategory</t>
        </is>
      </c>
      <c r="G1" s="33" t="inlineStr">
        <is>
          <t>Benefit Type</t>
        </is>
      </c>
      <c r="H1" s="33" t="inlineStr">
        <is>
          <t>Benefit Description</t>
        </is>
      </c>
      <c r="I1" s="33" t="inlineStr">
        <is>
          <t>Maximum Advertised Value</t>
        </is>
      </c>
      <c r="J1" s="33" t="inlineStr">
        <is>
          <t>Currency</t>
        </is>
      </c>
      <c r="K1" s="33" t="inlineStr">
        <is>
          <t>Value Type</t>
        </is>
      </c>
      <c r="L1" s="33" t="inlineStr">
        <is>
          <t>Minimum Guaranteed Value</t>
        </is>
      </c>
      <c r="M1" s="33" t="inlineStr">
        <is>
          <t>Free Credits Amount</t>
        </is>
      </c>
      <c r="N1" s="33" t="inlineStr">
        <is>
          <t>Discount Percentage</t>
        </is>
      </c>
      <c r="O1" s="33" t="inlineStr">
        <is>
          <t>Program Status</t>
        </is>
      </c>
      <c r="P1" s="33" t="inlineStr">
        <is>
          <t>Application URL</t>
        </is>
      </c>
      <c r="Q1" s="33" t="inlineStr">
        <is>
          <t>Official Program URL</t>
        </is>
      </c>
      <c r="R1" s="33" t="inlineStr">
        <is>
          <t>Redemption URL</t>
        </is>
      </c>
      <c r="S1" s="33" t="inlineStr">
        <is>
          <t>Eligibility Requirements</t>
        </is>
      </c>
      <c r="T1" s="33" t="inlineStr">
        <is>
          <t>Startup Stage Requirements</t>
        </is>
      </c>
      <c r="U1" s="33" t="inlineStr">
        <is>
          <t>Company Registration Required?</t>
        </is>
      </c>
      <c r="V1" s="33" t="inlineStr">
        <is>
          <t>Funding or VC Backing Required?</t>
        </is>
      </c>
      <c r="W1" s="33" t="inlineStr">
        <is>
          <t>Geographic Eligibility</t>
        </is>
      </c>
      <c r="X1" s="33" t="inlineStr">
        <is>
          <t>Available to Egypt-Based Startups?</t>
        </is>
      </c>
      <c r="Y1" s="33" t="inlineStr">
        <is>
          <t>Available to Bootstrapped Startups?</t>
        </is>
      </c>
      <c r="Z1" s="33" t="inlineStr">
        <is>
          <t>Available to Solo Founders?</t>
        </is>
      </c>
      <c r="AA1" s="33" t="inlineStr">
        <is>
          <t>AI-Specific Program?</t>
        </is>
      </c>
      <c r="AB1" s="33" t="inlineStr">
        <is>
          <t>Partner or Accelerator Required?</t>
        </is>
      </c>
      <c r="AC1" s="33" t="inlineStr">
        <is>
          <t>Application Method</t>
        </is>
      </c>
      <c r="AD1" s="33" t="inlineStr">
        <is>
          <t>Required Documents</t>
        </is>
      </c>
      <c r="AE1" s="33" t="inlineStr">
        <is>
          <t>Usage Restrictions</t>
        </is>
      </c>
      <c r="AF1" s="33" t="inlineStr">
        <is>
          <t>Renewal Conditions</t>
        </is>
      </c>
      <c r="AG1" s="33" t="inlineStr">
        <is>
          <t>Stacking Policy</t>
        </is>
      </c>
      <c r="AH1" s="33" t="inlineStr">
        <is>
          <t>Account or Payment Requirements</t>
        </is>
      </c>
      <c r="AI1" s="33" t="inlineStr">
        <is>
          <t>Key Limitations</t>
        </is>
      </c>
      <c r="AJ1" s="33" t="inlineStr">
        <is>
          <t>Official Evidence URL</t>
        </is>
      </c>
      <c r="AK1" s="33" t="inlineStr">
        <is>
          <t>Secondary Evidence URL</t>
        </is>
      </c>
      <c r="AL1" s="33" t="inlineStr">
        <is>
          <t>Evidence Excerpt or Supporting Fact</t>
        </is>
      </c>
      <c r="AM1" s="33" t="inlineStr">
        <is>
          <t>Last Verified Date</t>
        </is>
      </c>
      <c r="AN1" s="33" t="inlineStr">
        <is>
          <t>Verification Confidence</t>
        </is>
      </c>
      <c r="AO1" s="33" t="inlineStr">
        <is>
          <t>Source Type</t>
        </is>
      </c>
      <c r="AP1" s="33" t="inlineStr">
        <is>
          <t>Country or Region</t>
        </is>
      </c>
      <c r="AQ1" s="33" t="inlineStr">
        <is>
          <t>Tags</t>
        </is>
      </c>
      <c r="AR1" s="33" t="inlineStr">
        <is>
          <t>Research Notes</t>
        </is>
      </c>
      <c r="AS1" s="33" t="inlineStr">
        <is>
          <t>Duplicate Group ID</t>
        </is>
      </c>
      <c r="AT1" s="33" t="inlineStr">
        <is>
          <t>Source Presence</t>
        </is>
      </c>
      <c r="AU1" s="33" t="inlineStr">
        <is>
          <t>Repo ID</t>
        </is>
      </c>
      <c r="AV1" s="33" t="inlineStr">
        <is>
          <t>Repo Coupon Status</t>
        </is>
      </c>
      <c r="AW1" s="33" t="inlineStr">
        <is>
          <t>Promo / Referral Code</t>
        </is>
      </c>
      <c r="AX1" s="33" t="inlineStr">
        <is>
          <t>Promo / Referral Source</t>
        </is>
      </c>
      <c r="AY1" s="33" t="inlineStr">
        <is>
          <t>Promo / Referral Notes</t>
        </is>
      </c>
      <c r="AZ1" s="33" t="inlineStr">
        <is>
          <t>Repo Match Method</t>
        </is>
      </c>
      <c r="BA1" s="33" t="inlineStr">
        <is>
          <t>Repo Community Signal</t>
        </is>
      </c>
      <c r="BB1" s="33" t="inlineStr">
        <is>
          <t>Normalized Provider</t>
        </is>
      </c>
      <c r="BC1" s="33" t="inlineStr">
        <is>
          <t>Normalized Program</t>
        </is>
      </c>
      <c r="BD1" s="33" t="inlineStr">
        <is>
          <t>Duplicate Group Key</t>
        </is>
      </c>
      <c r="BE1" s="33" t="inlineStr">
        <is>
          <t>Duplicate Count</t>
        </is>
      </c>
      <c r="BF1" s="33" t="inlineStr">
        <is>
          <t>Needs Duplicate Review</t>
        </is>
      </c>
    </row>
    <row r="2">
      <c r="A2" s="34" t="inlineStr">
        <is>
          <t>SB-001</t>
        </is>
      </c>
      <c r="B2" s="34" t="inlineStr">
        <is>
          <t>Amazon Web Services</t>
        </is>
      </c>
      <c r="C2" s="34" t="inlineStr">
        <is>
          <t>AWS Activate Founders</t>
        </is>
      </c>
      <c r="D2" s="34" t="inlineStr">
        <is>
          <t>Amazon</t>
        </is>
      </c>
      <c r="E2" s="34" t="inlineStr">
        <is>
          <t>Cloud &amp; Infrastructure</t>
        </is>
      </c>
      <c r="F2" s="34" t="inlineStr">
        <is>
          <t>Cloud credits (self-funded tier)</t>
        </is>
      </c>
      <c r="G2" s="34" t="inlineStr">
        <is>
          <t>Startup credits (startup-specific)</t>
        </is>
      </c>
      <c r="H2" s="34" t="inlineStr">
        <is>
          <t>Promotional AWS credits for self-funded startups: start with $1,000; select participants may qualify for up to $5,000.</t>
        </is>
      </c>
      <c r="I2" s="34" t="inlineStr">
        <is>
          <t>5000</t>
        </is>
      </c>
      <c r="J2" s="34" t="inlineStr">
        <is>
          <t>USD</t>
        </is>
      </c>
      <c r="K2" s="34" t="inlineStr">
        <is>
          <t>Credits</t>
        </is>
      </c>
      <c r="L2" s="34" t="inlineStr">
        <is>
          <t>1000</t>
        </is>
      </c>
      <c r="M2" s="34" t="inlineStr">
        <is>
          <t>5000</t>
        </is>
      </c>
      <c r="N2" s="34" t="inlineStr"/>
      <c r="O2" s="34" t="inlineStr">
        <is>
          <t>Open</t>
        </is>
      </c>
      <c r="P2" s="34" t="inlineStr">
        <is>
          <t>https://aws.amazon.com/startups/join?destination=/credits/apply</t>
        </is>
      </c>
      <c r="Q2" s="34" t="inlineStr">
        <is>
          <t>https://aws.amazon.com/startups/credits/</t>
        </is>
      </c>
      <c r="R2" s="34" t="inlineStr">
        <is>
          <t>https://aws.amazon.com/startups/join?destination=/credits/apply</t>
        </is>
      </c>
      <c r="S2" s="34" t="inlineStr">
        <is>
          <t>Pre-Series B, founded in the last 10 years, AWS account on Paid Tier plan, and either new to Activate Credits or requesting more than previously received.</t>
        </is>
      </c>
      <c r="T2" s="34" t="inlineStr">
        <is>
          <t>Pre-seed to pre-Series B (self-funded tier)</t>
        </is>
      </c>
      <c r="U2" s="34" t="inlineStr">
        <is>
          <t>Unknown</t>
        </is>
      </c>
      <c r="V2" s="34" t="inlineStr">
        <is>
          <t>No</t>
        </is>
      </c>
      <c r="W2" s="34" t="inlineStr">
        <is>
          <t>No country list on page (not confirmed)</t>
        </is>
      </c>
      <c r="X2" s="34" t="inlineStr">
        <is>
          <t>Unverified</t>
        </is>
      </c>
      <c r="Y2" s="34" t="inlineStr">
        <is>
          <t>Yes</t>
        </is>
      </c>
      <c r="Z2" s="34" t="inlineStr">
        <is>
          <t>Unknown</t>
        </is>
      </c>
      <c r="AA2" s="34" t="inlineStr">
        <is>
          <t>No</t>
        </is>
      </c>
      <c r="AB2" s="34" t="inlineStr">
        <is>
          <t>No</t>
        </is>
      </c>
      <c r="AC2" s="34" t="inlineStr">
        <is>
          <t>Create AWS Builder ID, choose tier, describe startup, link AWS account and submit</t>
        </is>
      </c>
      <c r="AD2" s="34" t="inlineStr">
        <is>
          <t>Builder ID; AWS account on Paid Tier plan; startup profile details</t>
        </is>
      </c>
      <c r="AE2" s="34" t="inlineStr">
        <is>
          <t>Credits subject to AWS Promotional Credit Terms</t>
        </is>
      </c>
      <c r="AF2" s="34" t="inlineStr">
        <is>
          <t>Not stated</t>
        </is>
      </c>
      <c r="AG2" s="34" t="inlineStr">
        <is>
          <t>Not stated</t>
        </is>
      </c>
      <c r="AH2" s="34" t="inlineStr">
        <is>
          <t>Paid Tier AWS account required</t>
        </is>
      </c>
      <c r="AI2" s="34" t="inlineStr">
        <is>
          <t>Starts at $1,000; the $5,000 ceiling is for select participants only. Decision in 5-10 business days.</t>
        </is>
      </c>
      <c r="AJ2" s="34" t="inlineStr">
        <is>
          <t>https://aws.amazon.com/startups/credits/</t>
        </is>
      </c>
      <c r="AK2" s="34" t="inlineStr">
        <is>
          <t>https://aifree.dev/offer/aws-activate-credits</t>
        </is>
      </c>
      <c r="AL2" s="34" t="inlineStr">
        <is>
          <t>Official page: Activate Founders tier for self-funded startups; up to $5,000 USD; start with $1,000.</t>
        </is>
      </c>
      <c r="AM2" s="34" t="inlineStr">
        <is>
          <t>2026-10-24</t>
        </is>
      </c>
      <c r="AN2" s="34" t="inlineStr">
        <is>
          <t>High</t>
        </is>
      </c>
      <c r="AO2" s="34" t="inlineStr">
        <is>
          <t>Official</t>
        </is>
      </c>
      <c r="AP2" s="34" t="inlineStr">
        <is>
          <t>Global (country list not stated)</t>
        </is>
      </c>
      <c r="AQ2" s="34" t="inlineStr">
        <is>
          <t>aws,cloud,credits,bootstrapped,self-funded</t>
        </is>
      </c>
      <c r="AR2" s="34" t="inlineStr">
        <is>
          <t>Country availability not listed on the page; confirm Egypt during application.</t>
        </is>
      </c>
      <c r="AS2" s="34" t="inlineStr">
        <is>
          <t>DG-AWS-F</t>
        </is>
      </c>
      <c r="AT2" s="34" t="inlineStr">
        <is>
          <t>Excel + GitHub repo</t>
        </is>
      </c>
      <c r="AU2" s="34" t="inlineStr">
        <is>
          <t>aws-activate</t>
        </is>
      </c>
      <c r="AV2" s="34" t="inlineStr">
        <is>
          <t>No public code verified</t>
        </is>
      </c>
      <c r="AW2" s="34" t="inlineStr">
        <is>
          <t>Not published</t>
        </is>
      </c>
      <c r="AX2" s="34" t="inlineStr">
        <is>
          <t>https://aws.amazon.com/startups/credits/</t>
        </is>
      </c>
      <c r="AY2" s="34" t="inlineStr">
        <is>
          <t>No provider-published coupon code found in the verified source; do not treat third-party codes as confirmed.</t>
        </is>
      </c>
      <c r="AZ2" s="34" t="inlineStr">
        <is>
          <t>Exact official URL</t>
        </is>
      </c>
      <c r="BA2" s="34" t="inlineStr">
        <is>
          <t>No reliable community code confirmation recorded</t>
        </is>
      </c>
      <c r="BB2" s="34" t="inlineStr">
        <is>
          <t>amazonwebservices</t>
        </is>
      </c>
      <c r="BC2" s="34" t="inlineStr">
        <is>
          <t>awsactivatefounders</t>
        </is>
      </c>
      <c r="BD2" s="34" t="inlineStr">
        <is>
          <t>amazonwebservices|awsactivatefounders</t>
        </is>
      </c>
      <c r="BE2" s="34" t="n">
        <v>1</v>
      </c>
      <c r="BF2" s="34" t="inlineStr">
        <is>
          <t>No</t>
        </is>
      </c>
    </row>
    <row r="3">
      <c r="A3" s="34" t="inlineStr">
        <is>
          <t>SB-002</t>
        </is>
      </c>
      <c r="B3" s="34" t="inlineStr">
        <is>
          <t>Amazon Web Services</t>
        </is>
      </c>
      <c r="C3" s="34" t="inlineStr">
        <is>
          <t>AWS Activate Portfolio</t>
        </is>
      </c>
      <c r="D3" s="34" t="inlineStr">
        <is>
          <t>Amazon</t>
        </is>
      </c>
      <c r="E3" s="34" t="inlineStr">
        <is>
          <t>Cloud &amp; Infrastructure</t>
        </is>
      </c>
      <c r="F3" s="34" t="inlineStr">
        <is>
          <t>Cloud credits (provider-referred tier)</t>
        </is>
      </c>
      <c r="G3" s="34" t="inlineStr">
        <is>
          <t>Startup credits (startup-specific)</t>
        </is>
      </c>
      <c r="H3" s="34" t="inlineStr">
        <is>
          <t>Up to $200,000 in AWS Activate Credits for pre-Series B startups, applied for using an Org ID from an Activate Provider (accelerator, angel, VC).</t>
        </is>
      </c>
      <c r="I3" s="34" t="inlineStr">
        <is>
          <t>200000</t>
        </is>
      </c>
      <c r="J3" s="34" t="inlineStr">
        <is>
          <t>USD</t>
        </is>
      </c>
      <c r="K3" s="34" t="inlineStr">
        <is>
          <t>Credits</t>
        </is>
      </c>
      <c r="L3" s="34" t="inlineStr"/>
      <c r="M3" s="34" t="inlineStr">
        <is>
          <t>200000</t>
        </is>
      </c>
      <c r="N3" s="34" t="inlineStr"/>
      <c r="O3" s="34" t="inlineStr">
        <is>
          <t>Open</t>
        </is>
      </c>
      <c r="P3" s="34" t="inlineStr">
        <is>
          <t>https://aws.amazon.com/startups/join?destination=/credits/apply</t>
        </is>
      </c>
      <c r="Q3" s="34" t="inlineStr">
        <is>
          <t>https://aws.amazon.com/startups/credits/</t>
        </is>
      </c>
      <c r="R3" s="34" t="inlineStr">
        <is>
          <t>https://aws.amazon.com/startups/join?destination=/credits/apply</t>
        </is>
      </c>
      <c r="S3" s="34" t="inlineStr">
        <is>
          <t>Pre-Series B, founded within 10 years, Paid Tier AWS account, valid Org ID from an Activate Provider.</t>
        </is>
      </c>
      <c r="T3" s="34" t="inlineStr">
        <is>
          <t>Pre-Series B</t>
        </is>
      </c>
      <c r="U3" s="34" t="inlineStr">
        <is>
          <t>Unknown</t>
        </is>
      </c>
      <c r="V3" s="34" t="inlineStr">
        <is>
          <t>Not required, but needs an Activate Provider Org ID</t>
        </is>
      </c>
      <c r="W3" s="34" t="inlineStr">
        <is>
          <t>No country list on page (not confirmed)</t>
        </is>
      </c>
      <c r="X3" s="34" t="inlineStr">
        <is>
          <t>Unverified</t>
        </is>
      </c>
      <c r="Y3" s="34" t="inlineStr">
        <is>
          <t>No (needs provider)</t>
        </is>
      </c>
      <c r="Z3" s="34" t="inlineStr">
        <is>
          <t>Unknown</t>
        </is>
      </c>
      <c r="AA3" s="34" t="inlineStr">
        <is>
          <t>No</t>
        </is>
      </c>
      <c r="AB3" s="34" t="inlineStr">
        <is>
          <t>Yes</t>
        </is>
      </c>
      <c r="AC3" s="34" t="inlineStr">
        <is>
          <t>Apply with Activate Provider Org ID via AWS startups portal</t>
        </is>
      </c>
      <c r="AD3" s="34" t="inlineStr">
        <is>
          <t>Org ID from Activate Provider; Builder ID; AWS account</t>
        </is>
      </c>
      <c r="AE3" s="34" t="inlineStr">
        <is>
          <t>Subject to AWS Promotional Credit Terms</t>
        </is>
      </c>
      <c r="AF3" s="34" t="inlineStr">
        <is>
          <t>Not stated</t>
        </is>
      </c>
      <c r="AG3" s="34" t="inlineStr">
        <is>
          <t>Not stated</t>
        </is>
      </c>
      <c r="AH3" s="34" t="inlineStr">
        <is>
          <t>Paid Tier AWS account</t>
        </is>
      </c>
      <c r="AI3" s="34" t="inlineStr">
        <is>
          <t>Requires an Activate Provider (accelerator/VC/angel); not available to unaffiliated founders.</t>
        </is>
      </c>
      <c r="AJ3" s="34" t="inlineStr">
        <is>
          <t>https://aws.amazon.com/startups/credits/</t>
        </is>
      </c>
      <c r="AK3" s="34" t="inlineStr">
        <is>
          <t>https://aws.amazon.com/startups/providers</t>
        </is>
      </c>
      <c r="AL3" s="34" t="inlineStr">
        <is>
          <t>Official page: Activate Portfolio, up to $200,000 USD, requires Org ID from an Activate Provider.</t>
        </is>
      </c>
      <c r="AM3" s="34" t="inlineStr">
        <is>
          <t>2026-10-24</t>
        </is>
      </c>
      <c r="AN3" s="34" t="inlineStr">
        <is>
          <t>High</t>
        </is>
      </c>
      <c r="AO3" s="34" t="inlineStr">
        <is>
          <t>Official</t>
        </is>
      </c>
      <c r="AP3" s="34" t="inlineStr">
        <is>
          <t>Global (country list not stated)</t>
        </is>
      </c>
      <c r="AQ3" s="34" t="inlineStr">
        <is>
          <t>aws,cloud,credits,accelerator-required</t>
        </is>
      </c>
      <c r="AR3" s="34" t="inlineStr">
        <is>
          <t>Providers directory link seen on official page, not opened.</t>
        </is>
      </c>
      <c r="AS3" s="34" t="inlineStr">
        <is>
          <t>DG-AWS-P</t>
        </is>
      </c>
      <c r="AT3" s="34" t="inlineStr">
        <is>
          <t>Excel + GitHub repo</t>
        </is>
      </c>
      <c r="AU3" s="34" t="inlineStr">
        <is>
          <t>aws-activate</t>
        </is>
      </c>
      <c r="AV3" s="34" t="inlineStr">
        <is>
          <t>No public code verified</t>
        </is>
      </c>
      <c r="AW3" s="34" t="inlineStr">
        <is>
          <t>Not published</t>
        </is>
      </c>
      <c r="AX3" s="34" t="inlineStr">
        <is>
          <t>https://aws.amazon.com/startups/credits/</t>
        </is>
      </c>
      <c r="AY3" s="34" t="inlineStr">
        <is>
          <t>No provider-published coupon code found in the verified source; do not treat third-party codes as confirmed.</t>
        </is>
      </c>
      <c r="AZ3" s="34" t="inlineStr">
        <is>
          <t>Exact official URL</t>
        </is>
      </c>
      <c r="BA3" s="34" t="inlineStr">
        <is>
          <t>No reliable community code confirmation recorded</t>
        </is>
      </c>
      <c r="BB3" s="34" t="inlineStr">
        <is>
          <t>amazonwebservices</t>
        </is>
      </c>
      <c r="BC3" s="34" t="inlineStr">
        <is>
          <t>awsactivateportfolio</t>
        </is>
      </c>
      <c r="BD3" s="34" t="inlineStr">
        <is>
          <t>amazonwebservices|awsactivateportfolio</t>
        </is>
      </c>
      <c r="BE3" s="34" t="n">
        <v>1</v>
      </c>
      <c r="BF3" s="34" t="inlineStr">
        <is>
          <t>No</t>
        </is>
      </c>
    </row>
    <row r="4">
      <c r="A4" s="34" t="inlineStr">
        <is>
          <t>SB-003</t>
        </is>
      </c>
      <c r="B4" s="34" t="inlineStr">
        <is>
          <t>Amazon Web Services</t>
        </is>
      </c>
      <c r="C4" s="34" t="inlineStr">
        <is>
          <t>AWS Credits for AI Startups</t>
        </is>
      </c>
      <c r="D4" s="34" t="inlineStr">
        <is>
          <t>Amazon</t>
        </is>
      </c>
      <c r="E4" s="34" t="inlineStr">
        <is>
          <t>Cloud &amp; Infrastructure</t>
        </is>
      </c>
      <c r="F4" s="34" t="inlineStr">
        <is>
          <t>AI cloud credits (invite only)</t>
        </is>
      </c>
      <c r="G4" s="34" t="inlineStr">
        <is>
          <t>Startup credits (startup-specific)</t>
        </is>
      </c>
      <c r="H4" s="34" t="inlineStr">
        <is>
          <t>$200,000+ in AWS credits for AI startups ready to scale after Activate Portfolio; invite-only via account manager.</t>
        </is>
      </c>
      <c r="I4" s="34" t="inlineStr">
        <is>
          <t>200000</t>
        </is>
      </c>
      <c r="J4" s="34" t="inlineStr">
        <is>
          <t>USD</t>
        </is>
      </c>
      <c r="K4" s="34" t="inlineStr">
        <is>
          <t>Credits</t>
        </is>
      </c>
      <c r="L4" s="34" t="inlineStr"/>
      <c r="M4" s="34" t="inlineStr">
        <is>
          <t>200000</t>
        </is>
      </c>
      <c r="N4" s="34" t="inlineStr"/>
      <c r="O4" s="34" t="inlineStr">
        <is>
          <t>Waitlist</t>
        </is>
      </c>
      <c r="P4" s="34" t="inlineStr">
        <is>
          <t>Not verified this session</t>
        </is>
      </c>
      <c r="Q4" s="34" t="inlineStr">
        <is>
          <t>https://aws.amazon.com/startups/credits/</t>
        </is>
      </c>
      <c r="R4" s="34" t="inlineStr">
        <is>
          <t>Not stated</t>
        </is>
      </c>
      <c r="S4" s="34" t="inlineStr">
        <is>
          <t>Invite only; startups ready to scale after Activate Portfolio.</t>
        </is>
      </c>
      <c r="T4" s="34" t="inlineStr">
        <is>
          <t>Growth stage after Activate Portfolio</t>
        </is>
      </c>
      <c r="U4" s="34" t="inlineStr">
        <is>
          <t>Unknown</t>
        </is>
      </c>
      <c r="V4" s="34" t="inlineStr">
        <is>
          <t>Unknown</t>
        </is>
      </c>
      <c r="W4" s="34" t="inlineStr">
        <is>
          <t>Not stated</t>
        </is>
      </c>
      <c r="X4" s="34" t="inlineStr">
        <is>
          <t>Unverified</t>
        </is>
      </c>
      <c r="Y4" s="34" t="inlineStr">
        <is>
          <t>No</t>
        </is>
      </c>
      <c r="Z4" s="34" t="inlineStr">
        <is>
          <t>No</t>
        </is>
      </c>
      <c r="AA4" s="34" t="inlineStr">
        <is>
          <t>Yes</t>
        </is>
      </c>
      <c r="AB4" s="34" t="inlineStr">
        <is>
          <t>Unknown</t>
        </is>
      </c>
      <c r="AC4" s="34" t="inlineStr">
        <is>
          <t>Talk to AWS Account Manager or contact the AWS startups team</t>
        </is>
      </c>
      <c r="AD4" s="34" t="inlineStr">
        <is>
          <t>Not stated</t>
        </is>
      </c>
      <c r="AE4" s="34" t="inlineStr">
        <is>
          <t>Not stated</t>
        </is>
      </c>
      <c r="AF4" s="34" t="inlineStr">
        <is>
          <t>Not stated</t>
        </is>
      </c>
      <c r="AG4" s="34" t="inlineStr">
        <is>
          <t>Not stated</t>
        </is>
      </c>
      <c r="AH4" s="34" t="inlineStr">
        <is>
          <t>Not stated</t>
        </is>
      </c>
      <c r="AI4" s="34" t="inlineStr">
        <is>
          <t>Cannot be applied for directly; invite only.</t>
        </is>
      </c>
      <c r="AJ4" s="34" t="inlineStr">
        <is>
          <t>https://aws.amazon.com/startups/credits/</t>
        </is>
      </c>
      <c r="AK4" s="34" t="inlineStr"/>
      <c r="AL4" s="34" t="inlineStr">
        <is>
          <t>Official page: invite-only tier for post-Portfolio startups, $200,000+.</t>
        </is>
      </c>
      <c r="AM4" s="34" t="inlineStr">
        <is>
          <t>2026-10-24</t>
        </is>
      </c>
      <c r="AN4" s="34" t="inlineStr">
        <is>
          <t>High</t>
        </is>
      </c>
      <c r="AO4" s="34" t="inlineStr">
        <is>
          <t>Official</t>
        </is>
      </c>
      <c r="AP4" s="34" t="inlineStr">
        <is>
          <t>Global (not stated)</t>
        </is>
      </c>
      <c r="AQ4" s="34" t="inlineStr">
        <is>
          <t>aws,ai,invite-only</t>
        </is>
      </c>
      <c r="AR4" s="34" t="inlineStr">
        <is>
          <t>Status set to Waitlist because access is by invitation only (no public application).</t>
        </is>
      </c>
      <c r="AS4" s="34" t="inlineStr">
        <is>
          <t>DG-AWS-AI</t>
        </is>
      </c>
      <c r="AT4" s="34" t="inlineStr">
        <is>
          <t>Excel + GitHub repo</t>
        </is>
      </c>
      <c r="AU4" s="34" t="inlineStr">
        <is>
          <t>aws-activate</t>
        </is>
      </c>
      <c r="AV4" s="34" t="inlineStr">
        <is>
          <t>No public code verified</t>
        </is>
      </c>
      <c r="AW4" s="34" t="inlineStr">
        <is>
          <t>Not published</t>
        </is>
      </c>
      <c r="AX4" s="34" t="inlineStr">
        <is>
          <t>https://aws.amazon.com/startups/credits/</t>
        </is>
      </c>
      <c r="AY4" s="34" t="inlineStr">
        <is>
          <t>No provider-published coupon code found in the verified source; do not treat third-party codes as confirmed.</t>
        </is>
      </c>
      <c r="AZ4" s="34" t="inlineStr">
        <is>
          <t>Exact official URL</t>
        </is>
      </c>
      <c r="BA4" s="34" t="inlineStr">
        <is>
          <t>No reliable community code confirmation recorded</t>
        </is>
      </c>
      <c r="BB4" s="34" t="inlineStr">
        <is>
          <t>amazonwebservices</t>
        </is>
      </c>
      <c r="BC4" s="34" t="inlineStr">
        <is>
          <t>awscreditsforaistartups</t>
        </is>
      </c>
      <c r="BD4" s="34" t="inlineStr">
        <is>
          <t>amazonwebservices|awscreditsforaistartups</t>
        </is>
      </c>
      <c r="BE4" s="34" t="n">
        <v>1</v>
      </c>
      <c r="BF4" s="34" t="inlineStr">
        <is>
          <t>No</t>
        </is>
      </c>
    </row>
    <row r="5">
      <c r="A5" s="34" t="inlineStr">
        <is>
          <t>SB-004</t>
        </is>
      </c>
      <c r="B5" s="34" t="inlineStr">
        <is>
          <t>Amazon Web Services (Kiro)</t>
        </is>
      </c>
      <c r="C5" s="34" t="inlineStr">
        <is>
          <t>Kiro Startup Credits</t>
        </is>
      </c>
      <c r="D5" s="34" t="inlineStr">
        <is>
          <t>Amazon</t>
        </is>
      </c>
      <c r="E5" s="34" t="inlineStr">
        <is>
          <t>AI &amp; LLM Credits</t>
        </is>
      </c>
      <c r="F5" s="34" t="inlineStr">
        <is>
          <t>AI coding assistant credits</t>
        </is>
      </c>
      <c r="G5" s="34" t="inlineStr">
        <is>
          <t>Startup credits (startup-specific)</t>
        </is>
      </c>
      <c r="H5" s="34" t="inlineStr">
        <is>
          <t>Credits for the Kiro agentic development environment, for eligible startups without current Activate Credits; amount not stated on the AWS page.</t>
        </is>
      </c>
      <c r="I5" s="34" t="inlineStr"/>
      <c r="J5" s="34" t="inlineStr">
        <is>
          <t>USD</t>
        </is>
      </c>
      <c r="K5" s="34" t="inlineStr">
        <is>
          <t>Credits</t>
        </is>
      </c>
      <c r="L5" s="34" t="inlineStr"/>
      <c r="M5" s="34" t="inlineStr"/>
      <c r="N5" s="34" t="inlineStr"/>
      <c r="O5" s="34" t="inlineStr">
        <is>
          <t>Open</t>
        </is>
      </c>
      <c r="P5" s="34" t="inlineStr">
        <is>
          <t>https://kiro.dev/startups/</t>
        </is>
      </c>
      <c r="Q5" s="34" t="inlineStr">
        <is>
          <t>https://kiro.dev/startups/</t>
        </is>
      </c>
      <c r="R5" s="34" t="inlineStr">
        <is>
          <t>https://kiro.dev/startups/</t>
        </is>
      </c>
      <c r="S5" s="34" t="inlineStr">
        <is>
          <t>Eligible startups without current AWS Activate Credits (per AWS page).</t>
        </is>
      </c>
      <c r="T5" s="34" t="inlineStr">
        <is>
          <t>Not stated</t>
        </is>
      </c>
      <c r="U5" s="34" t="inlineStr">
        <is>
          <t>Unknown</t>
        </is>
      </c>
      <c r="V5" s="34" t="inlineStr">
        <is>
          <t>Unknown</t>
        </is>
      </c>
      <c r="W5" s="34" t="inlineStr">
        <is>
          <t>Not stated</t>
        </is>
      </c>
      <c r="X5" s="34" t="inlineStr">
        <is>
          <t>Unverified</t>
        </is>
      </c>
      <c r="Y5" s="34" t="inlineStr">
        <is>
          <t>Unknown</t>
        </is>
      </c>
      <c r="Z5" s="34" t="inlineStr">
        <is>
          <t>Unknown</t>
        </is>
      </c>
      <c r="AA5" s="34" t="inlineStr">
        <is>
          <t>Yes</t>
        </is>
      </c>
      <c r="AB5" s="34" t="inlineStr">
        <is>
          <t>No</t>
        </is>
      </c>
      <c r="AC5" s="34" t="inlineStr">
        <is>
          <t>Apply on kiro.dev/startups (link on AWS page)</t>
        </is>
      </c>
      <c r="AD5" s="34" t="inlineStr">
        <is>
          <t>Not stated</t>
        </is>
      </c>
      <c r="AE5" s="34" t="inlineStr">
        <is>
          <t>Not stated</t>
        </is>
      </c>
      <c r="AF5" s="34" t="inlineStr">
        <is>
          <t>Not stated</t>
        </is>
      </c>
      <c r="AG5" s="34" t="inlineStr">
        <is>
          <t>Not stated</t>
        </is>
      </c>
      <c r="AH5" s="34" t="inlineStr">
        <is>
          <t>Not stated</t>
        </is>
      </c>
      <c r="AI5" s="34" t="inlineStr">
        <is>
          <t>Not available to startups that currently hold Activate Credits.</t>
        </is>
      </c>
      <c r="AJ5" s="34" t="inlineStr">
        <is>
          <t>https://aws.amazon.com/startups/credits/</t>
        </is>
      </c>
      <c r="AK5" s="34" t="inlineStr">
        <is>
          <t>https://kiro.dev/startups/</t>
        </is>
      </c>
      <c r="AL5" s="34" t="inlineStr">
        <is>
          <t>AWS Activate page lists Kiro Startup Credits for eligible startups without current Activate Credits.</t>
        </is>
      </c>
      <c r="AM5" s="34" t="inlineStr">
        <is>
          <t>2026-10-24</t>
        </is>
      </c>
      <c r="AN5" s="34" t="inlineStr">
        <is>
          <t>Medium</t>
        </is>
      </c>
      <c r="AO5" s="34" t="inlineStr">
        <is>
          <t>Official</t>
        </is>
      </c>
      <c r="AP5" s="34" t="inlineStr">
        <is>
          <t>Global (not stated)</t>
        </is>
      </c>
      <c r="AQ5" s="34" t="inlineStr">
        <is>
          <t>aws,kiro,ai-coding</t>
        </is>
      </c>
      <c r="AR5" s="34" t="inlineStr">
        <is>
          <t>kiro.dev page itself was NOT opened; amount unknown.</t>
        </is>
      </c>
      <c r="AS5" s="34" t="inlineStr">
        <is>
          <t>DG-KIRO</t>
        </is>
      </c>
      <c r="AT5" s="34" t="inlineStr">
        <is>
          <t>Excel only</t>
        </is>
      </c>
      <c r="AU5" s="34" t="inlineStr"/>
      <c r="AV5" s="34" t="inlineStr"/>
      <c r="AW5" s="34" t="inlineStr"/>
      <c r="AX5" s="34" t="inlineStr"/>
      <c r="AY5" s="34" t="inlineStr"/>
      <c r="AZ5" s="34" t="inlineStr"/>
      <c r="BA5" s="34" t="inlineStr"/>
      <c r="BB5" s="34" t="inlineStr">
        <is>
          <t>amazonwebserviceskiro</t>
        </is>
      </c>
      <c r="BC5" s="34" t="inlineStr">
        <is>
          <t>kirostartupcredits</t>
        </is>
      </c>
      <c r="BD5" s="34" t="inlineStr">
        <is>
          <t>amazonwebserviceskiro|kirostartupcredits</t>
        </is>
      </c>
      <c r="BE5" s="34" t="n">
        <v>1</v>
      </c>
      <c r="BF5" s="34" t="inlineStr">
        <is>
          <t>No</t>
        </is>
      </c>
    </row>
    <row r="6">
      <c r="A6" s="34" t="inlineStr">
        <is>
          <t>SB-005</t>
        </is>
      </c>
      <c r="B6" s="34" t="inlineStr">
        <is>
          <t>Google Cloud</t>
        </is>
      </c>
      <c r="C6" s="34" t="inlineStr">
        <is>
          <t>Google for Startups Cloud Program - Start tier</t>
        </is>
      </c>
      <c r="D6" s="34" t="inlineStr">
        <is>
          <t>Alphabet</t>
        </is>
      </c>
      <c r="E6" s="34" t="inlineStr">
        <is>
          <t>Cloud &amp; Infrastructure</t>
        </is>
      </c>
      <c r="F6" s="34" t="inlineStr">
        <is>
          <t>Cloud credits (entry tier)</t>
        </is>
      </c>
      <c r="G6" s="34" t="inlineStr">
        <is>
          <t>Startup credits (startup-specific)</t>
        </is>
      </c>
      <c r="H6" s="34" t="inlineStr">
        <is>
          <t>Entry tier with $2,000 in credits for startups founded in the past 2 years with a working MVP and plans to seek venture funding.</t>
        </is>
      </c>
      <c r="I6" s="34" t="inlineStr">
        <is>
          <t>2000</t>
        </is>
      </c>
      <c r="J6" s="34" t="inlineStr">
        <is>
          <t>USD</t>
        </is>
      </c>
      <c r="K6" s="34" t="inlineStr">
        <is>
          <t>Credits</t>
        </is>
      </c>
      <c r="L6" s="34" t="inlineStr"/>
      <c r="M6" s="34" t="inlineStr">
        <is>
          <t>2000</t>
        </is>
      </c>
      <c r="N6" s="34" t="inlineStr"/>
      <c r="O6" s="34" t="inlineStr">
        <is>
          <t>Open</t>
        </is>
      </c>
      <c r="P6" s="34" t="inlineStr">
        <is>
          <t>Not verified this session</t>
        </is>
      </c>
      <c r="Q6" s="34" t="inlineStr">
        <is>
          <t>https://cloud.google.com/startup</t>
        </is>
      </c>
      <c r="R6" s="34" t="inlineStr">
        <is>
          <t>https://cloud.google.com/startup</t>
        </is>
      </c>
      <c r="S6" s="34" t="inlineStr">
        <is>
          <t>Founded within 2 years, working MVP, clear business model, plans to seek venture funding. Business email must match website domain; active website required; GCP billing account owned by a company-domain user.</t>
        </is>
      </c>
      <c r="T6" s="34" t="inlineStr">
        <is>
          <t>Pre-funded to early</t>
        </is>
      </c>
      <c r="U6" s="34" t="inlineStr">
        <is>
          <t>Unknown</t>
        </is>
      </c>
      <c r="V6" s="34" t="inlineStr">
        <is>
          <t>No (Start tier)</t>
        </is>
      </c>
      <c r="W6" s="34" t="inlineStr">
        <is>
          <t>Region where Google Cloud is generally available and self-service purchasable</t>
        </is>
      </c>
      <c r="X6" s="34" t="inlineStr">
        <is>
          <t>Unverified (regional restrictions noted)</t>
        </is>
      </c>
      <c r="Y6" s="34" t="inlineStr">
        <is>
          <t>Likely (Start tier not funding-gated)</t>
        </is>
      </c>
      <c r="Z6" s="34" t="inlineStr">
        <is>
          <t>Unknown</t>
        </is>
      </c>
      <c r="AA6" s="34" t="inlineStr">
        <is>
          <t>No</t>
        </is>
      </c>
      <c r="AB6" s="34" t="inlineStr">
        <is>
          <t>No</t>
        </is>
      </c>
      <c r="AC6" s="34" t="inlineStr">
        <is>
          <t>Online application</t>
        </is>
      </c>
      <c r="AD6" s="34" t="inlineStr">
        <is>
          <t>18-character Google Cloud billing account ID; business email on company domain; live website</t>
        </is>
      </c>
      <c r="AE6" s="34" t="inlineStr">
        <is>
          <t>No dev shops, consultancies, agencies, crypto mining, nonprofits, government or educational institutions; credits non-transferable; first-party pay-as-you-go products only</t>
        </is>
      </c>
      <c r="AF6" s="34" t="inlineStr">
        <is>
          <t>Past or present credit usage can affect acceptance; re-enrollment not guaranteed</t>
        </is>
      </c>
      <c r="AG6" s="34" t="inlineStr">
        <is>
          <t>Not stated</t>
        </is>
      </c>
      <c r="AH6" s="34" t="inlineStr">
        <is>
          <t>Billing account required</t>
        </is>
      </c>
      <c r="AI6" s="34" t="inlineStr">
        <is>
          <t>Website screened for AI-generated content; acceptance at Google's discretion; response typically 5-7 days.</t>
        </is>
      </c>
      <c r="AJ6" s="34" t="inlineStr">
        <is>
          <t>https://cloud.google.com/startup</t>
        </is>
      </c>
      <c r="AK6" s="34" t="inlineStr">
        <is>
          <t>https://aifree.dev/offer/google-cloud-ai-startup-program</t>
        </is>
      </c>
      <c r="AL6" s="34" t="inlineStr">
        <is>
          <t>Official FAQ: Start tier is $2k for startups founded in the past 2 years with an MVP.</t>
        </is>
      </c>
      <c r="AM6" s="34" t="inlineStr">
        <is>
          <t>2026-10-24</t>
        </is>
      </c>
      <c r="AN6" s="34" t="inlineStr">
        <is>
          <t>High</t>
        </is>
      </c>
      <c r="AO6" s="34" t="inlineStr">
        <is>
          <t>Official</t>
        </is>
      </c>
      <c r="AP6" s="34" t="inlineStr">
        <is>
          <t>Regions where Google Cloud is GA</t>
        </is>
      </c>
      <c r="AQ6" s="34" t="inlineStr">
        <is>
          <t>google,cloud,credits,entry-tier</t>
        </is>
      </c>
      <c r="AR6" s="34" t="inlineStr">
        <is>
          <t>Application button URL not captured; use the Apply button on the official page.</t>
        </is>
      </c>
      <c r="AS6" s="34" t="inlineStr">
        <is>
          <t>DG-GCP-S</t>
        </is>
      </c>
      <c r="AT6" s="34" t="inlineStr">
        <is>
          <t>Excel + GitHub repo</t>
        </is>
      </c>
      <c r="AU6" s="34" t="inlineStr">
        <is>
          <t>google-cloud-startups</t>
        </is>
      </c>
      <c r="AV6" s="34" t="inlineStr">
        <is>
          <t>No public code verified</t>
        </is>
      </c>
      <c r="AW6" s="34" t="inlineStr">
        <is>
          <t>Not published</t>
        </is>
      </c>
      <c r="AX6" s="34" t="inlineStr">
        <is>
          <t>https://cloud.google.com/startup</t>
        </is>
      </c>
      <c r="AY6" s="34" t="inlineStr">
        <is>
          <t>No provider-published coupon code found in the verified source; do not treat third-party codes as confirmed.</t>
        </is>
      </c>
      <c r="AZ6" s="34" t="inlineStr">
        <is>
          <t>Exact official URL</t>
        </is>
      </c>
      <c r="BA6" s="34" t="inlineStr">
        <is>
          <t>No reliable community code confirmation recorded</t>
        </is>
      </c>
      <c r="BB6" s="34" t="inlineStr">
        <is>
          <t>googlecloud</t>
        </is>
      </c>
      <c r="BC6" s="34" t="inlineStr">
        <is>
          <t>googleforstartupscloudprogramstarttier</t>
        </is>
      </c>
      <c r="BD6" s="34" t="inlineStr">
        <is>
          <t>googlecloud|googleforstartupscloudprogramstarttier</t>
        </is>
      </c>
      <c r="BE6" s="34" t="n">
        <v>1</v>
      </c>
      <c r="BF6" s="34" t="inlineStr">
        <is>
          <t>No</t>
        </is>
      </c>
    </row>
    <row r="7">
      <c r="A7" s="34" t="inlineStr">
        <is>
          <t>SB-006</t>
        </is>
      </c>
      <c r="B7" s="34" t="inlineStr">
        <is>
          <t>Google Cloud</t>
        </is>
      </c>
      <c r="C7" s="34" t="inlineStr">
        <is>
          <t>Google for Startups Cloud Program - Scale / Scale AI</t>
        </is>
      </c>
      <c r="D7" s="34" t="inlineStr">
        <is>
          <t>Alphabet</t>
        </is>
      </c>
      <c r="E7" s="34" t="inlineStr">
        <is>
          <t>Cloud &amp; Infrastructure</t>
        </is>
      </c>
      <c r="F7" s="34" t="inlineStr">
        <is>
          <t>Cloud + AI credits (funded tiers)</t>
        </is>
      </c>
      <c r="G7" s="34" t="inlineStr">
        <is>
          <t>Startup credits (startup-specific)</t>
        </is>
      </c>
      <c r="H7" s="34" t="inlineStr">
        <is>
          <t>Up to $350,000 over two years: AI startups Year 1 100% up to $250,000, Year 2 20% up to $100,000; other startups Year 1 up to $100,000, Year 2 up to $100,000; plus 12 months Workspace Business Plus and monthly Maps credits (separate applications).</t>
        </is>
      </c>
      <c r="I7" s="34" t="inlineStr">
        <is>
          <t>350000</t>
        </is>
      </c>
      <c r="J7" s="34" t="inlineStr">
        <is>
          <t>USD</t>
        </is>
      </c>
      <c r="K7" s="34" t="inlineStr">
        <is>
          <t>Credits</t>
        </is>
      </c>
      <c r="L7" s="34" t="inlineStr"/>
      <c r="M7" s="34" t="inlineStr">
        <is>
          <t>350000</t>
        </is>
      </c>
      <c r="N7" s="34" t="inlineStr"/>
      <c r="O7" s="34" t="inlineStr">
        <is>
          <t>Open</t>
        </is>
      </c>
      <c r="P7" s="34" t="inlineStr">
        <is>
          <t>Not verified this session</t>
        </is>
      </c>
      <c r="Q7" s="34" t="inlineStr">
        <is>
          <t>https://cloud.google.com/startup</t>
        </is>
      </c>
      <c r="R7" s="34" t="inlineStr">
        <is>
          <t>https://cloud.google.com/startup</t>
        </is>
      </c>
      <c r="S7" s="34" t="inlineStr">
        <is>
          <t>Verifiable Pre-Seed to Series A funding from a known investor, founded within the last 3-5 years depending on tier. Grants, loans, crowdfunding and friends-and-family money do not qualify for Scale tier.</t>
        </is>
      </c>
      <c r="T7" s="34" t="inlineStr">
        <is>
          <t>Pre-Seed to Series A</t>
        </is>
      </c>
      <c r="U7" s="34" t="inlineStr">
        <is>
          <t>Unknown</t>
        </is>
      </c>
      <c r="V7" s="34" t="inlineStr">
        <is>
          <t>Yes (Scale tiers)</t>
        </is>
      </c>
      <c r="W7" s="34" t="inlineStr">
        <is>
          <t>Region where Google Cloud is generally available and self-service purchasable</t>
        </is>
      </c>
      <c r="X7" s="34" t="inlineStr">
        <is>
          <t>Unverified (regional restrictions noted)</t>
        </is>
      </c>
      <c r="Y7" s="34" t="inlineStr">
        <is>
          <t>No (Scale tiers need funding)</t>
        </is>
      </c>
      <c r="Z7" s="34" t="inlineStr">
        <is>
          <t>No</t>
        </is>
      </c>
      <c r="AA7" s="34" t="inlineStr">
        <is>
          <t>Yes (AI track)</t>
        </is>
      </c>
      <c r="AB7" s="34" t="inlineStr">
        <is>
          <t>No (investor referral helps stealth startups)</t>
        </is>
      </c>
      <c r="AC7" s="34" t="inlineStr">
        <is>
          <t>Online application</t>
        </is>
      </c>
      <c r="AD7" s="34" t="inlineStr">
        <is>
          <t>Billing account ID; business email on company domain; active website</t>
        </is>
      </c>
      <c r="AE7" s="34" t="inlineStr">
        <is>
          <t>Same exclusions as Start tier; third-party Marketplace/Model Garden products not covered</t>
        </is>
      </c>
      <c r="AF7" s="34" t="inlineStr">
        <is>
          <t>Re-enrollment not guaranteed; qualifications change annually</t>
        </is>
      </c>
      <c r="AG7" s="34" t="inlineStr">
        <is>
          <t>Not stated</t>
        </is>
      </c>
      <c r="AH7" s="34" t="inlineStr">
        <is>
          <t>Billing account required</t>
        </is>
      </c>
      <c r="AI7" s="34" t="inlineStr">
        <is>
          <t>Needs verifiable funding; not suitable for bootstrapped founders.</t>
        </is>
      </c>
      <c r="AJ7" s="34" t="inlineStr">
        <is>
          <t>https://cloud.google.com/startup</t>
        </is>
      </c>
      <c r="AK7" s="34" t="inlineStr">
        <is>
          <t>https://aifree.dev/offer/google-cloud-ai-startup-program</t>
        </is>
      </c>
      <c r="AL7" s="34" t="inlineStr">
        <is>
          <t>Official footnotes: AI startups $250k year 1 + $100k year 2; others $100k + $100k.</t>
        </is>
      </c>
      <c r="AM7" s="34" t="inlineStr">
        <is>
          <t>2026-10-24</t>
        </is>
      </c>
      <c r="AN7" s="34" t="inlineStr">
        <is>
          <t>High</t>
        </is>
      </c>
      <c r="AO7" s="34" t="inlineStr">
        <is>
          <t>Official</t>
        </is>
      </c>
      <c r="AP7" s="34" t="inlineStr">
        <is>
          <t>Regions where Google Cloud is GA</t>
        </is>
      </c>
      <c r="AQ7" s="34" t="inlineStr">
        <is>
          <t>google,cloud,ai,funded</t>
        </is>
      </c>
      <c r="AR7" s="34" t="inlineStr">
        <is>
          <t>Egypt eligibility depends on Google Cloud GA region rule.</t>
        </is>
      </c>
      <c r="AS7" s="34" t="inlineStr">
        <is>
          <t>DG-GCP-SC</t>
        </is>
      </c>
      <c r="AT7" s="34" t="inlineStr">
        <is>
          <t>Excel + GitHub repo</t>
        </is>
      </c>
      <c r="AU7" s="34" t="inlineStr">
        <is>
          <t>google-cloud-startups</t>
        </is>
      </c>
      <c r="AV7" s="34" t="inlineStr">
        <is>
          <t>No public code verified</t>
        </is>
      </c>
      <c r="AW7" s="34" t="inlineStr">
        <is>
          <t>Not published</t>
        </is>
      </c>
      <c r="AX7" s="34" t="inlineStr">
        <is>
          <t>https://cloud.google.com/startup</t>
        </is>
      </c>
      <c r="AY7" s="34" t="inlineStr">
        <is>
          <t>No provider-published coupon code found in the verified source; do not treat third-party codes as confirmed.</t>
        </is>
      </c>
      <c r="AZ7" s="34" t="inlineStr">
        <is>
          <t>Exact official URL</t>
        </is>
      </c>
      <c r="BA7" s="34" t="inlineStr">
        <is>
          <t>No reliable community code confirmation recorded</t>
        </is>
      </c>
      <c r="BB7" s="34" t="inlineStr">
        <is>
          <t>googlecloud</t>
        </is>
      </c>
      <c r="BC7" s="34" t="inlineStr">
        <is>
          <t>googleforstartupscloudprogramscalescaleai</t>
        </is>
      </c>
      <c r="BD7" s="34" t="inlineStr">
        <is>
          <t>googlecloud|googleforstartupscloudprogramscalescaleai</t>
        </is>
      </c>
      <c r="BE7" s="34" t="n">
        <v>1</v>
      </c>
      <c r="BF7" s="34" t="inlineStr">
        <is>
          <t>No</t>
        </is>
      </c>
    </row>
    <row r="8">
      <c r="A8" s="34" t="inlineStr">
        <is>
          <t>SB-007</t>
        </is>
      </c>
      <c r="B8" s="34" t="inlineStr">
        <is>
          <t>Microsoft</t>
        </is>
      </c>
      <c r="C8" s="34" t="inlineStr">
        <is>
          <t>Microsoft for Startups Founders Hub</t>
        </is>
      </c>
      <c r="D8" s="34" t="inlineStr">
        <is>
          <t>Microsoft</t>
        </is>
      </c>
      <c r="E8" s="34" t="inlineStr">
        <is>
          <t>Cloud &amp; Infrastructure</t>
        </is>
      </c>
      <c r="F8" s="34" t="inlineStr">
        <is>
          <t>Azure credits + Microsoft tools</t>
        </is>
      </c>
      <c r="G8" s="34" t="inlineStr">
        <is>
          <t>Startup credits (startup-specific)</t>
        </is>
      </c>
      <c r="H8" s="34" t="inlineStr">
        <is>
          <t>Tiered Azure credits unlocked progressively (Microsoft partner guide shows core levels of $1,000 / $5,000 / $25,000; up to $150,000 at the top tier per secondary sources) plus GitHub, Microsoft 365 and partner offers.</t>
        </is>
      </c>
      <c r="I8" s="34" t="inlineStr">
        <is>
          <t>150000</t>
        </is>
      </c>
      <c r="J8" s="34" t="inlineStr">
        <is>
          <t>USD</t>
        </is>
      </c>
      <c r="K8" s="34" t="inlineStr">
        <is>
          <t>Credits</t>
        </is>
      </c>
      <c r="L8" s="34" t="inlineStr"/>
      <c r="M8" s="34" t="inlineStr">
        <is>
          <t>150000</t>
        </is>
      </c>
      <c r="N8" s="34" t="inlineStr"/>
      <c r="O8" s="34" t="inlineStr">
        <is>
          <t>Open</t>
        </is>
      </c>
      <c r="P8" s="34" t="inlineStr">
        <is>
          <t>https://www.microsoft.com/en-us/startups</t>
        </is>
      </c>
      <c r="Q8" s="34" t="inlineStr">
        <is>
          <t>https://www.microsoft.com/en-us/startups</t>
        </is>
      </c>
      <c r="R8" s="34" t="inlineStr">
        <is>
          <t>https://www.microsoft.com/en-us/startups</t>
        </is>
      </c>
      <c r="S8" s="34" t="inlineStr">
        <is>
          <t>Entry reportedly open without VC backing. Secondary source lists rejection reasons: existing paid Azure customer, ineligible company type (agency, consultancy, crypto mining), unsupported region.</t>
        </is>
      </c>
      <c r="T8" s="34" t="inlineStr">
        <is>
          <t>Idea to growth</t>
        </is>
      </c>
      <c r="U8" s="34" t="inlineStr">
        <is>
          <t>Unknown</t>
        </is>
      </c>
      <c r="V8" s="34" t="inlineStr">
        <is>
          <t>No (reported)</t>
        </is>
      </c>
      <c r="W8" s="34" t="inlineStr">
        <is>
          <t>Unsupported regions exist (secondary source)</t>
        </is>
      </c>
      <c r="X8" s="34" t="inlineStr">
        <is>
          <t>Unverified (regional restrictions noted)</t>
        </is>
      </c>
      <c r="Y8" s="34" t="inlineStr">
        <is>
          <t>Yes (reported)</t>
        </is>
      </c>
      <c r="Z8" s="34" t="inlineStr">
        <is>
          <t>Yes (reported)</t>
        </is>
      </c>
      <c r="AA8" s="34" t="inlineStr">
        <is>
          <t>No</t>
        </is>
      </c>
      <c r="AB8" s="34" t="inlineStr">
        <is>
          <t>No</t>
        </is>
      </c>
      <c r="AC8" s="34" t="inlineStr">
        <is>
          <t>Online application via Founders Hub portal</t>
        </is>
      </c>
      <c r="AD8" s="34" t="inlineStr">
        <is>
          <t>Not stated</t>
        </is>
      </c>
      <c r="AE8" s="34" t="inlineStr">
        <is>
          <t>Not stated</t>
        </is>
      </c>
      <c r="AF8" s="34" t="inlineStr">
        <is>
          <t>Lifetime cap on free Azure credits reported by FounderPass</t>
        </is>
      </c>
      <c r="AG8" s="34" t="inlineStr">
        <is>
          <t>Not stated</t>
        </is>
      </c>
      <c r="AH8" s="34" t="inlineStr">
        <is>
          <t>Not stated</t>
        </is>
      </c>
      <c r="AI8" s="34" t="inlineStr">
        <is>
          <t>Top levels depend on progress or investor referral; credits are time-bound.</t>
        </is>
      </c>
      <c r="AJ8" s="34" t="inlineStr">
        <is>
          <t>https://partner.microsoft.com/en-cy/partnership/founders-hub-benefits-guide</t>
        </is>
      </c>
      <c r="AK8" s="34" t="inlineStr">
        <is>
          <t>https://guptadeepak.com/startup-offers/programs/microsoft-founders-hub</t>
        </is>
      </c>
      <c r="AL8" s="34" t="inlineStr">
        <is>
          <t>Microsoft partner benefits guide lists Level 1 $1,000, Level 2 $5,000, Level 3 $25,000 Azure credits.</t>
        </is>
      </c>
      <c r="AM8" s="34" t="inlineStr">
        <is>
          <t>2026-10-24</t>
        </is>
      </c>
      <c r="AN8" s="34" t="inlineStr">
        <is>
          <t>Medium</t>
        </is>
      </c>
      <c r="AO8" s="34" t="inlineStr">
        <is>
          <t>Official</t>
        </is>
      </c>
      <c r="AP8" s="34" t="inlineStr">
        <is>
          <t>Global (unsupported regions exist)</t>
        </is>
      </c>
      <c r="AQ8" s="34" t="inlineStr">
        <is>
          <t>microsoft,azure,github,bootstrapped</t>
        </is>
      </c>
      <c r="AR8" s="34" t="inlineStr">
        <is>
          <t>Official microsoft.com/startups page was NOT opened. The $150k top level and no-VC claim come from secondary sites. Verify Egypt support before applying.</t>
        </is>
      </c>
      <c r="AS8" s="34" t="inlineStr">
        <is>
          <t>DG-MS-FH</t>
        </is>
      </c>
      <c r="AT8" s="34" t="inlineStr">
        <is>
          <t>Excel + GitHub repo</t>
        </is>
      </c>
      <c r="AU8" s="34" t="inlineStr">
        <is>
          <t>microsoft-startups</t>
        </is>
      </c>
      <c r="AV8" s="34" t="inlineStr">
        <is>
          <t>No public code verified</t>
        </is>
      </c>
      <c r="AW8" s="34" t="inlineStr">
        <is>
          <t>Not published</t>
        </is>
      </c>
      <c r="AX8" s="34" t="inlineStr">
        <is>
          <t>https://www.microsoft.com/en/startups</t>
        </is>
      </c>
      <c r="AY8" s="34" t="inlineStr">
        <is>
          <t>No provider-published coupon code found in the verified source; do not treat third-party codes as confirmed.</t>
        </is>
      </c>
      <c r="AZ8" s="34" t="inlineStr">
        <is>
          <t>Conservative fuzzy match (0.95)</t>
        </is>
      </c>
      <c r="BA8" s="34" t="inlineStr">
        <is>
          <t>No reliable community code confirmation recorded</t>
        </is>
      </c>
      <c r="BB8" s="34" t="inlineStr">
        <is>
          <t>microsoft</t>
        </is>
      </c>
      <c r="BC8" s="34" t="inlineStr">
        <is>
          <t>microsoftforstartupsfoundershub</t>
        </is>
      </c>
      <c r="BD8" s="34" t="inlineStr">
        <is>
          <t>microsoft|microsoftforstartupsfoundershub</t>
        </is>
      </c>
      <c r="BE8" s="34" t="n">
        <v>1</v>
      </c>
      <c r="BF8" s="34" t="inlineStr">
        <is>
          <t>No</t>
        </is>
      </c>
    </row>
    <row r="9">
      <c r="A9" s="34" t="inlineStr">
        <is>
          <t>SB-008</t>
        </is>
      </c>
      <c r="B9" s="34" t="inlineStr">
        <is>
          <t>ElevenLabs</t>
        </is>
      </c>
      <c r="C9" s="34" t="inlineStr">
        <is>
          <t>ElevenLabs Startup Grants</t>
        </is>
      </c>
      <c r="D9" s="34" t="inlineStr">
        <is>
          <t>Not stated</t>
        </is>
      </c>
      <c r="E9" s="34" t="inlineStr">
        <is>
          <t>AI &amp; LLM Credits</t>
        </is>
      </c>
      <c r="F9" s="34" t="inlineStr">
        <is>
          <t>Voice AI credits (TTS/STT/Agents)</t>
        </is>
      </c>
      <c r="G9" s="34" t="inlineStr">
        <is>
          <t>Startup credits (startup-specific)</t>
        </is>
      </c>
      <c r="H9" s="34" t="inlineStr">
        <is>
          <t>12 months of free access to the ElevenLabs platform: 33,000,000 characters (over 680 hours of Agents usage, valued at $5,500+), plus community access and events.</t>
        </is>
      </c>
      <c r="I9" s="34" t="inlineStr">
        <is>
          <t>5500</t>
        </is>
      </c>
      <c r="J9" s="34" t="inlineStr">
        <is>
          <t>USD</t>
        </is>
      </c>
      <c r="K9" s="34" t="inlineStr">
        <is>
          <t>Credits</t>
        </is>
      </c>
      <c r="L9" s="34" t="inlineStr"/>
      <c r="M9" s="34" t="inlineStr">
        <is>
          <t>5500</t>
        </is>
      </c>
      <c r="N9" s="34" t="inlineStr"/>
      <c r="O9" s="34" t="inlineStr">
        <is>
          <t>Open</t>
        </is>
      </c>
      <c r="P9" s="34" t="inlineStr">
        <is>
          <t>https://elevenlabs.io/grants-application</t>
        </is>
      </c>
      <c r="Q9" s="34" t="inlineStr">
        <is>
          <t>https://elevenlabs.io/startup-grants</t>
        </is>
      </c>
      <c r="R9" s="34" t="inlineStr">
        <is>
          <t>https://elevenlabs.io/grants-application</t>
        </is>
      </c>
      <c r="S9" s="34" t="inlineStr">
        <is>
          <t>Eligibility FAQ is collapsed on the fetched page; page says decisions within one week.</t>
        </is>
      </c>
      <c r="T9" s="34" t="inlineStr">
        <is>
          <t>Not stated</t>
        </is>
      </c>
      <c r="U9" s="34" t="inlineStr">
        <is>
          <t>Unknown</t>
        </is>
      </c>
      <c r="V9" s="34" t="inlineStr">
        <is>
          <t>Unknown</t>
        </is>
      </c>
      <c r="W9" s="34" t="inlineStr">
        <is>
          <t>Not stated</t>
        </is>
      </c>
      <c r="X9" s="34" t="inlineStr">
        <is>
          <t>Unverified</t>
        </is>
      </c>
      <c r="Y9" s="34" t="inlineStr">
        <is>
          <t>Unknown</t>
        </is>
      </c>
      <c r="Z9" s="34" t="inlineStr">
        <is>
          <t>Unknown</t>
        </is>
      </c>
      <c r="AA9" s="34" t="inlineStr">
        <is>
          <t>Yes</t>
        </is>
      </c>
      <c r="AB9" s="34" t="inlineStr">
        <is>
          <t>No</t>
        </is>
      </c>
      <c r="AC9" s="34" t="inlineStr">
        <is>
          <t>Online grant application</t>
        </is>
      </c>
      <c r="AD9" s="34" t="inlineStr">
        <is>
          <t>Not stated</t>
        </is>
      </c>
      <c r="AE9" s="34" t="inlineStr">
        <is>
          <t>Grants cannot be resold or exchanged for cash (FAQ heading)</t>
        </is>
      </c>
      <c r="AF9" s="34" t="inlineStr">
        <is>
          <t>Not stated</t>
        </is>
      </c>
      <c r="AG9" s="34" t="inlineStr">
        <is>
          <t>Not stated</t>
        </is>
      </c>
      <c r="AH9" s="34" t="inlineStr">
        <is>
          <t>Not stated</t>
        </is>
      </c>
      <c r="AI9" s="34" t="inlineStr">
        <is>
          <t>Eligibility details not captured; allowance is characters, not cash.</t>
        </is>
      </c>
      <c r="AJ9" s="34" t="inlineStr">
        <is>
          <t>https://elevenlabs.io/startup-grants</t>
        </is>
      </c>
      <c r="AK9" s="34" t="inlineStr">
        <is>
          <t>https://aifree.dev/offer/elevenlabs-startup-program</t>
        </is>
      </c>
      <c r="AL9" s="34" t="inlineStr">
        <is>
          <t>Official page: 12-month grant, 33M characters, valued over $5,500; acceptance within one week.</t>
        </is>
      </c>
      <c r="AM9" s="34" t="inlineStr">
        <is>
          <t>2026-10-24</t>
        </is>
      </c>
      <c r="AN9" s="34" t="inlineStr">
        <is>
          <t>Medium</t>
        </is>
      </c>
      <c r="AO9" s="34" t="inlineStr">
        <is>
          <t>Official</t>
        </is>
      </c>
      <c r="AP9" s="34" t="inlineStr">
        <is>
          <t>Unknown</t>
        </is>
      </c>
      <c r="AQ9" s="34" t="inlineStr">
        <is>
          <t>voice,tts,agents,grant</t>
        </is>
      </c>
      <c r="AR9" s="34" t="inlineStr">
        <is>
          <t>Seed URL. Eligibility FAQ answers not visible in fetched text.</t>
        </is>
      </c>
      <c r="AS9" s="34" t="inlineStr">
        <is>
          <t>DG-EL</t>
        </is>
      </c>
      <c r="AT9" s="34" t="inlineStr">
        <is>
          <t>Excel + GitHub repo</t>
        </is>
      </c>
      <c r="AU9" s="34" t="inlineStr">
        <is>
          <t>elevenlabs-startup-grants</t>
        </is>
      </c>
      <c r="AV9" s="34" t="inlineStr">
        <is>
          <t>No public code verified</t>
        </is>
      </c>
      <c r="AW9" s="34" t="inlineStr">
        <is>
          <t>Not published</t>
        </is>
      </c>
      <c r="AX9" s="34" t="inlineStr">
        <is>
          <t>https://elevenlabs.io/grants-application</t>
        </is>
      </c>
      <c r="AY9" s="34" t="inlineStr">
        <is>
          <t>Grant is application-based; no public coupon code.</t>
        </is>
      </c>
      <c r="AZ9" s="34" t="inlineStr">
        <is>
          <t>Exact provider + program</t>
        </is>
      </c>
      <c r="BA9" s="34" t="inlineStr">
        <is>
          <t>Community discussions may share referral claims; not verified</t>
        </is>
      </c>
      <c r="BB9" s="34" t="inlineStr">
        <is>
          <t>elevenlabs</t>
        </is>
      </c>
      <c r="BC9" s="34" t="inlineStr">
        <is>
          <t>elevenlabsstartupgrants</t>
        </is>
      </c>
      <c r="BD9" s="34" t="inlineStr">
        <is>
          <t>elevenlabs|elevenlabsstartupgrants</t>
        </is>
      </c>
      <c r="BE9" s="34" t="n">
        <v>1</v>
      </c>
      <c r="BF9" s="34" t="inlineStr">
        <is>
          <t>No</t>
        </is>
      </c>
    </row>
    <row r="10">
      <c r="A10" s="34" t="inlineStr">
        <is>
          <t>SB-009</t>
        </is>
      </c>
      <c r="B10" s="34" t="inlineStr">
        <is>
          <t>SendPulse</t>
        </is>
      </c>
      <c r="C10" s="34" t="inlineStr">
        <is>
          <t>SendPulse Startup Grant</t>
        </is>
      </c>
      <c r="D10" s="34" t="inlineStr">
        <is>
          <t>Not stated</t>
        </is>
      </c>
      <c r="E10" s="34" t="inlineStr">
        <is>
          <t>SaaS &amp; Marketing</t>
        </is>
      </c>
      <c r="F10" s="34" t="inlineStr">
        <is>
          <t>Email/chatbot/CRM marketing credits</t>
        </is>
      </c>
      <c r="G10" s="34" t="inlineStr">
        <is>
          <t>Startup credits (startup-specific)</t>
        </is>
      </c>
      <c r="H10" s="34" t="inlineStr">
        <is>
          <t>$5,000 in SendPulse bonus-balance credits valid one year for email, chatbots, CRM, landing pages and automation (not usable for email verifier, SMS marketing, WhatsApp and Viber campaigns).</t>
        </is>
      </c>
      <c r="I10" s="34" t="inlineStr">
        <is>
          <t>5000</t>
        </is>
      </c>
      <c r="J10" s="34" t="inlineStr">
        <is>
          <t>USD</t>
        </is>
      </c>
      <c r="K10" s="34" t="inlineStr">
        <is>
          <t>Credits</t>
        </is>
      </c>
      <c r="L10" s="34" t="inlineStr"/>
      <c r="M10" s="34" t="inlineStr">
        <is>
          <t>5000</t>
        </is>
      </c>
      <c r="N10" s="34" t="inlineStr"/>
      <c r="O10" s="34" t="inlineStr">
        <is>
          <t>Open</t>
        </is>
      </c>
      <c r="P10" s="34" t="inlineStr">
        <is>
          <t>https://sendpulse.com/startup#request-form</t>
        </is>
      </c>
      <c r="Q10" s="34" t="inlineStr">
        <is>
          <t>https://sendpulse.com/startup</t>
        </is>
      </c>
      <c r="R10" s="34" t="inlineStr">
        <is>
          <t>https://sendpulse.com/startup#request-form</t>
        </is>
      </c>
      <c r="S10" s="34" t="inlineStr">
        <is>
          <t>Startup launched within the past 3 years; innovative product; not an eCommerce project or online business; no history of paid SendPulse plans.</t>
        </is>
      </c>
      <c r="T10" s="34" t="inlineStr">
        <is>
          <t>Launched within 3 years</t>
        </is>
      </c>
      <c r="U10" s="34" t="inlineStr">
        <is>
          <t>Unknown</t>
        </is>
      </c>
      <c r="V10" s="34" t="inlineStr">
        <is>
          <t>No (not stated as required)</t>
        </is>
      </c>
      <c r="W10" s="34" t="inlineStr">
        <is>
          <t>Form asks country of registration; the signup form shows a 'region not supported' message for some locations</t>
        </is>
      </c>
      <c r="X10" s="34" t="inlineStr">
        <is>
          <t>Unverified (regional restrictions noted)</t>
        </is>
      </c>
      <c r="Y10" s="34" t="inlineStr">
        <is>
          <t>Yes (no funding requirement stated)</t>
        </is>
      </c>
      <c r="Z10" s="34" t="inlineStr">
        <is>
          <t>Unknown</t>
        </is>
      </c>
      <c r="AA10" s="34" t="inlineStr">
        <is>
          <t>No</t>
        </is>
      </c>
      <c r="AB10" s="34" t="inlineStr">
        <is>
          <t>No (accelerator field optional)</t>
        </is>
      </c>
      <c r="AC10" s="34" t="inlineStr">
        <is>
          <t>Online form on sendpulse.com/startup</t>
        </is>
      </c>
      <c r="AD10" s="34" t="inlineStr">
        <is>
          <t>Startup name, website, applicant name, team size, country of registration, SendPulse account email</t>
        </is>
      </c>
      <c r="AE10" s="34" t="inlineStr">
        <is>
          <t>Excludes email verifier, SMS marketing, WhatsApp and Viber campaigns</t>
        </is>
      </c>
      <c r="AF10" s="34" t="inlineStr">
        <is>
          <t>Not stated</t>
        </is>
      </c>
      <c r="AG10" s="34" t="inlineStr">
        <is>
          <t>Not stated</t>
        </is>
      </c>
      <c r="AH10" s="34" t="inlineStr">
        <is>
          <t>SendPulse account email (free plans only)</t>
        </is>
      </c>
      <c r="AI10" s="34" t="inlineStr">
        <is>
          <t>Review takes 1-3 business days; eCommerce projects excluded.</t>
        </is>
      </c>
      <c r="AJ10" s="34" t="inlineStr">
        <is>
          <t>https://sendpulse.com/startup</t>
        </is>
      </c>
      <c r="AK10" s="34" t="inlineStr"/>
      <c r="AL10" s="34" t="inlineStr">
        <is>
          <t>Official page: $5,000 grant, one year, four eligibility criteria, review in 1-3 business days.</t>
        </is>
      </c>
      <c r="AM10" s="34" t="inlineStr">
        <is>
          <t>2026-10-24</t>
        </is>
      </c>
      <c r="AN10" s="34" t="inlineStr">
        <is>
          <t>High</t>
        </is>
      </c>
      <c r="AO10" s="34" t="inlineStr">
        <is>
          <t>Official</t>
        </is>
      </c>
      <c r="AP10" s="34" t="inlineStr">
        <is>
          <t>Global (some regions unsupported)</t>
        </is>
      </c>
      <c r="AQ10" s="34" t="inlineStr">
        <is>
          <t>sendpulse,crm,chatbot,email</t>
        </is>
      </c>
      <c r="AR10" s="34" t="inlineStr">
        <is>
          <t>Check no paid-plan history before applying.</t>
        </is>
      </c>
      <c r="AS10" s="34" t="inlineStr">
        <is>
          <t>DG-SP</t>
        </is>
      </c>
      <c r="AT10" s="34" t="inlineStr">
        <is>
          <t>Excel + GitHub repo</t>
        </is>
      </c>
      <c r="AU10" s="34" t="inlineStr">
        <is>
          <t>sendpulse-grant</t>
        </is>
      </c>
      <c r="AV10" s="34" t="inlineStr">
        <is>
          <t>No public code verified</t>
        </is>
      </c>
      <c r="AW10" s="34" t="inlineStr">
        <is>
          <t>Not published</t>
        </is>
      </c>
      <c r="AX10" s="34" t="inlineStr">
        <is>
          <t>https://sendpulse.com/startup</t>
        </is>
      </c>
      <c r="AY10" s="34" t="inlineStr">
        <is>
          <t>No provider-published coupon code found in the verified source; do not treat third-party codes as confirmed.</t>
        </is>
      </c>
      <c r="AZ10" s="34" t="inlineStr">
        <is>
          <t>Exact provider + program</t>
        </is>
      </c>
      <c r="BA10" s="34" t="inlineStr">
        <is>
          <t>No reliable community code confirmation recorded</t>
        </is>
      </c>
      <c r="BB10" s="34" t="inlineStr">
        <is>
          <t>sendpulse</t>
        </is>
      </c>
      <c r="BC10" s="34" t="inlineStr">
        <is>
          <t>sendpulsestartupgrant</t>
        </is>
      </c>
      <c r="BD10" s="34" t="inlineStr">
        <is>
          <t>sendpulse|sendpulsestartupgrant</t>
        </is>
      </c>
      <c r="BE10" s="34" t="n">
        <v>1</v>
      </c>
      <c r="BF10" s="34" t="inlineStr">
        <is>
          <t>No</t>
        </is>
      </c>
    </row>
    <row r="11">
      <c r="A11" s="34" t="inlineStr">
        <is>
          <t>SB-010</t>
        </is>
      </c>
      <c r="B11" s="34" t="inlineStr">
        <is>
          <t>UniOne</t>
        </is>
      </c>
      <c r="C11" s="34" t="inlineStr">
        <is>
          <t>UniOne email trial for startups</t>
        </is>
      </c>
      <c r="D11" s="34" t="inlineStr">
        <is>
          <t>Not stated</t>
        </is>
      </c>
      <c r="E11" s="34" t="inlineStr">
        <is>
          <t>SaaS &amp; Marketing</t>
        </is>
      </c>
      <c r="F11" s="34" t="inlineStr">
        <is>
          <t>Transactional email</t>
        </is>
      </c>
      <c r="G11" s="34" t="inlineStr">
        <is>
          <t>Free trial credit (not startup-exclusive)</t>
        </is>
      </c>
      <c r="H11" s="34" t="inlineStr">
        <is>
          <t>Free trial: 6,000 emails/month for 4 months, then from $4/month; the startup landing page markets this trial (it is not a grant).</t>
        </is>
      </c>
      <c r="I11" s="34" t="inlineStr"/>
      <c r="J11" s="34" t="inlineStr">
        <is>
          <t>USD</t>
        </is>
      </c>
      <c r="K11" s="34" t="inlineStr">
        <is>
          <t>Unknown</t>
        </is>
      </c>
      <c r="L11" s="34" t="inlineStr"/>
      <c r="M11" s="34" t="inlineStr"/>
      <c r="N11" s="34" t="inlineStr"/>
      <c r="O11" s="34" t="inlineStr">
        <is>
          <t>Open</t>
        </is>
      </c>
      <c r="P11" s="34" t="inlineStr">
        <is>
          <t>https://cp.unione.io/en/user/registration/</t>
        </is>
      </c>
      <c r="Q11" s="34" t="inlineStr">
        <is>
          <t>https://unione.io/en/email-service-for-startups/</t>
        </is>
      </c>
      <c r="R11" s="34" t="inlineStr">
        <is>
          <t>https://cp.unione.io/en/user/registration/</t>
        </is>
      </c>
      <c r="S11" s="34" t="inlineStr">
        <is>
          <t>Open registration; no startup verification stated.</t>
        </is>
      </c>
      <c r="T11" s="34" t="inlineStr">
        <is>
          <t>Not stated</t>
        </is>
      </c>
      <c r="U11" s="34" t="inlineStr">
        <is>
          <t>Unknown</t>
        </is>
      </c>
      <c r="V11" s="34" t="inlineStr">
        <is>
          <t>No</t>
        </is>
      </c>
      <c r="W11" s="34" t="inlineStr">
        <is>
          <t>Not stated</t>
        </is>
      </c>
      <c r="X11" s="34" t="inlineStr">
        <is>
          <t>Unverified</t>
        </is>
      </c>
      <c r="Y11" s="34" t="inlineStr">
        <is>
          <t>Yes</t>
        </is>
      </c>
      <c r="Z11" s="34" t="inlineStr">
        <is>
          <t>Yes</t>
        </is>
      </c>
      <c r="AA11" s="34" t="inlineStr">
        <is>
          <t>No</t>
        </is>
      </c>
      <c r="AB11" s="34" t="inlineStr">
        <is>
          <t>No</t>
        </is>
      </c>
      <c r="AC11" s="34" t="inlineStr">
        <is>
          <t>Self-service sign up</t>
        </is>
      </c>
      <c r="AD11" s="34" t="inlineStr">
        <is>
          <t>Not stated</t>
        </is>
      </c>
      <c r="AE11" s="34" t="inlineStr">
        <is>
          <t>Not stated</t>
        </is>
      </c>
      <c r="AF11" s="34" t="inlineStr">
        <is>
          <t>Not stated</t>
        </is>
      </c>
      <c r="AG11" s="34" t="inlineStr">
        <is>
          <t>Not stated</t>
        </is>
      </c>
      <c r="AH11" s="34" t="inlineStr">
        <is>
          <t>Not stated</t>
        </is>
      </c>
      <c r="AI11" s="34" t="inlineStr">
        <is>
          <t>A free trial, not a startup-exclusive grant or credit; about $4/month after trial.</t>
        </is>
      </c>
      <c r="AJ11" s="34" t="inlineStr">
        <is>
          <t>https://unione.io/en/email-service-for-startups/</t>
        </is>
      </c>
      <c r="AK11" s="34" t="inlineStr"/>
      <c r="AL11" s="34" t="inlineStr">
        <is>
          <t>Official page: 6,000 emails/month free for 4 months; $4/month after.</t>
        </is>
      </c>
      <c r="AM11" s="34" t="inlineStr">
        <is>
          <t>2026-10-24</t>
        </is>
      </c>
      <c r="AN11" s="34" t="inlineStr">
        <is>
          <t>High</t>
        </is>
      </c>
      <c r="AO11" s="34" t="inlineStr">
        <is>
          <t>Official</t>
        </is>
      </c>
      <c r="AP11" s="34" t="inlineStr">
        <is>
          <t>Global (not stated)</t>
        </is>
      </c>
      <c r="AQ11" s="34" t="inlineStr">
        <is>
          <t>email,smtp,trial</t>
        </is>
      </c>
      <c r="AR11" s="34" t="inlineStr">
        <is>
          <t>Classified as trial, not funding.</t>
        </is>
      </c>
      <c r="AS11" s="34" t="inlineStr">
        <is>
          <t>DG-UNI</t>
        </is>
      </c>
      <c r="AT11" s="34" t="inlineStr">
        <is>
          <t>Excel only</t>
        </is>
      </c>
      <c r="AU11" s="34" t="inlineStr"/>
      <c r="AV11" s="34" t="inlineStr"/>
      <c r="AW11" s="34" t="inlineStr"/>
      <c r="AX11" s="34" t="inlineStr"/>
      <c r="AY11" s="34" t="inlineStr"/>
      <c r="AZ11" s="34" t="inlineStr"/>
      <c r="BA11" s="34" t="inlineStr"/>
      <c r="BB11" s="34" t="inlineStr">
        <is>
          <t>unione</t>
        </is>
      </c>
      <c r="BC11" s="34" t="inlineStr">
        <is>
          <t>unioneemailtrialforstartups</t>
        </is>
      </c>
      <c r="BD11" s="34" t="inlineStr">
        <is>
          <t>unione|unioneemailtrialforstartups</t>
        </is>
      </c>
      <c r="BE11" s="34" t="n">
        <v>1</v>
      </c>
      <c r="BF11" s="34" t="inlineStr">
        <is>
          <t>No</t>
        </is>
      </c>
    </row>
    <row r="12">
      <c r="A12" s="34" t="inlineStr">
        <is>
          <t>SB-011</t>
        </is>
      </c>
      <c r="B12" s="34" t="inlineStr">
        <is>
          <t>TIEC (ITIDA)</t>
        </is>
      </c>
      <c r="C12" s="34" t="inlineStr">
        <is>
          <t>Start IT incubation program (TIEC)</t>
        </is>
      </c>
      <c r="D12" s="34" t="inlineStr">
        <is>
          <t>ITIDA</t>
        </is>
      </c>
      <c r="E12" s="34" t="inlineStr">
        <is>
          <t>Cash Grants &amp; Non-Dilutive</t>
        </is>
      </c>
      <c r="F12" s="34" t="inlineStr">
        <is>
          <t>Equity-free funding + incubation</t>
        </is>
      </c>
      <c r="G12" s="34" t="inlineStr">
        <is>
          <t>Cash grant + incubation + AWS support</t>
        </is>
      </c>
      <c r="H12" s="34" t="inlineStr">
        <is>
          <t>Reported package of up to EGP 480,000 in non-refundable funding, USD 10,000 AWS support and 12-month incubation in TIEC centres; reported open year-round with quarterly evaluation.</t>
        </is>
      </c>
      <c r="I12" s="34" t="inlineStr">
        <is>
          <t>480000</t>
        </is>
      </c>
      <c r="J12" s="34" t="inlineStr">
        <is>
          <t>EGP</t>
        </is>
      </c>
      <c r="K12" s="34" t="inlineStr">
        <is>
          <t>Cash</t>
        </is>
      </c>
      <c r="L12" s="34" t="inlineStr"/>
      <c r="M12" s="34" t="inlineStr"/>
      <c r="N12" s="34" t="inlineStr"/>
      <c r="O12" s="34" t="inlineStr">
        <is>
          <t>Rolling</t>
        </is>
      </c>
      <c r="P12" s="34" t="inlineStr">
        <is>
          <t>Not verified this session</t>
        </is>
      </c>
      <c r="Q12" s="34" t="inlineStr">
        <is>
          <t>Not verified this session</t>
        </is>
      </c>
      <c r="R12" s="34" t="inlineStr">
        <is>
          <t>Not stated</t>
        </is>
      </c>
      <c r="S12" s="34" t="inlineStr">
        <is>
          <t>Early-stage startups with scalable ICT-based solutions or tech-enabled prototypes (per the round announcement).</t>
        </is>
      </c>
      <c r="T12" s="34" t="inlineStr">
        <is>
          <t>Early stage / prototype</t>
        </is>
      </c>
      <c r="U12" s="34" t="inlineStr">
        <is>
          <t>Unknown</t>
        </is>
      </c>
      <c r="V12" s="34" t="inlineStr">
        <is>
          <t>No (not stated)</t>
        </is>
      </c>
      <c r="W12" s="34" t="inlineStr">
        <is>
          <t>Egypt-based program</t>
        </is>
      </c>
      <c r="X12" s="34" t="inlineStr">
        <is>
          <t>Confirmed</t>
        </is>
      </c>
      <c r="Y12" s="34" t="inlineStr">
        <is>
          <t>Unknown</t>
        </is>
      </c>
      <c r="Z12" s="34" t="inlineStr">
        <is>
          <t>Unknown</t>
        </is>
      </c>
      <c r="AA12" s="34" t="inlineStr">
        <is>
          <t>No</t>
        </is>
      </c>
      <c r="AB12" s="34" t="inlineStr">
        <is>
          <t>No (TIEC/ITIDA is the program owner)</t>
        </is>
      </c>
      <c r="AC12" s="34" t="inlineStr">
        <is>
          <t>Online application on TIEC website (URL not captured)</t>
        </is>
      </c>
      <c r="AD12" s="34" t="inlineStr">
        <is>
          <t>Not stated</t>
        </is>
      </c>
      <c r="AE12" s="34" t="inlineStr">
        <is>
          <t>Funding covers operational, marketing and legal expenses (reported)</t>
        </is>
      </c>
      <c r="AF12" s="34" t="inlineStr">
        <is>
          <t>Not stated</t>
        </is>
      </c>
      <c r="AG12" s="34" t="inlineStr">
        <is>
          <t>Not stated</t>
        </is>
      </c>
      <c r="AH12" s="34" t="inlineStr">
        <is>
          <t>Not stated</t>
        </is>
      </c>
      <c r="AI12" s="34" t="inlineStr">
        <is>
          <t>Figures come from press reprints of ITIDA's round 47 announcement (May 2025) and a MENA digest; confirm current round terms at TIEC.</t>
        </is>
      </c>
      <c r="AJ12" s="34" t="inlineStr">
        <is>
          <t>https://meatechwatch.com/?p=23538</t>
        </is>
      </c>
      <c r="AK12" s="34" t="inlineStr">
        <is>
          <t>https://menastartupdigest.com/?p=40213</t>
        </is>
      </c>
      <c r="AL12" s="34" t="inlineStr">
        <is>
          <t>Press: TIEC round 47 offered EGP 480K funding and USD 10K AWS support; a digest says applications are open year-round.</t>
        </is>
      </c>
      <c r="AM12" s="34" t="inlineStr">
        <is>
          <t>2026-10-24</t>
        </is>
      </c>
      <c r="AN12" s="34" t="inlineStr">
        <is>
          <t>Low</t>
        </is>
      </c>
      <c r="AO12" s="34" t="inlineStr">
        <is>
          <t>Community</t>
        </is>
      </c>
      <c r="AP12" s="34" t="inlineStr">
        <is>
          <t>Egypt</t>
        </is>
      </c>
      <c r="AQ12" s="34" t="inlineStr">
        <is>
          <t>egypt,grant,incubator,tiec,itida</t>
        </is>
      </c>
      <c r="AR12" s="34" t="inlineStr">
        <is>
          <t>Top priority for an Egypt-based founder. Find the official TIEC application page and the current round.</t>
        </is>
      </c>
      <c r="AS12" s="34" t="inlineStr">
        <is>
          <t>DG-TIEC</t>
        </is>
      </c>
      <c r="AT12" s="34" t="inlineStr">
        <is>
          <t>Excel only</t>
        </is>
      </c>
      <c r="AU12" s="34" t="inlineStr"/>
      <c r="AV12" s="34" t="inlineStr"/>
      <c r="AW12" s="34" t="inlineStr"/>
      <c r="AX12" s="34" t="inlineStr"/>
      <c r="AY12" s="34" t="inlineStr"/>
      <c r="AZ12" s="34" t="inlineStr"/>
      <c r="BA12" s="34" t="inlineStr"/>
      <c r="BB12" s="34" t="inlineStr">
        <is>
          <t>tiecitida</t>
        </is>
      </c>
      <c r="BC12" s="34" t="inlineStr">
        <is>
          <t>startitincubationprogramtiec</t>
        </is>
      </c>
      <c r="BD12" s="34" t="inlineStr">
        <is>
          <t>tiecitida|startitincubationprogramtiec</t>
        </is>
      </c>
      <c r="BE12" s="34" t="n">
        <v>1</v>
      </c>
      <c r="BF12" s="34" t="inlineStr">
        <is>
          <t>No</t>
        </is>
      </c>
    </row>
    <row r="13">
      <c r="A13" s="34" t="inlineStr">
        <is>
          <t>SB-012</t>
        </is>
      </c>
      <c r="B13" s="34" t="inlineStr">
        <is>
          <t>ITIDA / TIEC / Flat6Labs</t>
        </is>
      </c>
      <c r="C13" s="34" t="inlineStr">
        <is>
          <t>Invest-IT investment readiness program</t>
        </is>
      </c>
      <c r="D13" s="34" t="inlineStr">
        <is>
          <t>ITIDA</t>
        </is>
      </c>
      <c r="E13" s="34" t="inlineStr">
        <is>
          <t>Accelerators &amp; Partner Networks</t>
        </is>
      </c>
      <c r="F13" s="34" t="inlineStr">
        <is>
          <t>Investment-readiness program</t>
        </is>
      </c>
      <c r="G13" s="34" t="inlineStr">
        <is>
          <t>Program (benefit value not stated)</t>
        </is>
      </c>
      <c r="H13" s="34" t="inlineStr">
        <is>
          <t>Two-phase investment readiness program for Egyptian ICT startups run by TIEC with Flat6Labs; financial terms not captured.</t>
        </is>
      </c>
      <c r="I13" s="34" t="inlineStr"/>
      <c r="J13" s="34" t="inlineStr">
        <is>
          <t>EGP</t>
        </is>
      </c>
      <c r="K13" s="34" t="inlineStr">
        <is>
          <t>Unknown</t>
        </is>
      </c>
      <c r="L13" s="34" t="inlineStr"/>
      <c r="M13" s="34" t="inlineStr"/>
      <c r="N13" s="34" t="inlineStr"/>
      <c r="O13" s="34" t="inlineStr">
        <is>
          <t>Unknown</t>
        </is>
      </c>
      <c r="P13" s="34" t="inlineStr">
        <is>
          <t>Not verified this session</t>
        </is>
      </c>
      <c r="Q13" s="34" t="inlineStr">
        <is>
          <t>https://itida.gov.eg/English/PressReleases/Pages/itida-launches-invest-it-startup-funding-program-egypt.aspx</t>
        </is>
      </c>
      <c r="R13" s="34" t="inlineStr">
        <is>
          <t>Not stated</t>
        </is>
      </c>
      <c r="S13" s="34" t="inlineStr">
        <is>
          <t>ICT-enabled startups at seed or pre-Series A with a launched product; operating in Egypt at least two years; founding team of two or more.</t>
        </is>
      </c>
      <c r="T13" s="34" t="inlineStr">
        <is>
          <t>Seed / pre-Series A</t>
        </is>
      </c>
      <c r="U13" s="34" t="inlineStr">
        <is>
          <t>Yes (Egypt operations)</t>
        </is>
      </c>
      <c r="V13" s="34" t="inlineStr">
        <is>
          <t>Unknown</t>
        </is>
      </c>
      <c r="W13" s="34" t="inlineStr">
        <is>
          <t>Egypt-based startups</t>
        </is>
      </c>
      <c r="X13" s="34" t="inlineStr">
        <is>
          <t>Confirmed</t>
        </is>
      </c>
      <c r="Y13" s="34" t="inlineStr">
        <is>
          <t>Unknown</t>
        </is>
      </c>
      <c r="Z13" s="34" t="inlineStr">
        <is>
          <t>No (team of 2+)</t>
        </is>
      </c>
      <c r="AA13" s="34" t="inlineStr">
        <is>
          <t>No</t>
        </is>
      </c>
      <c r="AB13" s="34" t="inlineStr">
        <is>
          <t>No (Flat6Labs/TIEC run the program)</t>
        </is>
      </c>
      <c r="AC13" s="34" t="inlineStr">
        <is>
          <t>Application link on the Flat6Labs program page</t>
        </is>
      </c>
      <c r="AD13" s="34" t="inlineStr">
        <is>
          <t>Not stated</t>
        </is>
      </c>
      <c r="AE13" s="34" t="inlineStr">
        <is>
          <t>Not stated</t>
        </is>
      </c>
      <c r="AF13" s="34" t="inlineStr">
        <is>
          <t>Not stated</t>
        </is>
      </c>
      <c r="AG13" s="34" t="inlineStr">
        <is>
          <t>Not stated</t>
        </is>
      </c>
      <c r="AH13" s="34" t="inlineStr">
        <is>
          <t>Not stated</t>
        </is>
      </c>
      <c r="AI13" s="34" t="inlineStr">
        <is>
          <t>Edition status unknown (first edition 2024-25).</t>
        </is>
      </c>
      <c r="AJ13" s="34" t="inlineStr">
        <is>
          <t>https://flat6labs.com/2024/11/</t>
        </is>
      </c>
      <c r="AK13" s="34" t="inlineStr">
        <is>
          <t>https://itida.gov.eg/English/PressReleases/Pages/itida-launches-invest-it-startup-funding-program-egypt.aspx</t>
        </is>
      </c>
      <c r="AL13" s="34" t="inlineStr">
        <is>
          <t>Flat6Labs page: open to ICT-enabled seed/pre-Series A startups operating in Egypt 2+ years with 2+ founders.</t>
        </is>
      </c>
      <c r="AM13" s="34" t="inlineStr">
        <is>
          <t>2026-10-24</t>
        </is>
      </c>
      <c r="AN13" s="34" t="inlineStr">
        <is>
          <t>Medium</t>
        </is>
      </c>
      <c r="AO13" s="34" t="inlineStr">
        <is>
          <t>Official</t>
        </is>
      </c>
      <c r="AP13" s="34" t="inlineStr">
        <is>
          <t>Egypt</t>
        </is>
      </c>
      <c r="AQ13" s="34" t="inlineStr">
        <is>
          <t>egypt,flat6labs,tiec,investment-readiness</t>
        </is>
      </c>
      <c r="AR13" s="34" t="inlineStr">
        <is>
          <t>A 2026 Arabic news item mentions the partnership; confirm whether a new edition is open.</t>
        </is>
      </c>
      <c r="AS13" s="34" t="inlineStr">
        <is>
          <t>DG-INVEST-IT</t>
        </is>
      </c>
      <c r="AT13" s="34" t="inlineStr">
        <is>
          <t>Excel only</t>
        </is>
      </c>
      <c r="AU13" s="34" t="inlineStr"/>
      <c r="AV13" s="34" t="inlineStr"/>
      <c r="AW13" s="34" t="inlineStr"/>
      <c r="AX13" s="34" t="inlineStr"/>
      <c r="AY13" s="34" t="inlineStr"/>
      <c r="AZ13" s="34" t="inlineStr"/>
      <c r="BA13" s="34" t="inlineStr"/>
      <c r="BB13" s="34" t="inlineStr">
        <is>
          <t>itidatiecflat6labs</t>
        </is>
      </c>
      <c r="BC13" s="34" t="inlineStr">
        <is>
          <t>investitinvestmentreadinessprogram</t>
        </is>
      </c>
      <c r="BD13" s="34" t="inlineStr">
        <is>
          <t>itidatiecflat6labs|investitinvestmentreadinessprogram</t>
        </is>
      </c>
      <c r="BE13" s="34" t="n">
        <v>1</v>
      </c>
      <c r="BF13" s="34" t="inlineStr">
        <is>
          <t>No</t>
        </is>
      </c>
    </row>
    <row r="14">
      <c r="A14" s="34" t="inlineStr">
        <is>
          <t>SB-013</t>
        </is>
      </c>
      <c r="B14" s="34" t="inlineStr">
        <is>
          <t>ITIDA x Plug and Play</t>
        </is>
      </c>
      <c r="C14" s="34" t="inlineStr">
        <is>
          <t>ITIDA x Plug and Play Cairo Program - Cohort 8</t>
        </is>
      </c>
      <c r="D14" s="34" t="inlineStr">
        <is>
          <t>ITIDA</t>
        </is>
      </c>
      <c r="E14" s="34" t="inlineStr">
        <is>
          <t>Accelerators &amp; Partner Networks</t>
        </is>
      </c>
      <c r="F14" s="34" t="inlineStr">
        <is>
          <t>Three-month accelerator cohort</t>
        </is>
      </c>
      <c r="G14" s="34" t="inlineStr">
        <is>
          <t>Accelerator program</t>
        </is>
      </c>
      <c r="H14" s="34" t="inlineStr">
        <is>
          <t>Three-month cohort program for early- to growth-stage Egyptian startups; ITIDA's LinkedIn page reported applications open for Cohort 8.</t>
        </is>
      </c>
      <c r="I14" s="34" t="inlineStr"/>
      <c r="J14" s="34" t="inlineStr">
        <is>
          <t>USD</t>
        </is>
      </c>
      <c r="K14" s="34" t="inlineStr">
        <is>
          <t>Unknown</t>
        </is>
      </c>
      <c r="L14" s="34" t="inlineStr"/>
      <c r="M14" s="34" t="inlineStr"/>
      <c r="N14" s="34" t="inlineStr"/>
      <c r="O14" s="34" t="inlineStr">
        <is>
          <t>Unknown</t>
        </is>
      </c>
      <c r="P14" s="34" t="inlineStr">
        <is>
          <t>Not verified this session</t>
        </is>
      </c>
      <c r="Q14" s="34" t="inlineStr">
        <is>
          <t>Not verified this session</t>
        </is>
      </c>
      <c r="R14" s="34" t="inlineStr">
        <is>
          <t>Not stated</t>
        </is>
      </c>
      <c r="S14" s="34" t="inlineStr">
        <is>
          <t>Early- to growth-stage Egyptian startups (per ITIDA post).</t>
        </is>
      </c>
      <c r="T14" s="34" t="inlineStr">
        <is>
          <t>Early to growth</t>
        </is>
      </c>
      <c r="U14" s="34" t="inlineStr">
        <is>
          <t>Unknown</t>
        </is>
      </c>
      <c r="V14" s="34" t="inlineStr">
        <is>
          <t>Unknown</t>
        </is>
      </c>
      <c r="W14" s="34" t="inlineStr">
        <is>
          <t>Egypt-based</t>
        </is>
      </c>
      <c r="X14" s="34" t="inlineStr">
        <is>
          <t>Confirmed</t>
        </is>
      </c>
      <c r="Y14" s="34" t="inlineStr">
        <is>
          <t>Unknown</t>
        </is>
      </c>
      <c r="Z14" s="34" t="inlineStr">
        <is>
          <t>Unknown</t>
        </is>
      </c>
      <c r="AA14" s="34" t="inlineStr">
        <is>
          <t>No</t>
        </is>
      </c>
      <c r="AB14" s="34" t="inlineStr">
        <is>
          <t>No (program itself)</t>
        </is>
      </c>
      <c r="AC14" s="34" t="inlineStr">
        <is>
          <t>Not stated</t>
        </is>
      </c>
      <c r="AD14" s="34" t="inlineStr">
        <is>
          <t>Not stated</t>
        </is>
      </c>
      <c r="AE14" s="34" t="inlineStr">
        <is>
          <t>Not stated</t>
        </is>
      </c>
      <c r="AF14" s="34" t="inlineStr">
        <is>
          <t>Not stated</t>
        </is>
      </c>
      <c r="AG14" s="34" t="inlineStr">
        <is>
          <t>Not stated</t>
        </is>
      </c>
      <c r="AH14" s="34" t="inlineStr">
        <is>
          <t>Not stated</t>
        </is>
      </c>
      <c r="AI14" s="34" t="inlineStr">
        <is>
          <t>Deadline and benefits not captured; the cohort may have closed.</t>
        </is>
      </c>
      <c r="AJ14" s="34" t="inlineStr">
        <is>
          <t>https://www.linkedin.com/company/itida/</t>
        </is>
      </c>
      <c r="AK14" s="34" t="inlineStr"/>
      <c r="AL14" s="34" t="inlineStr">
        <is>
          <t>ITIDA LinkedIn snippet: applications open for Cohort 8 of ITIDA x Plug and Play Cairo.</t>
        </is>
      </c>
      <c r="AM14" s="34" t="inlineStr">
        <is>
          <t>2026-10-24</t>
        </is>
      </c>
      <c r="AN14" s="34" t="inlineStr">
        <is>
          <t>Low</t>
        </is>
      </c>
      <c r="AO14" s="34" t="inlineStr">
        <is>
          <t>Community</t>
        </is>
      </c>
      <c r="AP14" s="34" t="inlineStr">
        <is>
          <t>Egypt</t>
        </is>
      </c>
      <c r="AQ14" s="34" t="inlineStr">
        <is>
          <t>egypt,accelerator,plug-and-play</t>
        </is>
      </c>
      <c r="AR14" s="34" t="inlineStr">
        <is>
          <t>Check ITIDA's site for current cohort status.</t>
        </is>
      </c>
      <c r="AS14" s="34" t="inlineStr">
        <is>
          <t>DG-PNP</t>
        </is>
      </c>
      <c r="AT14" s="34" t="inlineStr">
        <is>
          <t>Excel only</t>
        </is>
      </c>
      <c r="AU14" s="34" t="inlineStr"/>
      <c r="AV14" s="34" t="inlineStr"/>
      <c r="AW14" s="34" t="inlineStr"/>
      <c r="AX14" s="34" t="inlineStr"/>
      <c r="AY14" s="34" t="inlineStr"/>
      <c r="AZ14" s="34" t="inlineStr"/>
      <c r="BA14" s="34" t="inlineStr"/>
      <c r="BB14" s="34" t="inlineStr">
        <is>
          <t>itidaxplugandplay</t>
        </is>
      </c>
      <c r="BC14" s="34" t="inlineStr">
        <is>
          <t>itidaxplugandplaycairoprogramcohort8</t>
        </is>
      </c>
      <c r="BD14" s="34" t="inlineStr">
        <is>
          <t>itidaxplugandplay|itidaxplugandplaycairoprogramcohort8</t>
        </is>
      </c>
      <c r="BE14" s="34" t="n">
        <v>1</v>
      </c>
      <c r="BF14" s="34" t="inlineStr">
        <is>
          <t>No</t>
        </is>
      </c>
    </row>
    <row r="15">
      <c r="A15" s="34" t="inlineStr">
        <is>
          <t>SB-014</t>
        </is>
      </c>
      <c r="B15" s="34" t="inlineStr">
        <is>
          <t>Flat6Labs</t>
        </is>
      </c>
      <c r="C15" s="34" t="inlineStr">
        <is>
          <t>Flat6Labs seed accelerator (Egypt)</t>
        </is>
      </c>
      <c r="D15" s="34" t="inlineStr">
        <is>
          <t>Flat6Labs</t>
        </is>
      </c>
      <c r="E15" s="34" t="inlineStr">
        <is>
          <t>Accelerators &amp; Partner Networks</t>
        </is>
      </c>
      <c r="F15" s="34" t="inlineStr">
        <is>
          <t>Seed accelerator (equity-based)</t>
        </is>
      </c>
      <c r="G15" s="34" t="inlineStr">
        <is>
          <t>Equity investment + accelerator (dilutive)</t>
        </is>
      </c>
      <c r="H15" s="34" t="inlineStr">
        <is>
          <t>Seed-stage accelerator with an Egypt-focused fund (reported EGP 207 million). Investment is equity-based, so not non-dilutive.</t>
        </is>
      </c>
      <c r="I15" s="34" t="inlineStr"/>
      <c r="J15" s="34" t="inlineStr">
        <is>
          <t>EGP</t>
        </is>
      </c>
      <c r="K15" s="34" t="inlineStr">
        <is>
          <t>Cash</t>
        </is>
      </c>
      <c r="L15" s="34" t="inlineStr"/>
      <c r="M15" s="34" t="inlineStr"/>
      <c r="N15" s="34" t="inlineStr"/>
      <c r="O15" s="34" t="inlineStr">
        <is>
          <t>Unknown</t>
        </is>
      </c>
      <c r="P15" s="34" t="inlineStr">
        <is>
          <t>Not verified this session</t>
        </is>
      </c>
      <c r="Q15" s="34" t="inlineStr">
        <is>
          <t>Not verified this session</t>
        </is>
      </c>
      <c r="R15" s="34" t="inlineStr">
        <is>
          <t>Not stated</t>
        </is>
      </c>
      <c r="S15" s="34" t="inlineStr">
        <is>
          <t>Not stated</t>
        </is>
      </c>
      <c r="T15" s="34" t="inlineStr">
        <is>
          <t>Seed</t>
        </is>
      </c>
      <c r="U15" s="34" t="inlineStr">
        <is>
          <t>Unknown</t>
        </is>
      </c>
      <c r="V15" s="34" t="inlineStr">
        <is>
          <t>Unknown</t>
        </is>
      </c>
      <c r="W15" s="34" t="inlineStr">
        <is>
          <t>Egypt / MENA</t>
        </is>
      </c>
      <c r="X15" s="34" t="inlineStr">
        <is>
          <t>Confirmed</t>
        </is>
      </c>
      <c r="Y15" s="34" t="inlineStr">
        <is>
          <t>Unknown</t>
        </is>
      </c>
      <c r="Z15" s="34" t="inlineStr">
        <is>
          <t>Unknown</t>
        </is>
      </c>
      <c r="AA15" s="34" t="inlineStr">
        <is>
          <t>No</t>
        </is>
      </c>
      <c r="AB15" s="34" t="inlineStr">
        <is>
          <t>No (program itself)</t>
        </is>
      </c>
      <c r="AC15" s="34" t="inlineStr">
        <is>
          <t>Not stated</t>
        </is>
      </c>
      <c r="AD15" s="34" t="inlineStr">
        <is>
          <t>Not stated</t>
        </is>
      </c>
      <c r="AE15" s="34" t="inlineStr">
        <is>
          <t>Not stated</t>
        </is>
      </c>
      <c r="AF15" s="34" t="inlineStr">
        <is>
          <t>Not stated</t>
        </is>
      </c>
      <c r="AG15" s="34" t="inlineStr">
        <is>
          <t>Not stated</t>
        </is>
      </c>
      <c r="AH15" s="34" t="inlineStr">
        <is>
          <t>Not stated</t>
        </is>
      </c>
      <c r="AI15" s="34" t="inlineStr">
        <is>
          <t>Equity-based; program status and terms not captured.</t>
        </is>
      </c>
      <c r="AJ15" s="34" t="inlineStr">
        <is>
          <t>https://enterprise.press/?p=137230</t>
        </is>
      </c>
      <c r="AK15" s="34" t="inlineStr">
        <is>
          <t>https://techcrunch.com/?p=2156316</t>
        </is>
      </c>
      <c r="AL15" s="34" t="inlineStr">
        <is>
          <t>Press: Flat6Labs Egypt fund raised to EGP 207 mn.</t>
        </is>
      </c>
      <c r="AM15" s="34" t="inlineStr">
        <is>
          <t>2026-10-24</t>
        </is>
      </c>
      <c r="AN15" s="34" t="inlineStr">
        <is>
          <t>Low</t>
        </is>
      </c>
      <c r="AO15" s="34" t="inlineStr">
        <is>
          <t>Community</t>
        </is>
      </c>
      <c r="AP15" s="34" t="inlineStr">
        <is>
          <t>Egypt / MENA</t>
        </is>
      </c>
      <c r="AQ15" s="34" t="inlineStr">
        <is>
          <t>egypt,accelerator,equity</t>
        </is>
      </c>
      <c r="AR15" s="34" t="inlineStr">
        <is>
          <t>Included as an ecosystem entry; verify the application window.</t>
        </is>
      </c>
      <c r="AS15" s="34" t="inlineStr">
        <is>
          <t>DG-F6L</t>
        </is>
      </c>
      <c r="AT15" s="34" t="inlineStr">
        <is>
          <t>Excel only</t>
        </is>
      </c>
      <c r="AU15" s="34" t="inlineStr"/>
      <c r="AV15" s="34" t="inlineStr"/>
      <c r="AW15" s="34" t="inlineStr"/>
      <c r="AX15" s="34" t="inlineStr"/>
      <c r="AY15" s="34" t="inlineStr"/>
      <c r="AZ15" s="34" t="inlineStr"/>
      <c r="BA15" s="34" t="inlineStr"/>
      <c r="BB15" s="34" t="inlineStr">
        <is>
          <t>flat6labs</t>
        </is>
      </c>
      <c r="BC15" s="34" t="inlineStr">
        <is>
          <t>flat6labsseedacceleratoregypt</t>
        </is>
      </c>
      <c r="BD15" s="34" t="inlineStr">
        <is>
          <t>flat6labs|flat6labsseedacceleratoregypt</t>
        </is>
      </c>
      <c r="BE15" s="34" t="n">
        <v>1</v>
      </c>
      <c r="BF15" s="34" t="inlineStr">
        <is>
          <t>No</t>
        </is>
      </c>
    </row>
    <row r="16">
      <c r="A16" s="34" t="inlineStr">
        <is>
          <t>SB-015</t>
        </is>
      </c>
      <c r="B16" s="34" t="inlineStr">
        <is>
          <t>Together AI</t>
        </is>
      </c>
      <c r="C16" s="34" t="inlineStr">
        <is>
          <t>Together AI Startup Accelerator</t>
        </is>
      </c>
      <c r="D16" s="34" t="inlineStr">
        <is>
          <t>Not stated</t>
        </is>
      </c>
      <c r="E16" s="34" t="inlineStr">
        <is>
          <t>AI &amp; LLM Credits</t>
        </is>
      </c>
      <c r="F16" s="34" t="inlineStr">
        <is>
          <t>Inference credits</t>
        </is>
      </c>
      <c r="G16" s="34" t="inlineStr">
        <is>
          <t>Startup credits (startup-specific)</t>
        </is>
      </c>
      <c r="H16" s="34" t="inlineStr">
        <is>
          <t>Up to $50,000 inference credits; Build tier (up to $5M raised) up to $15K credits plus 3 hours engineering; Scale tier for $5M-$10M raised.</t>
        </is>
      </c>
      <c r="I16" s="34" t="inlineStr">
        <is>
          <t>50000</t>
        </is>
      </c>
      <c r="J16" s="34" t="inlineStr">
        <is>
          <t>USD</t>
        </is>
      </c>
      <c r="K16" s="34" t="inlineStr">
        <is>
          <t>Credits</t>
        </is>
      </c>
      <c r="L16" s="34" t="inlineStr"/>
      <c r="M16" s="34" t="inlineStr">
        <is>
          <t>50000</t>
        </is>
      </c>
      <c r="N16" s="34" t="inlineStr"/>
      <c r="O16" s="34" t="inlineStr">
        <is>
          <t>Open</t>
        </is>
      </c>
      <c r="P16" s="34" t="inlineStr">
        <is>
          <t>Not verified this session</t>
        </is>
      </c>
      <c r="Q16" s="34" t="inlineStr">
        <is>
          <t>Not verified this session</t>
        </is>
      </c>
      <c r="R16" s="34" t="inlineStr">
        <is>
          <t>Not stated</t>
        </is>
      </c>
      <c r="S16" s="34" t="inlineStr">
        <is>
          <t>Not stated</t>
        </is>
      </c>
      <c r="T16" s="34" t="inlineStr">
        <is>
          <t>Funding-banded tiers (up to $10M raised)</t>
        </is>
      </c>
      <c r="U16" s="34" t="inlineStr">
        <is>
          <t>Unknown</t>
        </is>
      </c>
      <c r="V16" s="34" t="inlineStr">
        <is>
          <t>Unknown</t>
        </is>
      </c>
      <c r="W16" s="34" t="inlineStr">
        <is>
          <t>Not stated</t>
        </is>
      </c>
      <c r="X16" s="34" t="inlineStr">
        <is>
          <t>Unverified</t>
        </is>
      </c>
      <c r="Y16" s="34" t="inlineStr">
        <is>
          <t>Unknown</t>
        </is>
      </c>
      <c r="Z16" s="34" t="inlineStr">
        <is>
          <t>Unknown</t>
        </is>
      </c>
      <c r="AA16" s="34" t="inlineStr">
        <is>
          <t>Yes</t>
        </is>
      </c>
      <c r="AB16" s="34" t="inlineStr">
        <is>
          <t>Unknown</t>
        </is>
      </c>
      <c r="AC16" s="34" t="inlineStr">
        <is>
          <t>Not stated</t>
        </is>
      </c>
      <c r="AD16" s="34" t="inlineStr">
        <is>
          <t>Not stated</t>
        </is>
      </c>
      <c r="AE16" s="34" t="inlineStr">
        <is>
          <t>Not stated</t>
        </is>
      </c>
      <c r="AF16" s="34" t="inlineStr">
        <is>
          <t>Not stated</t>
        </is>
      </c>
      <c r="AG16" s="34" t="inlineStr">
        <is>
          <t>Not stated</t>
        </is>
      </c>
      <c r="AH16" s="34" t="inlineStr">
        <is>
          <t>No card required</t>
        </is>
      </c>
      <c r="AI16" s="34" t="inlineStr">
        <is>
          <t>Not stated</t>
        </is>
      </c>
      <c r="AJ16" s="34" t="inlineStr">
        <is>
          <t>https://aifree.dev/offer/together-ai-startup-accelerator</t>
        </is>
      </c>
      <c r="AK16" s="34" t="inlineStr">
        <is>
          <t>https://aifree.dev/startup-ai-credits</t>
        </is>
      </c>
      <c r="AL16" s="34" t="inlineStr">
        <is>
          <t>Directory listing (verified Oct 2026 per directory): Up to $50,000 inference credits; Build tier (up to $5M raised) up to $15K credits plus 3 hours engineering; Scale tier for $5M-$10M raised.</t>
        </is>
      </c>
      <c r="AM16" s="34" t="inlineStr">
        <is>
          <t>2026-10-24</t>
        </is>
      </c>
      <c r="AN16" s="34" t="inlineStr">
        <is>
          <t>Medium</t>
        </is>
      </c>
      <c r="AO16" s="34" t="inlineStr">
        <is>
          <t>Directory</t>
        </is>
      </c>
      <c r="AP16" s="34" t="inlineStr">
        <is>
          <t>Global (unverified)</t>
        </is>
      </c>
      <c r="AQ16" s="34" t="inlineStr">
        <is>
          <t>ai,inference,credits</t>
        </is>
      </c>
      <c r="AR16" s="34" t="inlineStr">
        <is>
          <t>Terms taken from aifree.dev directory; official program page not opened this session. Confirm on provider site before applying.</t>
        </is>
      </c>
      <c r="AS16" s="34" t="inlineStr">
        <is>
          <t>DG-TOGETHER</t>
        </is>
      </c>
      <c r="AT16" s="34" t="inlineStr">
        <is>
          <t>Excel only</t>
        </is>
      </c>
      <c r="AU16" s="34" t="inlineStr"/>
      <c r="AV16" s="34" t="inlineStr"/>
      <c r="AW16" s="34" t="inlineStr"/>
      <c r="AX16" s="34" t="inlineStr"/>
      <c r="AY16" s="34" t="inlineStr"/>
      <c r="AZ16" s="34" t="inlineStr"/>
      <c r="BA16" s="34" t="inlineStr"/>
      <c r="BB16" s="34" t="inlineStr">
        <is>
          <t>togetherai</t>
        </is>
      </c>
      <c r="BC16" s="34" t="inlineStr">
        <is>
          <t>togetheraistartupaccelerator</t>
        </is>
      </c>
      <c r="BD16" s="34" t="inlineStr">
        <is>
          <t>togetherai|togetheraistartupaccelerator</t>
        </is>
      </c>
      <c r="BE16" s="34" t="n">
        <v>1</v>
      </c>
      <c r="BF16" s="34" t="inlineStr">
        <is>
          <t>No</t>
        </is>
      </c>
    </row>
    <row r="17">
      <c r="A17" s="34" t="inlineStr">
        <is>
          <t>SB-016</t>
        </is>
      </c>
      <c r="B17" s="34" t="inlineStr">
        <is>
          <t>Cognition (Devin)</t>
        </is>
      </c>
      <c r="C17" s="34" t="inlineStr">
        <is>
          <t>Devin for Startups</t>
        </is>
      </c>
      <c r="D17" s="34" t="inlineStr">
        <is>
          <t>Not stated</t>
        </is>
      </c>
      <c r="E17" s="34" t="inlineStr">
        <is>
          <t>AI &amp; LLM Credits</t>
        </is>
      </c>
      <c r="F17" s="34" t="inlineStr">
        <is>
          <t>AI coding agent credits</t>
        </is>
      </c>
      <c r="G17" s="34" t="inlineStr">
        <is>
          <t>Startup credits (startup-specific)</t>
        </is>
      </c>
      <c r="H17" s="34" t="inlineStr">
        <is>
          <t>$15,000 in Devin credits on approval; up to $65,000 with matching (directory short answer says $65K; table says up to $50K matching - conflict noted).</t>
        </is>
      </c>
      <c r="I17" s="34" t="inlineStr">
        <is>
          <t>65000</t>
        </is>
      </c>
      <c r="J17" s="34" t="inlineStr">
        <is>
          <t>USD</t>
        </is>
      </c>
      <c r="K17" s="34" t="inlineStr">
        <is>
          <t>Credits</t>
        </is>
      </c>
      <c r="L17" s="34" t="inlineStr">
        <is>
          <t>15000</t>
        </is>
      </c>
      <c r="M17" s="34" t="inlineStr">
        <is>
          <t>15000</t>
        </is>
      </c>
      <c r="N17" s="34" t="inlineStr"/>
      <c r="O17" s="34" t="inlineStr">
        <is>
          <t>Open</t>
        </is>
      </c>
      <c r="P17" s="34" t="inlineStr">
        <is>
          <t>Not verified this session</t>
        </is>
      </c>
      <c r="Q17" s="34" t="inlineStr">
        <is>
          <t>Not verified this session</t>
        </is>
      </c>
      <c r="R17" s="34" t="inlineStr">
        <is>
          <t>Not stated</t>
        </is>
      </c>
      <c r="S17" s="34" t="inlineStr">
        <is>
          <t>Not stated</t>
        </is>
      </c>
      <c r="T17" s="34" t="inlineStr">
        <is>
          <t>Not stated</t>
        </is>
      </c>
      <c r="U17" s="34" t="inlineStr">
        <is>
          <t>Unknown</t>
        </is>
      </c>
      <c r="V17" s="34" t="inlineStr">
        <is>
          <t>Unknown</t>
        </is>
      </c>
      <c r="W17" s="34" t="inlineStr">
        <is>
          <t>Not stated</t>
        </is>
      </c>
      <c r="X17" s="34" t="inlineStr">
        <is>
          <t>Unverified</t>
        </is>
      </c>
      <c r="Y17" s="34" t="inlineStr">
        <is>
          <t>Unknown</t>
        </is>
      </c>
      <c r="Z17" s="34" t="inlineStr">
        <is>
          <t>Unknown</t>
        </is>
      </c>
      <c r="AA17" s="34" t="inlineStr">
        <is>
          <t>Yes</t>
        </is>
      </c>
      <c r="AB17" s="34" t="inlineStr">
        <is>
          <t>Unknown</t>
        </is>
      </c>
      <c r="AC17" s="34" t="inlineStr">
        <is>
          <t>Not stated</t>
        </is>
      </c>
      <c r="AD17" s="34" t="inlineStr">
        <is>
          <t>Not stated</t>
        </is>
      </c>
      <c r="AE17" s="34" t="inlineStr">
        <is>
          <t>Not stated</t>
        </is>
      </c>
      <c r="AF17" s="34" t="inlineStr">
        <is>
          <t>Not stated</t>
        </is>
      </c>
      <c r="AG17" s="34" t="inlineStr">
        <is>
          <t>Not stated</t>
        </is>
      </c>
      <c r="AH17" s="34" t="inlineStr">
        <is>
          <t>No card required</t>
        </is>
      </c>
      <c r="AI17" s="34" t="inlineStr">
        <is>
          <t>Matching amount differs between two places on the directory page.</t>
        </is>
      </c>
      <c r="AJ17" s="34" t="inlineStr">
        <is>
          <t>https://aifree.dev/offer/devin-for-startups</t>
        </is>
      </c>
      <c r="AK17" s="34" t="inlineStr">
        <is>
          <t>https://aifree.dev/startup-ai-credits</t>
        </is>
      </c>
      <c r="AL17" s="34" t="inlineStr">
        <is>
          <t>Directory listing (verified Oct 2026 per directory): $15,000 in Devin credits on approval; up to $65,000 with matching (directory short answer says $65K; table says up to $50K matching - confli</t>
        </is>
      </c>
      <c r="AM17" s="34" t="inlineStr">
        <is>
          <t>2026-10-24</t>
        </is>
      </c>
      <c r="AN17" s="34" t="inlineStr">
        <is>
          <t>Medium</t>
        </is>
      </c>
      <c r="AO17" s="34" t="inlineStr">
        <is>
          <t>Directory</t>
        </is>
      </c>
      <c r="AP17" s="34" t="inlineStr">
        <is>
          <t>Global (unverified)</t>
        </is>
      </c>
      <c r="AQ17" s="34" t="inlineStr">
        <is>
          <t>ai,coding-agent</t>
        </is>
      </c>
      <c r="AR17" s="34" t="inlineStr">
        <is>
          <t>Terms taken from aifree.dev directory; official program page not opened this session. Confirm on provider site before applying.</t>
        </is>
      </c>
      <c r="AS17" s="34" t="inlineStr">
        <is>
          <t>DG-DEVIN</t>
        </is>
      </c>
      <c r="AT17" s="34" t="inlineStr">
        <is>
          <t>Excel only</t>
        </is>
      </c>
      <c r="AU17" s="34" t="inlineStr"/>
      <c r="AV17" s="34" t="inlineStr"/>
      <c r="AW17" s="34" t="inlineStr"/>
      <c r="AX17" s="34" t="inlineStr"/>
      <c r="AY17" s="34" t="inlineStr"/>
      <c r="AZ17" s="34" t="inlineStr"/>
      <c r="BA17" s="34" t="inlineStr"/>
      <c r="BB17" s="34" t="inlineStr">
        <is>
          <t>cognitiondevin</t>
        </is>
      </c>
      <c r="BC17" s="34" t="inlineStr">
        <is>
          <t>devinforstartups</t>
        </is>
      </c>
      <c r="BD17" s="34" t="inlineStr">
        <is>
          <t>cognitiondevin|devinforstartups</t>
        </is>
      </c>
      <c r="BE17" s="34" t="n">
        <v>1</v>
      </c>
      <c r="BF17" s="34" t="inlineStr">
        <is>
          <t>No</t>
        </is>
      </c>
    </row>
    <row r="18">
      <c r="A18" s="34" t="inlineStr">
        <is>
          <t>SB-017</t>
        </is>
      </c>
      <c r="B18" s="34" t="inlineStr">
        <is>
          <t>Antler</t>
        </is>
      </c>
      <c r="C18" s="34" t="inlineStr">
        <is>
          <t>Antler Disrupt AI Credits and Perks</t>
        </is>
      </c>
      <c r="D18" s="34" t="inlineStr">
        <is>
          <t>Not stated</t>
        </is>
      </c>
      <c r="E18" s="34" t="inlineStr">
        <is>
          <t>Accelerators &amp; Partner Networks</t>
        </is>
      </c>
      <c r="F18" s="34" t="inlineStr">
        <is>
          <t>Accelerator AI perks bundle</t>
        </is>
      </c>
      <c r="G18" s="34" t="inlineStr">
        <is>
          <t>Startup credits (startup-specific)</t>
        </is>
      </c>
      <c r="H18" s="34" t="inlineStr">
        <is>
          <t>$650K+ of AI perks from day one (NVIDIA, OpenAI, AWS, Nebius, GCP, Azure and others) for Antler participants.</t>
        </is>
      </c>
      <c r="I18" s="34" t="inlineStr">
        <is>
          <t>650000</t>
        </is>
      </c>
      <c r="J18" s="34" t="inlineStr">
        <is>
          <t>USD</t>
        </is>
      </c>
      <c r="K18" s="34" t="inlineStr">
        <is>
          <t>Credits</t>
        </is>
      </c>
      <c r="L18" s="34" t="inlineStr"/>
      <c r="M18" s="34" t="inlineStr">
        <is>
          <t>650000</t>
        </is>
      </c>
      <c r="N18" s="34" t="inlineStr"/>
      <c r="O18" s="34" t="inlineStr">
        <is>
          <t>Open</t>
        </is>
      </c>
      <c r="P18" s="34" t="inlineStr">
        <is>
          <t>Not verified this session</t>
        </is>
      </c>
      <c r="Q18" s="34" t="inlineStr">
        <is>
          <t>Not verified this session</t>
        </is>
      </c>
      <c r="R18" s="34" t="inlineStr">
        <is>
          <t>Not stated</t>
        </is>
      </c>
      <c r="S18" s="34" t="inlineStr">
        <is>
          <t>Not stated</t>
        </is>
      </c>
      <c r="T18" s="34" t="inlineStr">
        <is>
          <t>Not stated</t>
        </is>
      </c>
      <c r="U18" s="34" t="inlineStr">
        <is>
          <t>Unknown</t>
        </is>
      </c>
      <c r="V18" s="34" t="inlineStr">
        <is>
          <t>Unknown</t>
        </is>
      </c>
      <c r="W18" s="34" t="inlineStr">
        <is>
          <t>Not stated</t>
        </is>
      </c>
      <c r="X18" s="34" t="inlineStr">
        <is>
          <t>Unverified</t>
        </is>
      </c>
      <c r="Y18" s="34" t="inlineStr">
        <is>
          <t>Unknown</t>
        </is>
      </c>
      <c r="Z18" s="34" t="inlineStr">
        <is>
          <t>Unknown</t>
        </is>
      </c>
      <c r="AA18" s="34" t="inlineStr">
        <is>
          <t>Yes</t>
        </is>
      </c>
      <c r="AB18" s="34" t="inlineStr">
        <is>
          <t>Yes</t>
        </is>
      </c>
      <c r="AC18" s="34" t="inlineStr">
        <is>
          <t>Not stated</t>
        </is>
      </c>
      <c r="AD18" s="34" t="inlineStr">
        <is>
          <t>Not stated</t>
        </is>
      </c>
      <c r="AE18" s="34" t="inlineStr">
        <is>
          <t>Not stated</t>
        </is>
      </c>
      <c r="AF18" s="34" t="inlineStr">
        <is>
          <t>Not stated</t>
        </is>
      </c>
      <c r="AG18" s="34" t="inlineStr">
        <is>
          <t>Not stated</t>
        </is>
      </c>
      <c r="AH18" s="34" t="inlineStr">
        <is>
          <t>No card required</t>
        </is>
      </c>
      <c r="AI18" s="34" t="inlineStr">
        <is>
          <t>Requires participation in Antler's program.</t>
        </is>
      </c>
      <c r="AJ18" s="34" t="inlineStr">
        <is>
          <t>https://aifree.dev/offer/antler-disrupt-ai-perks</t>
        </is>
      </c>
      <c r="AK18" s="34" t="inlineStr">
        <is>
          <t>https://aifree.dev/startup-ai-credits</t>
        </is>
      </c>
      <c r="AL18" s="34" t="inlineStr">
        <is>
          <t>Directory listing (verified Oct 2026 per directory): $650K+ of AI perks from day one (NVIDIA, OpenAI, AWS, Nebius, GCP, Azure and others) for Antler participants.</t>
        </is>
      </c>
      <c r="AM18" s="34" t="inlineStr">
        <is>
          <t>2026-10-24</t>
        </is>
      </c>
      <c r="AN18" s="34" t="inlineStr">
        <is>
          <t>Medium</t>
        </is>
      </c>
      <c r="AO18" s="34" t="inlineStr">
        <is>
          <t>Directory</t>
        </is>
      </c>
      <c r="AP18" s="34" t="inlineStr">
        <is>
          <t>Global (unverified)</t>
        </is>
      </c>
      <c r="AQ18" s="34" t="inlineStr">
        <is>
          <t>accelerator,ai-perks</t>
        </is>
      </c>
      <c r="AR18" s="34" t="inlineStr">
        <is>
          <t>Terms taken from aifree.dev directory; official program page not opened this session. Confirm on provider site before applying.</t>
        </is>
      </c>
      <c r="AS18" s="34" t="inlineStr">
        <is>
          <t>DG-ANTLER</t>
        </is>
      </c>
      <c r="AT18" s="34" t="inlineStr">
        <is>
          <t>Excel only</t>
        </is>
      </c>
      <c r="AU18" s="34" t="inlineStr"/>
      <c r="AV18" s="34" t="inlineStr"/>
      <c r="AW18" s="34" t="inlineStr"/>
      <c r="AX18" s="34" t="inlineStr"/>
      <c r="AY18" s="34" t="inlineStr"/>
      <c r="AZ18" s="34" t="inlineStr"/>
      <c r="BA18" s="34" t="inlineStr"/>
      <c r="BB18" s="34" t="inlineStr">
        <is>
          <t>antler</t>
        </is>
      </c>
      <c r="BC18" s="34" t="inlineStr">
        <is>
          <t>antlerdisruptaicreditsandperks</t>
        </is>
      </c>
      <c r="BD18" s="34" t="inlineStr">
        <is>
          <t>antler|antlerdisruptaicreditsandperks</t>
        </is>
      </c>
      <c r="BE18" s="34" t="n">
        <v>1</v>
      </c>
      <c r="BF18" s="34" t="inlineStr">
        <is>
          <t>No</t>
        </is>
      </c>
    </row>
    <row r="19">
      <c r="A19" s="34" t="inlineStr">
        <is>
          <t>SB-018</t>
        </is>
      </c>
      <c r="B19" s="34" t="inlineStr">
        <is>
          <t>Cloudflare</t>
        </is>
      </c>
      <c r="C19" s="34" t="inlineStr">
        <is>
          <t>Cloudflare for Startups</t>
        </is>
      </c>
      <c r="D19" s="34" t="inlineStr">
        <is>
          <t>Not stated</t>
        </is>
      </c>
      <c r="E19" s="34" t="inlineStr">
        <is>
          <t>Cloud &amp; Infrastructure</t>
        </is>
      </c>
      <c r="F19" s="34" t="inlineStr">
        <is>
          <t>Cloud/edge credits</t>
        </is>
      </c>
      <c r="G19" s="34" t="inlineStr">
        <is>
          <t>Startup credits (startup-specific)</t>
        </is>
      </c>
      <c r="H19" s="34" t="inlineStr">
        <is>
          <t>Up to $350,000 in credits valid one year or until fully consumed; payment method required.</t>
        </is>
      </c>
      <c r="I19" s="34" t="inlineStr">
        <is>
          <t>350000</t>
        </is>
      </c>
      <c r="J19" s="34" t="inlineStr">
        <is>
          <t>USD</t>
        </is>
      </c>
      <c r="K19" s="34" t="inlineStr">
        <is>
          <t>Credits</t>
        </is>
      </c>
      <c r="L19" s="34" t="inlineStr"/>
      <c r="M19" s="34" t="inlineStr">
        <is>
          <t>350000</t>
        </is>
      </c>
      <c r="N19" s="34" t="inlineStr"/>
      <c r="O19" s="34" t="inlineStr">
        <is>
          <t>Open</t>
        </is>
      </c>
      <c r="P19" s="34" t="inlineStr">
        <is>
          <t>https://www.cloudflare.com/forstartups/</t>
        </is>
      </c>
      <c r="Q19" s="34" t="inlineStr">
        <is>
          <t>https://www.cloudflare.com/forstartups/</t>
        </is>
      </c>
      <c r="R19" s="34" t="inlineStr">
        <is>
          <t>Not stated</t>
        </is>
      </c>
      <c r="S19" s="34" t="inlineStr">
        <is>
          <t>Not stated</t>
        </is>
      </c>
      <c r="T19" s="34" t="inlineStr">
        <is>
          <t>Not stated</t>
        </is>
      </c>
      <c r="U19" s="34" t="inlineStr">
        <is>
          <t>Unknown</t>
        </is>
      </c>
      <c r="V19" s="34" t="inlineStr">
        <is>
          <t>Unknown</t>
        </is>
      </c>
      <c r="W19" s="34" t="inlineStr">
        <is>
          <t>Not stated</t>
        </is>
      </c>
      <c r="X19" s="34" t="inlineStr">
        <is>
          <t>Unverified</t>
        </is>
      </c>
      <c r="Y19" s="34" t="inlineStr">
        <is>
          <t>Unknown</t>
        </is>
      </c>
      <c r="Z19" s="34" t="inlineStr">
        <is>
          <t>Unknown</t>
        </is>
      </c>
      <c r="AA19" s="34" t="inlineStr">
        <is>
          <t>No</t>
        </is>
      </c>
      <c r="AB19" s="34" t="inlineStr">
        <is>
          <t>Unknown</t>
        </is>
      </c>
      <c r="AC19" s="34" t="inlineStr">
        <is>
          <t>Not stated</t>
        </is>
      </c>
      <c r="AD19" s="34" t="inlineStr">
        <is>
          <t>Not stated</t>
        </is>
      </c>
      <c r="AE19" s="34" t="inlineStr">
        <is>
          <t>Not stated</t>
        </is>
      </c>
      <c r="AF19" s="34" t="inlineStr">
        <is>
          <t>Not stated</t>
        </is>
      </c>
      <c r="AG19" s="34" t="inlineStr">
        <is>
          <t>Not stated</t>
        </is>
      </c>
      <c r="AH19" s="34" t="inlineStr">
        <is>
          <t>Card required</t>
        </is>
      </c>
      <c r="AI19" s="34" t="inlineStr">
        <is>
          <t>Not stated</t>
        </is>
      </c>
      <c r="AJ19" s="34" t="inlineStr">
        <is>
          <t>https://aifree.dev/offer/cloudflare-for-startups</t>
        </is>
      </c>
      <c r="AK19" s="34" t="inlineStr">
        <is>
          <t>https://aifree.dev/startup-ai-credits</t>
        </is>
      </c>
      <c r="AL19" s="34" t="inlineStr">
        <is>
          <t>Directory listing (verified Oct 2026 per directory): Up to $350,000 in credits valid one year or until fully consumed; payment method required.</t>
        </is>
      </c>
      <c r="AM19" s="34" t="inlineStr">
        <is>
          <t>2026-10-24</t>
        </is>
      </c>
      <c r="AN19" s="34" t="inlineStr">
        <is>
          <t>Medium</t>
        </is>
      </c>
      <c r="AO19" s="34" t="inlineStr">
        <is>
          <t>Directory</t>
        </is>
      </c>
      <c r="AP19" s="34" t="inlineStr">
        <is>
          <t>Global (unverified)</t>
        </is>
      </c>
      <c r="AQ19" s="34" t="inlineStr">
        <is>
          <t>cloud,edge,workers</t>
        </is>
      </c>
      <c r="AR19" s="34" t="inlineStr">
        <is>
          <t>Seed URL from your list (cloudflare.com/forstartups) was NOT opened; amounts from directory. Confirm funding-tier rules.</t>
        </is>
      </c>
      <c r="AS19" s="34" t="inlineStr">
        <is>
          <t>DG-CF</t>
        </is>
      </c>
      <c r="AT19" s="34" t="inlineStr">
        <is>
          <t>Excel + GitHub repo</t>
        </is>
      </c>
      <c r="AU19" s="34" t="inlineStr">
        <is>
          <t>cloudflare-startups</t>
        </is>
      </c>
      <c r="AV19" s="34" t="inlineStr">
        <is>
          <t>No public code verified</t>
        </is>
      </c>
      <c r="AW19" s="34" t="inlineStr">
        <is>
          <t>Not published</t>
        </is>
      </c>
      <c r="AX19" s="34" t="inlineStr">
        <is>
          <t>https://www.cloudflare.com/startups/</t>
        </is>
      </c>
      <c r="AY19" s="34" t="inlineStr">
        <is>
          <t>No provider-published coupon code found in the verified source; do not treat third-party codes as confirmed.</t>
        </is>
      </c>
      <c r="AZ19" s="34" t="inlineStr">
        <is>
          <t>Exact provider + program</t>
        </is>
      </c>
      <c r="BA19" s="34" t="inlineStr">
        <is>
          <t>No reliable community code confirmation recorded</t>
        </is>
      </c>
      <c r="BB19" s="34" t="inlineStr">
        <is>
          <t>cloudflare</t>
        </is>
      </c>
      <c r="BC19" s="34" t="inlineStr">
        <is>
          <t>cloudflareforstartups</t>
        </is>
      </c>
      <c r="BD19" s="34" t="inlineStr">
        <is>
          <t>cloudflare|cloudflareforstartups</t>
        </is>
      </c>
      <c r="BE19" s="34" t="n">
        <v>1</v>
      </c>
      <c r="BF19" s="34" t="inlineStr">
        <is>
          <t>No</t>
        </is>
      </c>
    </row>
    <row r="20">
      <c r="A20" s="34" t="inlineStr">
        <is>
          <t>SB-019</t>
        </is>
      </c>
      <c r="B20" s="34" t="inlineStr">
        <is>
          <t>Databricks</t>
        </is>
      </c>
      <c r="C20" s="34" t="inlineStr">
        <is>
          <t>Databricks for Startups</t>
        </is>
      </c>
      <c r="D20" s="34" t="inlineStr">
        <is>
          <t>Not stated</t>
        </is>
      </c>
      <c r="E20" s="34" t="inlineStr">
        <is>
          <t>Cloud &amp; Infrastructure</t>
        </is>
      </c>
      <c r="F20" s="34" t="inlineStr">
        <is>
          <t>Data/AI platform credits</t>
        </is>
      </c>
      <c r="G20" s="34" t="inlineStr">
        <is>
          <t>Startup credits (startup-specific)</t>
        </is>
      </c>
      <c r="H20" s="34" t="inlineStr">
        <is>
          <t>Up to $200,000, which is the combined maximum across Databricks and Neon credits; qualification details truncated on directory.</t>
        </is>
      </c>
      <c r="I20" s="34" t="inlineStr">
        <is>
          <t>200000</t>
        </is>
      </c>
      <c r="J20" s="34" t="inlineStr">
        <is>
          <t>USD</t>
        </is>
      </c>
      <c r="K20" s="34" t="inlineStr">
        <is>
          <t>Credits</t>
        </is>
      </c>
      <c r="L20" s="34" t="inlineStr"/>
      <c r="M20" s="34" t="inlineStr">
        <is>
          <t>200000</t>
        </is>
      </c>
      <c r="N20" s="34" t="inlineStr"/>
      <c r="O20" s="34" t="inlineStr">
        <is>
          <t>Open</t>
        </is>
      </c>
      <c r="P20" s="34" t="inlineStr">
        <is>
          <t>Not verified this session</t>
        </is>
      </c>
      <c r="Q20" s="34" t="inlineStr">
        <is>
          <t>Not verified this session</t>
        </is>
      </c>
      <c r="R20" s="34" t="inlineStr">
        <is>
          <t>Not stated</t>
        </is>
      </c>
      <c r="S20" s="34" t="inlineStr">
        <is>
          <t>Not stated</t>
        </is>
      </c>
      <c r="T20" s="34" t="inlineStr">
        <is>
          <t>Not stated</t>
        </is>
      </c>
      <c r="U20" s="34" t="inlineStr">
        <is>
          <t>Unknown</t>
        </is>
      </c>
      <c r="V20" s="34" t="inlineStr">
        <is>
          <t>Likely required for top tier (directory FAQ, unverified)</t>
        </is>
      </c>
      <c r="W20" s="34" t="inlineStr">
        <is>
          <t>Not stated</t>
        </is>
      </c>
      <c r="X20" s="34" t="inlineStr">
        <is>
          <t>Unverified</t>
        </is>
      </c>
      <c r="Y20" s="34" t="inlineStr">
        <is>
          <t>Unknown</t>
        </is>
      </c>
      <c r="Z20" s="34" t="inlineStr">
        <is>
          <t>Unknown</t>
        </is>
      </c>
      <c r="AA20" s="34" t="inlineStr">
        <is>
          <t>No</t>
        </is>
      </c>
      <c r="AB20" s="34" t="inlineStr">
        <is>
          <t>Unknown</t>
        </is>
      </c>
      <c r="AC20" s="34" t="inlineStr">
        <is>
          <t>Not stated</t>
        </is>
      </c>
      <c r="AD20" s="34" t="inlineStr">
        <is>
          <t>Not stated</t>
        </is>
      </c>
      <c r="AE20" s="34" t="inlineStr">
        <is>
          <t>Not stated</t>
        </is>
      </c>
      <c r="AF20" s="34" t="inlineStr">
        <is>
          <t>Not stated</t>
        </is>
      </c>
      <c r="AG20" s="34" t="inlineStr">
        <is>
          <t>Not stated</t>
        </is>
      </c>
      <c r="AH20" s="34" t="inlineStr">
        <is>
          <t>No card required</t>
        </is>
      </c>
      <c r="AI20" s="34" t="inlineStr">
        <is>
          <t>Cap is shared with Neon program.</t>
        </is>
      </c>
      <c r="AJ20" s="34" t="inlineStr">
        <is>
          <t>https://aifree.dev/offer/databricks-for-startups</t>
        </is>
      </c>
      <c r="AK20" s="34" t="inlineStr">
        <is>
          <t>https://aifree.dev/startup-ai-credits</t>
        </is>
      </c>
      <c r="AL20" s="34" t="inlineStr">
        <is>
          <t>Directory listing (verified Oct 2026 per directory): Up to $200,000, which is the combined maximum across Databricks and Neon credits; qualification details truncated on directory.</t>
        </is>
      </c>
      <c r="AM20" s="34" t="inlineStr">
        <is>
          <t>2026-10-24</t>
        </is>
      </c>
      <c r="AN20" s="34" t="inlineStr">
        <is>
          <t>Medium</t>
        </is>
      </c>
      <c r="AO20" s="34" t="inlineStr">
        <is>
          <t>Directory</t>
        </is>
      </c>
      <c r="AP20" s="34" t="inlineStr">
        <is>
          <t>Global (unverified)</t>
        </is>
      </c>
      <c r="AQ20" s="34" t="inlineStr">
        <is>
          <t>data,ai,credits</t>
        </is>
      </c>
      <c r="AR20" s="34" t="inlineStr">
        <is>
          <t>Terms taken from aifree.dev directory; official program page not opened this session. Confirm on provider site before applying.</t>
        </is>
      </c>
      <c r="AS20" s="34" t="inlineStr">
        <is>
          <t>DG-DBX</t>
        </is>
      </c>
      <c r="AT20" s="34" t="inlineStr">
        <is>
          <t>Excel only</t>
        </is>
      </c>
      <c r="AU20" s="34" t="inlineStr"/>
      <c r="AV20" s="34" t="inlineStr"/>
      <c r="AW20" s="34" t="inlineStr"/>
      <c r="AX20" s="34" t="inlineStr"/>
      <c r="AY20" s="34" t="inlineStr"/>
      <c r="AZ20" s="34" t="inlineStr"/>
      <c r="BA20" s="34" t="inlineStr"/>
      <c r="BB20" s="34" t="inlineStr">
        <is>
          <t>databricks</t>
        </is>
      </c>
      <c r="BC20" s="34" t="inlineStr">
        <is>
          <t>databricksforstartups</t>
        </is>
      </c>
      <c r="BD20" s="34" t="inlineStr">
        <is>
          <t>databricks|databricksforstartups</t>
        </is>
      </c>
      <c r="BE20" s="34" t="n">
        <v>1</v>
      </c>
      <c r="BF20" s="34" t="inlineStr">
        <is>
          <t>No</t>
        </is>
      </c>
    </row>
    <row r="21">
      <c r="A21" s="34" t="inlineStr">
        <is>
          <t>SB-020</t>
        </is>
      </c>
      <c r="B21" s="34" t="inlineStr">
        <is>
          <t>Neon (Databricks)</t>
        </is>
      </c>
      <c r="C21" s="34" t="inlineStr">
        <is>
          <t>Neon Startup Program</t>
        </is>
      </c>
      <c r="D21" s="34" t="inlineStr">
        <is>
          <t>Not stated</t>
        </is>
      </c>
      <c r="E21" s="34" t="inlineStr">
        <is>
          <t>Cloud &amp; Infrastructure</t>
        </is>
      </c>
      <c r="F21" s="34" t="inlineStr">
        <is>
          <t>Serverless Postgres credits</t>
        </is>
      </c>
      <c r="G21" s="34" t="inlineStr">
        <is>
          <t>Startup credits (startup-specific)</t>
        </is>
      </c>
      <c r="H21" s="34" t="inlineStr">
        <is>
          <t>Credits valid 12 months from acceptance; self-funded tier up to $1,000; larger amounts share the $200K Databricks-Neon cap.</t>
        </is>
      </c>
      <c r="I21" s="34" t="inlineStr"/>
      <c r="J21" s="34" t="inlineStr">
        <is>
          <t>USD</t>
        </is>
      </c>
      <c r="K21" s="34" t="inlineStr">
        <is>
          <t>Credits</t>
        </is>
      </c>
      <c r="L21" s="34" t="inlineStr"/>
      <c r="M21" s="34" t="inlineStr"/>
      <c r="N21" s="34" t="inlineStr"/>
      <c r="O21" s="34" t="inlineStr">
        <is>
          <t>Open</t>
        </is>
      </c>
      <c r="P21" s="34" t="inlineStr">
        <is>
          <t>Not verified this session</t>
        </is>
      </c>
      <c r="Q21" s="34" t="inlineStr">
        <is>
          <t>Not verified this session</t>
        </is>
      </c>
      <c r="R21" s="34" t="inlineStr">
        <is>
          <t>Not stated</t>
        </is>
      </c>
      <c r="S21" s="34" t="inlineStr">
        <is>
          <t>Not stated</t>
        </is>
      </c>
      <c r="T21" s="34" t="inlineStr">
        <is>
          <t>Not stated</t>
        </is>
      </c>
      <c r="U21" s="34" t="inlineStr">
        <is>
          <t>Unknown</t>
        </is>
      </c>
      <c r="V21" s="34" t="inlineStr">
        <is>
          <t>Unknown</t>
        </is>
      </c>
      <c r="W21" s="34" t="inlineStr">
        <is>
          <t>Not stated</t>
        </is>
      </c>
      <c r="X21" s="34" t="inlineStr">
        <is>
          <t>Unverified</t>
        </is>
      </c>
      <c r="Y21" s="34" t="inlineStr">
        <is>
          <t>Yes (self-funded tier)</t>
        </is>
      </c>
      <c r="Z21" s="34" t="inlineStr">
        <is>
          <t>Unknown</t>
        </is>
      </c>
      <c r="AA21" s="34" t="inlineStr">
        <is>
          <t>No</t>
        </is>
      </c>
      <c r="AB21" s="34" t="inlineStr">
        <is>
          <t>Unknown</t>
        </is>
      </c>
      <c r="AC21" s="34" t="inlineStr">
        <is>
          <t>Not stated</t>
        </is>
      </c>
      <c r="AD21" s="34" t="inlineStr">
        <is>
          <t>Not stated</t>
        </is>
      </c>
      <c r="AE21" s="34" t="inlineStr">
        <is>
          <t>Not stated</t>
        </is>
      </c>
      <c r="AF21" s="34" t="inlineStr">
        <is>
          <t>Not stated</t>
        </is>
      </c>
      <c r="AG21" s="34" t="inlineStr">
        <is>
          <t>Not stated</t>
        </is>
      </c>
      <c r="AH21" s="34" t="inlineStr">
        <is>
          <t>No card required</t>
        </is>
      </c>
      <c r="AI21" s="34" t="inlineStr">
        <is>
          <t>Max value left blank to avoid double-counting the shared $200K cap with Databricks.</t>
        </is>
      </c>
      <c r="AJ21" s="34" t="inlineStr">
        <is>
          <t>https://aifree.dev/offer/neon-startup-program</t>
        </is>
      </c>
      <c r="AK21" s="34" t="inlineStr">
        <is>
          <t>https://aifree.dev/startup-ai-credits</t>
        </is>
      </c>
      <c r="AL21" s="34" t="inlineStr">
        <is>
          <t>Directory listing (verified Oct 2026 per directory): Credits valid 12 months from acceptance; self-funded tier up to $1,000; larger amounts share the $200K Databricks-Neon cap.</t>
        </is>
      </c>
      <c r="AM21" s="34" t="inlineStr">
        <is>
          <t>2026-10-24</t>
        </is>
      </c>
      <c r="AN21" s="34" t="inlineStr">
        <is>
          <t>Medium</t>
        </is>
      </c>
      <c r="AO21" s="34" t="inlineStr">
        <is>
          <t>Directory</t>
        </is>
      </c>
      <c r="AP21" s="34" t="inlineStr">
        <is>
          <t>Global (unverified)</t>
        </is>
      </c>
      <c r="AQ21" s="34" t="inlineStr">
        <is>
          <t>database,postgres,self-funded</t>
        </is>
      </c>
      <c r="AR21" s="34" t="inlineStr">
        <is>
          <t>Terms taken from aifree.dev directory; official program page not opened this session. Confirm on provider site before applying.</t>
        </is>
      </c>
      <c r="AS21" s="34" t="inlineStr">
        <is>
          <t>DG-NEON</t>
        </is>
      </c>
      <c r="AT21" s="34" t="inlineStr">
        <is>
          <t>Excel only</t>
        </is>
      </c>
      <c r="AU21" s="34" t="inlineStr"/>
      <c r="AV21" s="34" t="inlineStr"/>
      <c r="AW21" s="34" t="inlineStr"/>
      <c r="AX21" s="34" t="inlineStr"/>
      <c r="AY21" s="34" t="inlineStr"/>
      <c r="AZ21" s="34" t="inlineStr"/>
      <c r="BA21" s="34" t="inlineStr"/>
      <c r="BB21" s="34" t="inlineStr">
        <is>
          <t>neondatabricks</t>
        </is>
      </c>
      <c r="BC21" s="34" t="inlineStr">
        <is>
          <t>neonstartupprogram</t>
        </is>
      </c>
      <c r="BD21" s="34" t="inlineStr">
        <is>
          <t>neondatabricks|neonstartupprogram</t>
        </is>
      </c>
      <c r="BE21" s="34" t="n">
        <v>1</v>
      </c>
      <c r="BF21" s="34" t="inlineStr">
        <is>
          <t>No</t>
        </is>
      </c>
    </row>
    <row r="22">
      <c r="A22" s="34" t="inlineStr">
        <is>
          <t>SB-021</t>
        </is>
      </c>
      <c r="B22" s="34" t="inlineStr">
        <is>
          <t>Datadog</t>
        </is>
      </c>
      <c r="C22" s="34" t="inlineStr">
        <is>
          <t>Datadog for Startups</t>
        </is>
      </c>
      <c r="D22" s="34" t="inlineStr">
        <is>
          <t>Not stated</t>
        </is>
      </c>
      <c r="E22" s="34" t="inlineStr">
        <is>
          <t>Cloud &amp; Infrastructure</t>
        </is>
      </c>
      <c r="F22" s="34" t="inlineStr">
        <is>
          <t>Observability credits</t>
        </is>
      </c>
      <c r="G22" s="34" t="inlineStr">
        <is>
          <t>Startup credits (startup-specific)</t>
        </is>
      </c>
      <c r="H22" s="34" t="inlineStr">
        <is>
          <t>Up to $100,000; referral by a Datadog partner is required, no direct applications.</t>
        </is>
      </c>
      <c r="I22" s="34" t="inlineStr">
        <is>
          <t>100000</t>
        </is>
      </c>
      <c r="J22" s="34" t="inlineStr">
        <is>
          <t>USD</t>
        </is>
      </c>
      <c r="K22" s="34" t="inlineStr">
        <is>
          <t>Credits</t>
        </is>
      </c>
      <c r="L22" s="34" t="inlineStr"/>
      <c r="M22" s="34" t="inlineStr">
        <is>
          <t>100000</t>
        </is>
      </c>
      <c r="N22" s="34" t="inlineStr"/>
      <c r="O22" s="34" t="inlineStr">
        <is>
          <t>Open</t>
        </is>
      </c>
      <c r="P22" s="34" t="inlineStr">
        <is>
          <t>Not verified this session</t>
        </is>
      </c>
      <c r="Q22" s="34" t="inlineStr">
        <is>
          <t>Not verified this session</t>
        </is>
      </c>
      <c r="R22" s="34" t="inlineStr">
        <is>
          <t>Not stated</t>
        </is>
      </c>
      <c r="S22" s="34" t="inlineStr">
        <is>
          <t>Not stated</t>
        </is>
      </c>
      <c r="T22" s="34" t="inlineStr">
        <is>
          <t>Not stated</t>
        </is>
      </c>
      <c r="U22" s="34" t="inlineStr">
        <is>
          <t>Unknown</t>
        </is>
      </c>
      <c r="V22" s="34" t="inlineStr">
        <is>
          <t>Unknown</t>
        </is>
      </c>
      <c r="W22" s="34" t="inlineStr">
        <is>
          <t>Not stated</t>
        </is>
      </c>
      <c r="X22" s="34" t="inlineStr">
        <is>
          <t>Unverified</t>
        </is>
      </c>
      <c r="Y22" s="34" t="inlineStr">
        <is>
          <t>Unknown</t>
        </is>
      </c>
      <c r="Z22" s="34" t="inlineStr">
        <is>
          <t>Unknown</t>
        </is>
      </c>
      <c r="AA22" s="34" t="inlineStr">
        <is>
          <t>No</t>
        </is>
      </c>
      <c r="AB22" s="34" t="inlineStr">
        <is>
          <t>Yes</t>
        </is>
      </c>
      <c r="AC22" s="34" t="inlineStr">
        <is>
          <t>Not stated</t>
        </is>
      </c>
      <c r="AD22" s="34" t="inlineStr">
        <is>
          <t>Not stated</t>
        </is>
      </c>
      <c r="AE22" s="34" t="inlineStr">
        <is>
          <t>Not stated</t>
        </is>
      </c>
      <c r="AF22" s="34" t="inlineStr">
        <is>
          <t>Not stated</t>
        </is>
      </c>
      <c r="AG22" s="34" t="inlineStr">
        <is>
          <t>Not stated</t>
        </is>
      </c>
      <c r="AH22" s="34" t="inlineStr">
        <is>
          <t>No card required</t>
        </is>
      </c>
      <c r="AI22" s="34" t="inlineStr">
        <is>
          <t>No direct applications; partner referral only.</t>
        </is>
      </c>
      <c r="AJ22" s="34" t="inlineStr">
        <is>
          <t>https://aifree.dev/offer/datadog-for-startups</t>
        </is>
      </c>
      <c r="AK22" s="34" t="inlineStr">
        <is>
          <t>https://aifree.dev/startup-ai-credits</t>
        </is>
      </c>
      <c r="AL22" s="34" t="inlineStr">
        <is>
          <t>Directory listing (verified Oct 2026 per directory): Up to $100,000; referral by a Datadog partner is required, no direct applications.</t>
        </is>
      </c>
      <c r="AM22" s="34" t="inlineStr">
        <is>
          <t>2026-10-24</t>
        </is>
      </c>
      <c r="AN22" s="34" t="inlineStr">
        <is>
          <t>Medium</t>
        </is>
      </c>
      <c r="AO22" s="34" t="inlineStr">
        <is>
          <t>Directory</t>
        </is>
      </c>
      <c r="AP22" s="34" t="inlineStr">
        <is>
          <t>Global (unverified)</t>
        </is>
      </c>
      <c r="AQ22" s="34" t="inlineStr">
        <is>
          <t>observability</t>
        </is>
      </c>
      <c r="AR22" s="34" t="inlineStr">
        <is>
          <t>Terms taken from aifree.dev directory; official program page not opened this session. Confirm on provider site before applying.</t>
        </is>
      </c>
      <c r="AS22" s="34" t="inlineStr">
        <is>
          <t>DG-DDOG</t>
        </is>
      </c>
      <c r="AT22" s="34" t="inlineStr">
        <is>
          <t>Excel only</t>
        </is>
      </c>
      <c r="AU22" s="34" t="inlineStr"/>
      <c r="AV22" s="34" t="inlineStr"/>
      <c r="AW22" s="34" t="inlineStr"/>
      <c r="AX22" s="34" t="inlineStr"/>
      <c r="AY22" s="34" t="inlineStr"/>
      <c r="AZ22" s="34" t="inlineStr"/>
      <c r="BA22" s="34" t="inlineStr"/>
      <c r="BB22" s="34" t="inlineStr">
        <is>
          <t>datadog</t>
        </is>
      </c>
      <c r="BC22" s="34" t="inlineStr">
        <is>
          <t>datadogforstartups</t>
        </is>
      </c>
      <c r="BD22" s="34" t="inlineStr">
        <is>
          <t>datadog|datadogforstartups</t>
        </is>
      </c>
      <c r="BE22" s="34" t="n">
        <v>1</v>
      </c>
      <c r="BF22" s="34" t="inlineStr">
        <is>
          <t>No</t>
        </is>
      </c>
    </row>
    <row r="23">
      <c r="A23" s="34" t="inlineStr">
        <is>
          <t>SB-022</t>
        </is>
      </c>
      <c r="B23" s="34" t="inlineStr">
        <is>
          <t>Grafana Labs</t>
        </is>
      </c>
      <c r="C23" s="34" t="inlineStr">
        <is>
          <t>Grafana for Startups</t>
        </is>
      </c>
      <c r="D23" s="34" t="inlineStr">
        <is>
          <t>Not stated</t>
        </is>
      </c>
      <c r="E23" s="34" t="inlineStr">
        <is>
          <t>Cloud &amp; Infrastructure</t>
        </is>
      </c>
      <c r="F23" s="34" t="inlineStr">
        <is>
          <t>Observability credits</t>
        </is>
      </c>
      <c r="G23" s="34" t="inlineStr">
        <is>
          <t>Startup credits (startup-specific)</t>
        </is>
      </c>
      <c r="H23" s="34" t="inlineStr">
        <is>
          <t>Up to $100,000 in Grafana Cloud credits valid 12 months or until the next funding round.</t>
        </is>
      </c>
      <c r="I23" s="34" t="inlineStr">
        <is>
          <t>100000</t>
        </is>
      </c>
      <c r="J23" s="34" t="inlineStr">
        <is>
          <t>USD</t>
        </is>
      </c>
      <c r="K23" s="34" t="inlineStr">
        <is>
          <t>Credits</t>
        </is>
      </c>
      <c r="L23" s="34" t="inlineStr"/>
      <c r="M23" s="34" t="inlineStr">
        <is>
          <t>100000</t>
        </is>
      </c>
      <c r="N23" s="34" t="inlineStr"/>
      <c r="O23" s="34" t="inlineStr">
        <is>
          <t>Open</t>
        </is>
      </c>
      <c r="P23" s="34" t="inlineStr">
        <is>
          <t>Not verified this session</t>
        </is>
      </c>
      <c r="Q23" s="34" t="inlineStr">
        <is>
          <t>Not verified this session</t>
        </is>
      </c>
      <c r="R23" s="34" t="inlineStr">
        <is>
          <t>Not stated</t>
        </is>
      </c>
      <c r="S23" s="34" t="inlineStr">
        <is>
          <t>Not stated</t>
        </is>
      </c>
      <c r="T23" s="34" t="inlineStr">
        <is>
          <t>Not stated</t>
        </is>
      </c>
      <c r="U23" s="34" t="inlineStr">
        <is>
          <t>Unknown</t>
        </is>
      </c>
      <c r="V23" s="34" t="inlineStr">
        <is>
          <t>Unknown</t>
        </is>
      </c>
      <c r="W23" s="34" t="inlineStr">
        <is>
          <t>Not stated</t>
        </is>
      </c>
      <c r="X23" s="34" t="inlineStr">
        <is>
          <t>Unverified</t>
        </is>
      </c>
      <c r="Y23" s="34" t="inlineStr">
        <is>
          <t>Unknown</t>
        </is>
      </c>
      <c r="Z23" s="34" t="inlineStr">
        <is>
          <t>Unknown</t>
        </is>
      </c>
      <c r="AA23" s="34" t="inlineStr">
        <is>
          <t>No</t>
        </is>
      </c>
      <c r="AB23" s="34" t="inlineStr">
        <is>
          <t>Unknown</t>
        </is>
      </c>
      <c r="AC23" s="34" t="inlineStr">
        <is>
          <t>Not stated</t>
        </is>
      </c>
      <c r="AD23" s="34" t="inlineStr">
        <is>
          <t>Not stated</t>
        </is>
      </c>
      <c r="AE23" s="34" t="inlineStr">
        <is>
          <t>Not stated</t>
        </is>
      </c>
      <c r="AF23" s="34" t="inlineStr">
        <is>
          <t>Not stated</t>
        </is>
      </c>
      <c r="AG23" s="34" t="inlineStr">
        <is>
          <t>Not stated</t>
        </is>
      </c>
      <c r="AH23" s="34" t="inlineStr">
        <is>
          <t>No card required</t>
        </is>
      </c>
      <c r="AI23" s="34" t="inlineStr">
        <is>
          <t>Not stated</t>
        </is>
      </c>
      <c r="AJ23" s="34" t="inlineStr">
        <is>
          <t>https://aifree.dev/offer/grafana-for-startups</t>
        </is>
      </c>
      <c r="AK23" s="34" t="inlineStr">
        <is>
          <t>https://aifree.dev/startup-ai-credits</t>
        </is>
      </c>
      <c r="AL23" s="34" t="inlineStr">
        <is>
          <t>Directory listing (verified Oct 2026 per directory): Up to $100,000 in Grafana Cloud credits valid 12 months or until the next funding round.</t>
        </is>
      </c>
      <c r="AM23" s="34" t="inlineStr">
        <is>
          <t>2026-10-24</t>
        </is>
      </c>
      <c r="AN23" s="34" t="inlineStr">
        <is>
          <t>Medium</t>
        </is>
      </c>
      <c r="AO23" s="34" t="inlineStr">
        <is>
          <t>Directory</t>
        </is>
      </c>
      <c r="AP23" s="34" t="inlineStr">
        <is>
          <t>Global (unverified)</t>
        </is>
      </c>
      <c r="AQ23" s="34" t="inlineStr">
        <is>
          <t>observability</t>
        </is>
      </c>
      <c r="AR23" s="34" t="inlineStr">
        <is>
          <t>Terms taken from aifree.dev directory; official program page not opened this session. Confirm on provider site before applying.</t>
        </is>
      </c>
      <c r="AS23" s="34" t="inlineStr">
        <is>
          <t>DG-GRAF</t>
        </is>
      </c>
      <c r="AT23" s="34" t="inlineStr">
        <is>
          <t>Excel only</t>
        </is>
      </c>
      <c r="AU23" s="34" t="inlineStr"/>
      <c r="AV23" s="34" t="inlineStr"/>
      <c r="AW23" s="34" t="inlineStr"/>
      <c r="AX23" s="34" t="inlineStr"/>
      <c r="AY23" s="34" t="inlineStr"/>
      <c r="AZ23" s="34" t="inlineStr"/>
      <c r="BA23" s="34" t="inlineStr"/>
      <c r="BB23" s="34" t="inlineStr">
        <is>
          <t>grafanalabs</t>
        </is>
      </c>
      <c r="BC23" s="34" t="inlineStr">
        <is>
          <t>grafanaforstartups</t>
        </is>
      </c>
      <c r="BD23" s="34" t="inlineStr">
        <is>
          <t>grafanalabs|grafanaforstartups</t>
        </is>
      </c>
      <c r="BE23" s="34" t="n">
        <v>1</v>
      </c>
      <c r="BF23" s="34" t="inlineStr">
        <is>
          <t>No</t>
        </is>
      </c>
    </row>
    <row r="24">
      <c r="A24" s="34" t="inlineStr">
        <is>
          <t>SB-023</t>
        </is>
      </c>
      <c r="B24" s="34" t="inlineStr">
        <is>
          <t>Render</t>
        </is>
      </c>
      <c r="C24" s="34" t="inlineStr">
        <is>
          <t>Render Startup Program</t>
        </is>
      </c>
      <c r="D24" s="34" t="inlineStr">
        <is>
          <t>Not stated</t>
        </is>
      </c>
      <c r="E24" s="34" t="inlineStr">
        <is>
          <t>Cloud &amp; Infrastructure</t>
        </is>
      </c>
      <c r="F24" s="34" t="inlineStr">
        <is>
          <t>Hosting credits</t>
        </is>
      </c>
      <c r="G24" s="34" t="inlineStr">
        <is>
          <t>Startup credits (startup-specific)</t>
        </is>
      </c>
      <c r="H24" s="34" t="inlineStr">
        <is>
          <t>Up to $100,000 across Build, Scale and AI tiers; the $500 direct tier needs $25,000+ in outside funding.</t>
        </is>
      </c>
      <c r="I24" s="34" t="inlineStr">
        <is>
          <t>100000</t>
        </is>
      </c>
      <c r="J24" s="34" t="inlineStr">
        <is>
          <t>USD</t>
        </is>
      </c>
      <c r="K24" s="34" t="inlineStr">
        <is>
          <t>Credits</t>
        </is>
      </c>
      <c r="L24" s="34" t="inlineStr"/>
      <c r="M24" s="34" t="inlineStr">
        <is>
          <t>100000</t>
        </is>
      </c>
      <c r="N24" s="34" t="inlineStr"/>
      <c r="O24" s="34" t="inlineStr">
        <is>
          <t>Open</t>
        </is>
      </c>
      <c r="P24" s="34" t="inlineStr">
        <is>
          <t>Not verified this session</t>
        </is>
      </c>
      <c r="Q24" s="34" t="inlineStr">
        <is>
          <t>Not verified this session</t>
        </is>
      </c>
      <c r="R24" s="34" t="inlineStr">
        <is>
          <t>Not stated</t>
        </is>
      </c>
      <c r="S24" s="34" t="inlineStr">
        <is>
          <t>Not stated</t>
        </is>
      </c>
      <c r="T24" s="34" t="inlineStr">
        <is>
          <t>Not stated</t>
        </is>
      </c>
      <c r="U24" s="34" t="inlineStr">
        <is>
          <t>Unknown</t>
        </is>
      </c>
      <c r="V24" s="34" t="inlineStr">
        <is>
          <t>Yes (direct tier needs $25K+ outside funding)</t>
        </is>
      </c>
      <c r="W24" s="34" t="inlineStr">
        <is>
          <t>Not stated</t>
        </is>
      </c>
      <c r="X24" s="34" t="inlineStr">
        <is>
          <t>Unverified</t>
        </is>
      </c>
      <c r="Y24" s="34" t="inlineStr">
        <is>
          <t>Unknown</t>
        </is>
      </c>
      <c r="Z24" s="34" t="inlineStr">
        <is>
          <t>Unknown</t>
        </is>
      </c>
      <c r="AA24" s="34" t="inlineStr">
        <is>
          <t>No</t>
        </is>
      </c>
      <c r="AB24" s="34" t="inlineStr">
        <is>
          <t>Unknown</t>
        </is>
      </c>
      <c r="AC24" s="34" t="inlineStr">
        <is>
          <t>Not stated</t>
        </is>
      </c>
      <c r="AD24" s="34" t="inlineStr">
        <is>
          <t>Not stated</t>
        </is>
      </c>
      <c r="AE24" s="34" t="inlineStr">
        <is>
          <t>Not stated</t>
        </is>
      </c>
      <c r="AF24" s="34" t="inlineStr">
        <is>
          <t>Not stated</t>
        </is>
      </c>
      <c r="AG24" s="34" t="inlineStr">
        <is>
          <t>Not stated</t>
        </is>
      </c>
      <c r="AH24" s="34" t="inlineStr">
        <is>
          <t>No card required</t>
        </is>
      </c>
      <c r="AI24" s="34" t="inlineStr">
        <is>
          <t>Not stated</t>
        </is>
      </c>
      <c r="AJ24" s="34" t="inlineStr">
        <is>
          <t>https://aifree.dev/offer/render-startup-program</t>
        </is>
      </c>
      <c r="AK24" s="34" t="inlineStr">
        <is>
          <t>https://aifree.dev/startup-ai-credits</t>
        </is>
      </c>
      <c r="AL24" s="34" t="inlineStr">
        <is>
          <t>Directory listing (verified Oct 2026 per directory): Up to $100,000 across Build, Scale and AI tiers; the $500 direct tier needs $25,000+ in outside funding.</t>
        </is>
      </c>
      <c r="AM24" s="34" t="inlineStr">
        <is>
          <t>2026-10-24</t>
        </is>
      </c>
      <c r="AN24" s="34" t="inlineStr">
        <is>
          <t>Medium</t>
        </is>
      </c>
      <c r="AO24" s="34" t="inlineStr">
        <is>
          <t>Directory</t>
        </is>
      </c>
      <c r="AP24" s="34" t="inlineStr">
        <is>
          <t>Global (unverified)</t>
        </is>
      </c>
      <c r="AQ24" s="34" t="inlineStr">
        <is>
          <t>hosting,paas</t>
        </is>
      </c>
      <c r="AR24" s="34" t="inlineStr">
        <is>
          <t>Terms taken from aifree.dev directory; official program page not opened this session. Confirm on provider site before applying.</t>
        </is>
      </c>
      <c r="AS24" s="34" t="inlineStr">
        <is>
          <t>DG-RENDER</t>
        </is>
      </c>
      <c r="AT24" s="34" t="inlineStr">
        <is>
          <t>Excel only</t>
        </is>
      </c>
      <c r="AU24" s="34" t="inlineStr"/>
      <c r="AV24" s="34" t="inlineStr"/>
      <c r="AW24" s="34" t="inlineStr"/>
      <c r="AX24" s="34" t="inlineStr"/>
      <c r="AY24" s="34" t="inlineStr"/>
      <c r="AZ24" s="34" t="inlineStr"/>
      <c r="BA24" s="34" t="inlineStr"/>
      <c r="BB24" s="34" t="inlineStr">
        <is>
          <t>render</t>
        </is>
      </c>
      <c r="BC24" s="34" t="inlineStr">
        <is>
          <t>renderstartupprogram</t>
        </is>
      </c>
      <c r="BD24" s="34" t="inlineStr">
        <is>
          <t>render|renderstartupprogram</t>
        </is>
      </c>
      <c r="BE24" s="34" t="n">
        <v>1</v>
      </c>
      <c r="BF24" s="34" t="inlineStr">
        <is>
          <t>No</t>
        </is>
      </c>
    </row>
    <row r="25">
      <c r="A25" s="34" t="inlineStr">
        <is>
          <t>SB-024</t>
        </is>
      </c>
      <c r="B25" s="34" t="inlineStr">
        <is>
          <t>PostHog</t>
        </is>
      </c>
      <c r="C25" s="34" t="inlineStr">
        <is>
          <t>PostHog Startup Program</t>
        </is>
      </c>
      <c r="D25" s="34" t="inlineStr">
        <is>
          <t>Not stated</t>
        </is>
      </c>
      <c r="E25" s="34" t="inlineStr">
        <is>
          <t>SaaS &amp; Marketing</t>
        </is>
      </c>
      <c r="F25" s="34" t="inlineStr">
        <is>
          <t>Product analytics credits</t>
        </is>
      </c>
      <c r="G25" s="34" t="inlineStr">
        <is>
          <t>Startup credits (startup-specific)</t>
        </is>
      </c>
      <c r="H25" s="34" t="inlineStr">
        <is>
          <t>$50,000 in credits valid 12 months for startups under $5M funding and fewer than 2 years old.</t>
        </is>
      </c>
      <c r="I25" s="34" t="inlineStr">
        <is>
          <t>50000</t>
        </is>
      </c>
      <c r="J25" s="34" t="inlineStr">
        <is>
          <t>USD</t>
        </is>
      </c>
      <c r="K25" s="34" t="inlineStr">
        <is>
          <t>Credits</t>
        </is>
      </c>
      <c r="L25" s="34" t="inlineStr"/>
      <c r="M25" s="34" t="inlineStr">
        <is>
          <t>50000</t>
        </is>
      </c>
      <c r="N25" s="34" t="inlineStr"/>
      <c r="O25" s="34" t="inlineStr">
        <is>
          <t>Open</t>
        </is>
      </c>
      <c r="P25" s="34" t="inlineStr">
        <is>
          <t>Not verified this session</t>
        </is>
      </c>
      <c r="Q25" s="34" t="inlineStr">
        <is>
          <t>Not verified this session</t>
        </is>
      </c>
      <c r="R25" s="34" t="inlineStr">
        <is>
          <t>Not stated</t>
        </is>
      </c>
      <c r="S25" s="34" t="inlineStr">
        <is>
          <t>Not stated</t>
        </is>
      </c>
      <c r="T25" s="34" t="inlineStr">
        <is>
          <t>Under $5M funding, under 2 years old</t>
        </is>
      </c>
      <c r="U25" s="34" t="inlineStr">
        <is>
          <t>Unknown</t>
        </is>
      </c>
      <c r="V25" s="34" t="inlineStr">
        <is>
          <t>Unknown</t>
        </is>
      </c>
      <c r="W25" s="34" t="inlineStr">
        <is>
          <t>Not stated</t>
        </is>
      </c>
      <c r="X25" s="34" t="inlineStr">
        <is>
          <t>Unverified</t>
        </is>
      </c>
      <c r="Y25" s="34" t="inlineStr">
        <is>
          <t>Unknown</t>
        </is>
      </c>
      <c r="Z25" s="34" t="inlineStr">
        <is>
          <t>Unknown</t>
        </is>
      </c>
      <c r="AA25" s="34" t="inlineStr">
        <is>
          <t>No</t>
        </is>
      </c>
      <c r="AB25" s="34" t="inlineStr">
        <is>
          <t>Unknown</t>
        </is>
      </c>
      <c r="AC25" s="34" t="inlineStr">
        <is>
          <t>Not stated</t>
        </is>
      </c>
      <c r="AD25" s="34" t="inlineStr">
        <is>
          <t>Not stated</t>
        </is>
      </c>
      <c r="AE25" s="34" t="inlineStr">
        <is>
          <t>Not stated</t>
        </is>
      </c>
      <c r="AF25" s="34" t="inlineStr">
        <is>
          <t>Not stated</t>
        </is>
      </c>
      <c r="AG25" s="34" t="inlineStr">
        <is>
          <t>Not stated</t>
        </is>
      </c>
      <c r="AH25" s="34" t="inlineStr">
        <is>
          <t>Card required</t>
        </is>
      </c>
      <c r="AI25" s="34" t="inlineStr">
        <is>
          <t>Not stated</t>
        </is>
      </c>
      <c r="AJ25" s="34" t="inlineStr">
        <is>
          <t>https://aifree.dev/offer/posthog-startup-program</t>
        </is>
      </c>
      <c r="AK25" s="34" t="inlineStr">
        <is>
          <t>https://aifree.dev/startup-ai-credits</t>
        </is>
      </c>
      <c r="AL25" s="34" t="inlineStr">
        <is>
          <t>Directory listing (verified Oct 2026 per directory): $50,000 in credits valid 12 months for startups under $5M funding and fewer than 2 years old.</t>
        </is>
      </c>
      <c r="AM25" s="34" t="inlineStr">
        <is>
          <t>2026-10-24</t>
        </is>
      </c>
      <c r="AN25" s="34" t="inlineStr">
        <is>
          <t>Medium</t>
        </is>
      </c>
      <c r="AO25" s="34" t="inlineStr">
        <is>
          <t>Directory</t>
        </is>
      </c>
      <c r="AP25" s="34" t="inlineStr">
        <is>
          <t>Global (unverified)</t>
        </is>
      </c>
      <c r="AQ25" s="34" t="inlineStr">
        <is>
          <t>analytics</t>
        </is>
      </c>
      <c r="AR25" s="34" t="inlineStr">
        <is>
          <t>Terms taken from aifree.dev directory; official program page not opened this session. Confirm on provider site before applying.</t>
        </is>
      </c>
      <c r="AS25" s="34" t="inlineStr">
        <is>
          <t>DG-PH</t>
        </is>
      </c>
      <c r="AT25" s="34" t="inlineStr">
        <is>
          <t>Excel only</t>
        </is>
      </c>
      <c r="AU25" s="34" t="inlineStr"/>
      <c r="AV25" s="34" t="inlineStr"/>
      <c r="AW25" s="34" t="inlineStr"/>
      <c r="AX25" s="34" t="inlineStr"/>
      <c r="AY25" s="34" t="inlineStr"/>
      <c r="AZ25" s="34" t="inlineStr"/>
      <c r="BA25" s="34" t="inlineStr"/>
      <c r="BB25" s="34" t="inlineStr">
        <is>
          <t>posthog</t>
        </is>
      </c>
      <c r="BC25" s="34" t="inlineStr">
        <is>
          <t>posthogstartupprogram</t>
        </is>
      </c>
      <c r="BD25" s="34" t="inlineStr">
        <is>
          <t>posthog|posthogstartupprogram</t>
        </is>
      </c>
      <c r="BE25" s="34" t="n">
        <v>1</v>
      </c>
      <c r="BF25" s="34" t="inlineStr">
        <is>
          <t>No</t>
        </is>
      </c>
    </row>
    <row r="26">
      <c r="A26" s="34" t="inlineStr">
        <is>
          <t>SB-025</t>
        </is>
      </c>
      <c r="B26" s="34" t="inlineStr">
        <is>
          <t>Vercel</t>
        </is>
      </c>
      <c r="C26" s="34" t="inlineStr">
        <is>
          <t>Vercel for Startups</t>
        </is>
      </c>
      <c r="D26" s="34" t="inlineStr">
        <is>
          <t>Not stated</t>
        </is>
      </c>
      <c r="E26" s="34" t="inlineStr">
        <is>
          <t>Cloud &amp; Infrastructure</t>
        </is>
      </c>
      <c r="F26" s="34" t="inlineStr">
        <is>
          <t>Hosting/deployment credits</t>
        </is>
      </c>
      <c r="G26" s="34" t="inlineStr">
        <is>
          <t>Startup credits (startup-specific)</t>
        </is>
      </c>
      <c r="H26" s="34" t="inlineStr">
        <is>
          <t>Up to $30,000 in Flexible Commitment Amount plus enterprise-tier access.</t>
        </is>
      </c>
      <c r="I26" s="34" t="inlineStr">
        <is>
          <t>30000</t>
        </is>
      </c>
      <c r="J26" s="34" t="inlineStr">
        <is>
          <t>USD</t>
        </is>
      </c>
      <c r="K26" s="34" t="inlineStr">
        <is>
          <t>Credits</t>
        </is>
      </c>
      <c r="L26" s="34" t="inlineStr"/>
      <c r="M26" s="34" t="inlineStr">
        <is>
          <t>30000</t>
        </is>
      </c>
      <c r="N26" s="34" t="inlineStr"/>
      <c r="O26" s="34" t="inlineStr">
        <is>
          <t>Open</t>
        </is>
      </c>
      <c r="P26" s="34" t="inlineStr">
        <is>
          <t>Not verified this session</t>
        </is>
      </c>
      <c r="Q26" s="34" t="inlineStr">
        <is>
          <t>Not verified this session</t>
        </is>
      </c>
      <c r="R26" s="34" t="inlineStr">
        <is>
          <t>Not stated</t>
        </is>
      </c>
      <c r="S26" s="34" t="inlineStr">
        <is>
          <t>Not stated</t>
        </is>
      </c>
      <c r="T26" s="34" t="inlineStr">
        <is>
          <t>Not stated</t>
        </is>
      </c>
      <c r="U26" s="34" t="inlineStr">
        <is>
          <t>Unknown</t>
        </is>
      </c>
      <c r="V26" s="34" t="inlineStr">
        <is>
          <t>Unknown</t>
        </is>
      </c>
      <c r="W26" s="34" t="inlineStr">
        <is>
          <t>Not stated</t>
        </is>
      </c>
      <c r="X26" s="34" t="inlineStr">
        <is>
          <t>Unverified</t>
        </is>
      </c>
      <c r="Y26" s="34" t="inlineStr">
        <is>
          <t>Unknown</t>
        </is>
      </c>
      <c r="Z26" s="34" t="inlineStr">
        <is>
          <t>Unknown</t>
        </is>
      </c>
      <c r="AA26" s="34" t="inlineStr">
        <is>
          <t>No</t>
        </is>
      </c>
      <c r="AB26" s="34" t="inlineStr">
        <is>
          <t>Unknown</t>
        </is>
      </c>
      <c r="AC26" s="34" t="inlineStr">
        <is>
          <t>Not stated</t>
        </is>
      </c>
      <c r="AD26" s="34" t="inlineStr">
        <is>
          <t>Not stated</t>
        </is>
      </c>
      <c r="AE26" s="34" t="inlineStr">
        <is>
          <t>Not stated</t>
        </is>
      </c>
      <c r="AF26" s="34" t="inlineStr">
        <is>
          <t>Not stated</t>
        </is>
      </c>
      <c r="AG26" s="34" t="inlineStr">
        <is>
          <t>Not stated</t>
        </is>
      </c>
      <c r="AH26" s="34" t="inlineStr">
        <is>
          <t>No card required</t>
        </is>
      </c>
      <c r="AI26" s="34" t="inlineStr">
        <is>
          <t>Not stated</t>
        </is>
      </c>
      <c r="AJ26" s="34" t="inlineStr">
        <is>
          <t>https://aifree.dev/offer/vercel-startups</t>
        </is>
      </c>
      <c r="AK26" s="34" t="inlineStr">
        <is>
          <t>https://aifree.dev/startup-ai-credits</t>
        </is>
      </c>
      <c r="AL26" s="34" t="inlineStr">
        <is>
          <t>Directory listing (verified Oct 2026 per directory): Up to $30,000 in Flexible Commitment Amount plus enterprise-tier access.</t>
        </is>
      </c>
      <c r="AM26" s="34" t="inlineStr">
        <is>
          <t>2026-10-24</t>
        </is>
      </c>
      <c r="AN26" s="34" t="inlineStr">
        <is>
          <t>Medium</t>
        </is>
      </c>
      <c r="AO26" s="34" t="inlineStr">
        <is>
          <t>Directory</t>
        </is>
      </c>
      <c r="AP26" s="34" t="inlineStr">
        <is>
          <t>Global (unverified)</t>
        </is>
      </c>
      <c r="AQ26" s="34" t="inlineStr">
        <is>
          <t>hosting,frontend</t>
        </is>
      </c>
      <c r="AR26" s="34" t="inlineStr">
        <is>
          <t>Terms taken from aifree.dev directory; official program page not opened this session. Confirm on provider site before applying.</t>
        </is>
      </c>
      <c r="AS26" s="34" t="inlineStr">
        <is>
          <t>DG-VERCEL</t>
        </is>
      </c>
      <c r="AT26" s="34" t="inlineStr">
        <is>
          <t>Excel + GitHub repo</t>
        </is>
      </c>
      <c r="AU26" s="34" t="inlineStr">
        <is>
          <t>vercel-startups</t>
        </is>
      </c>
      <c r="AV26" s="34" t="inlineStr">
        <is>
          <t>No public code verified</t>
        </is>
      </c>
      <c r="AW26" s="34" t="inlineStr">
        <is>
          <t>Not published</t>
        </is>
      </c>
      <c r="AX26" s="34" t="inlineStr">
        <is>
          <t>https://vercel.com/startups/credits</t>
        </is>
      </c>
      <c r="AY26" s="34" t="inlineStr">
        <is>
          <t>Partner approval is required; no general coupon code published.</t>
        </is>
      </c>
      <c r="AZ26" s="34" t="inlineStr">
        <is>
          <t>Exact provider + program</t>
        </is>
      </c>
      <c r="BA26" s="34" t="inlineStr">
        <is>
          <t>Community discussions may mention partner routes</t>
        </is>
      </c>
      <c r="BB26" s="34" t="inlineStr">
        <is>
          <t>vercel</t>
        </is>
      </c>
      <c r="BC26" s="34" t="inlineStr">
        <is>
          <t>vercelforstartups</t>
        </is>
      </c>
      <c r="BD26" s="34" t="inlineStr">
        <is>
          <t>vercel|vercelforstartups</t>
        </is>
      </c>
      <c r="BE26" s="34" t="n">
        <v>1</v>
      </c>
      <c r="BF26" s="34" t="inlineStr">
        <is>
          <t>No</t>
        </is>
      </c>
    </row>
    <row r="27">
      <c r="A27" s="34" t="inlineStr">
        <is>
          <t>SB-026</t>
        </is>
      </c>
      <c r="B27" s="34" t="inlineStr">
        <is>
          <t>Baseten</t>
        </is>
      </c>
      <c r="C27" s="34" t="inlineStr">
        <is>
          <t>Baseten AI Startup Program</t>
        </is>
      </c>
      <c r="D27" s="34" t="inlineStr">
        <is>
          <t>Not stated</t>
        </is>
      </c>
      <c r="E27" s="34" t="inlineStr">
        <is>
          <t>AI &amp; LLM Credits</t>
        </is>
      </c>
      <c r="F27" s="34" t="inlineStr">
        <is>
          <t>Model inference/training credits</t>
        </is>
      </c>
      <c r="G27" s="34" t="inlineStr">
        <is>
          <t>Startup credits (startup-specific)</t>
        </is>
      </c>
      <c r="H27" s="34" t="inlineStr">
        <is>
          <t>Up to $25,000 for dedicated deployments or training and up to $2,500 for Model APIs.</t>
        </is>
      </c>
      <c r="I27" s="34" t="inlineStr">
        <is>
          <t>25000</t>
        </is>
      </c>
      <c r="J27" s="34" t="inlineStr">
        <is>
          <t>USD</t>
        </is>
      </c>
      <c r="K27" s="34" t="inlineStr">
        <is>
          <t>Credits</t>
        </is>
      </c>
      <c r="L27" s="34" t="inlineStr"/>
      <c r="M27" s="34" t="inlineStr">
        <is>
          <t>25000</t>
        </is>
      </c>
      <c r="N27" s="34" t="inlineStr"/>
      <c r="O27" s="34" t="inlineStr">
        <is>
          <t>Open</t>
        </is>
      </c>
      <c r="P27" s="34" t="inlineStr">
        <is>
          <t>Not verified this session</t>
        </is>
      </c>
      <c r="Q27" s="34" t="inlineStr">
        <is>
          <t>Not verified this session</t>
        </is>
      </c>
      <c r="R27" s="34" t="inlineStr">
        <is>
          <t>Not stated</t>
        </is>
      </c>
      <c r="S27" s="34" t="inlineStr">
        <is>
          <t>Not stated</t>
        </is>
      </c>
      <c r="T27" s="34" t="inlineStr">
        <is>
          <t>Not stated</t>
        </is>
      </c>
      <c r="U27" s="34" t="inlineStr">
        <is>
          <t>Unknown</t>
        </is>
      </c>
      <c r="V27" s="34" t="inlineStr">
        <is>
          <t>Unknown</t>
        </is>
      </c>
      <c r="W27" s="34" t="inlineStr">
        <is>
          <t>Not stated</t>
        </is>
      </c>
      <c r="X27" s="34" t="inlineStr">
        <is>
          <t>Unverified</t>
        </is>
      </c>
      <c r="Y27" s="34" t="inlineStr">
        <is>
          <t>Unknown</t>
        </is>
      </c>
      <c r="Z27" s="34" t="inlineStr">
        <is>
          <t>Unknown</t>
        </is>
      </c>
      <c r="AA27" s="34" t="inlineStr">
        <is>
          <t>Yes</t>
        </is>
      </c>
      <c r="AB27" s="34" t="inlineStr">
        <is>
          <t>Unknown</t>
        </is>
      </c>
      <c r="AC27" s="34" t="inlineStr">
        <is>
          <t>Not stated</t>
        </is>
      </c>
      <c r="AD27" s="34" t="inlineStr">
        <is>
          <t>Not stated</t>
        </is>
      </c>
      <c r="AE27" s="34" t="inlineStr">
        <is>
          <t>Not stated</t>
        </is>
      </c>
      <c r="AF27" s="34" t="inlineStr">
        <is>
          <t>Not stated</t>
        </is>
      </c>
      <c r="AG27" s="34" t="inlineStr">
        <is>
          <t>Not stated</t>
        </is>
      </c>
      <c r="AH27" s="34" t="inlineStr">
        <is>
          <t>No card required</t>
        </is>
      </c>
      <c r="AI27" s="34" t="inlineStr">
        <is>
          <t>Not stated</t>
        </is>
      </c>
      <c r="AJ27" s="34" t="inlineStr">
        <is>
          <t>https://aifree.dev/offer/baseten-ai-startup-program</t>
        </is>
      </c>
      <c r="AK27" s="34" t="inlineStr">
        <is>
          <t>https://aifree.dev/startup-ai-credits</t>
        </is>
      </c>
      <c r="AL27" s="34" t="inlineStr">
        <is>
          <t>Directory listing (verified Oct 2026 per directory): Up to $25,000 for dedicated deployments or training and up to $2,500 for Model APIs.</t>
        </is>
      </c>
      <c r="AM27" s="34" t="inlineStr">
        <is>
          <t>2026-10-24</t>
        </is>
      </c>
      <c r="AN27" s="34" t="inlineStr">
        <is>
          <t>Medium</t>
        </is>
      </c>
      <c r="AO27" s="34" t="inlineStr">
        <is>
          <t>Directory</t>
        </is>
      </c>
      <c r="AP27" s="34" t="inlineStr">
        <is>
          <t>Global (unverified)</t>
        </is>
      </c>
      <c r="AQ27" s="34" t="inlineStr">
        <is>
          <t>ai,inference</t>
        </is>
      </c>
      <c r="AR27" s="34" t="inlineStr">
        <is>
          <t>Terms taken from aifree.dev directory; official program page not opened this session. Confirm on provider site before applying.</t>
        </is>
      </c>
      <c r="AS27" s="34" t="inlineStr">
        <is>
          <t>DG-BASETEN</t>
        </is>
      </c>
      <c r="AT27" s="34" t="inlineStr">
        <is>
          <t>Excel only</t>
        </is>
      </c>
      <c r="AU27" s="34" t="inlineStr"/>
      <c r="AV27" s="34" t="inlineStr"/>
      <c r="AW27" s="34" t="inlineStr"/>
      <c r="AX27" s="34" t="inlineStr"/>
      <c r="AY27" s="34" t="inlineStr"/>
      <c r="AZ27" s="34" t="inlineStr"/>
      <c r="BA27" s="34" t="inlineStr"/>
      <c r="BB27" s="34" t="inlineStr">
        <is>
          <t>baseten</t>
        </is>
      </c>
      <c r="BC27" s="34" t="inlineStr">
        <is>
          <t>basetenaistartupprogram</t>
        </is>
      </c>
      <c r="BD27" s="34" t="inlineStr">
        <is>
          <t>baseten|basetenaistartupprogram</t>
        </is>
      </c>
      <c r="BE27" s="34" t="n">
        <v>1</v>
      </c>
      <c r="BF27" s="34" t="inlineStr">
        <is>
          <t>No</t>
        </is>
      </c>
    </row>
    <row r="28">
      <c r="A28" s="34" t="inlineStr">
        <is>
          <t>SB-027</t>
        </is>
      </c>
      <c r="B28" s="34" t="inlineStr">
        <is>
          <t>Yandex Cloud</t>
        </is>
      </c>
      <c r="C28" s="34" t="inlineStr">
        <is>
          <t>Yandex Cloud Startup Credits</t>
        </is>
      </c>
      <c r="D28" s="34" t="inlineStr">
        <is>
          <t>Not stated</t>
        </is>
      </c>
      <c r="E28" s="34" t="inlineStr">
        <is>
          <t>Cloud &amp; Infrastructure</t>
        </is>
      </c>
      <c r="F28" s="34" t="inlineStr">
        <is>
          <t>Cloud credits</t>
        </is>
      </c>
      <c r="G28" s="34" t="inlineStr">
        <is>
          <t>Startup credits (startup-specific)</t>
        </is>
      </c>
      <c r="H28" s="34" t="inlineStr">
        <is>
          <t>$5,000 over 6 months for TRL 1-7 teams; $20,000 over 12 months for TRL 8-9 teams.</t>
        </is>
      </c>
      <c r="I28" s="34" t="inlineStr">
        <is>
          <t>20000</t>
        </is>
      </c>
      <c r="J28" s="34" t="inlineStr">
        <is>
          <t>USD</t>
        </is>
      </c>
      <c r="K28" s="34" t="inlineStr">
        <is>
          <t>Credits</t>
        </is>
      </c>
      <c r="L28" s="34" t="inlineStr"/>
      <c r="M28" s="34" t="inlineStr">
        <is>
          <t>20000</t>
        </is>
      </c>
      <c r="N28" s="34" t="inlineStr"/>
      <c r="O28" s="34" t="inlineStr">
        <is>
          <t>Open</t>
        </is>
      </c>
      <c r="P28" s="34" t="inlineStr">
        <is>
          <t>Not verified this session</t>
        </is>
      </c>
      <c r="Q28" s="34" t="inlineStr">
        <is>
          <t>Not verified this session</t>
        </is>
      </c>
      <c r="R28" s="34" t="inlineStr">
        <is>
          <t>Not stated</t>
        </is>
      </c>
      <c r="S28" s="34" t="inlineStr">
        <is>
          <t>Not stated</t>
        </is>
      </c>
      <c r="T28" s="34" t="inlineStr">
        <is>
          <t>Not stated</t>
        </is>
      </c>
      <c r="U28" s="34" t="inlineStr">
        <is>
          <t>Unknown</t>
        </is>
      </c>
      <c r="V28" s="34" t="inlineStr">
        <is>
          <t>Unknown</t>
        </is>
      </c>
      <c r="W28" s="34" t="inlineStr">
        <is>
          <t>Russia-based provider; sanctions and payment risk</t>
        </is>
      </c>
      <c r="X28" s="34" t="inlineStr">
        <is>
          <t>Unverified (regional restrictions noted)</t>
        </is>
      </c>
      <c r="Y28" s="34" t="inlineStr">
        <is>
          <t>Unknown</t>
        </is>
      </c>
      <c r="Z28" s="34" t="inlineStr">
        <is>
          <t>Unknown</t>
        </is>
      </c>
      <c r="AA28" s="34" t="inlineStr">
        <is>
          <t>No</t>
        </is>
      </c>
      <c r="AB28" s="34" t="inlineStr">
        <is>
          <t>Unknown</t>
        </is>
      </c>
      <c r="AC28" s="34" t="inlineStr">
        <is>
          <t>Not stated</t>
        </is>
      </c>
      <c r="AD28" s="34" t="inlineStr">
        <is>
          <t>Not stated</t>
        </is>
      </c>
      <c r="AE28" s="34" t="inlineStr">
        <is>
          <t>Not stated</t>
        </is>
      </c>
      <c r="AF28" s="34" t="inlineStr">
        <is>
          <t>Not stated</t>
        </is>
      </c>
      <c r="AG28" s="34" t="inlineStr">
        <is>
          <t>Not stated</t>
        </is>
      </c>
      <c r="AH28" s="34" t="inlineStr">
        <is>
          <t>No card required</t>
        </is>
      </c>
      <c r="AI28" s="34" t="inlineStr">
        <is>
          <t>Not stated</t>
        </is>
      </c>
      <c r="AJ28" s="34" t="inlineStr">
        <is>
          <t>https://aifree.dev/offer/yandex-cloud-startup-credits</t>
        </is>
      </c>
      <c r="AK28" s="34" t="inlineStr">
        <is>
          <t>https://aifree.dev/startup-ai-credits</t>
        </is>
      </c>
      <c r="AL28" s="34" t="inlineStr">
        <is>
          <t>Directory listing (verified Oct 2026 per directory): $5,000 over 6 months for TRL 1-7 teams; $20,000 over 12 months for TRL 8-9 teams.</t>
        </is>
      </c>
      <c r="AM28" s="34" t="inlineStr">
        <is>
          <t>2026-10-24</t>
        </is>
      </c>
      <c r="AN28" s="34" t="inlineStr">
        <is>
          <t>Low</t>
        </is>
      </c>
      <c r="AO28" s="34" t="inlineStr">
        <is>
          <t>Directory</t>
        </is>
      </c>
      <c r="AP28" s="34" t="inlineStr">
        <is>
          <t>Global (unverified)</t>
        </is>
      </c>
      <c r="AQ28" s="34" t="inlineStr">
        <is>
          <t>cloud</t>
        </is>
      </c>
      <c r="AR28" s="34" t="inlineStr">
        <is>
          <t>Russia-based provider: sanctions, payment and compliance risk. Confirm before applying. Official page not opened.</t>
        </is>
      </c>
      <c r="AS28" s="34" t="inlineStr">
        <is>
          <t>DG-YANDEX</t>
        </is>
      </c>
      <c r="AT28" s="34" t="inlineStr">
        <is>
          <t>Excel only</t>
        </is>
      </c>
      <c r="AU28" s="34" t="inlineStr"/>
      <c r="AV28" s="34" t="inlineStr"/>
      <c r="AW28" s="34" t="inlineStr"/>
      <c r="AX28" s="34" t="inlineStr"/>
      <c r="AY28" s="34" t="inlineStr"/>
      <c r="AZ28" s="34" t="inlineStr"/>
      <c r="BA28" s="34" t="inlineStr"/>
      <c r="BB28" s="34" t="inlineStr">
        <is>
          <t>yandexcloud</t>
        </is>
      </c>
      <c r="BC28" s="34" t="inlineStr">
        <is>
          <t>yandexcloudstartupcredits</t>
        </is>
      </c>
      <c r="BD28" s="34" t="inlineStr">
        <is>
          <t>yandexcloud|yandexcloudstartupcredits</t>
        </is>
      </c>
      <c r="BE28" s="34" t="n">
        <v>1</v>
      </c>
      <c r="BF28" s="34" t="inlineStr">
        <is>
          <t>No</t>
        </is>
      </c>
    </row>
    <row r="29">
      <c r="A29" s="34" t="inlineStr">
        <is>
          <t>SB-028</t>
        </is>
      </c>
      <c r="B29" s="34" t="inlineStr">
        <is>
          <t>Neo4j</t>
        </is>
      </c>
      <c r="C29" s="34" t="inlineStr">
        <is>
          <t>Neo4j Startup Program</t>
        </is>
      </c>
      <c r="D29" s="34" t="inlineStr">
        <is>
          <t>Not stated</t>
        </is>
      </c>
      <c r="E29" s="34" t="inlineStr">
        <is>
          <t>Cloud &amp; Infrastructure</t>
        </is>
      </c>
      <c r="F29" s="34" t="inlineStr">
        <is>
          <t>Graph database credits</t>
        </is>
      </c>
      <c r="G29" s="34" t="inlineStr">
        <is>
          <t>Startup credits (startup-specific)</t>
        </is>
      </c>
      <c r="H29" s="34" t="inlineStr">
        <is>
          <t>Up to $16,000 in Aura credits for startups at Series B or earlier.</t>
        </is>
      </c>
      <c r="I29" s="34" t="inlineStr">
        <is>
          <t>16000</t>
        </is>
      </c>
      <c r="J29" s="34" t="inlineStr">
        <is>
          <t>USD</t>
        </is>
      </c>
      <c r="K29" s="34" t="inlineStr">
        <is>
          <t>Credits</t>
        </is>
      </c>
      <c r="L29" s="34" t="inlineStr"/>
      <c r="M29" s="34" t="inlineStr">
        <is>
          <t>16000</t>
        </is>
      </c>
      <c r="N29" s="34" t="inlineStr"/>
      <c r="O29" s="34" t="inlineStr">
        <is>
          <t>Open</t>
        </is>
      </c>
      <c r="P29" s="34" t="inlineStr">
        <is>
          <t>Not verified this session</t>
        </is>
      </c>
      <c r="Q29" s="34" t="inlineStr">
        <is>
          <t>Not verified this session</t>
        </is>
      </c>
      <c r="R29" s="34" t="inlineStr">
        <is>
          <t>Not stated</t>
        </is>
      </c>
      <c r="S29" s="34" t="inlineStr">
        <is>
          <t>Not stated</t>
        </is>
      </c>
      <c r="T29" s="34" t="inlineStr">
        <is>
          <t>Series B or earlier</t>
        </is>
      </c>
      <c r="U29" s="34" t="inlineStr">
        <is>
          <t>Unknown</t>
        </is>
      </c>
      <c r="V29" s="34" t="inlineStr">
        <is>
          <t>Unknown</t>
        </is>
      </c>
      <c r="W29" s="34" t="inlineStr">
        <is>
          <t>Not stated</t>
        </is>
      </c>
      <c r="X29" s="34" t="inlineStr">
        <is>
          <t>Unverified</t>
        </is>
      </c>
      <c r="Y29" s="34" t="inlineStr">
        <is>
          <t>Unknown</t>
        </is>
      </c>
      <c r="Z29" s="34" t="inlineStr">
        <is>
          <t>Unknown</t>
        </is>
      </c>
      <c r="AA29" s="34" t="inlineStr">
        <is>
          <t>No</t>
        </is>
      </c>
      <c r="AB29" s="34" t="inlineStr">
        <is>
          <t>Unknown</t>
        </is>
      </c>
      <c r="AC29" s="34" t="inlineStr">
        <is>
          <t>Not stated</t>
        </is>
      </c>
      <c r="AD29" s="34" t="inlineStr">
        <is>
          <t>Not stated</t>
        </is>
      </c>
      <c r="AE29" s="34" t="inlineStr">
        <is>
          <t>Not stated</t>
        </is>
      </c>
      <c r="AF29" s="34" t="inlineStr">
        <is>
          <t>Not stated</t>
        </is>
      </c>
      <c r="AG29" s="34" t="inlineStr">
        <is>
          <t>Not stated</t>
        </is>
      </c>
      <c r="AH29" s="34" t="inlineStr">
        <is>
          <t>No card required</t>
        </is>
      </c>
      <c r="AI29" s="34" t="inlineStr">
        <is>
          <t>Not stated</t>
        </is>
      </c>
      <c r="AJ29" s="34" t="inlineStr">
        <is>
          <t>https://aifree.dev/offer/neo4j-startup-program</t>
        </is>
      </c>
      <c r="AK29" s="34" t="inlineStr">
        <is>
          <t>https://aifree.dev/startup-ai-credits</t>
        </is>
      </c>
      <c r="AL29" s="34" t="inlineStr">
        <is>
          <t>Directory listing (verified Oct 2026 per directory): Up to $16,000 in Aura credits for startups at Series B or earlier.</t>
        </is>
      </c>
      <c r="AM29" s="34" t="inlineStr">
        <is>
          <t>2026-10-24</t>
        </is>
      </c>
      <c r="AN29" s="34" t="inlineStr">
        <is>
          <t>Medium</t>
        </is>
      </c>
      <c r="AO29" s="34" t="inlineStr">
        <is>
          <t>Directory</t>
        </is>
      </c>
      <c r="AP29" s="34" t="inlineStr">
        <is>
          <t>Global (unverified)</t>
        </is>
      </c>
      <c r="AQ29" s="34" t="inlineStr">
        <is>
          <t>database,graph</t>
        </is>
      </c>
      <c r="AR29" s="34" t="inlineStr">
        <is>
          <t>Terms taken from aifree.dev directory; official program page not opened this session. Confirm on provider site before applying.</t>
        </is>
      </c>
      <c r="AS29" s="34" t="inlineStr">
        <is>
          <t>DG-NEO4J</t>
        </is>
      </c>
      <c r="AT29" s="34" t="inlineStr">
        <is>
          <t>Excel only</t>
        </is>
      </c>
      <c r="AU29" s="34" t="inlineStr"/>
      <c r="AV29" s="34" t="inlineStr"/>
      <c r="AW29" s="34" t="inlineStr"/>
      <c r="AX29" s="34" t="inlineStr"/>
      <c r="AY29" s="34" t="inlineStr"/>
      <c r="AZ29" s="34" t="inlineStr"/>
      <c r="BA29" s="34" t="inlineStr"/>
      <c r="BB29" s="34" t="inlineStr">
        <is>
          <t>neo4j</t>
        </is>
      </c>
      <c r="BC29" s="34" t="inlineStr">
        <is>
          <t>neo4jstartupprogram</t>
        </is>
      </c>
      <c r="BD29" s="34" t="inlineStr">
        <is>
          <t>neo4j|neo4jstartupprogram</t>
        </is>
      </c>
      <c r="BE29" s="34" t="n">
        <v>1</v>
      </c>
      <c r="BF29" s="34" t="inlineStr">
        <is>
          <t>No</t>
        </is>
      </c>
    </row>
    <row r="30">
      <c r="A30" s="34" t="inlineStr">
        <is>
          <t>SB-029</t>
        </is>
      </c>
      <c r="B30" s="34" t="inlineStr">
        <is>
          <t>Notion</t>
        </is>
      </c>
      <c r="C30" s="34" t="inlineStr">
        <is>
          <t>Notion for Startups</t>
        </is>
      </c>
      <c r="D30" s="34" t="inlineStr">
        <is>
          <t>Not stated</t>
        </is>
      </c>
      <c r="E30" s="34" t="inlineStr">
        <is>
          <t>SaaS &amp; Marketing</t>
        </is>
      </c>
      <c r="F30" s="34" t="inlineStr">
        <is>
          <t>Workspace subscription</t>
        </is>
      </c>
      <c r="G30" s="34" t="inlineStr">
        <is>
          <t>Startup plan / free subscription period</t>
        </is>
      </c>
      <c r="H30" s="34" t="inlineStr">
        <is>
          <t>Directory states $12,000 value: 6 months free via select startup partners (VCs/accelerators); shorter free period without a partner.</t>
        </is>
      </c>
      <c r="I30" s="34" t="inlineStr">
        <is>
          <t>12000</t>
        </is>
      </c>
      <c r="J30" s="34" t="inlineStr">
        <is>
          <t>USD</t>
        </is>
      </c>
      <c r="K30" s="34" t="inlineStr">
        <is>
          <t>In-Kind</t>
        </is>
      </c>
      <c r="L30" s="34" t="inlineStr"/>
      <c r="M30" s="34" t="inlineStr"/>
      <c r="N30" s="34" t="inlineStr"/>
      <c r="O30" s="34" t="inlineStr">
        <is>
          <t>Open</t>
        </is>
      </c>
      <c r="P30" s="34" t="inlineStr">
        <is>
          <t>Not verified this session</t>
        </is>
      </c>
      <c r="Q30" s="34" t="inlineStr">
        <is>
          <t>Not verified this session</t>
        </is>
      </c>
      <c r="R30" s="34" t="inlineStr">
        <is>
          <t>Not stated</t>
        </is>
      </c>
      <c r="S30" s="34" t="inlineStr">
        <is>
          <t>Not stated</t>
        </is>
      </c>
      <c r="T30" s="34" t="inlineStr">
        <is>
          <t>Not stated</t>
        </is>
      </c>
      <c r="U30" s="34" t="inlineStr">
        <is>
          <t>Unknown</t>
        </is>
      </c>
      <c r="V30" s="34" t="inlineStr">
        <is>
          <t>Unknown</t>
        </is>
      </c>
      <c r="W30" s="34" t="inlineStr">
        <is>
          <t>Not stated</t>
        </is>
      </c>
      <c r="X30" s="34" t="inlineStr">
        <is>
          <t>Unverified</t>
        </is>
      </c>
      <c r="Y30" s="34" t="inlineStr">
        <is>
          <t>Unknown</t>
        </is>
      </c>
      <c r="Z30" s="34" t="inlineStr">
        <is>
          <t>Unknown</t>
        </is>
      </c>
      <c r="AA30" s="34" t="inlineStr">
        <is>
          <t>No</t>
        </is>
      </c>
      <c r="AB30" s="34" t="inlineStr">
        <is>
          <t>Partial (6 months needs partner)</t>
        </is>
      </c>
      <c r="AC30" s="34" t="inlineStr">
        <is>
          <t>Not stated</t>
        </is>
      </c>
      <c r="AD30" s="34" t="inlineStr">
        <is>
          <t>Not stated</t>
        </is>
      </c>
      <c r="AE30" s="34" t="inlineStr">
        <is>
          <t>Not stated</t>
        </is>
      </c>
      <c r="AF30" s="34" t="inlineStr">
        <is>
          <t>Not stated</t>
        </is>
      </c>
      <c r="AG30" s="34" t="inlineStr">
        <is>
          <t>Not stated</t>
        </is>
      </c>
      <c r="AH30" s="34" t="inlineStr">
        <is>
          <t>No card required</t>
        </is>
      </c>
      <c r="AI30" s="34" t="inlineStr">
        <is>
          <t>Longest free period requires a partner organization.</t>
        </is>
      </c>
      <c r="AJ30" s="34" t="inlineStr">
        <is>
          <t>https://aifree.dev/offer/notion-for-startups</t>
        </is>
      </c>
      <c r="AK30" s="34" t="inlineStr">
        <is>
          <t>https://aifree.dev/startup-ai-credits</t>
        </is>
      </c>
      <c r="AL30" s="34" t="inlineStr">
        <is>
          <t>Directory listing (verified Oct 2026 per directory): Directory states $12,000 value: 6 months free via select startup partners (VCs/accelerators); shorter free period without a partner.</t>
        </is>
      </c>
      <c r="AM30" s="34" t="inlineStr">
        <is>
          <t>2026-10-24</t>
        </is>
      </c>
      <c r="AN30" s="34" t="inlineStr">
        <is>
          <t>Medium</t>
        </is>
      </c>
      <c r="AO30" s="34" t="inlineStr">
        <is>
          <t>Directory</t>
        </is>
      </c>
      <c r="AP30" s="34" t="inlineStr">
        <is>
          <t>Global (unverified)</t>
        </is>
      </c>
      <c r="AQ30" s="34" t="inlineStr">
        <is>
          <t>productivity</t>
        </is>
      </c>
      <c r="AR30" s="34" t="inlineStr">
        <is>
          <t>Terms taken from aifree.dev directory; official program page not opened this session. Confirm on provider site before applying.</t>
        </is>
      </c>
      <c r="AS30" s="34" t="inlineStr">
        <is>
          <t>DG-NOTION</t>
        </is>
      </c>
      <c r="AT30" s="34" t="inlineStr">
        <is>
          <t>Excel only</t>
        </is>
      </c>
      <c r="AU30" s="34" t="inlineStr"/>
      <c r="AV30" s="34" t="inlineStr"/>
      <c r="AW30" s="34" t="inlineStr"/>
      <c r="AX30" s="34" t="inlineStr"/>
      <c r="AY30" s="34" t="inlineStr"/>
      <c r="AZ30" s="34" t="inlineStr"/>
      <c r="BA30" s="34" t="inlineStr"/>
      <c r="BB30" s="34" t="inlineStr">
        <is>
          <t>notion</t>
        </is>
      </c>
      <c r="BC30" s="34" t="inlineStr">
        <is>
          <t>notionforstartups</t>
        </is>
      </c>
      <c r="BD30" s="34" t="inlineStr">
        <is>
          <t>notion|notionforstartups</t>
        </is>
      </c>
      <c r="BE30" s="34" t="n">
        <v>1</v>
      </c>
      <c r="BF30" s="34" t="inlineStr">
        <is>
          <t>No</t>
        </is>
      </c>
    </row>
    <row r="31">
      <c r="A31" s="34" t="inlineStr">
        <is>
          <t>SB-030</t>
        </is>
      </c>
      <c r="B31" s="34" t="inlineStr">
        <is>
          <t>Algolia</t>
        </is>
      </c>
      <c r="C31" s="34" t="inlineStr">
        <is>
          <t>Algolia Startup Program</t>
        </is>
      </c>
      <c r="D31" s="34" t="inlineStr">
        <is>
          <t>Not stated</t>
        </is>
      </c>
      <c r="E31" s="34" t="inlineStr">
        <is>
          <t>SaaS &amp; Marketing</t>
        </is>
      </c>
      <c r="F31" s="34" t="inlineStr">
        <is>
          <t>Search API credits</t>
        </is>
      </c>
      <c r="G31" s="34" t="inlineStr">
        <is>
          <t>Startup credits (startup-specific)</t>
        </is>
      </c>
      <c r="H31" s="34" t="inlineStr">
        <is>
          <t>$10,000 in credits valid 12 months for new Algolia customers only.</t>
        </is>
      </c>
      <c r="I31" s="34" t="inlineStr">
        <is>
          <t>10000</t>
        </is>
      </c>
      <c r="J31" s="34" t="inlineStr">
        <is>
          <t>USD</t>
        </is>
      </c>
      <c r="K31" s="34" t="inlineStr">
        <is>
          <t>Credits</t>
        </is>
      </c>
      <c r="L31" s="34" t="inlineStr"/>
      <c r="M31" s="34" t="inlineStr">
        <is>
          <t>10000</t>
        </is>
      </c>
      <c r="N31" s="34" t="inlineStr"/>
      <c r="O31" s="34" t="inlineStr">
        <is>
          <t>Open</t>
        </is>
      </c>
      <c r="P31" s="34" t="inlineStr">
        <is>
          <t>Not verified this session</t>
        </is>
      </c>
      <c r="Q31" s="34" t="inlineStr">
        <is>
          <t>Not verified this session</t>
        </is>
      </c>
      <c r="R31" s="34" t="inlineStr">
        <is>
          <t>Not stated</t>
        </is>
      </c>
      <c r="S31" s="34" t="inlineStr">
        <is>
          <t>Not stated</t>
        </is>
      </c>
      <c r="T31" s="34" t="inlineStr">
        <is>
          <t>Not stated</t>
        </is>
      </c>
      <c r="U31" s="34" t="inlineStr">
        <is>
          <t>Unknown</t>
        </is>
      </c>
      <c r="V31" s="34" t="inlineStr">
        <is>
          <t>Unknown</t>
        </is>
      </c>
      <c r="W31" s="34" t="inlineStr">
        <is>
          <t>Not stated</t>
        </is>
      </c>
      <c r="X31" s="34" t="inlineStr">
        <is>
          <t>Unverified</t>
        </is>
      </c>
      <c r="Y31" s="34" t="inlineStr">
        <is>
          <t>Unknown</t>
        </is>
      </c>
      <c r="Z31" s="34" t="inlineStr">
        <is>
          <t>Unknown</t>
        </is>
      </c>
      <c r="AA31" s="34" t="inlineStr">
        <is>
          <t>No</t>
        </is>
      </c>
      <c r="AB31" s="34" t="inlineStr">
        <is>
          <t>Unknown</t>
        </is>
      </c>
      <c r="AC31" s="34" t="inlineStr">
        <is>
          <t>Not stated</t>
        </is>
      </c>
      <c r="AD31" s="34" t="inlineStr">
        <is>
          <t>Not stated</t>
        </is>
      </c>
      <c r="AE31" s="34" t="inlineStr">
        <is>
          <t>Not stated</t>
        </is>
      </c>
      <c r="AF31" s="34" t="inlineStr">
        <is>
          <t>Not stated</t>
        </is>
      </c>
      <c r="AG31" s="34" t="inlineStr">
        <is>
          <t>Not stated</t>
        </is>
      </c>
      <c r="AH31" s="34" t="inlineStr">
        <is>
          <t>No card required</t>
        </is>
      </c>
      <c r="AI31" s="34" t="inlineStr">
        <is>
          <t>Not stated</t>
        </is>
      </c>
      <c r="AJ31" s="34" t="inlineStr">
        <is>
          <t>https://aifree.dev/offer/algolia-startup-program</t>
        </is>
      </c>
      <c r="AK31" s="34" t="inlineStr">
        <is>
          <t>https://aifree.dev/startup-ai-credits</t>
        </is>
      </c>
      <c r="AL31" s="34" t="inlineStr">
        <is>
          <t>Directory listing (verified Oct 2026 per directory): $10,000 in credits valid 12 months for new Algolia customers only.</t>
        </is>
      </c>
      <c r="AM31" s="34" t="inlineStr">
        <is>
          <t>2026-10-24</t>
        </is>
      </c>
      <c r="AN31" s="34" t="inlineStr">
        <is>
          <t>Medium</t>
        </is>
      </c>
      <c r="AO31" s="34" t="inlineStr">
        <is>
          <t>Directory</t>
        </is>
      </c>
      <c r="AP31" s="34" t="inlineStr">
        <is>
          <t>Global (unverified)</t>
        </is>
      </c>
      <c r="AQ31" s="34" t="inlineStr">
        <is>
          <t>search</t>
        </is>
      </c>
      <c r="AR31" s="34" t="inlineStr">
        <is>
          <t>Terms taken from aifree.dev directory; official program page not opened this session. Confirm on provider site before applying.</t>
        </is>
      </c>
      <c r="AS31" s="34" t="inlineStr">
        <is>
          <t>DG-ALGOLIA</t>
        </is>
      </c>
      <c r="AT31" s="34" t="inlineStr">
        <is>
          <t>Excel only</t>
        </is>
      </c>
      <c r="AU31" s="34" t="inlineStr"/>
      <c r="AV31" s="34" t="inlineStr"/>
      <c r="AW31" s="34" t="inlineStr"/>
      <c r="AX31" s="34" t="inlineStr"/>
      <c r="AY31" s="34" t="inlineStr"/>
      <c r="AZ31" s="34" t="inlineStr"/>
      <c r="BA31" s="34" t="inlineStr"/>
      <c r="BB31" s="34" t="inlineStr">
        <is>
          <t>algolia</t>
        </is>
      </c>
      <c r="BC31" s="34" t="inlineStr">
        <is>
          <t>algoliastartupprogram</t>
        </is>
      </c>
      <c r="BD31" s="34" t="inlineStr">
        <is>
          <t>algolia|algoliastartupprogram</t>
        </is>
      </c>
      <c r="BE31" s="34" t="n">
        <v>1</v>
      </c>
      <c r="BF31" s="34" t="inlineStr">
        <is>
          <t>No</t>
        </is>
      </c>
    </row>
    <row r="32">
      <c r="A32" s="34" t="inlineStr">
        <is>
          <t>SB-031</t>
        </is>
      </c>
      <c r="B32" s="34" t="inlineStr">
        <is>
          <t>ClickHouse</t>
        </is>
      </c>
      <c r="C32" s="34" t="inlineStr">
        <is>
          <t>ClickHouse Cloud for Y Combinator</t>
        </is>
      </c>
      <c r="D32" s="34" t="inlineStr">
        <is>
          <t>Not stated</t>
        </is>
      </c>
      <c r="E32" s="34" t="inlineStr">
        <is>
          <t>Cloud &amp; Infrastructure</t>
        </is>
      </c>
      <c r="F32" s="34" t="inlineStr">
        <is>
          <t>Analytics database credits</t>
        </is>
      </c>
      <c r="G32" s="34" t="inlineStr">
        <is>
          <t>Startup credits (startup-specific)</t>
        </is>
      </c>
      <c r="H32" s="34" t="inlineStr">
        <is>
          <t>$10,000 for 24 months; must be in the current Y Combinator program.</t>
        </is>
      </c>
      <c r="I32" s="34" t="inlineStr">
        <is>
          <t>10000</t>
        </is>
      </c>
      <c r="J32" s="34" t="inlineStr">
        <is>
          <t>USD</t>
        </is>
      </c>
      <c r="K32" s="34" t="inlineStr">
        <is>
          <t>Credits</t>
        </is>
      </c>
      <c r="L32" s="34" t="inlineStr"/>
      <c r="M32" s="34" t="inlineStr">
        <is>
          <t>10000</t>
        </is>
      </c>
      <c r="N32" s="34" t="inlineStr"/>
      <c r="O32" s="34" t="inlineStr">
        <is>
          <t>Open</t>
        </is>
      </c>
      <c r="P32" s="34" t="inlineStr">
        <is>
          <t>Not verified this session</t>
        </is>
      </c>
      <c r="Q32" s="34" t="inlineStr">
        <is>
          <t>Not verified this session</t>
        </is>
      </c>
      <c r="R32" s="34" t="inlineStr">
        <is>
          <t>Not stated</t>
        </is>
      </c>
      <c r="S32" s="34" t="inlineStr">
        <is>
          <t>Not stated</t>
        </is>
      </c>
      <c r="T32" s="34" t="inlineStr">
        <is>
          <t>Not stated</t>
        </is>
      </c>
      <c r="U32" s="34" t="inlineStr">
        <is>
          <t>Unknown</t>
        </is>
      </c>
      <c r="V32" s="34" t="inlineStr">
        <is>
          <t>Unknown</t>
        </is>
      </c>
      <c r="W32" s="34" t="inlineStr">
        <is>
          <t>Not stated</t>
        </is>
      </c>
      <c r="X32" s="34" t="inlineStr">
        <is>
          <t>Unverified</t>
        </is>
      </c>
      <c r="Y32" s="34" t="inlineStr">
        <is>
          <t>Unknown</t>
        </is>
      </c>
      <c r="Z32" s="34" t="inlineStr">
        <is>
          <t>Unknown</t>
        </is>
      </c>
      <c r="AA32" s="34" t="inlineStr">
        <is>
          <t>No</t>
        </is>
      </c>
      <c r="AB32" s="34" t="inlineStr">
        <is>
          <t>Yes (Y Combinator)</t>
        </is>
      </c>
      <c r="AC32" s="34" t="inlineStr">
        <is>
          <t>Not stated</t>
        </is>
      </c>
      <c r="AD32" s="34" t="inlineStr">
        <is>
          <t>Not stated</t>
        </is>
      </c>
      <c r="AE32" s="34" t="inlineStr">
        <is>
          <t>Not stated</t>
        </is>
      </c>
      <c r="AF32" s="34" t="inlineStr">
        <is>
          <t>Not stated</t>
        </is>
      </c>
      <c r="AG32" s="34" t="inlineStr">
        <is>
          <t>Not stated</t>
        </is>
      </c>
      <c r="AH32" s="34" t="inlineStr">
        <is>
          <t>No card required</t>
        </is>
      </c>
      <c r="AI32" s="34" t="inlineStr">
        <is>
          <t>Not stated</t>
        </is>
      </c>
      <c r="AJ32" s="34" t="inlineStr">
        <is>
          <t>https://aifree.dev/offer/clickhouse-cloud-yc-credits</t>
        </is>
      </c>
      <c r="AK32" s="34" t="inlineStr">
        <is>
          <t>https://aifree.dev/startup-ai-credits</t>
        </is>
      </c>
      <c r="AL32" s="34" t="inlineStr">
        <is>
          <t>Directory listing (verified Oct 2026 per directory): $10,000 for 24 months; must be in the current Y Combinator program.</t>
        </is>
      </c>
      <c r="AM32" s="34" t="inlineStr">
        <is>
          <t>2026-10-24</t>
        </is>
      </c>
      <c r="AN32" s="34" t="inlineStr">
        <is>
          <t>Medium</t>
        </is>
      </c>
      <c r="AO32" s="34" t="inlineStr">
        <is>
          <t>Directory</t>
        </is>
      </c>
      <c r="AP32" s="34" t="inlineStr">
        <is>
          <t>Global (unverified)</t>
        </is>
      </c>
      <c r="AQ32" s="34" t="inlineStr">
        <is>
          <t>database,yc</t>
        </is>
      </c>
      <c r="AR32" s="34" t="inlineStr">
        <is>
          <t>Terms taken from aifree.dev directory; official program page not opened this session. Confirm on provider site before applying.</t>
        </is>
      </c>
      <c r="AS32" s="34" t="inlineStr">
        <is>
          <t>DG-CLICK</t>
        </is>
      </c>
      <c r="AT32" s="34" t="inlineStr">
        <is>
          <t>Excel only</t>
        </is>
      </c>
      <c r="AU32" s="34" t="inlineStr"/>
      <c r="AV32" s="34" t="inlineStr"/>
      <c r="AW32" s="34" t="inlineStr"/>
      <c r="AX32" s="34" t="inlineStr"/>
      <c r="AY32" s="34" t="inlineStr"/>
      <c r="AZ32" s="34" t="inlineStr"/>
      <c r="BA32" s="34" t="inlineStr"/>
      <c r="BB32" s="34" t="inlineStr">
        <is>
          <t>clickhouse</t>
        </is>
      </c>
      <c r="BC32" s="34" t="inlineStr">
        <is>
          <t>clickhousecloudforycombinator</t>
        </is>
      </c>
      <c r="BD32" s="34" t="inlineStr">
        <is>
          <t>clickhouse|clickhousecloudforycombinator</t>
        </is>
      </c>
      <c r="BE32" s="34" t="n">
        <v>1</v>
      </c>
      <c r="BF32" s="34" t="inlineStr">
        <is>
          <t>No</t>
        </is>
      </c>
    </row>
    <row r="33">
      <c r="A33" s="34" t="inlineStr">
        <is>
          <t>SB-032</t>
        </is>
      </c>
      <c r="B33" s="34" t="inlineStr">
        <is>
          <t>Daytona</t>
        </is>
      </c>
      <c r="C33" s="34" t="inlineStr">
        <is>
          <t>Daytona Startup Grid</t>
        </is>
      </c>
      <c r="D33" s="34" t="inlineStr">
        <is>
          <t>Not stated</t>
        </is>
      </c>
      <c r="E33" s="34" t="inlineStr">
        <is>
          <t>AI &amp; LLM Credits</t>
        </is>
      </c>
      <c r="F33" s="34" t="inlineStr">
        <is>
          <t>Sandbox compute credits</t>
        </is>
      </c>
      <c r="G33" s="34" t="inlineStr">
        <is>
          <t>Startup credits (startup-specific)</t>
        </is>
      </c>
      <c r="H33" s="34" t="inlineStr">
        <is>
          <t>$10K granted on acceptance; up to $100K total credits as the startup scales.</t>
        </is>
      </c>
      <c r="I33" s="34" t="inlineStr">
        <is>
          <t>10000</t>
        </is>
      </c>
      <c r="J33" s="34" t="inlineStr">
        <is>
          <t>USD</t>
        </is>
      </c>
      <c r="K33" s="34" t="inlineStr">
        <is>
          <t>Credits</t>
        </is>
      </c>
      <c r="L33" s="34" t="inlineStr"/>
      <c r="M33" s="34" t="inlineStr">
        <is>
          <t>10000</t>
        </is>
      </c>
      <c r="N33" s="34" t="inlineStr"/>
      <c r="O33" s="34" t="inlineStr">
        <is>
          <t>Open</t>
        </is>
      </c>
      <c r="P33" s="34" t="inlineStr">
        <is>
          <t>Not verified this session</t>
        </is>
      </c>
      <c r="Q33" s="34" t="inlineStr">
        <is>
          <t>Not verified this session</t>
        </is>
      </c>
      <c r="R33" s="34" t="inlineStr">
        <is>
          <t>Not stated</t>
        </is>
      </c>
      <c r="S33" s="34" t="inlineStr">
        <is>
          <t>Not stated</t>
        </is>
      </c>
      <c r="T33" s="34" t="inlineStr">
        <is>
          <t>Not stated</t>
        </is>
      </c>
      <c r="U33" s="34" t="inlineStr">
        <is>
          <t>Unknown</t>
        </is>
      </c>
      <c r="V33" s="34" t="inlineStr">
        <is>
          <t>Unknown</t>
        </is>
      </c>
      <c r="W33" s="34" t="inlineStr">
        <is>
          <t>Not stated</t>
        </is>
      </c>
      <c r="X33" s="34" t="inlineStr">
        <is>
          <t>Unverified</t>
        </is>
      </c>
      <c r="Y33" s="34" t="inlineStr">
        <is>
          <t>Unknown</t>
        </is>
      </c>
      <c r="Z33" s="34" t="inlineStr">
        <is>
          <t>Unknown</t>
        </is>
      </c>
      <c r="AA33" s="34" t="inlineStr">
        <is>
          <t>Yes</t>
        </is>
      </c>
      <c r="AB33" s="34" t="inlineStr">
        <is>
          <t>Unknown</t>
        </is>
      </c>
      <c r="AC33" s="34" t="inlineStr">
        <is>
          <t>Not stated</t>
        </is>
      </c>
      <c r="AD33" s="34" t="inlineStr">
        <is>
          <t>Not stated</t>
        </is>
      </c>
      <c r="AE33" s="34" t="inlineStr">
        <is>
          <t>Not stated</t>
        </is>
      </c>
      <c r="AF33" s="34" t="inlineStr">
        <is>
          <t>Not stated</t>
        </is>
      </c>
      <c r="AG33" s="34" t="inlineStr">
        <is>
          <t>Not stated</t>
        </is>
      </c>
      <c r="AH33" s="34" t="inlineStr">
        <is>
          <t>No card required</t>
        </is>
      </c>
      <c r="AI33" s="34" t="inlineStr">
        <is>
          <t>Not stated</t>
        </is>
      </c>
      <c r="AJ33" s="34" t="inlineStr">
        <is>
          <t>https://aifree.dev/offer/daytona-startup-grid</t>
        </is>
      </c>
      <c r="AK33" s="34" t="inlineStr">
        <is>
          <t>https://aifree.dev/startup-ai-credits</t>
        </is>
      </c>
      <c r="AL33" s="34" t="inlineStr">
        <is>
          <t>Directory listing (verified Oct 2026 per directory): $10K granted on acceptance; up to $100K total credits as the startup scales.</t>
        </is>
      </c>
      <c r="AM33" s="34" t="inlineStr">
        <is>
          <t>2026-10-24</t>
        </is>
      </c>
      <c r="AN33" s="34" t="inlineStr">
        <is>
          <t>Medium</t>
        </is>
      </c>
      <c r="AO33" s="34" t="inlineStr">
        <is>
          <t>Directory</t>
        </is>
      </c>
      <c r="AP33" s="34" t="inlineStr">
        <is>
          <t>Global (unverified)</t>
        </is>
      </c>
      <c r="AQ33" s="34" t="inlineStr">
        <is>
          <t>sandbox,agents</t>
        </is>
      </c>
      <c r="AR33" s="34" t="inlineStr">
        <is>
          <t>Possible duplicate of 'Daytona Startup Program' below (same terms); kept as two rows because the directory lists both. Confirm on official page.</t>
        </is>
      </c>
      <c r="AS33" s="34" t="inlineStr">
        <is>
          <t>DG-DAYTONA</t>
        </is>
      </c>
      <c r="AT33" s="34" t="inlineStr">
        <is>
          <t>Excel only</t>
        </is>
      </c>
      <c r="AU33" s="34" t="inlineStr"/>
      <c r="AV33" s="34" t="inlineStr"/>
      <c r="AW33" s="34" t="inlineStr"/>
      <c r="AX33" s="34" t="inlineStr"/>
      <c r="AY33" s="34" t="inlineStr"/>
      <c r="AZ33" s="34" t="inlineStr"/>
      <c r="BA33" s="34" t="inlineStr"/>
      <c r="BB33" s="34" t="inlineStr">
        <is>
          <t>daytona</t>
        </is>
      </c>
      <c r="BC33" s="34" t="inlineStr">
        <is>
          <t>daytonastartupgrid</t>
        </is>
      </c>
      <c r="BD33" s="34" t="inlineStr">
        <is>
          <t>daytona|daytonastartupgrid</t>
        </is>
      </c>
      <c r="BE33" s="34" t="n">
        <v>1</v>
      </c>
      <c r="BF33" s="34" t="inlineStr">
        <is>
          <t>No</t>
        </is>
      </c>
    </row>
    <row r="34">
      <c r="A34" s="34" t="inlineStr">
        <is>
          <t>SB-033</t>
        </is>
      </c>
      <c r="B34" s="34" t="inlineStr">
        <is>
          <t>Daytona</t>
        </is>
      </c>
      <c r="C34" s="34" t="inlineStr">
        <is>
          <t>Daytona Startup Program</t>
        </is>
      </c>
      <c r="D34" s="34" t="inlineStr">
        <is>
          <t>Not stated</t>
        </is>
      </c>
      <c r="E34" s="34" t="inlineStr">
        <is>
          <t>AI &amp; LLM Credits</t>
        </is>
      </c>
      <c r="F34" s="34" t="inlineStr">
        <is>
          <t>Sandbox compute credits</t>
        </is>
      </c>
      <c r="G34" s="34" t="inlineStr">
        <is>
          <t>Startup credits (startup-specific)</t>
        </is>
      </c>
      <c r="H34" s="34" t="inlineStr">
        <is>
          <t>$10K credits granted on acceptance; up to $100K total as the startup scales.</t>
        </is>
      </c>
      <c r="I34" s="34" t="inlineStr"/>
      <c r="J34" s="34" t="inlineStr">
        <is>
          <t>USD</t>
        </is>
      </c>
      <c r="K34" s="34" t="inlineStr">
        <is>
          <t>Credits</t>
        </is>
      </c>
      <c r="L34" s="34" t="inlineStr"/>
      <c r="M34" s="34" t="inlineStr"/>
      <c r="N34" s="34" t="inlineStr"/>
      <c r="O34" s="34" t="inlineStr">
        <is>
          <t>Open</t>
        </is>
      </c>
      <c r="P34" s="34" t="inlineStr">
        <is>
          <t>Not verified this session</t>
        </is>
      </c>
      <c r="Q34" s="34" t="inlineStr">
        <is>
          <t>Not verified this session</t>
        </is>
      </c>
      <c r="R34" s="34" t="inlineStr">
        <is>
          <t>Not stated</t>
        </is>
      </c>
      <c r="S34" s="34" t="inlineStr">
        <is>
          <t>Not stated</t>
        </is>
      </c>
      <c r="T34" s="34" t="inlineStr">
        <is>
          <t>Not stated</t>
        </is>
      </c>
      <c r="U34" s="34" t="inlineStr">
        <is>
          <t>Unknown</t>
        </is>
      </c>
      <c r="V34" s="34" t="inlineStr">
        <is>
          <t>Unknown</t>
        </is>
      </c>
      <c r="W34" s="34" t="inlineStr">
        <is>
          <t>Not stated</t>
        </is>
      </c>
      <c r="X34" s="34" t="inlineStr">
        <is>
          <t>Unverified</t>
        </is>
      </c>
      <c r="Y34" s="34" t="inlineStr">
        <is>
          <t>Unknown</t>
        </is>
      </c>
      <c r="Z34" s="34" t="inlineStr">
        <is>
          <t>Unknown</t>
        </is>
      </c>
      <c r="AA34" s="34" t="inlineStr">
        <is>
          <t>Yes</t>
        </is>
      </c>
      <c r="AB34" s="34" t="inlineStr">
        <is>
          <t>Unknown</t>
        </is>
      </c>
      <c r="AC34" s="34" t="inlineStr">
        <is>
          <t>Not stated</t>
        </is>
      </c>
      <c r="AD34" s="34" t="inlineStr">
        <is>
          <t>Not stated</t>
        </is>
      </c>
      <c r="AE34" s="34" t="inlineStr">
        <is>
          <t>Not stated</t>
        </is>
      </c>
      <c r="AF34" s="34" t="inlineStr">
        <is>
          <t>Not stated</t>
        </is>
      </c>
      <c r="AG34" s="34" t="inlineStr">
        <is>
          <t>Not stated</t>
        </is>
      </c>
      <c r="AH34" s="34" t="inlineStr">
        <is>
          <t>No card required</t>
        </is>
      </c>
      <c r="AI34" s="34" t="inlineStr">
        <is>
          <t>Max value blank to avoid double-counting with Startup Grid.</t>
        </is>
      </c>
      <c r="AJ34" s="34" t="inlineStr">
        <is>
          <t>https://aifree.dev/offer/daytona-startup-program</t>
        </is>
      </c>
      <c r="AK34" s="34" t="inlineStr">
        <is>
          <t>https://aifree.dev/startup-ai-credits</t>
        </is>
      </c>
      <c r="AL34" s="34" t="inlineStr">
        <is>
          <t>Directory listing (verified Oct 2026 per directory): $10K credits granted on acceptance; up to $100K total as the startup scales.</t>
        </is>
      </c>
      <c r="AM34" s="34" t="inlineStr">
        <is>
          <t>2026-10-24</t>
        </is>
      </c>
      <c r="AN34" s="34" t="inlineStr">
        <is>
          <t>Medium</t>
        </is>
      </c>
      <c r="AO34" s="34" t="inlineStr">
        <is>
          <t>Directory</t>
        </is>
      </c>
      <c r="AP34" s="34" t="inlineStr">
        <is>
          <t>Global (unverified)</t>
        </is>
      </c>
      <c r="AQ34" s="34" t="inlineStr">
        <is>
          <t>sandbox,agents</t>
        </is>
      </c>
      <c r="AR34" s="34" t="inlineStr">
        <is>
          <t>Possible duplicate of 'Daytona Startup Grid'; shares Duplicate Group ID.</t>
        </is>
      </c>
      <c r="AS34" s="34" t="inlineStr">
        <is>
          <t>DG-DAYTONA</t>
        </is>
      </c>
      <c r="AT34" s="34" t="inlineStr">
        <is>
          <t>Excel only</t>
        </is>
      </c>
      <c r="AU34" s="34" t="inlineStr"/>
      <c r="AV34" s="34" t="inlineStr"/>
      <c r="AW34" s="34" t="inlineStr"/>
      <c r="AX34" s="34" t="inlineStr"/>
      <c r="AY34" s="34" t="inlineStr"/>
      <c r="AZ34" s="34" t="inlineStr"/>
      <c r="BA34" s="34" t="inlineStr"/>
      <c r="BB34" s="34" t="inlineStr">
        <is>
          <t>daytona</t>
        </is>
      </c>
      <c r="BC34" s="34" t="inlineStr">
        <is>
          <t>daytonastartupprogram</t>
        </is>
      </c>
      <c r="BD34" s="34" t="inlineStr">
        <is>
          <t>daytona|daytonastartupprogram</t>
        </is>
      </c>
      <c r="BE34" s="34" t="n">
        <v>1</v>
      </c>
      <c r="BF34" s="34" t="inlineStr">
        <is>
          <t>No</t>
        </is>
      </c>
    </row>
    <row r="35">
      <c r="A35" s="34" t="inlineStr">
        <is>
          <t>SB-034</t>
        </is>
      </c>
      <c r="B35" s="34" t="inlineStr">
        <is>
          <t>GitHub (Microsoft)</t>
        </is>
      </c>
      <c r="C35" s="34" t="inlineStr">
        <is>
          <t>GitHub for Startups</t>
        </is>
      </c>
      <c r="D35" s="34" t="inlineStr">
        <is>
          <t>Not stated</t>
        </is>
      </c>
      <c r="E35" s="34" t="inlineStr">
        <is>
          <t>Cloud &amp; Infrastructure</t>
        </is>
      </c>
      <c r="F35" s="34" t="inlineStr">
        <is>
          <t>Developer platform credits</t>
        </is>
      </c>
      <c r="G35" s="34" t="inlineStr">
        <is>
          <t>Startup credits (startup-specific)</t>
        </is>
      </c>
      <c r="H35" s="34" t="inlineStr">
        <is>
          <t>$10,000 flexible platform credits valid up to 12 months from approval or until used.</t>
        </is>
      </c>
      <c r="I35" s="34" t="inlineStr">
        <is>
          <t>10000</t>
        </is>
      </c>
      <c r="J35" s="34" t="inlineStr">
        <is>
          <t>USD</t>
        </is>
      </c>
      <c r="K35" s="34" t="inlineStr">
        <is>
          <t>Credits</t>
        </is>
      </c>
      <c r="L35" s="34" t="inlineStr"/>
      <c r="M35" s="34" t="inlineStr">
        <is>
          <t>10000</t>
        </is>
      </c>
      <c r="N35" s="34" t="inlineStr"/>
      <c r="O35" s="34" t="inlineStr">
        <is>
          <t>Open</t>
        </is>
      </c>
      <c r="P35" s="34" t="inlineStr">
        <is>
          <t>Not verified this session</t>
        </is>
      </c>
      <c r="Q35" s="34" t="inlineStr">
        <is>
          <t>Not verified this session</t>
        </is>
      </c>
      <c r="R35" s="34" t="inlineStr">
        <is>
          <t>Not stated</t>
        </is>
      </c>
      <c r="S35" s="34" t="inlineStr">
        <is>
          <t>Not stated</t>
        </is>
      </c>
      <c r="T35" s="34" t="inlineStr">
        <is>
          <t>Not stated</t>
        </is>
      </c>
      <c r="U35" s="34" t="inlineStr">
        <is>
          <t>Unknown</t>
        </is>
      </c>
      <c r="V35" s="34" t="inlineStr">
        <is>
          <t>Unknown</t>
        </is>
      </c>
      <c r="W35" s="34" t="inlineStr">
        <is>
          <t>Not stated</t>
        </is>
      </c>
      <c r="X35" s="34" t="inlineStr">
        <is>
          <t>Unverified</t>
        </is>
      </c>
      <c r="Y35" s="34" t="inlineStr">
        <is>
          <t>Unknown</t>
        </is>
      </c>
      <c r="Z35" s="34" t="inlineStr">
        <is>
          <t>Unknown</t>
        </is>
      </c>
      <c r="AA35" s="34" t="inlineStr">
        <is>
          <t>No</t>
        </is>
      </c>
      <c r="AB35" s="34" t="inlineStr">
        <is>
          <t>Unknown</t>
        </is>
      </c>
      <c r="AC35" s="34" t="inlineStr">
        <is>
          <t>Not stated</t>
        </is>
      </c>
      <c r="AD35" s="34" t="inlineStr">
        <is>
          <t>Not stated</t>
        </is>
      </c>
      <c r="AE35" s="34" t="inlineStr">
        <is>
          <t>Not stated</t>
        </is>
      </c>
      <c r="AF35" s="34" t="inlineStr">
        <is>
          <t>Not stated</t>
        </is>
      </c>
      <c r="AG35" s="34" t="inlineStr">
        <is>
          <t>Not stated</t>
        </is>
      </c>
      <c r="AH35" s="34" t="inlineStr">
        <is>
          <t>Card required</t>
        </is>
      </c>
      <c r="AI35" s="34" t="inlineStr">
        <is>
          <t>Not stated</t>
        </is>
      </c>
      <c r="AJ35" s="34" t="inlineStr">
        <is>
          <t>https://aifree.dev/offer/github-for-startups</t>
        </is>
      </c>
      <c r="AK35" s="34" t="inlineStr">
        <is>
          <t>https://aifree.dev/startup-ai-credits</t>
        </is>
      </c>
      <c r="AL35" s="34" t="inlineStr">
        <is>
          <t>Directory listing (verified Oct 2026 per directory): $10,000 flexible platform credits valid up to 12 months from approval or until used.</t>
        </is>
      </c>
      <c r="AM35" s="34" t="inlineStr">
        <is>
          <t>2026-10-24</t>
        </is>
      </c>
      <c r="AN35" s="34" t="inlineStr">
        <is>
          <t>Medium</t>
        </is>
      </c>
      <c r="AO35" s="34" t="inlineStr">
        <is>
          <t>Directory</t>
        </is>
      </c>
      <c r="AP35" s="34" t="inlineStr">
        <is>
          <t>Global (unverified)</t>
        </is>
      </c>
      <c r="AQ35" s="34" t="inlineStr">
        <is>
          <t>devtools,github</t>
        </is>
      </c>
      <c r="AR35" s="34" t="inlineStr">
        <is>
          <t>Terms taken from aifree.dev directory; official program page not opened this session. Confirm on provider site before applying.</t>
        </is>
      </c>
      <c r="AS35" s="34" t="inlineStr">
        <is>
          <t>DG-GH</t>
        </is>
      </c>
      <c r="AT35" s="34" t="inlineStr">
        <is>
          <t>Excel + GitHub repo</t>
        </is>
      </c>
      <c r="AU35" s="34" t="inlineStr">
        <is>
          <t>github-startups</t>
        </is>
      </c>
      <c r="AV35" s="34" t="inlineStr">
        <is>
          <t>No public code verified</t>
        </is>
      </c>
      <c r="AW35" s="34" t="inlineStr">
        <is>
          <t>Not published</t>
        </is>
      </c>
      <c r="AX35" s="34" t="inlineStr">
        <is>
          <t>https://github.com/enterprise/startups</t>
        </is>
      </c>
      <c r="AY35" s="34" t="inlineStr">
        <is>
          <t>No provider-published coupon code found in the verified source; do not treat third-party codes as confirmed.</t>
        </is>
      </c>
      <c r="AZ35" s="34" t="inlineStr">
        <is>
          <t>Conservative fuzzy match (1.00)</t>
        </is>
      </c>
      <c r="BA35" s="34" t="inlineStr">
        <is>
          <t>No reliable community code confirmation recorded</t>
        </is>
      </c>
      <c r="BB35" s="34" t="inlineStr">
        <is>
          <t>githubmicrosoft</t>
        </is>
      </c>
      <c r="BC35" s="34" t="inlineStr">
        <is>
          <t>githubforstartups</t>
        </is>
      </c>
      <c r="BD35" s="34" t="inlineStr">
        <is>
          <t>githubmicrosoft|githubforstartups</t>
        </is>
      </c>
      <c r="BE35" s="34" t="n">
        <v>1</v>
      </c>
      <c r="BF35" s="34" t="inlineStr">
        <is>
          <t>No</t>
        </is>
      </c>
    </row>
    <row r="36">
      <c r="A36" s="34" t="inlineStr">
        <is>
          <t>SB-035</t>
        </is>
      </c>
      <c r="B36" s="34" t="inlineStr">
        <is>
          <t>Indent</t>
        </is>
      </c>
      <c r="C36" s="34" t="inlineStr">
        <is>
          <t>Indent for Startups</t>
        </is>
      </c>
      <c r="D36" s="34" t="inlineStr">
        <is>
          <t>Not stated</t>
        </is>
      </c>
      <c r="E36" s="34" t="inlineStr">
        <is>
          <t>Cloud &amp; Infrastructure</t>
        </is>
      </c>
      <c r="F36" s="34" t="inlineStr">
        <is>
          <t>Access management credits</t>
        </is>
      </c>
      <c r="G36" s="34" t="inlineStr">
        <is>
          <t>Startup credits (startup-specific)</t>
        </is>
      </c>
      <c r="H36" s="34" t="inlineStr">
        <is>
          <t>$10,000 in Indent credits on approval; application through a Google Form.</t>
        </is>
      </c>
      <c r="I36" s="34" t="inlineStr">
        <is>
          <t>10000</t>
        </is>
      </c>
      <c r="J36" s="34" t="inlineStr">
        <is>
          <t>USD</t>
        </is>
      </c>
      <c r="K36" s="34" t="inlineStr">
        <is>
          <t>Credits</t>
        </is>
      </c>
      <c r="L36" s="34" t="inlineStr"/>
      <c r="M36" s="34" t="inlineStr">
        <is>
          <t>10000</t>
        </is>
      </c>
      <c r="N36" s="34" t="inlineStr"/>
      <c r="O36" s="34" t="inlineStr">
        <is>
          <t>Open</t>
        </is>
      </c>
      <c r="P36" s="34" t="inlineStr">
        <is>
          <t>Not verified this session</t>
        </is>
      </c>
      <c r="Q36" s="34" t="inlineStr">
        <is>
          <t>Not verified this session</t>
        </is>
      </c>
      <c r="R36" s="34" t="inlineStr">
        <is>
          <t>Not stated</t>
        </is>
      </c>
      <c r="S36" s="34" t="inlineStr">
        <is>
          <t>Not stated</t>
        </is>
      </c>
      <c r="T36" s="34" t="inlineStr">
        <is>
          <t>Not stated</t>
        </is>
      </c>
      <c r="U36" s="34" t="inlineStr">
        <is>
          <t>Unknown</t>
        </is>
      </c>
      <c r="V36" s="34" t="inlineStr">
        <is>
          <t>Unknown</t>
        </is>
      </c>
      <c r="W36" s="34" t="inlineStr">
        <is>
          <t>Not stated</t>
        </is>
      </c>
      <c r="X36" s="34" t="inlineStr">
        <is>
          <t>Unverified</t>
        </is>
      </c>
      <c r="Y36" s="34" t="inlineStr">
        <is>
          <t>Unknown</t>
        </is>
      </c>
      <c r="Z36" s="34" t="inlineStr">
        <is>
          <t>Unknown</t>
        </is>
      </c>
      <c r="AA36" s="34" t="inlineStr">
        <is>
          <t>No</t>
        </is>
      </c>
      <c r="AB36" s="34" t="inlineStr">
        <is>
          <t>Unknown</t>
        </is>
      </c>
      <c r="AC36" s="34" t="inlineStr">
        <is>
          <t>Not stated</t>
        </is>
      </c>
      <c r="AD36" s="34" t="inlineStr">
        <is>
          <t>Not stated</t>
        </is>
      </c>
      <c r="AE36" s="34" t="inlineStr">
        <is>
          <t>Not stated</t>
        </is>
      </c>
      <c r="AF36" s="34" t="inlineStr">
        <is>
          <t>Not stated</t>
        </is>
      </c>
      <c r="AG36" s="34" t="inlineStr">
        <is>
          <t>Not stated</t>
        </is>
      </c>
      <c r="AH36" s="34" t="inlineStr">
        <is>
          <t>No card required</t>
        </is>
      </c>
      <c r="AI36" s="34" t="inlineStr">
        <is>
          <t>Not stated</t>
        </is>
      </c>
      <c r="AJ36" s="34" t="inlineStr">
        <is>
          <t>https://aifree.dev/offer/indent-for-startups</t>
        </is>
      </c>
      <c r="AK36" s="34" t="inlineStr">
        <is>
          <t>https://aifree.dev/startup-ai-credits</t>
        </is>
      </c>
      <c r="AL36" s="34" t="inlineStr">
        <is>
          <t>Directory listing (verified Oct 2026 per directory): $10,000 in Indent credits on approval; application through a Google Form.</t>
        </is>
      </c>
      <c r="AM36" s="34" t="inlineStr">
        <is>
          <t>2026-10-24</t>
        </is>
      </c>
      <c r="AN36" s="34" t="inlineStr">
        <is>
          <t>Medium</t>
        </is>
      </c>
      <c r="AO36" s="34" t="inlineStr">
        <is>
          <t>Directory</t>
        </is>
      </c>
      <c r="AP36" s="34" t="inlineStr">
        <is>
          <t>Global (unverified)</t>
        </is>
      </c>
      <c r="AQ36" s="34" t="inlineStr">
        <is>
          <t>security,access</t>
        </is>
      </c>
      <c r="AR36" s="34" t="inlineStr">
        <is>
          <t>Terms taken from aifree.dev directory; official program page not opened this session. Confirm on provider site before applying.</t>
        </is>
      </c>
      <c r="AS36" s="34" t="inlineStr">
        <is>
          <t>DG-INDENT</t>
        </is>
      </c>
      <c r="AT36" s="34" t="inlineStr">
        <is>
          <t>Excel only</t>
        </is>
      </c>
      <c r="AU36" s="34" t="inlineStr"/>
      <c r="AV36" s="34" t="inlineStr"/>
      <c r="AW36" s="34" t="inlineStr"/>
      <c r="AX36" s="34" t="inlineStr"/>
      <c r="AY36" s="34" t="inlineStr"/>
      <c r="AZ36" s="34" t="inlineStr"/>
      <c r="BA36" s="34" t="inlineStr"/>
      <c r="BB36" s="34" t="inlineStr">
        <is>
          <t>indent</t>
        </is>
      </c>
      <c r="BC36" s="34" t="inlineStr">
        <is>
          <t>indentforstartups</t>
        </is>
      </c>
      <c r="BD36" s="34" t="inlineStr">
        <is>
          <t>indent|indentforstartups</t>
        </is>
      </c>
      <c r="BE36" s="34" t="n">
        <v>1</v>
      </c>
      <c r="BF36" s="34" t="inlineStr">
        <is>
          <t>No</t>
        </is>
      </c>
    </row>
    <row r="37">
      <c r="A37" s="34" t="inlineStr">
        <is>
          <t>SB-036</t>
        </is>
      </c>
      <c r="B37" s="34" t="inlineStr">
        <is>
          <t>LangChain (LangSmith)</t>
        </is>
      </c>
      <c r="C37" s="34" t="inlineStr">
        <is>
          <t>LangSmith for Startups</t>
        </is>
      </c>
      <c r="D37" s="34" t="inlineStr">
        <is>
          <t>Not stated</t>
        </is>
      </c>
      <c r="E37" s="34" t="inlineStr">
        <is>
          <t>AI &amp; LLM Credits</t>
        </is>
      </c>
      <c r="F37" s="34" t="inlineStr">
        <is>
          <t>LLM observability/evals credits</t>
        </is>
      </c>
      <c r="G37" s="34" t="inlineStr">
        <is>
          <t>Startup credits (startup-specific)</t>
        </is>
      </c>
      <c r="H37" s="34" t="inlineStr">
        <is>
          <t>$10K credits valid 1 year (2 years for YC companies); first-time LangSmith customers.</t>
        </is>
      </c>
      <c r="I37" s="34" t="inlineStr">
        <is>
          <t>10000</t>
        </is>
      </c>
      <c r="J37" s="34" t="inlineStr">
        <is>
          <t>USD</t>
        </is>
      </c>
      <c r="K37" s="34" t="inlineStr">
        <is>
          <t>Credits</t>
        </is>
      </c>
      <c r="L37" s="34" t="inlineStr"/>
      <c r="M37" s="34" t="inlineStr">
        <is>
          <t>10000</t>
        </is>
      </c>
      <c r="N37" s="34" t="inlineStr"/>
      <c r="O37" s="34" t="inlineStr">
        <is>
          <t>Open</t>
        </is>
      </c>
      <c r="P37" s="34" t="inlineStr">
        <is>
          <t>Not verified this session</t>
        </is>
      </c>
      <c r="Q37" s="34" t="inlineStr">
        <is>
          <t>Not verified this session</t>
        </is>
      </c>
      <c r="R37" s="34" t="inlineStr">
        <is>
          <t>Not stated</t>
        </is>
      </c>
      <c r="S37" s="34" t="inlineStr">
        <is>
          <t>Not stated</t>
        </is>
      </c>
      <c r="T37" s="34" t="inlineStr">
        <is>
          <t>Not stated</t>
        </is>
      </c>
      <c r="U37" s="34" t="inlineStr">
        <is>
          <t>Unknown</t>
        </is>
      </c>
      <c r="V37" s="34" t="inlineStr">
        <is>
          <t>Unknown</t>
        </is>
      </c>
      <c r="W37" s="34" t="inlineStr">
        <is>
          <t>Not stated</t>
        </is>
      </c>
      <c r="X37" s="34" t="inlineStr">
        <is>
          <t>Unverified</t>
        </is>
      </c>
      <c r="Y37" s="34" t="inlineStr">
        <is>
          <t>Unknown</t>
        </is>
      </c>
      <c r="Z37" s="34" t="inlineStr">
        <is>
          <t>Unknown</t>
        </is>
      </c>
      <c r="AA37" s="34" t="inlineStr">
        <is>
          <t>Yes</t>
        </is>
      </c>
      <c r="AB37" s="34" t="inlineStr">
        <is>
          <t>Unknown</t>
        </is>
      </c>
      <c r="AC37" s="34" t="inlineStr">
        <is>
          <t>Not stated</t>
        </is>
      </c>
      <c r="AD37" s="34" t="inlineStr">
        <is>
          <t>Not stated</t>
        </is>
      </c>
      <c r="AE37" s="34" t="inlineStr">
        <is>
          <t>Not stated</t>
        </is>
      </c>
      <c r="AF37" s="34" t="inlineStr">
        <is>
          <t>Not stated</t>
        </is>
      </c>
      <c r="AG37" s="34" t="inlineStr">
        <is>
          <t>Not stated</t>
        </is>
      </c>
      <c r="AH37" s="34" t="inlineStr">
        <is>
          <t>No card required</t>
        </is>
      </c>
      <c r="AI37" s="34" t="inlineStr">
        <is>
          <t>Not stated</t>
        </is>
      </c>
      <c r="AJ37" s="34" t="inlineStr">
        <is>
          <t>https://aifree.dev/offer/langsmith-for-startups</t>
        </is>
      </c>
      <c r="AK37" s="34" t="inlineStr">
        <is>
          <t>https://aifree.dev/startup-ai-credits</t>
        </is>
      </c>
      <c r="AL37" s="34" t="inlineStr">
        <is>
          <t>Directory listing (verified Oct 2026 per directory): $10K credits valid 1 year (2 years for YC companies); first-time LangSmith customers.</t>
        </is>
      </c>
      <c r="AM37" s="34" t="inlineStr">
        <is>
          <t>2026-10-24</t>
        </is>
      </c>
      <c r="AN37" s="34" t="inlineStr">
        <is>
          <t>Medium</t>
        </is>
      </c>
      <c r="AO37" s="34" t="inlineStr">
        <is>
          <t>Directory</t>
        </is>
      </c>
      <c r="AP37" s="34" t="inlineStr">
        <is>
          <t>Global (unverified)</t>
        </is>
      </c>
      <c r="AQ37" s="34" t="inlineStr">
        <is>
          <t>ai,observability,evals</t>
        </is>
      </c>
      <c r="AR37" s="34" t="inlineStr">
        <is>
          <t>Terms taken from aifree.dev directory; official program page not opened this session. Confirm on provider site before applying.</t>
        </is>
      </c>
      <c r="AS37" s="34" t="inlineStr">
        <is>
          <t>DG-LANGSMITH</t>
        </is>
      </c>
      <c r="AT37" s="34" t="inlineStr">
        <is>
          <t>Excel only</t>
        </is>
      </c>
      <c r="AU37" s="34" t="inlineStr"/>
      <c r="AV37" s="34" t="inlineStr"/>
      <c r="AW37" s="34" t="inlineStr"/>
      <c r="AX37" s="34" t="inlineStr"/>
      <c r="AY37" s="34" t="inlineStr"/>
      <c r="AZ37" s="34" t="inlineStr"/>
      <c r="BA37" s="34" t="inlineStr"/>
      <c r="BB37" s="34" t="inlineStr">
        <is>
          <t>langchainlangsmith</t>
        </is>
      </c>
      <c r="BC37" s="34" t="inlineStr">
        <is>
          <t>langsmithforstartups</t>
        </is>
      </c>
      <c r="BD37" s="34" t="inlineStr">
        <is>
          <t>langchainlangsmith|langsmithforstartups</t>
        </is>
      </c>
      <c r="BE37" s="34" t="n">
        <v>1</v>
      </c>
      <c r="BF37" s="34" t="inlineStr">
        <is>
          <t>No</t>
        </is>
      </c>
    </row>
    <row r="38">
      <c r="A38" s="34" t="inlineStr">
        <is>
          <t>SB-037</t>
        </is>
      </c>
      <c r="B38" s="34" t="inlineStr">
        <is>
          <t>Sanity</t>
        </is>
      </c>
      <c r="C38" s="34" t="inlineStr">
        <is>
          <t>Sanity Startup Program</t>
        </is>
      </c>
      <c r="D38" s="34" t="inlineStr">
        <is>
          <t>Not stated</t>
        </is>
      </c>
      <c r="E38" s="34" t="inlineStr">
        <is>
          <t>SaaS &amp; Marketing</t>
        </is>
      </c>
      <c r="F38" s="34" t="inlineStr">
        <is>
          <t>Headless CMS credits</t>
        </is>
      </c>
      <c r="G38" s="34" t="inlineStr">
        <is>
          <t>Startup credits (startup-specific)</t>
        </is>
      </c>
      <c r="H38" s="34" t="inlineStr">
        <is>
          <t>$9,000 for companies with fewer than 20 employees, under $5M funding, not a current paying customer.</t>
        </is>
      </c>
      <c r="I38" s="34" t="inlineStr">
        <is>
          <t>9000</t>
        </is>
      </c>
      <c r="J38" s="34" t="inlineStr">
        <is>
          <t>USD</t>
        </is>
      </c>
      <c r="K38" s="34" t="inlineStr">
        <is>
          <t>Credits</t>
        </is>
      </c>
      <c r="L38" s="34" t="inlineStr"/>
      <c r="M38" s="34" t="inlineStr">
        <is>
          <t>9000</t>
        </is>
      </c>
      <c r="N38" s="34" t="inlineStr"/>
      <c r="O38" s="34" t="inlineStr">
        <is>
          <t>Open</t>
        </is>
      </c>
      <c r="P38" s="34" t="inlineStr">
        <is>
          <t>Not verified this session</t>
        </is>
      </c>
      <c r="Q38" s="34" t="inlineStr">
        <is>
          <t>Not verified this session</t>
        </is>
      </c>
      <c r="R38" s="34" t="inlineStr">
        <is>
          <t>Not stated</t>
        </is>
      </c>
      <c r="S38" s="34" t="inlineStr">
        <is>
          <t>Not stated</t>
        </is>
      </c>
      <c r="T38" s="34" t="inlineStr">
        <is>
          <t>&lt;20 employees, &lt;$5M funding</t>
        </is>
      </c>
      <c r="U38" s="34" t="inlineStr">
        <is>
          <t>Unknown</t>
        </is>
      </c>
      <c r="V38" s="34" t="inlineStr">
        <is>
          <t>Unknown</t>
        </is>
      </c>
      <c r="W38" s="34" t="inlineStr">
        <is>
          <t>Not stated</t>
        </is>
      </c>
      <c r="X38" s="34" t="inlineStr">
        <is>
          <t>Unverified</t>
        </is>
      </c>
      <c r="Y38" s="34" t="inlineStr">
        <is>
          <t>Unknown</t>
        </is>
      </c>
      <c r="Z38" s="34" t="inlineStr">
        <is>
          <t>Unknown</t>
        </is>
      </c>
      <c r="AA38" s="34" t="inlineStr">
        <is>
          <t>No</t>
        </is>
      </c>
      <c r="AB38" s="34" t="inlineStr">
        <is>
          <t>Unknown</t>
        </is>
      </c>
      <c r="AC38" s="34" t="inlineStr">
        <is>
          <t>Not stated</t>
        </is>
      </c>
      <c r="AD38" s="34" t="inlineStr">
        <is>
          <t>Not stated</t>
        </is>
      </c>
      <c r="AE38" s="34" t="inlineStr">
        <is>
          <t>Not stated</t>
        </is>
      </c>
      <c r="AF38" s="34" t="inlineStr">
        <is>
          <t>Not stated</t>
        </is>
      </c>
      <c r="AG38" s="34" t="inlineStr">
        <is>
          <t>Not stated</t>
        </is>
      </c>
      <c r="AH38" s="34" t="inlineStr">
        <is>
          <t>No card required</t>
        </is>
      </c>
      <c r="AI38" s="34" t="inlineStr">
        <is>
          <t>Not stated</t>
        </is>
      </c>
      <c r="AJ38" s="34" t="inlineStr">
        <is>
          <t>https://aifree.dev/offer/sanity-startup-program</t>
        </is>
      </c>
      <c r="AK38" s="34" t="inlineStr">
        <is>
          <t>https://aifree.dev/startup-ai-credits</t>
        </is>
      </c>
      <c r="AL38" s="34" t="inlineStr">
        <is>
          <t>Directory listing (verified Oct 2026 per directory): $9,000 for companies with fewer than 20 employees, under $5M funding, not a current paying customer.</t>
        </is>
      </c>
      <c r="AM38" s="34" t="inlineStr">
        <is>
          <t>2026-10-24</t>
        </is>
      </c>
      <c r="AN38" s="34" t="inlineStr">
        <is>
          <t>Medium</t>
        </is>
      </c>
      <c r="AO38" s="34" t="inlineStr">
        <is>
          <t>Directory</t>
        </is>
      </c>
      <c r="AP38" s="34" t="inlineStr">
        <is>
          <t>Global (unverified)</t>
        </is>
      </c>
      <c r="AQ38" s="34" t="inlineStr">
        <is>
          <t>cms</t>
        </is>
      </c>
      <c r="AR38" s="34" t="inlineStr">
        <is>
          <t>Terms taken from aifree.dev directory; official program page not opened this session. Confirm on provider site before applying.</t>
        </is>
      </c>
      <c r="AS38" s="34" t="inlineStr">
        <is>
          <t>DG-SANITY</t>
        </is>
      </c>
      <c r="AT38" s="34" t="inlineStr">
        <is>
          <t>Excel only</t>
        </is>
      </c>
      <c r="AU38" s="34" t="inlineStr"/>
      <c r="AV38" s="34" t="inlineStr"/>
      <c r="AW38" s="34" t="inlineStr"/>
      <c r="AX38" s="34" t="inlineStr"/>
      <c r="AY38" s="34" t="inlineStr"/>
      <c r="AZ38" s="34" t="inlineStr"/>
      <c r="BA38" s="34" t="inlineStr"/>
      <c r="BB38" s="34" t="inlineStr">
        <is>
          <t>sanity</t>
        </is>
      </c>
      <c r="BC38" s="34" t="inlineStr">
        <is>
          <t>sanitystartupprogram</t>
        </is>
      </c>
      <c r="BD38" s="34" t="inlineStr">
        <is>
          <t>sanity|sanitystartupprogram</t>
        </is>
      </c>
      <c r="BE38" s="34" t="n">
        <v>1</v>
      </c>
      <c r="BF38" s="34" t="inlineStr">
        <is>
          <t>No</t>
        </is>
      </c>
    </row>
    <row r="39">
      <c r="A39" s="34" t="inlineStr">
        <is>
          <t>SB-038</t>
        </is>
      </c>
      <c r="B39" s="34" t="inlineStr">
        <is>
          <t>Sentry</t>
        </is>
      </c>
      <c r="C39" s="34" t="inlineStr">
        <is>
          <t>Sentry for Startups</t>
        </is>
      </c>
      <c r="D39" s="34" t="inlineStr">
        <is>
          <t>Not stated</t>
        </is>
      </c>
      <c r="E39" s="34" t="inlineStr">
        <is>
          <t>Cloud &amp; Infrastructure</t>
        </is>
      </c>
      <c r="F39" s="34" t="inlineStr">
        <is>
          <t>Error monitoring credits</t>
        </is>
      </c>
      <c r="G39" s="34" t="inlineStr">
        <is>
          <t>Startup credits (startup-specific)</t>
        </is>
      </c>
      <c r="H39" s="34" t="inlineStr">
        <is>
          <t>$5,000 credits expiring after 12 months; founded in the last 2 years with under $5M raised.</t>
        </is>
      </c>
      <c r="I39" s="34" t="inlineStr">
        <is>
          <t>5000</t>
        </is>
      </c>
      <c r="J39" s="34" t="inlineStr">
        <is>
          <t>USD</t>
        </is>
      </c>
      <c r="K39" s="34" t="inlineStr">
        <is>
          <t>Credits</t>
        </is>
      </c>
      <c r="L39" s="34" t="inlineStr"/>
      <c r="M39" s="34" t="inlineStr">
        <is>
          <t>5000</t>
        </is>
      </c>
      <c r="N39" s="34" t="inlineStr"/>
      <c r="O39" s="34" t="inlineStr">
        <is>
          <t>Open</t>
        </is>
      </c>
      <c r="P39" s="34" t="inlineStr">
        <is>
          <t>Not verified this session</t>
        </is>
      </c>
      <c r="Q39" s="34" t="inlineStr">
        <is>
          <t>Not verified this session</t>
        </is>
      </c>
      <c r="R39" s="34" t="inlineStr">
        <is>
          <t>Not stated</t>
        </is>
      </c>
      <c r="S39" s="34" t="inlineStr">
        <is>
          <t>Not stated</t>
        </is>
      </c>
      <c r="T39" s="34" t="inlineStr">
        <is>
          <t>Founded &lt;2 years, &lt;$5M raised</t>
        </is>
      </c>
      <c r="U39" s="34" t="inlineStr">
        <is>
          <t>Unknown</t>
        </is>
      </c>
      <c r="V39" s="34" t="inlineStr">
        <is>
          <t>Unknown</t>
        </is>
      </c>
      <c r="W39" s="34" t="inlineStr">
        <is>
          <t>Not stated</t>
        </is>
      </c>
      <c r="X39" s="34" t="inlineStr">
        <is>
          <t>Unverified</t>
        </is>
      </c>
      <c r="Y39" s="34" t="inlineStr">
        <is>
          <t>Unknown</t>
        </is>
      </c>
      <c r="Z39" s="34" t="inlineStr">
        <is>
          <t>Unknown</t>
        </is>
      </c>
      <c r="AA39" s="34" t="inlineStr">
        <is>
          <t>No</t>
        </is>
      </c>
      <c r="AB39" s="34" t="inlineStr">
        <is>
          <t>Unknown</t>
        </is>
      </c>
      <c r="AC39" s="34" t="inlineStr">
        <is>
          <t>Not stated</t>
        </is>
      </c>
      <c r="AD39" s="34" t="inlineStr">
        <is>
          <t>Not stated</t>
        </is>
      </c>
      <c r="AE39" s="34" t="inlineStr">
        <is>
          <t>Not stated</t>
        </is>
      </c>
      <c r="AF39" s="34" t="inlineStr">
        <is>
          <t>Not stated</t>
        </is>
      </c>
      <c r="AG39" s="34" t="inlineStr">
        <is>
          <t>Not stated</t>
        </is>
      </c>
      <c r="AH39" s="34" t="inlineStr">
        <is>
          <t>No card required</t>
        </is>
      </c>
      <c r="AI39" s="34" t="inlineStr">
        <is>
          <t>Not stated</t>
        </is>
      </c>
      <c r="AJ39" s="34" t="inlineStr">
        <is>
          <t>https://aifree.dev/offer/sentry-for-startups</t>
        </is>
      </c>
      <c r="AK39" s="34" t="inlineStr">
        <is>
          <t>https://aifree.dev/startup-ai-credits</t>
        </is>
      </c>
      <c r="AL39" s="34" t="inlineStr">
        <is>
          <t>Directory listing (verified Oct 2026 per directory): $5,000 credits expiring after 12 months; founded in the last 2 years with under $5M raised.</t>
        </is>
      </c>
      <c r="AM39" s="34" t="inlineStr">
        <is>
          <t>2026-10-24</t>
        </is>
      </c>
      <c r="AN39" s="34" t="inlineStr">
        <is>
          <t>Medium</t>
        </is>
      </c>
      <c r="AO39" s="34" t="inlineStr">
        <is>
          <t>Directory</t>
        </is>
      </c>
      <c r="AP39" s="34" t="inlineStr">
        <is>
          <t>Global (unverified)</t>
        </is>
      </c>
      <c r="AQ39" s="34" t="inlineStr">
        <is>
          <t>monitoring</t>
        </is>
      </c>
      <c r="AR39" s="34" t="inlineStr">
        <is>
          <t>Terms taken from aifree.dev directory; official program page not opened this session. Confirm on provider site before applying.</t>
        </is>
      </c>
      <c r="AS39" s="34" t="inlineStr">
        <is>
          <t>DG-SENTRY</t>
        </is>
      </c>
      <c r="AT39" s="34" t="inlineStr">
        <is>
          <t>Excel only</t>
        </is>
      </c>
      <c r="AU39" s="34" t="inlineStr"/>
      <c r="AV39" s="34" t="inlineStr"/>
      <c r="AW39" s="34" t="inlineStr"/>
      <c r="AX39" s="34" t="inlineStr"/>
      <c r="AY39" s="34" t="inlineStr"/>
      <c r="AZ39" s="34" t="inlineStr"/>
      <c r="BA39" s="34" t="inlineStr"/>
      <c r="BB39" s="34" t="inlineStr">
        <is>
          <t>sentry</t>
        </is>
      </c>
      <c r="BC39" s="34" t="inlineStr">
        <is>
          <t>sentryforstartups</t>
        </is>
      </c>
      <c r="BD39" s="34" t="inlineStr">
        <is>
          <t>sentry|sentryforstartups</t>
        </is>
      </c>
      <c r="BE39" s="34" t="n">
        <v>1</v>
      </c>
      <c r="BF39" s="34" t="inlineStr">
        <is>
          <t>No</t>
        </is>
      </c>
    </row>
    <row r="40">
      <c r="A40" s="34" t="inlineStr">
        <is>
          <t>SB-039</t>
        </is>
      </c>
      <c r="B40" s="34" t="inlineStr">
        <is>
          <t>fal</t>
        </is>
      </c>
      <c r="C40" s="34" t="inlineStr">
        <is>
          <t>fal Startup Program</t>
        </is>
      </c>
      <c r="D40" s="34" t="inlineStr">
        <is>
          <t>Not stated</t>
        </is>
      </c>
      <c r="E40" s="34" t="inlineStr">
        <is>
          <t>AI &amp; LLM Credits</t>
        </is>
      </c>
      <c r="F40" s="34" t="inlineStr">
        <is>
          <t>Generative media inference credits</t>
        </is>
      </c>
      <c r="G40" s="34" t="inlineStr">
        <is>
          <t>Startup credits (startup-specific)</t>
        </is>
      </c>
      <c r="H40" s="34" t="inlineStr">
        <is>
          <t>Starts at $1,000; $2,500 unlocks at $1,000/month spend; $5,000 at $2,500/month spend.</t>
        </is>
      </c>
      <c r="I40" s="34" t="inlineStr">
        <is>
          <t>5000</t>
        </is>
      </c>
      <c r="J40" s="34" t="inlineStr">
        <is>
          <t>USD</t>
        </is>
      </c>
      <c r="K40" s="34" t="inlineStr">
        <is>
          <t>Credits</t>
        </is>
      </c>
      <c r="L40" s="34" t="inlineStr">
        <is>
          <t>1000</t>
        </is>
      </c>
      <c r="M40" s="34" t="inlineStr">
        <is>
          <t>1000</t>
        </is>
      </c>
      <c r="N40" s="34" t="inlineStr"/>
      <c r="O40" s="34" t="inlineStr">
        <is>
          <t>Open</t>
        </is>
      </c>
      <c r="P40" s="34" t="inlineStr">
        <is>
          <t>Not verified this session</t>
        </is>
      </c>
      <c r="Q40" s="34" t="inlineStr">
        <is>
          <t>Not verified this session</t>
        </is>
      </c>
      <c r="R40" s="34" t="inlineStr">
        <is>
          <t>Not stated</t>
        </is>
      </c>
      <c r="S40" s="34" t="inlineStr">
        <is>
          <t>Not stated</t>
        </is>
      </c>
      <c r="T40" s="34" t="inlineStr">
        <is>
          <t>Not stated</t>
        </is>
      </c>
      <c r="U40" s="34" t="inlineStr">
        <is>
          <t>Unknown</t>
        </is>
      </c>
      <c r="V40" s="34" t="inlineStr">
        <is>
          <t>Unknown</t>
        </is>
      </c>
      <c r="W40" s="34" t="inlineStr">
        <is>
          <t>Not stated</t>
        </is>
      </c>
      <c r="X40" s="34" t="inlineStr">
        <is>
          <t>Unverified</t>
        </is>
      </c>
      <c r="Y40" s="34" t="inlineStr">
        <is>
          <t>Unknown</t>
        </is>
      </c>
      <c r="Z40" s="34" t="inlineStr">
        <is>
          <t>Unknown</t>
        </is>
      </c>
      <c r="AA40" s="34" t="inlineStr">
        <is>
          <t>Yes</t>
        </is>
      </c>
      <c r="AB40" s="34" t="inlineStr">
        <is>
          <t>Unknown</t>
        </is>
      </c>
      <c r="AC40" s="34" t="inlineStr">
        <is>
          <t>Not stated</t>
        </is>
      </c>
      <c r="AD40" s="34" t="inlineStr">
        <is>
          <t>Not stated</t>
        </is>
      </c>
      <c r="AE40" s="34" t="inlineStr">
        <is>
          <t>Not stated</t>
        </is>
      </c>
      <c r="AF40" s="34" t="inlineStr">
        <is>
          <t>Not stated</t>
        </is>
      </c>
      <c r="AG40" s="34" t="inlineStr">
        <is>
          <t>Not stated</t>
        </is>
      </c>
      <c r="AH40" s="34" t="inlineStr">
        <is>
          <t>No card required</t>
        </is>
      </c>
      <c r="AI40" s="34" t="inlineStr">
        <is>
          <t>Not stated</t>
        </is>
      </c>
      <c r="AJ40" s="34" t="inlineStr">
        <is>
          <t>https://aifree.dev/offer/fal-startup-program</t>
        </is>
      </c>
      <c r="AK40" s="34" t="inlineStr">
        <is>
          <t>https://aifree.dev/startup-ai-credits</t>
        </is>
      </c>
      <c r="AL40" s="34" t="inlineStr">
        <is>
          <t>Directory listing (verified Oct 2026 per directory): Starts at $1,000; $2,500 unlocks at $1,000/month spend; $5,000 at $2,500/month spend.</t>
        </is>
      </c>
      <c r="AM40" s="34" t="inlineStr">
        <is>
          <t>2026-10-24</t>
        </is>
      </c>
      <c r="AN40" s="34" t="inlineStr">
        <is>
          <t>Medium</t>
        </is>
      </c>
      <c r="AO40" s="34" t="inlineStr">
        <is>
          <t>Directory</t>
        </is>
      </c>
      <c r="AP40" s="34" t="inlineStr">
        <is>
          <t>Global (unverified)</t>
        </is>
      </c>
      <c r="AQ40" s="34" t="inlineStr">
        <is>
          <t>ai,image,video</t>
        </is>
      </c>
      <c r="AR40" s="34" t="inlineStr">
        <is>
          <t>Terms taken from aifree.dev directory; official program page not opened this session. Confirm on provider site before applying.</t>
        </is>
      </c>
      <c r="AS40" s="34" t="inlineStr">
        <is>
          <t>DG-FAL</t>
        </is>
      </c>
      <c r="AT40" s="34" t="inlineStr">
        <is>
          <t>Excel only</t>
        </is>
      </c>
      <c r="AU40" s="34" t="inlineStr"/>
      <c r="AV40" s="34" t="inlineStr"/>
      <c r="AW40" s="34" t="inlineStr"/>
      <c r="AX40" s="34" t="inlineStr"/>
      <c r="AY40" s="34" t="inlineStr"/>
      <c r="AZ40" s="34" t="inlineStr"/>
      <c r="BA40" s="34" t="inlineStr"/>
      <c r="BB40" s="34" t="inlineStr">
        <is>
          <t>fal</t>
        </is>
      </c>
      <c r="BC40" s="34" t="inlineStr">
        <is>
          <t>falstartupprogram</t>
        </is>
      </c>
      <c r="BD40" s="34" t="inlineStr">
        <is>
          <t>fal|falstartupprogram</t>
        </is>
      </c>
      <c r="BE40" s="34" t="n">
        <v>1</v>
      </c>
      <c r="BF40" s="34" t="inlineStr">
        <is>
          <t>No</t>
        </is>
      </c>
    </row>
    <row r="41">
      <c r="A41" s="34" t="inlineStr">
        <is>
          <t>SB-040</t>
        </is>
      </c>
      <c r="B41" s="34" t="inlineStr">
        <is>
          <t>RunPod</t>
        </is>
      </c>
      <c r="C41" s="34" t="inlineStr">
        <is>
          <t>RunPod Startup Program</t>
        </is>
      </c>
      <c r="D41" s="34" t="inlineStr">
        <is>
          <t>Not stated</t>
        </is>
      </c>
      <c r="E41" s="34" t="inlineStr">
        <is>
          <t>Cloud &amp; Infrastructure</t>
        </is>
      </c>
      <c r="F41" s="34" t="inlineStr">
        <is>
          <t>GPU cloud credits</t>
        </is>
      </c>
      <c r="G41" s="34" t="inlineStr">
        <is>
          <t>Startup credits (startup-specific)</t>
        </is>
      </c>
      <c r="H41" s="34" t="inlineStr">
        <is>
          <t>Starter $1,000 in credits, aimed at pre-Series A startups.</t>
        </is>
      </c>
      <c r="I41" s="34" t="inlineStr">
        <is>
          <t>1000</t>
        </is>
      </c>
      <c r="J41" s="34" t="inlineStr">
        <is>
          <t>USD</t>
        </is>
      </c>
      <c r="K41" s="34" t="inlineStr">
        <is>
          <t>Credits</t>
        </is>
      </c>
      <c r="L41" s="34" t="inlineStr"/>
      <c r="M41" s="34" t="inlineStr">
        <is>
          <t>1000</t>
        </is>
      </c>
      <c r="N41" s="34" t="inlineStr"/>
      <c r="O41" s="34" t="inlineStr">
        <is>
          <t>Open</t>
        </is>
      </c>
      <c r="P41" s="34" t="inlineStr">
        <is>
          <t>Not verified this session</t>
        </is>
      </c>
      <c r="Q41" s="34" t="inlineStr">
        <is>
          <t>Not verified this session</t>
        </is>
      </c>
      <c r="R41" s="34" t="inlineStr">
        <is>
          <t>Not stated</t>
        </is>
      </c>
      <c r="S41" s="34" t="inlineStr">
        <is>
          <t>Not stated</t>
        </is>
      </c>
      <c r="T41" s="34" t="inlineStr">
        <is>
          <t>Pre-Series A</t>
        </is>
      </c>
      <c r="U41" s="34" t="inlineStr">
        <is>
          <t>Unknown</t>
        </is>
      </c>
      <c r="V41" s="34" t="inlineStr">
        <is>
          <t>Unknown</t>
        </is>
      </c>
      <c r="W41" s="34" t="inlineStr">
        <is>
          <t>Not stated</t>
        </is>
      </c>
      <c r="X41" s="34" t="inlineStr">
        <is>
          <t>Unverified</t>
        </is>
      </c>
      <c r="Y41" s="34" t="inlineStr">
        <is>
          <t>Unknown</t>
        </is>
      </c>
      <c r="Z41" s="34" t="inlineStr">
        <is>
          <t>Unknown</t>
        </is>
      </c>
      <c r="AA41" s="34" t="inlineStr">
        <is>
          <t>No</t>
        </is>
      </c>
      <c r="AB41" s="34" t="inlineStr">
        <is>
          <t>Unknown</t>
        </is>
      </c>
      <c r="AC41" s="34" t="inlineStr">
        <is>
          <t>Not stated</t>
        </is>
      </c>
      <c r="AD41" s="34" t="inlineStr">
        <is>
          <t>Not stated</t>
        </is>
      </c>
      <c r="AE41" s="34" t="inlineStr">
        <is>
          <t>Not stated</t>
        </is>
      </c>
      <c r="AF41" s="34" t="inlineStr">
        <is>
          <t>Not stated</t>
        </is>
      </c>
      <c r="AG41" s="34" t="inlineStr">
        <is>
          <t>Not stated</t>
        </is>
      </c>
      <c r="AH41" s="34" t="inlineStr">
        <is>
          <t>No card required</t>
        </is>
      </c>
      <c r="AI41" s="34" t="inlineStr">
        <is>
          <t>Not stated</t>
        </is>
      </c>
      <c r="AJ41" s="34" t="inlineStr">
        <is>
          <t>https://aifree.dev/offer/runpod-startup-program</t>
        </is>
      </c>
      <c r="AK41" s="34" t="inlineStr">
        <is>
          <t>https://aifree.dev/startup-ai-credits</t>
        </is>
      </c>
      <c r="AL41" s="34" t="inlineStr">
        <is>
          <t>Directory listing (verified Oct 2026 per directory): Starter $1,000 in credits, aimed at pre-Series A startups.</t>
        </is>
      </c>
      <c r="AM41" s="34" t="inlineStr">
        <is>
          <t>2026-10-24</t>
        </is>
      </c>
      <c r="AN41" s="34" t="inlineStr">
        <is>
          <t>Medium</t>
        </is>
      </c>
      <c r="AO41" s="34" t="inlineStr">
        <is>
          <t>Directory</t>
        </is>
      </c>
      <c r="AP41" s="34" t="inlineStr">
        <is>
          <t>Global (unverified)</t>
        </is>
      </c>
      <c r="AQ41" s="34" t="inlineStr">
        <is>
          <t>gpu</t>
        </is>
      </c>
      <c r="AR41" s="34" t="inlineStr">
        <is>
          <t>Terms taken from aifree.dev directory; official program page not opened this session. Confirm on provider site before applying.</t>
        </is>
      </c>
      <c r="AS41" s="34" t="inlineStr">
        <is>
          <t>DG-RUNPOD</t>
        </is>
      </c>
      <c r="AT41" s="34" t="inlineStr">
        <is>
          <t>Excel only</t>
        </is>
      </c>
      <c r="AU41" s="34" t="inlineStr"/>
      <c r="AV41" s="34" t="inlineStr"/>
      <c r="AW41" s="34" t="inlineStr"/>
      <c r="AX41" s="34" t="inlineStr"/>
      <c r="AY41" s="34" t="inlineStr"/>
      <c r="AZ41" s="34" t="inlineStr"/>
      <c r="BA41" s="34" t="inlineStr"/>
      <c r="BB41" s="34" t="inlineStr">
        <is>
          <t>runpod</t>
        </is>
      </c>
      <c r="BC41" s="34" t="inlineStr">
        <is>
          <t>runpodstartupprogram</t>
        </is>
      </c>
      <c r="BD41" s="34" t="inlineStr">
        <is>
          <t>runpod|runpodstartupprogram</t>
        </is>
      </c>
      <c r="BE41" s="34" t="n">
        <v>1</v>
      </c>
      <c r="BF41" s="34" t="inlineStr">
        <is>
          <t>No</t>
        </is>
      </c>
    </row>
    <row r="42">
      <c r="A42" s="34" t="inlineStr">
        <is>
          <t>SB-041</t>
        </is>
      </c>
      <c r="B42" s="34" t="inlineStr">
        <is>
          <t>Runware</t>
        </is>
      </c>
      <c r="C42" s="34" t="inlineStr">
        <is>
          <t>Runware Startup Program</t>
        </is>
      </c>
      <c r="D42" s="34" t="inlineStr">
        <is>
          <t>Not stated</t>
        </is>
      </c>
      <c r="E42" s="34" t="inlineStr">
        <is>
          <t>AI &amp; LLM Credits</t>
        </is>
      </c>
      <c r="F42" s="34" t="inlineStr">
        <is>
          <t>Image/video API credits</t>
        </is>
      </c>
      <c r="G42" s="34" t="inlineStr">
        <is>
          <t>Startup credits (startup-specific)</t>
        </is>
      </c>
      <c r="H42" s="34" t="inlineStr">
        <is>
          <t>Starter: up to $1,000 free credits, no deposit, awarded in $100 steps.</t>
        </is>
      </c>
      <c r="I42" s="34" t="inlineStr">
        <is>
          <t>1000</t>
        </is>
      </c>
      <c r="J42" s="34" t="inlineStr">
        <is>
          <t>USD</t>
        </is>
      </c>
      <c r="K42" s="34" t="inlineStr">
        <is>
          <t>Credits</t>
        </is>
      </c>
      <c r="L42" s="34" t="inlineStr"/>
      <c r="M42" s="34" t="inlineStr">
        <is>
          <t>1000</t>
        </is>
      </c>
      <c r="N42" s="34" t="inlineStr"/>
      <c r="O42" s="34" t="inlineStr">
        <is>
          <t>Open</t>
        </is>
      </c>
      <c r="P42" s="34" t="inlineStr">
        <is>
          <t>Not verified this session</t>
        </is>
      </c>
      <c r="Q42" s="34" t="inlineStr">
        <is>
          <t>Not verified this session</t>
        </is>
      </c>
      <c r="R42" s="34" t="inlineStr">
        <is>
          <t>Not stated</t>
        </is>
      </c>
      <c r="S42" s="34" t="inlineStr">
        <is>
          <t>Not stated</t>
        </is>
      </c>
      <c r="T42" s="34" t="inlineStr">
        <is>
          <t>Not stated</t>
        </is>
      </c>
      <c r="U42" s="34" t="inlineStr">
        <is>
          <t>Unknown</t>
        </is>
      </c>
      <c r="V42" s="34" t="inlineStr">
        <is>
          <t>Unknown</t>
        </is>
      </c>
      <c r="W42" s="34" t="inlineStr">
        <is>
          <t>Not stated</t>
        </is>
      </c>
      <c r="X42" s="34" t="inlineStr">
        <is>
          <t>Unverified</t>
        </is>
      </c>
      <c r="Y42" s="34" t="inlineStr">
        <is>
          <t>Unknown</t>
        </is>
      </c>
      <c r="Z42" s="34" t="inlineStr">
        <is>
          <t>Unknown</t>
        </is>
      </c>
      <c r="AA42" s="34" t="inlineStr">
        <is>
          <t>Yes</t>
        </is>
      </c>
      <c r="AB42" s="34" t="inlineStr">
        <is>
          <t>Unknown</t>
        </is>
      </c>
      <c r="AC42" s="34" t="inlineStr">
        <is>
          <t>Not stated</t>
        </is>
      </c>
      <c r="AD42" s="34" t="inlineStr">
        <is>
          <t>Not stated</t>
        </is>
      </c>
      <c r="AE42" s="34" t="inlineStr">
        <is>
          <t>Not stated</t>
        </is>
      </c>
      <c r="AF42" s="34" t="inlineStr">
        <is>
          <t>Not stated</t>
        </is>
      </c>
      <c r="AG42" s="34" t="inlineStr">
        <is>
          <t>Not stated</t>
        </is>
      </c>
      <c r="AH42" s="34" t="inlineStr">
        <is>
          <t>No card required</t>
        </is>
      </c>
      <c r="AI42" s="34" t="inlineStr">
        <is>
          <t>Not stated</t>
        </is>
      </c>
      <c r="AJ42" s="34" t="inlineStr">
        <is>
          <t>https://aifree.dev/offer/runware-grant-program</t>
        </is>
      </c>
      <c r="AK42" s="34" t="inlineStr">
        <is>
          <t>https://aifree.dev/startup-ai-credits</t>
        </is>
      </c>
      <c r="AL42" s="34" t="inlineStr">
        <is>
          <t>Directory listing (verified Oct 2026 per directory): Starter: up to $1,000 free credits, no deposit, awarded in $100 steps.</t>
        </is>
      </c>
      <c r="AM42" s="34" t="inlineStr">
        <is>
          <t>2026-10-24</t>
        </is>
      </c>
      <c r="AN42" s="34" t="inlineStr">
        <is>
          <t>Medium</t>
        </is>
      </c>
      <c r="AO42" s="34" t="inlineStr">
        <is>
          <t>Directory</t>
        </is>
      </c>
      <c r="AP42" s="34" t="inlineStr">
        <is>
          <t>Global (unverified)</t>
        </is>
      </c>
      <c r="AQ42" s="34" t="inlineStr">
        <is>
          <t>ai,image</t>
        </is>
      </c>
      <c r="AR42" s="34" t="inlineStr">
        <is>
          <t>Terms taken from aifree.dev directory; official program page not opened this session. Confirm on provider site before applying.</t>
        </is>
      </c>
      <c r="AS42" s="34" t="inlineStr">
        <is>
          <t>DG-RUNWARE</t>
        </is>
      </c>
      <c r="AT42" s="34" t="inlineStr">
        <is>
          <t>Excel only</t>
        </is>
      </c>
      <c r="AU42" s="34" t="inlineStr"/>
      <c r="AV42" s="34" t="inlineStr"/>
      <c r="AW42" s="34" t="inlineStr"/>
      <c r="AX42" s="34" t="inlineStr"/>
      <c r="AY42" s="34" t="inlineStr"/>
      <c r="AZ42" s="34" t="inlineStr"/>
      <c r="BA42" s="34" t="inlineStr"/>
      <c r="BB42" s="34" t="inlineStr">
        <is>
          <t>runware</t>
        </is>
      </c>
      <c r="BC42" s="34" t="inlineStr">
        <is>
          <t>runwarestartupprogram</t>
        </is>
      </c>
      <c r="BD42" s="34" t="inlineStr">
        <is>
          <t>runware|runwarestartupprogram</t>
        </is>
      </c>
      <c r="BE42" s="34" t="n">
        <v>1</v>
      </c>
      <c r="BF42" s="34" t="inlineStr">
        <is>
          <t>No</t>
        </is>
      </c>
    </row>
    <row r="43">
      <c r="A43" s="34" t="inlineStr">
        <is>
          <t>SB-042</t>
        </is>
      </c>
      <c r="B43" s="34" t="inlineStr">
        <is>
          <t>UpCloud</t>
        </is>
      </c>
      <c r="C43" s="34" t="inlineStr">
        <is>
          <t>UpCloud free trial credits</t>
        </is>
      </c>
      <c r="D43" s="34" t="inlineStr">
        <is>
          <t>Not stated</t>
        </is>
      </c>
      <c r="E43" s="34" t="inlineStr">
        <is>
          <t>Cloud &amp; Infrastructure</t>
        </is>
      </c>
      <c r="F43" s="34" t="inlineStr">
        <is>
          <t>Trial credit</t>
        </is>
      </c>
      <c r="G43" s="34" t="inlineStr">
        <is>
          <t>Free trial credit (not startup-exclusive)</t>
        </is>
      </c>
      <c r="H43" s="34" t="inlineStr">
        <is>
          <t>Up to $500 trial credit; standard trial 7 days, promotion may extend to 30 days.</t>
        </is>
      </c>
      <c r="I43" s="34" t="inlineStr">
        <is>
          <t>500</t>
        </is>
      </c>
      <c r="J43" s="34" t="inlineStr">
        <is>
          <t>USD</t>
        </is>
      </c>
      <c r="K43" s="34" t="inlineStr">
        <is>
          <t>Credits</t>
        </is>
      </c>
      <c r="L43" s="34" t="inlineStr"/>
      <c r="M43" s="34" t="inlineStr"/>
      <c r="N43" s="34" t="inlineStr"/>
      <c r="O43" s="34" t="inlineStr">
        <is>
          <t>Open</t>
        </is>
      </c>
      <c r="P43" s="34" t="inlineStr">
        <is>
          <t>Not verified this session</t>
        </is>
      </c>
      <c r="Q43" s="34" t="inlineStr">
        <is>
          <t>Not verified this session</t>
        </is>
      </c>
      <c r="R43" s="34" t="inlineStr">
        <is>
          <t>Not stated</t>
        </is>
      </c>
      <c r="S43" s="34" t="inlineStr">
        <is>
          <t>Not stated</t>
        </is>
      </c>
      <c r="T43" s="34" t="inlineStr">
        <is>
          <t>Not stated</t>
        </is>
      </c>
      <c r="U43" s="34" t="inlineStr">
        <is>
          <t>Unknown</t>
        </is>
      </c>
      <c r="V43" s="34" t="inlineStr">
        <is>
          <t>Unknown</t>
        </is>
      </c>
      <c r="W43" s="34" t="inlineStr">
        <is>
          <t>Not stated</t>
        </is>
      </c>
      <c r="X43" s="34" t="inlineStr">
        <is>
          <t>Unverified</t>
        </is>
      </c>
      <c r="Y43" s="34" t="inlineStr">
        <is>
          <t>Unknown</t>
        </is>
      </c>
      <c r="Z43" s="34" t="inlineStr">
        <is>
          <t>Unknown</t>
        </is>
      </c>
      <c r="AA43" s="34" t="inlineStr">
        <is>
          <t>No</t>
        </is>
      </c>
      <c r="AB43" s="34" t="inlineStr">
        <is>
          <t>Unknown</t>
        </is>
      </c>
      <c r="AC43" s="34" t="inlineStr">
        <is>
          <t>Not stated</t>
        </is>
      </c>
      <c r="AD43" s="34" t="inlineStr">
        <is>
          <t>Not stated</t>
        </is>
      </c>
      <c r="AE43" s="34" t="inlineStr">
        <is>
          <t>Not stated</t>
        </is>
      </c>
      <c r="AF43" s="34" t="inlineStr">
        <is>
          <t>Not stated</t>
        </is>
      </c>
      <c r="AG43" s="34" t="inlineStr">
        <is>
          <t>Not stated</t>
        </is>
      </c>
      <c r="AH43" s="34" t="inlineStr">
        <is>
          <t>Card required</t>
        </is>
      </c>
      <c r="AI43" s="34" t="inlineStr">
        <is>
          <t>Not stated</t>
        </is>
      </c>
      <c r="AJ43" s="34" t="inlineStr">
        <is>
          <t>https://aifree.dev/offer/upcloud-free-trial-credits</t>
        </is>
      </c>
      <c r="AK43" s="34" t="inlineStr">
        <is>
          <t>https://aifree.dev/startup-ai-credits</t>
        </is>
      </c>
      <c r="AL43" s="34" t="inlineStr">
        <is>
          <t>Directory listing (verified Oct 2026 per directory): Up to $500 trial credit; standard trial 7 days, promotion may extend to 30 days.</t>
        </is>
      </c>
      <c r="AM43" s="34" t="inlineStr">
        <is>
          <t>2026-10-24</t>
        </is>
      </c>
      <c r="AN43" s="34" t="inlineStr">
        <is>
          <t>Medium</t>
        </is>
      </c>
      <c r="AO43" s="34" t="inlineStr">
        <is>
          <t>Directory</t>
        </is>
      </c>
      <c r="AP43" s="34" t="inlineStr">
        <is>
          <t>Global (unverified)</t>
        </is>
      </c>
      <c r="AQ43" s="34" t="inlineStr">
        <is>
          <t>Not stated</t>
        </is>
      </c>
      <c r="AR43" s="34" t="inlineStr">
        <is>
          <t>Terms taken from aifree.dev directory; official program page not opened this session. Confirm on provider site before applying.</t>
        </is>
      </c>
      <c r="AS43" s="34" t="inlineStr">
        <is>
          <t>DG-T-UPCLOUD-FREE-T</t>
        </is>
      </c>
      <c r="AT43" s="34" t="inlineStr">
        <is>
          <t>Excel only</t>
        </is>
      </c>
      <c r="AU43" s="34" t="inlineStr"/>
      <c r="AV43" s="34" t="inlineStr"/>
      <c r="AW43" s="34" t="inlineStr"/>
      <c r="AX43" s="34" t="inlineStr"/>
      <c r="AY43" s="34" t="inlineStr"/>
      <c r="AZ43" s="34" t="inlineStr"/>
      <c r="BA43" s="34" t="inlineStr"/>
      <c r="BB43" s="34" t="inlineStr">
        <is>
          <t>upcloud</t>
        </is>
      </c>
      <c r="BC43" s="34" t="inlineStr">
        <is>
          <t>upcloudfreetrialcredits</t>
        </is>
      </c>
      <c r="BD43" s="34" t="inlineStr">
        <is>
          <t>upcloud|upcloudfreetrialcredits</t>
        </is>
      </c>
      <c r="BE43" s="34" t="n">
        <v>1</v>
      </c>
      <c r="BF43" s="34" t="inlineStr">
        <is>
          <t>No</t>
        </is>
      </c>
    </row>
    <row r="44">
      <c r="A44" s="34" t="inlineStr">
        <is>
          <t>SB-043</t>
        </is>
      </c>
      <c r="B44" s="34" t="inlineStr">
        <is>
          <t>Google Cloud</t>
        </is>
      </c>
      <c r="C44" s="34" t="inlineStr">
        <is>
          <t>Google Cloud Free Program ($300)</t>
        </is>
      </c>
      <c r="D44" s="34" t="inlineStr">
        <is>
          <t>Not stated</t>
        </is>
      </c>
      <c r="E44" s="34" t="inlineStr">
        <is>
          <t>Cloud &amp; Infrastructure</t>
        </is>
      </c>
      <c r="F44" s="34" t="inlineStr">
        <is>
          <t>Trial credit</t>
        </is>
      </c>
      <c r="G44" s="34" t="inlineStr">
        <is>
          <t>Free trial credit (not startup-exclusive)</t>
        </is>
      </c>
      <c r="H44" s="34" t="inlineStr">
        <is>
          <t>$300 welcome credit consumed within 90 days; no automatic charges unless upgraded.</t>
        </is>
      </c>
      <c r="I44" s="34" t="inlineStr">
        <is>
          <t>300</t>
        </is>
      </c>
      <c r="J44" s="34" t="inlineStr">
        <is>
          <t>USD</t>
        </is>
      </c>
      <c r="K44" s="34" t="inlineStr">
        <is>
          <t>Credits</t>
        </is>
      </c>
      <c r="L44" s="34" t="inlineStr"/>
      <c r="M44" s="34" t="inlineStr"/>
      <c r="N44" s="34" t="inlineStr"/>
      <c r="O44" s="34" t="inlineStr">
        <is>
          <t>Open</t>
        </is>
      </c>
      <c r="P44" s="34" t="inlineStr">
        <is>
          <t>Not verified this session</t>
        </is>
      </c>
      <c r="Q44" s="34" t="inlineStr">
        <is>
          <t>Not verified this session</t>
        </is>
      </c>
      <c r="R44" s="34" t="inlineStr">
        <is>
          <t>Not stated</t>
        </is>
      </c>
      <c r="S44" s="34" t="inlineStr">
        <is>
          <t>Not stated</t>
        </is>
      </c>
      <c r="T44" s="34" t="inlineStr">
        <is>
          <t>Not stated</t>
        </is>
      </c>
      <c r="U44" s="34" t="inlineStr">
        <is>
          <t>Unknown</t>
        </is>
      </c>
      <c r="V44" s="34" t="inlineStr">
        <is>
          <t>Unknown</t>
        </is>
      </c>
      <c r="W44" s="34" t="inlineStr">
        <is>
          <t>Not stated</t>
        </is>
      </c>
      <c r="X44" s="34" t="inlineStr">
        <is>
          <t>Unverified</t>
        </is>
      </c>
      <c r="Y44" s="34" t="inlineStr">
        <is>
          <t>Unknown</t>
        </is>
      </c>
      <c r="Z44" s="34" t="inlineStr">
        <is>
          <t>Unknown</t>
        </is>
      </c>
      <c r="AA44" s="34" t="inlineStr">
        <is>
          <t>No</t>
        </is>
      </c>
      <c r="AB44" s="34" t="inlineStr">
        <is>
          <t>Unknown</t>
        </is>
      </c>
      <c r="AC44" s="34" t="inlineStr">
        <is>
          <t>Not stated</t>
        </is>
      </c>
      <c r="AD44" s="34" t="inlineStr">
        <is>
          <t>Not stated</t>
        </is>
      </c>
      <c r="AE44" s="34" t="inlineStr">
        <is>
          <t>Not stated</t>
        </is>
      </c>
      <c r="AF44" s="34" t="inlineStr">
        <is>
          <t>Not stated</t>
        </is>
      </c>
      <c r="AG44" s="34" t="inlineStr">
        <is>
          <t>Not stated</t>
        </is>
      </c>
      <c r="AH44" s="34" t="inlineStr">
        <is>
          <t>Card required</t>
        </is>
      </c>
      <c r="AI44" s="34" t="inlineStr">
        <is>
          <t>Not stated</t>
        </is>
      </c>
      <c r="AJ44" s="34" t="inlineStr">
        <is>
          <t>https://aifree.dev/offer/google-cloud-free-program</t>
        </is>
      </c>
      <c r="AK44" s="34" t="inlineStr">
        <is>
          <t>https://aifree.dev/startup-ai-credits</t>
        </is>
      </c>
      <c r="AL44" s="34" t="inlineStr">
        <is>
          <t>Directory listing (verified Oct 2026 per directory): $300 welcome credit consumed within 90 days; no automatic charges unless upgraded.</t>
        </is>
      </c>
      <c r="AM44" s="34" t="inlineStr">
        <is>
          <t>2026-10-24</t>
        </is>
      </c>
      <c r="AN44" s="34" t="inlineStr">
        <is>
          <t>Medium</t>
        </is>
      </c>
      <c r="AO44" s="34" t="inlineStr">
        <is>
          <t>Directory</t>
        </is>
      </c>
      <c r="AP44" s="34" t="inlineStr">
        <is>
          <t>Global (unverified)</t>
        </is>
      </c>
      <c r="AQ44" s="34" t="inlineStr">
        <is>
          <t>Not stated</t>
        </is>
      </c>
      <c r="AR44" s="34" t="inlineStr">
        <is>
          <t>Terms taken from aifree.dev directory; official program page not opened this session. Confirm on provider site before applying.</t>
        </is>
      </c>
      <c r="AS44" s="34" t="inlineStr">
        <is>
          <t>DG-T-GOOGLE-CLOUD-F</t>
        </is>
      </c>
      <c r="AT44" s="34" t="inlineStr">
        <is>
          <t>Excel only</t>
        </is>
      </c>
      <c r="AU44" s="34" t="inlineStr"/>
      <c r="AV44" s="34" t="inlineStr"/>
      <c r="AW44" s="34" t="inlineStr"/>
      <c r="AX44" s="34" t="inlineStr"/>
      <c r="AY44" s="34" t="inlineStr"/>
      <c r="AZ44" s="34" t="inlineStr"/>
      <c r="BA44" s="34" t="inlineStr"/>
      <c r="BB44" s="34" t="inlineStr">
        <is>
          <t>googlecloud</t>
        </is>
      </c>
      <c r="BC44" s="34" t="inlineStr">
        <is>
          <t>googlecloudfreeprogram300</t>
        </is>
      </c>
      <c r="BD44" s="34" t="inlineStr">
        <is>
          <t>googlecloud|googlecloudfreeprogram300</t>
        </is>
      </c>
      <c r="BE44" s="34" t="n">
        <v>1</v>
      </c>
      <c r="BF44" s="34" t="inlineStr">
        <is>
          <t>No</t>
        </is>
      </c>
    </row>
    <row r="45">
      <c r="A45" s="34" t="inlineStr">
        <is>
          <t>SB-044</t>
        </is>
      </c>
      <c r="B45" s="34" t="inlineStr">
        <is>
          <t>Oracle</t>
        </is>
      </c>
      <c r="C45" s="34" t="inlineStr">
        <is>
          <t>Oracle Cloud Free Tier</t>
        </is>
      </c>
      <c r="D45" s="34" t="inlineStr">
        <is>
          <t>Not stated</t>
        </is>
      </c>
      <c r="E45" s="34" t="inlineStr">
        <is>
          <t>Cloud &amp; Infrastructure</t>
        </is>
      </c>
      <c r="F45" s="34" t="inlineStr">
        <is>
          <t>Trial credit + Always Free</t>
        </is>
      </c>
      <c r="G45" s="34" t="inlineStr">
        <is>
          <t>Free trial credit (not startup-exclusive)</t>
        </is>
      </c>
      <c r="H45" s="34" t="inlineStr">
        <is>
          <t>$300 credit for up to 30 days plus Always Free resources; one account per person.</t>
        </is>
      </c>
      <c r="I45" s="34" t="inlineStr">
        <is>
          <t>300</t>
        </is>
      </c>
      <c r="J45" s="34" t="inlineStr">
        <is>
          <t>USD</t>
        </is>
      </c>
      <c r="K45" s="34" t="inlineStr">
        <is>
          <t>Credits</t>
        </is>
      </c>
      <c r="L45" s="34" t="inlineStr"/>
      <c r="M45" s="34" t="inlineStr"/>
      <c r="N45" s="34" t="inlineStr"/>
      <c r="O45" s="34" t="inlineStr">
        <is>
          <t>Open</t>
        </is>
      </c>
      <c r="P45" s="34" t="inlineStr">
        <is>
          <t>Not verified this session</t>
        </is>
      </c>
      <c r="Q45" s="34" t="inlineStr">
        <is>
          <t>Not verified this session</t>
        </is>
      </c>
      <c r="R45" s="34" t="inlineStr">
        <is>
          <t>Not stated</t>
        </is>
      </c>
      <c r="S45" s="34" t="inlineStr">
        <is>
          <t>Not stated</t>
        </is>
      </c>
      <c r="T45" s="34" t="inlineStr">
        <is>
          <t>Not stated</t>
        </is>
      </c>
      <c r="U45" s="34" t="inlineStr">
        <is>
          <t>Unknown</t>
        </is>
      </c>
      <c r="V45" s="34" t="inlineStr">
        <is>
          <t>Unknown</t>
        </is>
      </c>
      <c r="W45" s="34" t="inlineStr">
        <is>
          <t>Not stated</t>
        </is>
      </c>
      <c r="X45" s="34" t="inlineStr">
        <is>
          <t>Unverified</t>
        </is>
      </c>
      <c r="Y45" s="34" t="inlineStr">
        <is>
          <t>Unknown</t>
        </is>
      </c>
      <c r="Z45" s="34" t="inlineStr">
        <is>
          <t>Unknown</t>
        </is>
      </c>
      <c r="AA45" s="34" t="inlineStr">
        <is>
          <t>No</t>
        </is>
      </c>
      <c r="AB45" s="34" t="inlineStr">
        <is>
          <t>Unknown</t>
        </is>
      </c>
      <c r="AC45" s="34" t="inlineStr">
        <is>
          <t>Not stated</t>
        </is>
      </c>
      <c r="AD45" s="34" t="inlineStr">
        <is>
          <t>Not stated</t>
        </is>
      </c>
      <c r="AE45" s="34" t="inlineStr">
        <is>
          <t>Not stated</t>
        </is>
      </c>
      <c r="AF45" s="34" t="inlineStr">
        <is>
          <t>Not stated</t>
        </is>
      </c>
      <c r="AG45" s="34" t="inlineStr">
        <is>
          <t>Not stated</t>
        </is>
      </c>
      <c r="AH45" s="34" t="inlineStr">
        <is>
          <t>Card required</t>
        </is>
      </c>
      <c r="AI45" s="34" t="inlineStr">
        <is>
          <t>Not stated</t>
        </is>
      </c>
      <c r="AJ45" s="34" t="inlineStr">
        <is>
          <t>https://aifree.dev/offer/oracle-cloud-free-tier</t>
        </is>
      </c>
      <c r="AK45" s="34" t="inlineStr">
        <is>
          <t>https://aifree.dev/startup-ai-credits</t>
        </is>
      </c>
      <c r="AL45" s="34" t="inlineStr">
        <is>
          <t>Directory listing (verified Oct 2026 per directory): $300 credit for up to 30 days plus Always Free resources; one account per person.</t>
        </is>
      </c>
      <c r="AM45" s="34" t="inlineStr">
        <is>
          <t>2026-10-24</t>
        </is>
      </c>
      <c r="AN45" s="34" t="inlineStr">
        <is>
          <t>Medium</t>
        </is>
      </c>
      <c r="AO45" s="34" t="inlineStr">
        <is>
          <t>Directory</t>
        </is>
      </c>
      <c r="AP45" s="34" t="inlineStr">
        <is>
          <t>Global (unverified)</t>
        </is>
      </c>
      <c r="AQ45" s="34" t="inlineStr">
        <is>
          <t>Not stated</t>
        </is>
      </c>
      <c r="AR45" s="34" t="inlineStr">
        <is>
          <t>Terms taken from aifree.dev directory; official program page not opened this session. Confirm on provider site before applying.</t>
        </is>
      </c>
      <c r="AS45" s="34" t="inlineStr">
        <is>
          <t>DG-T-ORACLE-CLOUD-F</t>
        </is>
      </c>
      <c r="AT45" s="34" t="inlineStr">
        <is>
          <t>Excel only</t>
        </is>
      </c>
      <c r="AU45" s="34" t="inlineStr"/>
      <c r="AV45" s="34" t="inlineStr"/>
      <c r="AW45" s="34" t="inlineStr"/>
      <c r="AX45" s="34" t="inlineStr"/>
      <c r="AY45" s="34" t="inlineStr"/>
      <c r="AZ45" s="34" t="inlineStr"/>
      <c r="BA45" s="34" t="inlineStr"/>
      <c r="BB45" s="34" t="inlineStr">
        <is>
          <t>oracle</t>
        </is>
      </c>
      <c r="BC45" s="34" t="inlineStr">
        <is>
          <t>oraclecloudfreetier</t>
        </is>
      </c>
      <c r="BD45" s="34" t="inlineStr">
        <is>
          <t>oracle|oraclecloudfreetier</t>
        </is>
      </c>
      <c r="BE45" s="34" t="n">
        <v>1</v>
      </c>
      <c r="BF45" s="34" t="inlineStr">
        <is>
          <t>No</t>
        </is>
      </c>
    </row>
    <row r="46">
      <c r="A46" s="34" t="inlineStr">
        <is>
          <t>SB-045</t>
        </is>
      </c>
      <c r="B46" s="34" t="inlineStr">
        <is>
          <t>Vultr</t>
        </is>
      </c>
      <c r="C46" s="34" t="inlineStr">
        <is>
          <t>Vultr free trial credits</t>
        </is>
      </c>
      <c r="D46" s="34" t="inlineStr">
        <is>
          <t>Not stated</t>
        </is>
      </c>
      <c r="E46" s="34" t="inlineStr">
        <is>
          <t>Cloud &amp; Infrastructure</t>
        </is>
      </c>
      <c r="F46" s="34" t="inlineStr">
        <is>
          <t>Trial credit</t>
        </is>
      </c>
      <c r="G46" s="34" t="inlineStr">
        <is>
          <t>Free trial credit (not startup-exclusive)</t>
        </is>
      </c>
      <c r="H46" s="34" t="inlineStr">
        <is>
          <t>Up to $300 trial credit; separate deposit-match promotion up to $100 for new accounts.</t>
        </is>
      </c>
      <c r="I46" s="34" t="inlineStr">
        <is>
          <t>300</t>
        </is>
      </c>
      <c r="J46" s="34" t="inlineStr">
        <is>
          <t>USD</t>
        </is>
      </c>
      <c r="K46" s="34" t="inlineStr">
        <is>
          <t>Credits</t>
        </is>
      </c>
      <c r="L46" s="34" t="inlineStr"/>
      <c r="M46" s="34" t="inlineStr"/>
      <c r="N46" s="34" t="inlineStr"/>
      <c r="O46" s="34" t="inlineStr">
        <is>
          <t>Open</t>
        </is>
      </c>
      <c r="P46" s="34" t="inlineStr">
        <is>
          <t>Not verified this session</t>
        </is>
      </c>
      <c r="Q46" s="34" t="inlineStr">
        <is>
          <t>Not verified this session</t>
        </is>
      </c>
      <c r="R46" s="34" t="inlineStr">
        <is>
          <t>Not stated</t>
        </is>
      </c>
      <c r="S46" s="34" t="inlineStr">
        <is>
          <t>Not stated</t>
        </is>
      </c>
      <c r="T46" s="34" t="inlineStr">
        <is>
          <t>Not stated</t>
        </is>
      </c>
      <c r="U46" s="34" t="inlineStr">
        <is>
          <t>Unknown</t>
        </is>
      </c>
      <c r="V46" s="34" t="inlineStr">
        <is>
          <t>Unknown</t>
        </is>
      </c>
      <c r="W46" s="34" t="inlineStr">
        <is>
          <t>Not stated</t>
        </is>
      </c>
      <c r="X46" s="34" t="inlineStr">
        <is>
          <t>Unverified</t>
        </is>
      </c>
      <c r="Y46" s="34" t="inlineStr">
        <is>
          <t>Unknown</t>
        </is>
      </c>
      <c r="Z46" s="34" t="inlineStr">
        <is>
          <t>Unknown</t>
        </is>
      </c>
      <c r="AA46" s="34" t="inlineStr">
        <is>
          <t>No</t>
        </is>
      </c>
      <c r="AB46" s="34" t="inlineStr">
        <is>
          <t>Unknown</t>
        </is>
      </c>
      <c r="AC46" s="34" t="inlineStr">
        <is>
          <t>Not stated</t>
        </is>
      </c>
      <c r="AD46" s="34" t="inlineStr">
        <is>
          <t>Not stated</t>
        </is>
      </c>
      <c r="AE46" s="34" t="inlineStr">
        <is>
          <t>Not stated</t>
        </is>
      </c>
      <c r="AF46" s="34" t="inlineStr">
        <is>
          <t>Not stated</t>
        </is>
      </c>
      <c r="AG46" s="34" t="inlineStr">
        <is>
          <t>Not stated</t>
        </is>
      </c>
      <c r="AH46" s="34" t="inlineStr">
        <is>
          <t>Card required</t>
        </is>
      </c>
      <c r="AI46" s="34" t="inlineStr">
        <is>
          <t>Not stated</t>
        </is>
      </c>
      <c r="AJ46" s="34" t="inlineStr">
        <is>
          <t>https://aifree.dev/offer/vultr-free-trial-credits</t>
        </is>
      </c>
      <c r="AK46" s="34" t="inlineStr">
        <is>
          <t>https://aifree.dev/startup-ai-credits</t>
        </is>
      </c>
      <c r="AL46" s="34" t="inlineStr">
        <is>
          <t>Directory listing (verified Oct 2026 per directory): Up to $300 trial credit; separate deposit-match promotion up to $100 for new accounts.</t>
        </is>
      </c>
      <c r="AM46" s="34" t="inlineStr">
        <is>
          <t>2026-10-24</t>
        </is>
      </c>
      <c r="AN46" s="34" t="inlineStr">
        <is>
          <t>Medium</t>
        </is>
      </c>
      <c r="AO46" s="34" t="inlineStr">
        <is>
          <t>Directory</t>
        </is>
      </c>
      <c r="AP46" s="34" t="inlineStr">
        <is>
          <t>Global (unverified)</t>
        </is>
      </c>
      <c r="AQ46" s="34" t="inlineStr">
        <is>
          <t>Not stated</t>
        </is>
      </c>
      <c r="AR46" s="34" t="inlineStr">
        <is>
          <t>Terms taken from aifree.dev directory; official program page not opened this session. Confirm on provider site before applying.</t>
        </is>
      </c>
      <c r="AS46" s="34" t="inlineStr">
        <is>
          <t>DG-T-VULTR-FREE-TRI</t>
        </is>
      </c>
      <c r="AT46" s="34" t="inlineStr">
        <is>
          <t>Excel only</t>
        </is>
      </c>
      <c r="AU46" s="34" t="inlineStr"/>
      <c r="AV46" s="34" t="inlineStr"/>
      <c r="AW46" s="34" t="inlineStr"/>
      <c r="AX46" s="34" t="inlineStr"/>
      <c r="AY46" s="34" t="inlineStr"/>
      <c r="AZ46" s="34" t="inlineStr"/>
      <c r="BA46" s="34" t="inlineStr"/>
      <c r="BB46" s="34" t="inlineStr">
        <is>
          <t>vultr</t>
        </is>
      </c>
      <c r="BC46" s="34" t="inlineStr">
        <is>
          <t>vultrfreetrialcredits</t>
        </is>
      </c>
      <c r="BD46" s="34" t="inlineStr">
        <is>
          <t>vultr|vultrfreetrialcredits</t>
        </is>
      </c>
      <c r="BE46" s="34" t="n">
        <v>1</v>
      </c>
      <c r="BF46" s="34" t="inlineStr">
        <is>
          <t>No</t>
        </is>
      </c>
    </row>
    <row r="47">
      <c r="A47" s="34" t="inlineStr">
        <is>
          <t>SB-046</t>
        </is>
      </c>
      <c r="B47" s="34" t="inlineStr">
        <is>
          <t>Civo</t>
        </is>
      </c>
      <c r="C47" s="34" t="inlineStr">
        <is>
          <t>Civo $250 free trial credit</t>
        </is>
      </c>
      <c r="D47" s="34" t="inlineStr">
        <is>
          <t>Not stated</t>
        </is>
      </c>
      <c r="E47" s="34" t="inlineStr">
        <is>
          <t>Cloud &amp; Infrastructure</t>
        </is>
      </c>
      <c r="F47" s="34" t="inlineStr">
        <is>
          <t>Trial credit</t>
        </is>
      </c>
      <c r="G47" s="34" t="inlineStr">
        <is>
          <t>Free trial credit (not startup-exclusive)</t>
        </is>
      </c>
      <c r="H47" s="34" t="inlineStr">
        <is>
          <t>$250 non-transferable credit; no cash alternative; card must be added within a short window.</t>
        </is>
      </c>
      <c r="I47" s="34" t="inlineStr">
        <is>
          <t>250</t>
        </is>
      </c>
      <c r="J47" s="34" t="inlineStr">
        <is>
          <t>USD</t>
        </is>
      </c>
      <c r="K47" s="34" t="inlineStr">
        <is>
          <t>Credits</t>
        </is>
      </c>
      <c r="L47" s="34" t="inlineStr"/>
      <c r="M47" s="34" t="inlineStr"/>
      <c r="N47" s="34" t="inlineStr"/>
      <c r="O47" s="34" t="inlineStr">
        <is>
          <t>Open</t>
        </is>
      </c>
      <c r="P47" s="34" t="inlineStr">
        <is>
          <t>Not verified this session</t>
        </is>
      </c>
      <c r="Q47" s="34" t="inlineStr">
        <is>
          <t>Not verified this session</t>
        </is>
      </c>
      <c r="R47" s="34" t="inlineStr">
        <is>
          <t>Not stated</t>
        </is>
      </c>
      <c r="S47" s="34" t="inlineStr">
        <is>
          <t>Not stated</t>
        </is>
      </c>
      <c r="T47" s="34" t="inlineStr">
        <is>
          <t>Not stated</t>
        </is>
      </c>
      <c r="U47" s="34" t="inlineStr">
        <is>
          <t>Unknown</t>
        </is>
      </c>
      <c r="V47" s="34" t="inlineStr">
        <is>
          <t>Unknown</t>
        </is>
      </c>
      <c r="W47" s="34" t="inlineStr">
        <is>
          <t>Not stated</t>
        </is>
      </c>
      <c r="X47" s="34" t="inlineStr">
        <is>
          <t>Unverified</t>
        </is>
      </c>
      <c r="Y47" s="34" t="inlineStr">
        <is>
          <t>Unknown</t>
        </is>
      </c>
      <c r="Z47" s="34" t="inlineStr">
        <is>
          <t>Unknown</t>
        </is>
      </c>
      <c r="AA47" s="34" t="inlineStr">
        <is>
          <t>No</t>
        </is>
      </c>
      <c r="AB47" s="34" t="inlineStr">
        <is>
          <t>Unknown</t>
        </is>
      </c>
      <c r="AC47" s="34" t="inlineStr">
        <is>
          <t>Not stated</t>
        </is>
      </c>
      <c r="AD47" s="34" t="inlineStr">
        <is>
          <t>Not stated</t>
        </is>
      </c>
      <c r="AE47" s="34" t="inlineStr">
        <is>
          <t>Not stated</t>
        </is>
      </c>
      <c r="AF47" s="34" t="inlineStr">
        <is>
          <t>Not stated</t>
        </is>
      </c>
      <c r="AG47" s="34" t="inlineStr">
        <is>
          <t>Not stated</t>
        </is>
      </c>
      <c r="AH47" s="34" t="inlineStr">
        <is>
          <t>Card required</t>
        </is>
      </c>
      <c r="AI47" s="34" t="inlineStr">
        <is>
          <t>Not stated</t>
        </is>
      </c>
      <c r="AJ47" s="34" t="inlineStr">
        <is>
          <t>https://aifree.dev/offer/civo-free-trial-credit</t>
        </is>
      </c>
      <c r="AK47" s="34" t="inlineStr">
        <is>
          <t>https://aifree.dev/startup-ai-credits</t>
        </is>
      </c>
      <c r="AL47" s="34" t="inlineStr">
        <is>
          <t>Directory listing (verified Oct 2026 per directory): $250 non-transferable credit; no cash alternative; card must be added within a short window.</t>
        </is>
      </c>
      <c r="AM47" s="34" t="inlineStr">
        <is>
          <t>2026-10-24</t>
        </is>
      </c>
      <c r="AN47" s="34" t="inlineStr">
        <is>
          <t>Medium</t>
        </is>
      </c>
      <c r="AO47" s="34" t="inlineStr">
        <is>
          <t>Directory</t>
        </is>
      </c>
      <c r="AP47" s="34" t="inlineStr">
        <is>
          <t>Global (unverified)</t>
        </is>
      </c>
      <c r="AQ47" s="34" t="inlineStr">
        <is>
          <t>Not stated</t>
        </is>
      </c>
      <c r="AR47" s="34" t="inlineStr">
        <is>
          <t>Terms taken from aifree.dev directory; official program page not opened this session. Confirm on provider site before applying.</t>
        </is>
      </c>
      <c r="AS47" s="34" t="inlineStr">
        <is>
          <t>DG-T-CIVO-FREE-TRIA</t>
        </is>
      </c>
      <c r="AT47" s="34" t="inlineStr">
        <is>
          <t>Excel only</t>
        </is>
      </c>
      <c r="AU47" s="34" t="inlineStr"/>
      <c r="AV47" s="34" t="inlineStr"/>
      <c r="AW47" s="34" t="inlineStr"/>
      <c r="AX47" s="34" t="inlineStr"/>
      <c r="AY47" s="34" t="inlineStr"/>
      <c r="AZ47" s="34" t="inlineStr"/>
      <c r="BA47" s="34" t="inlineStr"/>
      <c r="BB47" s="34" t="inlineStr">
        <is>
          <t>civo</t>
        </is>
      </c>
      <c r="BC47" s="34" t="inlineStr">
        <is>
          <t>civo250freetrialcredit</t>
        </is>
      </c>
      <c r="BD47" s="34" t="inlineStr">
        <is>
          <t>civo|civo250freetrialcredit</t>
        </is>
      </c>
      <c r="BE47" s="34" t="n">
        <v>1</v>
      </c>
      <c r="BF47" s="34" t="inlineStr">
        <is>
          <t>No</t>
        </is>
      </c>
    </row>
    <row r="48">
      <c r="A48" s="34" t="inlineStr">
        <is>
          <t>SB-047</t>
        </is>
      </c>
      <c r="B48" s="34" t="inlineStr">
        <is>
          <t>IBM</t>
        </is>
      </c>
      <c r="C48" s="34" t="inlineStr">
        <is>
          <t>IBM Cloud free tier</t>
        </is>
      </c>
      <c r="D48" s="34" t="inlineStr">
        <is>
          <t>Not stated</t>
        </is>
      </c>
      <c r="E48" s="34" t="inlineStr">
        <is>
          <t>Cloud &amp; Infrastructure</t>
        </is>
      </c>
      <c r="F48" s="34" t="inlineStr">
        <is>
          <t>Trial credit + Lite plans</t>
        </is>
      </c>
      <c r="G48" s="34" t="inlineStr">
        <is>
          <t>Free trial credit (not startup-exclusive)</t>
        </is>
      </c>
      <c r="H48" s="34" t="inlineStr">
        <is>
          <t>$200 credit valid 30 days; 40+ Lite-plan products free indefinitely.</t>
        </is>
      </c>
      <c r="I48" s="34" t="inlineStr">
        <is>
          <t>200</t>
        </is>
      </c>
      <c r="J48" s="34" t="inlineStr">
        <is>
          <t>USD</t>
        </is>
      </c>
      <c r="K48" s="34" t="inlineStr">
        <is>
          <t>Credits</t>
        </is>
      </c>
      <c r="L48" s="34" t="inlineStr"/>
      <c r="M48" s="34" t="inlineStr"/>
      <c r="N48" s="34" t="inlineStr"/>
      <c r="O48" s="34" t="inlineStr">
        <is>
          <t>Open</t>
        </is>
      </c>
      <c r="P48" s="34" t="inlineStr">
        <is>
          <t>Not verified this session</t>
        </is>
      </c>
      <c r="Q48" s="34" t="inlineStr">
        <is>
          <t>Not verified this session</t>
        </is>
      </c>
      <c r="R48" s="34" t="inlineStr">
        <is>
          <t>Not stated</t>
        </is>
      </c>
      <c r="S48" s="34" t="inlineStr">
        <is>
          <t>Not stated</t>
        </is>
      </c>
      <c r="T48" s="34" t="inlineStr">
        <is>
          <t>Not stated</t>
        </is>
      </c>
      <c r="U48" s="34" t="inlineStr">
        <is>
          <t>Unknown</t>
        </is>
      </c>
      <c r="V48" s="34" t="inlineStr">
        <is>
          <t>Unknown</t>
        </is>
      </c>
      <c r="W48" s="34" t="inlineStr">
        <is>
          <t>Not stated</t>
        </is>
      </c>
      <c r="X48" s="34" t="inlineStr">
        <is>
          <t>Unverified</t>
        </is>
      </c>
      <c r="Y48" s="34" t="inlineStr">
        <is>
          <t>Unknown</t>
        </is>
      </c>
      <c r="Z48" s="34" t="inlineStr">
        <is>
          <t>Unknown</t>
        </is>
      </c>
      <c r="AA48" s="34" t="inlineStr">
        <is>
          <t>No</t>
        </is>
      </c>
      <c r="AB48" s="34" t="inlineStr">
        <is>
          <t>Unknown</t>
        </is>
      </c>
      <c r="AC48" s="34" t="inlineStr">
        <is>
          <t>Not stated</t>
        </is>
      </c>
      <c r="AD48" s="34" t="inlineStr">
        <is>
          <t>Not stated</t>
        </is>
      </c>
      <c r="AE48" s="34" t="inlineStr">
        <is>
          <t>Not stated</t>
        </is>
      </c>
      <c r="AF48" s="34" t="inlineStr">
        <is>
          <t>Not stated</t>
        </is>
      </c>
      <c r="AG48" s="34" t="inlineStr">
        <is>
          <t>Not stated</t>
        </is>
      </c>
      <c r="AH48" s="34" t="inlineStr">
        <is>
          <t>Card required</t>
        </is>
      </c>
      <c r="AI48" s="34" t="inlineStr">
        <is>
          <t>Not stated</t>
        </is>
      </c>
      <c r="AJ48" s="34" t="inlineStr">
        <is>
          <t>https://aifree.dev/offer/ibm-cloud-free-tier</t>
        </is>
      </c>
      <c r="AK48" s="34" t="inlineStr">
        <is>
          <t>https://aifree.dev/startup-ai-credits</t>
        </is>
      </c>
      <c r="AL48" s="34" t="inlineStr">
        <is>
          <t>Directory listing (verified Oct 2026 per directory): $200 credit valid 30 days; 40+ Lite-plan products free indefinitely.</t>
        </is>
      </c>
      <c r="AM48" s="34" t="inlineStr">
        <is>
          <t>2026-10-24</t>
        </is>
      </c>
      <c r="AN48" s="34" t="inlineStr">
        <is>
          <t>Medium</t>
        </is>
      </c>
      <c r="AO48" s="34" t="inlineStr">
        <is>
          <t>Directory</t>
        </is>
      </c>
      <c r="AP48" s="34" t="inlineStr">
        <is>
          <t>Global (unverified)</t>
        </is>
      </c>
      <c r="AQ48" s="34" t="inlineStr">
        <is>
          <t>Not stated</t>
        </is>
      </c>
      <c r="AR48" s="34" t="inlineStr">
        <is>
          <t>Terms taken from aifree.dev directory; official program page not opened this session. Confirm on provider site before applying.</t>
        </is>
      </c>
      <c r="AS48" s="34" t="inlineStr">
        <is>
          <t>DG-T-IBM-CLOUD-FREE</t>
        </is>
      </c>
      <c r="AT48" s="34" t="inlineStr">
        <is>
          <t>Excel only</t>
        </is>
      </c>
      <c r="AU48" s="34" t="inlineStr"/>
      <c r="AV48" s="34" t="inlineStr"/>
      <c r="AW48" s="34" t="inlineStr"/>
      <c r="AX48" s="34" t="inlineStr"/>
      <c r="AY48" s="34" t="inlineStr"/>
      <c r="AZ48" s="34" t="inlineStr"/>
      <c r="BA48" s="34" t="inlineStr"/>
      <c r="BB48" s="34" t="inlineStr">
        <is>
          <t>ibm</t>
        </is>
      </c>
      <c r="BC48" s="34" t="inlineStr">
        <is>
          <t>ibmcloudfreetier</t>
        </is>
      </c>
      <c r="BD48" s="34" t="inlineStr">
        <is>
          <t>ibm|ibmcloudfreetier</t>
        </is>
      </c>
      <c r="BE48" s="34" t="n">
        <v>1</v>
      </c>
      <c r="BF48" s="34" t="inlineStr">
        <is>
          <t>No</t>
        </is>
      </c>
    </row>
    <row r="49">
      <c r="A49" s="34" t="inlineStr">
        <is>
          <t>SB-048</t>
        </is>
      </c>
      <c r="B49" s="34" t="inlineStr">
        <is>
          <t>Daytona</t>
        </is>
      </c>
      <c r="C49" s="34" t="inlineStr">
        <is>
          <t>Daytona free compute credits</t>
        </is>
      </c>
      <c r="D49" s="34" t="inlineStr">
        <is>
          <t>Not stated</t>
        </is>
      </c>
      <c r="E49" s="34" t="inlineStr">
        <is>
          <t>AI &amp; LLM Credits</t>
        </is>
      </c>
      <c r="F49" s="34" t="inlineStr">
        <is>
          <t>Sandbox compute</t>
        </is>
      </c>
      <c r="G49" s="34" t="inlineStr">
        <is>
          <t>Free trial credit (not startup-exclusive)</t>
        </is>
      </c>
      <c r="H49" s="34" t="inlineStr">
        <is>
          <t>$200 free compute at sign-up; storage free up to 5 GiB.</t>
        </is>
      </c>
      <c r="I49" s="34" t="inlineStr">
        <is>
          <t>200</t>
        </is>
      </c>
      <c r="J49" s="34" t="inlineStr">
        <is>
          <t>USD</t>
        </is>
      </c>
      <c r="K49" s="34" t="inlineStr">
        <is>
          <t>Credits</t>
        </is>
      </c>
      <c r="L49" s="34" t="inlineStr"/>
      <c r="M49" s="34" t="inlineStr"/>
      <c r="N49" s="34" t="inlineStr"/>
      <c r="O49" s="34" t="inlineStr">
        <is>
          <t>Open</t>
        </is>
      </c>
      <c r="P49" s="34" t="inlineStr">
        <is>
          <t>Not verified this session</t>
        </is>
      </c>
      <c r="Q49" s="34" t="inlineStr">
        <is>
          <t>Not verified this session</t>
        </is>
      </c>
      <c r="R49" s="34" t="inlineStr">
        <is>
          <t>Not stated</t>
        </is>
      </c>
      <c r="S49" s="34" t="inlineStr">
        <is>
          <t>Not stated</t>
        </is>
      </c>
      <c r="T49" s="34" t="inlineStr">
        <is>
          <t>Not stated</t>
        </is>
      </c>
      <c r="U49" s="34" t="inlineStr">
        <is>
          <t>Unknown</t>
        </is>
      </c>
      <c r="V49" s="34" t="inlineStr">
        <is>
          <t>Unknown</t>
        </is>
      </c>
      <c r="W49" s="34" t="inlineStr">
        <is>
          <t>Not stated</t>
        </is>
      </c>
      <c r="X49" s="34" t="inlineStr">
        <is>
          <t>Unverified</t>
        </is>
      </c>
      <c r="Y49" s="34" t="inlineStr">
        <is>
          <t>Unknown</t>
        </is>
      </c>
      <c r="Z49" s="34" t="inlineStr">
        <is>
          <t>Unknown</t>
        </is>
      </c>
      <c r="AA49" s="34" t="inlineStr">
        <is>
          <t>Yes</t>
        </is>
      </c>
      <c r="AB49" s="34" t="inlineStr">
        <is>
          <t>Unknown</t>
        </is>
      </c>
      <c r="AC49" s="34" t="inlineStr">
        <is>
          <t>Not stated</t>
        </is>
      </c>
      <c r="AD49" s="34" t="inlineStr">
        <is>
          <t>Not stated</t>
        </is>
      </c>
      <c r="AE49" s="34" t="inlineStr">
        <is>
          <t>Not stated</t>
        </is>
      </c>
      <c r="AF49" s="34" t="inlineStr">
        <is>
          <t>Not stated</t>
        </is>
      </c>
      <c r="AG49" s="34" t="inlineStr">
        <is>
          <t>Not stated</t>
        </is>
      </c>
      <c r="AH49" s="34" t="inlineStr">
        <is>
          <t>No card required</t>
        </is>
      </c>
      <c r="AI49" s="34" t="inlineStr">
        <is>
          <t>Not stated</t>
        </is>
      </c>
      <c r="AJ49" s="34" t="inlineStr">
        <is>
          <t>https://aifree.dev/offer/daytona-free-compute-credits</t>
        </is>
      </c>
      <c r="AK49" s="34" t="inlineStr">
        <is>
          <t>https://aifree.dev/startup-ai-credits</t>
        </is>
      </c>
      <c r="AL49" s="34" t="inlineStr">
        <is>
          <t>Directory listing (verified Oct 2026 per directory): $200 free compute at sign-up; storage free up to 5 GiB.</t>
        </is>
      </c>
      <c r="AM49" s="34" t="inlineStr">
        <is>
          <t>2026-10-24</t>
        </is>
      </c>
      <c r="AN49" s="34" t="inlineStr">
        <is>
          <t>Medium</t>
        </is>
      </c>
      <c r="AO49" s="34" t="inlineStr">
        <is>
          <t>Directory</t>
        </is>
      </c>
      <c r="AP49" s="34" t="inlineStr">
        <is>
          <t>Global (unverified)</t>
        </is>
      </c>
      <c r="AQ49" s="34" t="inlineStr">
        <is>
          <t>Not stated</t>
        </is>
      </c>
      <c r="AR49" s="34" t="inlineStr">
        <is>
          <t>Terms taken from aifree.dev directory; official program page not opened this session. Confirm on provider site before applying.</t>
        </is>
      </c>
      <c r="AS49" s="34" t="inlineStr">
        <is>
          <t>DG-T-DAYTONA-FREE-C</t>
        </is>
      </c>
      <c r="AT49" s="34" t="inlineStr">
        <is>
          <t>Excel only</t>
        </is>
      </c>
      <c r="AU49" s="34" t="inlineStr"/>
      <c r="AV49" s="34" t="inlineStr"/>
      <c r="AW49" s="34" t="inlineStr"/>
      <c r="AX49" s="34" t="inlineStr"/>
      <c r="AY49" s="34" t="inlineStr"/>
      <c r="AZ49" s="34" t="inlineStr"/>
      <c r="BA49" s="34" t="inlineStr"/>
      <c r="BB49" s="34" t="inlineStr">
        <is>
          <t>daytona</t>
        </is>
      </c>
      <c r="BC49" s="34" t="inlineStr">
        <is>
          <t>daytonafreecomputecredits</t>
        </is>
      </c>
      <c r="BD49" s="34" t="inlineStr">
        <is>
          <t>daytona|daytonafreecomputecredits</t>
        </is>
      </c>
      <c r="BE49" s="34" t="n">
        <v>1</v>
      </c>
      <c r="BF49" s="34" t="inlineStr">
        <is>
          <t>No</t>
        </is>
      </c>
    </row>
    <row r="50">
      <c r="A50" s="34" t="inlineStr">
        <is>
          <t>SB-049</t>
        </is>
      </c>
      <c r="B50" s="34" t="inlineStr">
        <is>
          <t>IONOS</t>
        </is>
      </c>
      <c r="C50" s="34" t="inlineStr">
        <is>
          <t>IONOS Cloud free trial credit</t>
        </is>
      </c>
      <c r="D50" s="34" t="inlineStr">
        <is>
          <t>Not stated</t>
        </is>
      </c>
      <c r="E50" s="34" t="inlineStr">
        <is>
          <t>Cloud &amp; Infrastructure</t>
        </is>
      </c>
      <c r="F50" s="34" t="inlineStr">
        <is>
          <t>Trial credit</t>
        </is>
      </c>
      <c r="G50" s="34" t="inlineStr">
        <is>
          <t>Free trial credit (not startup-exclusive)</t>
        </is>
      </c>
      <c r="H50" s="34" t="inlineStr">
        <is>
          <t>$200 free credit for 30 days; starts as limited-access test account.</t>
        </is>
      </c>
      <c r="I50" s="34" t="inlineStr">
        <is>
          <t>200</t>
        </is>
      </c>
      <c r="J50" s="34" t="inlineStr">
        <is>
          <t>USD</t>
        </is>
      </c>
      <c r="K50" s="34" t="inlineStr">
        <is>
          <t>Credits</t>
        </is>
      </c>
      <c r="L50" s="34" t="inlineStr"/>
      <c r="M50" s="34" t="inlineStr"/>
      <c r="N50" s="34" t="inlineStr"/>
      <c r="O50" s="34" t="inlineStr">
        <is>
          <t>Open</t>
        </is>
      </c>
      <c r="P50" s="34" t="inlineStr">
        <is>
          <t>Not verified this session</t>
        </is>
      </c>
      <c r="Q50" s="34" t="inlineStr">
        <is>
          <t>Not verified this session</t>
        </is>
      </c>
      <c r="R50" s="34" t="inlineStr">
        <is>
          <t>Not stated</t>
        </is>
      </c>
      <c r="S50" s="34" t="inlineStr">
        <is>
          <t>Not stated</t>
        </is>
      </c>
      <c r="T50" s="34" t="inlineStr">
        <is>
          <t>Not stated</t>
        </is>
      </c>
      <c r="U50" s="34" t="inlineStr">
        <is>
          <t>Unknown</t>
        </is>
      </c>
      <c r="V50" s="34" t="inlineStr">
        <is>
          <t>Unknown</t>
        </is>
      </c>
      <c r="W50" s="34" t="inlineStr">
        <is>
          <t>Not stated</t>
        </is>
      </c>
      <c r="X50" s="34" t="inlineStr">
        <is>
          <t>Unverified</t>
        </is>
      </c>
      <c r="Y50" s="34" t="inlineStr">
        <is>
          <t>Unknown</t>
        </is>
      </c>
      <c r="Z50" s="34" t="inlineStr">
        <is>
          <t>Unknown</t>
        </is>
      </c>
      <c r="AA50" s="34" t="inlineStr">
        <is>
          <t>No</t>
        </is>
      </c>
      <c r="AB50" s="34" t="inlineStr">
        <is>
          <t>Unknown</t>
        </is>
      </c>
      <c r="AC50" s="34" t="inlineStr">
        <is>
          <t>Not stated</t>
        </is>
      </c>
      <c r="AD50" s="34" t="inlineStr">
        <is>
          <t>Not stated</t>
        </is>
      </c>
      <c r="AE50" s="34" t="inlineStr">
        <is>
          <t>Not stated</t>
        </is>
      </c>
      <c r="AF50" s="34" t="inlineStr">
        <is>
          <t>Not stated</t>
        </is>
      </c>
      <c r="AG50" s="34" t="inlineStr">
        <is>
          <t>Not stated</t>
        </is>
      </c>
      <c r="AH50" s="34" t="inlineStr">
        <is>
          <t>Card required</t>
        </is>
      </c>
      <c r="AI50" s="34" t="inlineStr">
        <is>
          <t>Not stated</t>
        </is>
      </c>
      <c r="AJ50" s="34" t="inlineStr">
        <is>
          <t>https://aifree.dev/offer/ionos-cloud-free-trial-credit</t>
        </is>
      </c>
      <c r="AK50" s="34" t="inlineStr">
        <is>
          <t>https://aifree.dev/startup-ai-credits</t>
        </is>
      </c>
      <c r="AL50" s="34" t="inlineStr">
        <is>
          <t>Directory listing (verified Oct 2026 per directory): $200 free credit for 30 days; starts as limited-access test account.</t>
        </is>
      </c>
      <c r="AM50" s="34" t="inlineStr">
        <is>
          <t>2026-10-24</t>
        </is>
      </c>
      <c r="AN50" s="34" t="inlineStr">
        <is>
          <t>Medium</t>
        </is>
      </c>
      <c r="AO50" s="34" t="inlineStr">
        <is>
          <t>Directory</t>
        </is>
      </c>
      <c r="AP50" s="34" t="inlineStr">
        <is>
          <t>Global (unverified)</t>
        </is>
      </c>
      <c r="AQ50" s="34" t="inlineStr">
        <is>
          <t>Not stated</t>
        </is>
      </c>
      <c r="AR50" s="34" t="inlineStr">
        <is>
          <t>Terms taken from aifree.dev directory; official program page not opened this session. Confirm on provider site before applying.</t>
        </is>
      </c>
      <c r="AS50" s="34" t="inlineStr">
        <is>
          <t>DG-T-IONOS-CLOUD-FR</t>
        </is>
      </c>
      <c r="AT50" s="34" t="inlineStr">
        <is>
          <t>Excel only</t>
        </is>
      </c>
      <c r="AU50" s="34" t="inlineStr"/>
      <c r="AV50" s="34" t="inlineStr"/>
      <c r="AW50" s="34" t="inlineStr"/>
      <c r="AX50" s="34" t="inlineStr"/>
      <c r="AY50" s="34" t="inlineStr"/>
      <c r="AZ50" s="34" t="inlineStr"/>
      <c r="BA50" s="34" t="inlineStr"/>
      <c r="BB50" s="34" t="inlineStr">
        <is>
          <t>ionos</t>
        </is>
      </c>
      <c r="BC50" s="34" t="inlineStr">
        <is>
          <t>ionoscloudfreetrialcredit</t>
        </is>
      </c>
      <c r="BD50" s="34" t="inlineStr">
        <is>
          <t>ionos|ionoscloudfreetrialcredit</t>
        </is>
      </c>
      <c r="BE50" s="34" t="n">
        <v>1</v>
      </c>
      <c r="BF50" s="34" t="inlineStr">
        <is>
          <t>No</t>
        </is>
      </c>
    </row>
    <row r="51">
      <c r="A51" s="34" t="inlineStr">
        <is>
          <t>SB-050</t>
        </is>
      </c>
      <c r="B51" s="34" t="inlineStr">
        <is>
          <t>Akamai (Linode)</t>
        </is>
      </c>
      <c r="C51" s="34" t="inlineStr">
        <is>
          <t>Akamai Cloud $100 credit</t>
        </is>
      </c>
      <c r="D51" s="34" t="inlineStr">
        <is>
          <t>Not stated</t>
        </is>
      </c>
      <c r="E51" s="34" t="inlineStr">
        <is>
          <t>Cloud &amp; Infrastructure</t>
        </is>
      </c>
      <c r="F51" s="34" t="inlineStr">
        <is>
          <t>Trial credit</t>
        </is>
      </c>
      <c r="G51" s="34" t="inlineStr">
        <is>
          <t>Free trial credit (not startup-exclusive)</t>
        </is>
      </c>
      <c r="H51" s="34" t="inlineStr">
        <is>
          <t>$100 credit valid 60 days for new customers.</t>
        </is>
      </c>
      <c r="I51" s="34" t="inlineStr">
        <is>
          <t>100</t>
        </is>
      </c>
      <c r="J51" s="34" t="inlineStr">
        <is>
          <t>USD</t>
        </is>
      </c>
      <c r="K51" s="34" t="inlineStr">
        <is>
          <t>Credits</t>
        </is>
      </c>
      <c r="L51" s="34" t="inlineStr"/>
      <c r="M51" s="34" t="inlineStr"/>
      <c r="N51" s="34" t="inlineStr"/>
      <c r="O51" s="34" t="inlineStr">
        <is>
          <t>Open</t>
        </is>
      </c>
      <c r="P51" s="34" t="inlineStr">
        <is>
          <t>Not verified this session</t>
        </is>
      </c>
      <c r="Q51" s="34" t="inlineStr">
        <is>
          <t>Not verified this session</t>
        </is>
      </c>
      <c r="R51" s="34" t="inlineStr">
        <is>
          <t>Not stated</t>
        </is>
      </c>
      <c r="S51" s="34" t="inlineStr">
        <is>
          <t>Not stated</t>
        </is>
      </c>
      <c r="T51" s="34" t="inlineStr">
        <is>
          <t>Not stated</t>
        </is>
      </c>
      <c r="U51" s="34" t="inlineStr">
        <is>
          <t>Unknown</t>
        </is>
      </c>
      <c r="V51" s="34" t="inlineStr">
        <is>
          <t>Unknown</t>
        </is>
      </c>
      <c r="W51" s="34" t="inlineStr">
        <is>
          <t>Not stated</t>
        </is>
      </c>
      <c r="X51" s="34" t="inlineStr">
        <is>
          <t>Unverified</t>
        </is>
      </c>
      <c r="Y51" s="34" t="inlineStr">
        <is>
          <t>Unknown</t>
        </is>
      </c>
      <c r="Z51" s="34" t="inlineStr">
        <is>
          <t>Unknown</t>
        </is>
      </c>
      <c r="AA51" s="34" t="inlineStr">
        <is>
          <t>No</t>
        </is>
      </c>
      <c r="AB51" s="34" t="inlineStr">
        <is>
          <t>Unknown</t>
        </is>
      </c>
      <c r="AC51" s="34" t="inlineStr">
        <is>
          <t>Not stated</t>
        </is>
      </c>
      <c r="AD51" s="34" t="inlineStr">
        <is>
          <t>Not stated</t>
        </is>
      </c>
      <c r="AE51" s="34" t="inlineStr">
        <is>
          <t>Not stated</t>
        </is>
      </c>
      <c r="AF51" s="34" t="inlineStr">
        <is>
          <t>Not stated</t>
        </is>
      </c>
      <c r="AG51" s="34" t="inlineStr">
        <is>
          <t>Not stated</t>
        </is>
      </c>
      <c r="AH51" s="34" t="inlineStr">
        <is>
          <t>Card required</t>
        </is>
      </c>
      <c r="AI51" s="34" t="inlineStr">
        <is>
          <t>Not stated</t>
        </is>
      </c>
      <c r="AJ51" s="34" t="inlineStr">
        <is>
          <t>https://aifree.dev/offer/akamai-cloud-100-free-credit</t>
        </is>
      </c>
      <c r="AK51" s="34" t="inlineStr">
        <is>
          <t>https://aifree.dev/startup-ai-credits</t>
        </is>
      </c>
      <c r="AL51" s="34" t="inlineStr">
        <is>
          <t>Directory listing (verified Oct 2026 per directory): $100 credit valid 60 days for new customers.</t>
        </is>
      </c>
      <c r="AM51" s="34" t="inlineStr">
        <is>
          <t>2026-10-24</t>
        </is>
      </c>
      <c r="AN51" s="34" t="inlineStr">
        <is>
          <t>Medium</t>
        </is>
      </c>
      <c r="AO51" s="34" t="inlineStr">
        <is>
          <t>Directory</t>
        </is>
      </c>
      <c r="AP51" s="34" t="inlineStr">
        <is>
          <t>Global (unverified)</t>
        </is>
      </c>
      <c r="AQ51" s="34" t="inlineStr">
        <is>
          <t>Not stated</t>
        </is>
      </c>
      <c r="AR51" s="34" t="inlineStr">
        <is>
          <t>Terms taken from aifree.dev directory; official program page not opened this session. Confirm on provider site before applying.</t>
        </is>
      </c>
      <c r="AS51" s="34" t="inlineStr">
        <is>
          <t>DG-T-AKAMAI-CLOUD-1</t>
        </is>
      </c>
      <c r="AT51" s="34" t="inlineStr">
        <is>
          <t>Excel only</t>
        </is>
      </c>
      <c r="AU51" s="34" t="inlineStr"/>
      <c r="AV51" s="34" t="inlineStr"/>
      <c r="AW51" s="34" t="inlineStr"/>
      <c r="AX51" s="34" t="inlineStr"/>
      <c r="AY51" s="34" t="inlineStr"/>
      <c r="AZ51" s="34" t="inlineStr"/>
      <c r="BA51" s="34" t="inlineStr"/>
      <c r="BB51" s="34" t="inlineStr">
        <is>
          <t>akamailinode</t>
        </is>
      </c>
      <c r="BC51" s="34" t="inlineStr">
        <is>
          <t>akamaicloud100credit</t>
        </is>
      </c>
      <c r="BD51" s="34" t="inlineStr">
        <is>
          <t>akamailinode|akamaicloud100credit</t>
        </is>
      </c>
      <c r="BE51" s="34" t="n">
        <v>1</v>
      </c>
      <c r="BF51" s="34" t="inlineStr">
        <is>
          <t>No</t>
        </is>
      </c>
    </row>
    <row r="52">
      <c r="A52" s="34" t="inlineStr">
        <is>
          <t>SB-051</t>
        </is>
      </c>
      <c r="B52" s="34" t="inlineStr">
        <is>
          <t>AkashML</t>
        </is>
      </c>
      <c r="C52" s="34" t="inlineStr">
        <is>
          <t>AkashML $100 free AI token credits</t>
        </is>
      </c>
      <c r="D52" s="34" t="inlineStr">
        <is>
          <t>Not stated</t>
        </is>
      </c>
      <c r="E52" s="34" t="inlineStr">
        <is>
          <t>AI &amp; LLM Credits</t>
        </is>
      </c>
      <c r="F52" s="34" t="inlineStr">
        <is>
          <t>LLM inference credits</t>
        </is>
      </c>
      <c r="G52" s="34" t="inlineStr">
        <is>
          <t>Free trial credit (not startup-exclusive)</t>
        </is>
      </c>
      <c r="H52" s="34" t="inlineStr">
        <is>
          <t>$100 one-time AI token credits per new account across supported models.</t>
        </is>
      </c>
      <c r="I52" s="34" t="inlineStr">
        <is>
          <t>100</t>
        </is>
      </c>
      <c r="J52" s="34" t="inlineStr">
        <is>
          <t>USD</t>
        </is>
      </c>
      <c r="K52" s="34" t="inlineStr">
        <is>
          <t>Credits</t>
        </is>
      </c>
      <c r="L52" s="34" t="inlineStr"/>
      <c r="M52" s="34" t="inlineStr"/>
      <c r="N52" s="34" t="inlineStr"/>
      <c r="O52" s="34" t="inlineStr">
        <is>
          <t>Open</t>
        </is>
      </c>
      <c r="P52" s="34" t="inlineStr">
        <is>
          <t>Not verified this session</t>
        </is>
      </c>
      <c r="Q52" s="34" t="inlineStr">
        <is>
          <t>Not verified this session</t>
        </is>
      </c>
      <c r="R52" s="34" t="inlineStr">
        <is>
          <t>Not stated</t>
        </is>
      </c>
      <c r="S52" s="34" t="inlineStr">
        <is>
          <t>Not stated</t>
        </is>
      </c>
      <c r="T52" s="34" t="inlineStr">
        <is>
          <t>Not stated</t>
        </is>
      </c>
      <c r="U52" s="34" t="inlineStr">
        <is>
          <t>Unknown</t>
        </is>
      </c>
      <c r="V52" s="34" t="inlineStr">
        <is>
          <t>Unknown</t>
        </is>
      </c>
      <c r="W52" s="34" t="inlineStr">
        <is>
          <t>Not stated</t>
        </is>
      </c>
      <c r="X52" s="34" t="inlineStr">
        <is>
          <t>Unverified</t>
        </is>
      </c>
      <c r="Y52" s="34" t="inlineStr">
        <is>
          <t>Unknown</t>
        </is>
      </c>
      <c r="Z52" s="34" t="inlineStr">
        <is>
          <t>Unknown</t>
        </is>
      </c>
      <c r="AA52" s="34" t="inlineStr">
        <is>
          <t>Yes</t>
        </is>
      </c>
      <c r="AB52" s="34" t="inlineStr">
        <is>
          <t>Unknown</t>
        </is>
      </c>
      <c r="AC52" s="34" t="inlineStr">
        <is>
          <t>Not stated</t>
        </is>
      </c>
      <c r="AD52" s="34" t="inlineStr">
        <is>
          <t>Not stated</t>
        </is>
      </c>
      <c r="AE52" s="34" t="inlineStr">
        <is>
          <t>Not stated</t>
        </is>
      </c>
      <c r="AF52" s="34" t="inlineStr">
        <is>
          <t>Not stated</t>
        </is>
      </c>
      <c r="AG52" s="34" t="inlineStr">
        <is>
          <t>Not stated</t>
        </is>
      </c>
      <c r="AH52" s="34" t="inlineStr">
        <is>
          <t>No card required</t>
        </is>
      </c>
      <c r="AI52" s="34" t="inlineStr">
        <is>
          <t>Not stated</t>
        </is>
      </c>
      <c r="AJ52" s="34" t="inlineStr">
        <is>
          <t>https://aifree.dev/offer/akashml-free-token-credits</t>
        </is>
      </c>
      <c r="AK52" s="34" t="inlineStr">
        <is>
          <t>https://aifree.dev/startup-ai-credits</t>
        </is>
      </c>
      <c r="AL52" s="34" t="inlineStr">
        <is>
          <t>Directory listing (verified Oct 2026 per directory): $100 one-time AI token credits per new account across supported models.</t>
        </is>
      </c>
      <c r="AM52" s="34" t="inlineStr">
        <is>
          <t>2026-10-24</t>
        </is>
      </c>
      <c r="AN52" s="34" t="inlineStr">
        <is>
          <t>Medium</t>
        </is>
      </c>
      <c r="AO52" s="34" t="inlineStr">
        <is>
          <t>Directory</t>
        </is>
      </c>
      <c r="AP52" s="34" t="inlineStr">
        <is>
          <t>Global (unverified)</t>
        </is>
      </c>
      <c r="AQ52" s="34" t="inlineStr">
        <is>
          <t>Not stated</t>
        </is>
      </c>
      <c r="AR52" s="34" t="inlineStr">
        <is>
          <t>Terms taken from aifree.dev directory; official program page not opened this session. Confirm on provider site before applying.</t>
        </is>
      </c>
      <c r="AS52" s="34" t="inlineStr">
        <is>
          <t>DG-T-AKASHML-FREE-T</t>
        </is>
      </c>
      <c r="AT52" s="34" t="inlineStr">
        <is>
          <t>Excel only</t>
        </is>
      </c>
      <c r="AU52" s="34" t="inlineStr"/>
      <c r="AV52" s="34" t="inlineStr"/>
      <c r="AW52" s="34" t="inlineStr"/>
      <c r="AX52" s="34" t="inlineStr"/>
      <c r="AY52" s="34" t="inlineStr"/>
      <c r="AZ52" s="34" t="inlineStr"/>
      <c r="BA52" s="34" t="inlineStr"/>
      <c r="BB52" s="34" t="inlineStr">
        <is>
          <t>akashml</t>
        </is>
      </c>
      <c r="BC52" s="34" t="inlineStr">
        <is>
          <t>akashml100freeaitokencredits</t>
        </is>
      </c>
      <c r="BD52" s="34" t="inlineStr">
        <is>
          <t>akashml|akashml100freeaitokencredits</t>
        </is>
      </c>
      <c r="BE52" s="34" t="n">
        <v>1</v>
      </c>
      <c r="BF52" s="34" t="inlineStr">
        <is>
          <t>No</t>
        </is>
      </c>
    </row>
    <row r="53">
      <c r="A53" s="34" t="inlineStr">
        <is>
          <t>SB-052</t>
        </is>
      </c>
      <c r="B53" s="34" t="inlineStr">
        <is>
          <t>AMD</t>
        </is>
      </c>
      <c r="C53" s="34" t="inlineStr">
        <is>
          <t>AMD AI Developer Program</t>
        </is>
      </c>
      <c r="D53" s="34" t="inlineStr">
        <is>
          <t>Not stated</t>
        </is>
      </c>
      <c r="E53" s="34" t="inlineStr">
        <is>
          <t>AI &amp; LLM Credits</t>
        </is>
      </c>
      <c r="F53" s="34" t="inlineStr">
        <is>
          <t>GPU cloud credits</t>
        </is>
      </c>
      <c r="G53" s="34" t="inlineStr">
        <is>
          <t>Free trial credit (not startup-exclusive)</t>
        </is>
      </c>
      <c r="H53" s="34" t="inlineStr">
        <is>
          <t>$100 AMD Developer Cloud credits plus 1 month DeepLearning.AI membership.</t>
        </is>
      </c>
      <c r="I53" s="34" t="inlineStr">
        <is>
          <t>100</t>
        </is>
      </c>
      <c r="J53" s="34" t="inlineStr">
        <is>
          <t>USD</t>
        </is>
      </c>
      <c r="K53" s="34" t="inlineStr">
        <is>
          <t>Credits</t>
        </is>
      </c>
      <c r="L53" s="34" t="inlineStr"/>
      <c r="M53" s="34" t="inlineStr"/>
      <c r="N53" s="34" t="inlineStr"/>
      <c r="O53" s="34" t="inlineStr">
        <is>
          <t>Open</t>
        </is>
      </c>
      <c r="P53" s="34" t="inlineStr">
        <is>
          <t>Not verified this session</t>
        </is>
      </c>
      <c r="Q53" s="34" t="inlineStr">
        <is>
          <t>Not verified this session</t>
        </is>
      </c>
      <c r="R53" s="34" t="inlineStr">
        <is>
          <t>Not stated</t>
        </is>
      </c>
      <c r="S53" s="34" t="inlineStr">
        <is>
          <t>Not stated</t>
        </is>
      </c>
      <c r="T53" s="34" t="inlineStr">
        <is>
          <t>Not stated</t>
        </is>
      </c>
      <c r="U53" s="34" t="inlineStr">
        <is>
          <t>Unknown</t>
        </is>
      </c>
      <c r="V53" s="34" t="inlineStr">
        <is>
          <t>Unknown</t>
        </is>
      </c>
      <c r="W53" s="34" t="inlineStr">
        <is>
          <t>Not stated</t>
        </is>
      </c>
      <c r="X53" s="34" t="inlineStr">
        <is>
          <t>Unverified</t>
        </is>
      </c>
      <c r="Y53" s="34" t="inlineStr">
        <is>
          <t>Unknown</t>
        </is>
      </c>
      <c r="Z53" s="34" t="inlineStr">
        <is>
          <t>Unknown</t>
        </is>
      </c>
      <c r="AA53" s="34" t="inlineStr">
        <is>
          <t>Yes</t>
        </is>
      </c>
      <c r="AB53" s="34" t="inlineStr">
        <is>
          <t>Unknown</t>
        </is>
      </c>
      <c r="AC53" s="34" t="inlineStr">
        <is>
          <t>Not stated</t>
        </is>
      </c>
      <c r="AD53" s="34" t="inlineStr">
        <is>
          <t>Not stated</t>
        </is>
      </c>
      <c r="AE53" s="34" t="inlineStr">
        <is>
          <t>Not stated</t>
        </is>
      </c>
      <c r="AF53" s="34" t="inlineStr">
        <is>
          <t>Not stated</t>
        </is>
      </c>
      <c r="AG53" s="34" t="inlineStr">
        <is>
          <t>Not stated</t>
        </is>
      </c>
      <c r="AH53" s="34" t="inlineStr">
        <is>
          <t>No card required</t>
        </is>
      </c>
      <c r="AI53" s="34" t="inlineStr">
        <is>
          <t>Not stated</t>
        </is>
      </c>
      <c r="AJ53" s="34" t="inlineStr">
        <is>
          <t>https://aifree.dev/offer/amd-ai-developer-program</t>
        </is>
      </c>
      <c r="AK53" s="34" t="inlineStr">
        <is>
          <t>https://aifree.dev/startup-ai-credits</t>
        </is>
      </c>
      <c r="AL53" s="34" t="inlineStr">
        <is>
          <t>Directory listing (verified Oct 2026 per directory): $100 AMD Developer Cloud credits plus 1 month DeepLearning.AI membership.</t>
        </is>
      </c>
      <c r="AM53" s="34" t="inlineStr">
        <is>
          <t>2026-10-24</t>
        </is>
      </c>
      <c r="AN53" s="34" t="inlineStr">
        <is>
          <t>Medium</t>
        </is>
      </c>
      <c r="AO53" s="34" t="inlineStr">
        <is>
          <t>Directory</t>
        </is>
      </c>
      <c r="AP53" s="34" t="inlineStr">
        <is>
          <t>Global (unverified)</t>
        </is>
      </c>
      <c r="AQ53" s="34" t="inlineStr">
        <is>
          <t>Not stated</t>
        </is>
      </c>
      <c r="AR53" s="34" t="inlineStr">
        <is>
          <t>Terms taken from aifree.dev directory; official program page not opened this session. Confirm on provider site before applying.</t>
        </is>
      </c>
      <c r="AS53" s="34" t="inlineStr">
        <is>
          <t>DG-T-AMD-AI-DEVELOP</t>
        </is>
      </c>
      <c r="AT53" s="34" t="inlineStr">
        <is>
          <t>Excel only</t>
        </is>
      </c>
      <c r="AU53" s="34" t="inlineStr"/>
      <c r="AV53" s="34" t="inlineStr"/>
      <c r="AW53" s="34" t="inlineStr"/>
      <c r="AX53" s="34" t="inlineStr"/>
      <c r="AY53" s="34" t="inlineStr"/>
      <c r="AZ53" s="34" t="inlineStr"/>
      <c r="BA53" s="34" t="inlineStr"/>
      <c r="BB53" s="34" t="inlineStr">
        <is>
          <t>amd</t>
        </is>
      </c>
      <c r="BC53" s="34" t="inlineStr">
        <is>
          <t>amdaideveloperprogram</t>
        </is>
      </c>
      <c r="BD53" s="34" t="inlineStr">
        <is>
          <t>amd|amdaideveloperprogram</t>
        </is>
      </c>
      <c r="BE53" s="34" t="n">
        <v>1</v>
      </c>
      <c r="BF53" s="34" t="inlineStr">
        <is>
          <t>No</t>
        </is>
      </c>
    </row>
    <row r="54">
      <c r="A54" s="34" t="inlineStr">
        <is>
          <t>SB-053</t>
        </is>
      </c>
      <c r="B54" s="34" t="inlineStr">
        <is>
          <t>Anyscale</t>
        </is>
      </c>
      <c r="C54" s="34" t="inlineStr">
        <is>
          <t>Anyscale $100 signup credit</t>
        </is>
      </c>
      <c r="D54" s="34" t="inlineStr">
        <is>
          <t>Not stated</t>
        </is>
      </c>
      <c r="E54" s="34" t="inlineStr">
        <is>
          <t>AI &amp; LLM Credits</t>
        </is>
      </c>
      <c r="F54" s="34" t="inlineStr">
        <is>
          <t>ML compute credits</t>
        </is>
      </c>
      <c r="G54" s="34" t="inlineStr">
        <is>
          <t>Free trial credit (not startup-exclusive)</t>
        </is>
      </c>
      <c r="H54" s="34" t="inlineStr">
        <is>
          <t>$100 in Anyscale credits for new accounts.</t>
        </is>
      </c>
      <c r="I54" s="34" t="inlineStr">
        <is>
          <t>100</t>
        </is>
      </c>
      <c r="J54" s="34" t="inlineStr">
        <is>
          <t>USD</t>
        </is>
      </c>
      <c r="K54" s="34" t="inlineStr">
        <is>
          <t>Credits</t>
        </is>
      </c>
      <c r="L54" s="34" t="inlineStr"/>
      <c r="M54" s="34" t="inlineStr"/>
      <c r="N54" s="34" t="inlineStr"/>
      <c r="O54" s="34" t="inlineStr">
        <is>
          <t>Open</t>
        </is>
      </c>
      <c r="P54" s="34" t="inlineStr">
        <is>
          <t>Not verified this session</t>
        </is>
      </c>
      <c r="Q54" s="34" t="inlineStr">
        <is>
          <t>Not verified this session</t>
        </is>
      </c>
      <c r="R54" s="34" t="inlineStr">
        <is>
          <t>Not stated</t>
        </is>
      </c>
      <c r="S54" s="34" t="inlineStr">
        <is>
          <t>Not stated</t>
        </is>
      </c>
      <c r="T54" s="34" t="inlineStr">
        <is>
          <t>Not stated</t>
        </is>
      </c>
      <c r="U54" s="34" t="inlineStr">
        <is>
          <t>Unknown</t>
        </is>
      </c>
      <c r="V54" s="34" t="inlineStr">
        <is>
          <t>Unknown</t>
        </is>
      </c>
      <c r="W54" s="34" t="inlineStr">
        <is>
          <t>Not stated</t>
        </is>
      </c>
      <c r="X54" s="34" t="inlineStr">
        <is>
          <t>Unverified</t>
        </is>
      </c>
      <c r="Y54" s="34" t="inlineStr">
        <is>
          <t>Unknown</t>
        </is>
      </c>
      <c r="Z54" s="34" t="inlineStr">
        <is>
          <t>Unknown</t>
        </is>
      </c>
      <c r="AA54" s="34" t="inlineStr">
        <is>
          <t>Yes</t>
        </is>
      </c>
      <c r="AB54" s="34" t="inlineStr">
        <is>
          <t>Unknown</t>
        </is>
      </c>
      <c r="AC54" s="34" t="inlineStr">
        <is>
          <t>Not stated</t>
        </is>
      </c>
      <c r="AD54" s="34" t="inlineStr">
        <is>
          <t>Not stated</t>
        </is>
      </c>
      <c r="AE54" s="34" t="inlineStr">
        <is>
          <t>Not stated</t>
        </is>
      </c>
      <c r="AF54" s="34" t="inlineStr">
        <is>
          <t>Not stated</t>
        </is>
      </c>
      <c r="AG54" s="34" t="inlineStr">
        <is>
          <t>Not stated</t>
        </is>
      </c>
      <c r="AH54" s="34" t="inlineStr">
        <is>
          <t>No card required</t>
        </is>
      </c>
      <c r="AI54" s="34" t="inlineStr">
        <is>
          <t>Not stated</t>
        </is>
      </c>
      <c r="AJ54" s="34" t="inlineStr">
        <is>
          <t>https://aifree.dev/offer/anyscale-free-signup-credits</t>
        </is>
      </c>
      <c r="AK54" s="34" t="inlineStr">
        <is>
          <t>https://aifree.dev/startup-ai-credits</t>
        </is>
      </c>
      <c r="AL54" s="34" t="inlineStr">
        <is>
          <t>Directory listing (verified Oct 2026 per directory): $100 in Anyscale credits for new accounts.</t>
        </is>
      </c>
      <c r="AM54" s="34" t="inlineStr">
        <is>
          <t>2026-10-24</t>
        </is>
      </c>
      <c r="AN54" s="34" t="inlineStr">
        <is>
          <t>Medium</t>
        </is>
      </c>
      <c r="AO54" s="34" t="inlineStr">
        <is>
          <t>Directory</t>
        </is>
      </c>
      <c r="AP54" s="34" t="inlineStr">
        <is>
          <t>Global (unverified)</t>
        </is>
      </c>
      <c r="AQ54" s="34" t="inlineStr">
        <is>
          <t>Not stated</t>
        </is>
      </c>
      <c r="AR54" s="34" t="inlineStr">
        <is>
          <t>Terms taken from aifree.dev directory; official program page not opened this session. Confirm on provider site before applying.</t>
        </is>
      </c>
      <c r="AS54" s="34" t="inlineStr">
        <is>
          <t>DG-T-ANYSCALE-FREE-</t>
        </is>
      </c>
      <c r="AT54" s="34" t="inlineStr">
        <is>
          <t>Excel only</t>
        </is>
      </c>
      <c r="AU54" s="34" t="inlineStr"/>
      <c r="AV54" s="34" t="inlineStr"/>
      <c r="AW54" s="34" t="inlineStr"/>
      <c r="AX54" s="34" t="inlineStr"/>
      <c r="AY54" s="34" t="inlineStr"/>
      <c r="AZ54" s="34" t="inlineStr"/>
      <c r="BA54" s="34" t="inlineStr"/>
      <c r="BB54" s="34" t="inlineStr">
        <is>
          <t>anyscale</t>
        </is>
      </c>
      <c r="BC54" s="34" t="inlineStr">
        <is>
          <t>anyscale100signupcredit</t>
        </is>
      </c>
      <c r="BD54" s="34" t="inlineStr">
        <is>
          <t>anyscale|anyscale100signupcredit</t>
        </is>
      </c>
      <c r="BE54" s="34" t="n">
        <v>1</v>
      </c>
      <c r="BF54" s="34" t="inlineStr">
        <is>
          <t>No</t>
        </is>
      </c>
    </row>
    <row r="55">
      <c r="A55" s="34" t="inlineStr">
        <is>
          <t>SB-054</t>
        </is>
      </c>
      <c r="B55" s="34" t="inlineStr">
        <is>
          <t>E2B</t>
        </is>
      </c>
      <c r="C55" s="34" t="inlineStr">
        <is>
          <t>E2B free hobby tier and $100 credits</t>
        </is>
      </c>
      <c r="D55" s="34" t="inlineStr">
        <is>
          <t>Not stated</t>
        </is>
      </c>
      <c r="E55" s="34" t="inlineStr">
        <is>
          <t>AI &amp; LLM Credits</t>
        </is>
      </c>
      <c r="F55" s="34" t="inlineStr">
        <is>
          <t>Agent sandbox credits</t>
        </is>
      </c>
      <c r="G55" s="34" t="inlineStr">
        <is>
          <t>Free trial credit (not startup-exclusive)</t>
        </is>
      </c>
      <c r="H55" s="34" t="inlineStr">
        <is>
          <t>$100 one-time usage credits; up to 20 concurrent sandboxes.</t>
        </is>
      </c>
      <c r="I55" s="34" t="inlineStr">
        <is>
          <t>100</t>
        </is>
      </c>
      <c r="J55" s="34" t="inlineStr">
        <is>
          <t>USD</t>
        </is>
      </c>
      <c r="K55" s="34" t="inlineStr">
        <is>
          <t>Credits</t>
        </is>
      </c>
      <c r="L55" s="34" t="inlineStr"/>
      <c r="M55" s="34" t="inlineStr"/>
      <c r="N55" s="34" t="inlineStr"/>
      <c r="O55" s="34" t="inlineStr">
        <is>
          <t>Open</t>
        </is>
      </c>
      <c r="P55" s="34" t="inlineStr">
        <is>
          <t>Not verified this session</t>
        </is>
      </c>
      <c r="Q55" s="34" t="inlineStr">
        <is>
          <t>Not verified this session</t>
        </is>
      </c>
      <c r="R55" s="34" t="inlineStr">
        <is>
          <t>Not stated</t>
        </is>
      </c>
      <c r="S55" s="34" t="inlineStr">
        <is>
          <t>Not stated</t>
        </is>
      </c>
      <c r="T55" s="34" t="inlineStr">
        <is>
          <t>Not stated</t>
        </is>
      </c>
      <c r="U55" s="34" t="inlineStr">
        <is>
          <t>Unknown</t>
        </is>
      </c>
      <c r="V55" s="34" t="inlineStr">
        <is>
          <t>Unknown</t>
        </is>
      </c>
      <c r="W55" s="34" t="inlineStr">
        <is>
          <t>Not stated</t>
        </is>
      </c>
      <c r="X55" s="34" t="inlineStr">
        <is>
          <t>Unverified</t>
        </is>
      </c>
      <c r="Y55" s="34" t="inlineStr">
        <is>
          <t>Unknown</t>
        </is>
      </c>
      <c r="Z55" s="34" t="inlineStr">
        <is>
          <t>Unknown</t>
        </is>
      </c>
      <c r="AA55" s="34" t="inlineStr">
        <is>
          <t>Yes</t>
        </is>
      </c>
      <c r="AB55" s="34" t="inlineStr">
        <is>
          <t>Unknown</t>
        </is>
      </c>
      <c r="AC55" s="34" t="inlineStr">
        <is>
          <t>Not stated</t>
        </is>
      </c>
      <c r="AD55" s="34" t="inlineStr">
        <is>
          <t>Not stated</t>
        </is>
      </c>
      <c r="AE55" s="34" t="inlineStr">
        <is>
          <t>Not stated</t>
        </is>
      </c>
      <c r="AF55" s="34" t="inlineStr">
        <is>
          <t>Not stated</t>
        </is>
      </c>
      <c r="AG55" s="34" t="inlineStr">
        <is>
          <t>Not stated</t>
        </is>
      </c>
      <c r="AH55" s="34" t="inlineStr">
        <is>
          <t>No card required</t>
        </is>
      </c>
      <c r="AI55" s="34" t="inlineStr">
        <is>
          <t>Not stated</t>
        </is>
      </c>
      <c r="AJ55" s="34" t="inlineStr">
        <is>
          <t>https://aifree.dev/offer/e2b-free-credits</t>
        </is>
      </c>
      <c r="AK55" s="34" t="inlineStr">
        <is>
          <t>https://aifree.dev/startup-ai-credits</t>
        </is>
      </c>
      <c r="AL55" s="34" t="inlineStr">
        <is>
          <t>Directory listing (verified Oct 2026 per directory): $100 one-time usage credits; up to 20 concurrent sandboxes.</t>
        </is>
      </c>
      <c r="AM55" s="34" t="inlineStr">
        <is>
          <t>2026-10-24</t>
        </is>
      </c>
      <c r="AN55" s="34" t="inlineStr">
        <is>
          <t>Medium</t>
        </is>
      </c>
      <c r="AO55" s="34" t="inlineStr">
        <is>
          <t>Directory</t>
        </is>
      </c>
      <c r="AP55" s="34" t="inlineStr">
        <is>
          <t>Global (unverified)</t>
        </is>
      </c>
      <c r="AQ55" s="34" t="inlineStr">
        <is>
          <t>Not stated</t>
        </is>
      </c>
      <c r="AR55" s="34" t="inlineStr">
        <is>
          <t>Terms taken from aifree.dev directory; official program page not opened this session. Confirm on provider site before applying.</t>
        </is>
      </c>
      <c r="AS55" s="34" t="inlineStr">
        <is>
          <t>DG-T-E2B-FREE-CREDI</t>
        </is>
      </c>
      <c r="AT55" s="34" t="inlineStr">
        <is>
          <t>Excel only</t>
        </is>
      </c>
      <c r="AU55" s="34" t="inlineStr"/>
      <c r="AV55" s="34" t="inlineStr"/>
      <c r="AW55" s="34" t="inlineStr"/>
      <c r="AX55" s="34" t="inlineStr"/>
      <c r="AY55" s="34" t="inlineStr"/>
      <c r="AZ55" s="34" t="inlineStr"/>
      <c r="BA55" s="34" t="inlineStr"/>
      <c r="BB55" s="34" t="inlineStr">
        <is>
          <t>e2b</t>
        </is>
      </c>
      <c r="BC55" s="34" t="inlineStr">
        <is>
          <t>e2bfreehobbytierand100credits</t>
        </is>
      </c>
      <c r="BD55" s="34" t="inlineStr">
        <is>
          <t>e2b|e2bfreehobbytierand100credits</t>
        </is>
      </c>
      <c r="BE55" s="34" t="n">
        <v>1</v>
      </c>
      <c r="BF55" s="34" t="inlineStr">
        <is>
          <t>No</t>
        </is>
      </c>
    </row>
    <row r="56">
      <c r="A56" s="34" t="inlineStr">
        <is>
          <t>SB-055</t>
        </is>
      </c>
      <c r="B56" s="34" t="inlineStr">
        <is>
          <t>EmberCloud</t>
        </is>
      </c>
      <c r="C56" s="34" t="inlineStr">
        <is>
          <t>EmberCloud for Startups</t>
        </is>
      </c>
      <c r="D56" s="34" t="inlineStr">
        <is>
          <t>Not stated</t>
        </is>
      </c>
      <c r="E56" s="34" t="inlineStr">
        <is>
          <t>AI &amp; LLM Credits</t>
        </is>
      </c>
      <c r="F56" s="34" t="inlineStr">
        <is>
          <t>API credits</t>
        </is>
      </c>
      <c r="G56" s="34" t="inlineStr">
        <is>
          <t>Startup credits (startup-specific)</t>
        </is>
      </c>
      <c r="H56" s="34" t="inlineStr">
        <is>
          <t>$100 API credits on approval; $5 company verification payment required.</t>
        </is>
      </c>
      <c r="I56" s="34" t="inlineStr">
        <is>
          <t>100</t>
        </is>
      </c>
      <c r="J56" s="34" t="inlineStr">
        <is>
          <t>USD</t>
        </is>
      </c>
      <c r="K56" s="34" t="inlineStr">
        <is>
          <t>Credits</t>
        </is>
      </c>
      <c r="L56" s="34" t="inlineStr"/>
      <c r="M56" s="34" t="inlineStr"/>
      <c r="N56" s="34" t="inlineStr"/>
      <c r="O56" s="34" t="inlineStr">
        <is>
          <t>Open</t>
        </is>
      </c>
      <c r="P56" s="34" t="inlineStr">
        <is>
          <t>Not verified this session</t>
        </is>
      </c>
      <c r="Q56" s="34" t="inlineStr">
        <is>
          <t>Not verified this session</t>
        </is>
      </c>
      <c r="R56" s="34" t="inlineStr">
        <is>
          <t>Not stated</t>
        </is>
      </c>
      <c r="S56" s="34" t="inlineStr">
        <is>
          <t>Not stated</t>
        </is>
      </c>
      <c r="T56" s="34" t="inlineStr">
        <is>
          <t>Not stated</t>
        </is>
      </c>
      <c r="U56" s="34" t="inlineStr">
        <is>
          <t>Unknown</t>
        </is>
      </c>
      <c r="V56" s="34" t="inlineStr">
        <is>
          <t>Unknown</t>
        </is>
      </c>
      <c r="W56" s="34" t="inlineStr">
        <is>
          <t>Not stated</t>
        </is>
      </c>
      <c r="X56" s="34" t="inlineStr">
        <is>
          <t>Unverified</t>
        </is>
      </c>
      <c r="Y56" s="34" t="inlineStr">
        <is>
          <t>Unknown</t>
        </is>
      </c>
      <c r="Z56" s="34" t="inlineStr">
        <is>
          <t>Unknown</t>
        </is>
      </c>
      <c r="AA56" s="34" t="inlineStr">
        <is>
          <t>Yes</t>
        </is>
      </c>
      <c r="AB56" s="34" t="inlineStr">
        <is>
          <t>Unknown</t>
        </is>
      </c>
      <c r="AC56" s="34" t="inlineStr">
        <is>
          <t>Not stated</t>
        </is>
      </c>
      <c r="AD56" s="34" t="inlineStr">
        <is>
          <t>Not stated</t>
        </is>
      </c>
      <c r="AE56" s="34" t="inlineStr">
        <is>
          <t>Not stated</t>
        </is>
      </c>
      <c r="AF56" s="34" t="inlineStr">
        <is>
          <t>Not stated</t>
        </is>
      </c>
      <c r="AG56" s="34" t="inlineStr">
        <is>
          <t>Not stated</t>
        </is>
      </c>
      <c r="AH56" s="34" t="inlineStr">
        <is>
          <t>Card required (plus $5 verification)</t>
        </is>
      </c>
      <c r="AI56" s="34" t="inlineStr">
        <is>
          <t>Not stated</t>
        </is>
      </c>
      <c r="AJ56" s="34" t="inlineStr">
        <is>
          <t>https://aifree.dev/offer/embercloud-for-startups</t>
        </is>
      </c>
      <c r="AK56" s="34" t="inlineStr">
        <is>
          <t>https://aifree.dev/startup-ai-credits</t>
        </is>
      </c>
      <c r="AL56" s="34" t="inlineStr">
        <is>
          <t>Directory listing (verified Oct 2026 per directory): $100 API credits on approval; $5 company verification payment required.</t>
        </is>
      </c>
      <c r="AM56" s="34" t="inlineStr">
        <is>
          <t>2026-10-24</t>
        </is>
      </c>
      <c r="AN56" s="34" t="inlineStr">
        <is>
          <t>Medium</t>
        </is>
      </c>
      <c r="AO56" s="34" t="inlineStr">
        <is>
          <t>Directory</t>
        </is>
      </c>
      <c r="AP56" s="34" t="inlineStr">
        <is>
          <t>Global (unverified)</t>
        </is>
      </c>
      <c r="AQ56" s="34" t="inlineStr">
        <is>
          <t>Not stated</t>
        </is>
      </c>
      <c r="AR56" s="34" t="inlineStr">
        <is>
          <t>Terms taken from aifree.dev directory; official program page not opened this session. Confirm on provider site before applying.</t>
        </is>
      </c>
      <c r="AS56" s="34" t="inlineStr">
        <is>
          <t>DG-T-EMBERCLOUD-FOR</t>
        </is>
      </c>
      <c r="AT56" s="34" t="inlineStr">
        <is>
          <t>Excel only</t>
        </is>
      </c>
      <c r="AU56" s="34" t="inlineStr"/>
      <c r="AV56" s="34" t="inlineStr"/>
      <c r="AW56" s="34" t="inlineStr"/>
      <c r="AX56" s="34" t="inlineStr"/>
      <c r="AY56" s="34" t="inlineStr"/>
      <c r="AZ56" s="34" t="inlineStr"/>
      <c r="BA56" s="34" t="inlineStr"/>
      <c r="BB56" s="34" t="inlineStr">
        <is>
          <t>embercloud</t>
        </is>
      </c>
      <c r="BC56" s="34" t="inlineStr">
        <is>
          <t>embercloudforstartups</t>
        </is>
      </c>
      <c r="BD56" s="34" t="inlineStr">
        <is>
          <t>embercloud|embercloudforstartups</t>
        </is>
      </c>
      <c r="BE56" s="34" t="n">
        <v>1</v>
      </c>
      <c r="BF56" s="34" t="inlineStr">
        <is>
          <t>No</t>
        </is>
      </c>
    </row>
    <row r="57">
      <c r="A57" s="34" t="inlineStr">
        <is>
          <t>SB-056</t>
        </is>
      </c>
      <c r="B57" s="34" t="inlineStr">
        <is>
          <t>Novita</t>
        </is>
      </c>
      <c r="C57" s="34" t="inlineStr">
        <is>
          <t>Novita Sandbox $100 free credits</t>
        </is>
      </c>
      <c r="D57" s="34" t="inlineStr">
        <is>
          <t>Not stated</t>
        </is>
      </c>
      <c r="E57" s="34" t="inlineStr">
        <is>
          <t>AI &amp; LLM Credits</t>
        </is>
      </c>
      <c r="F57" s="34" t="inlineStr">
        <is>
          <t>Sandbox credits</t>
        </is>
      </c>
      <c r="G57" s="34" t="inlineStr">
        <is>
          <t>Free trial credit (not startup-exclusive)</t>
        </is>
      </c>
      <c r="H57" s="34" t="inlineStr">
        <is>
          <t>$100 promo credits after short account survey; no card.</t>
        </is>
      </c>
      <c r="I57" s="34" t="inlineStr">
        <is>
          <t>100</t>
        </is>
      </c>
      <c r="J57" s="34" t="inlineStr">
        <is>
          <t>USD</t>
        </is>
      </c>
      <c r="K57" s="34" t="inlineStr">
        <is>
          <t>Credits</t>
        </is>
      </c>
      <c r="L57" s="34" t="inlineStr"/>
      <c r="M57" s="34" t="inlineStr"/>
      <c r="N57" s="34" t="inlineStr"/>
      <c r="O57" s="34" t="inlineStr">
        <is>
          <t>Open</t>
        </is>
      </c>
      <c r="P57" s="34" t="inlineStr">
        <is>
          <t>Not verified this session</t>
        </is>
      </c>
      <c r="Q57" s="34" t="inlineStr">
        <is>
          <t>Not verified this session</t>
        </is>
      </c>
      <c r="R57" s="34" t="inlineStr">
        <is>
          <t>Not stated</t>
        </is>
      </c>
      <c r="S57" s="34" t="inlineStr">
        <is>
          <t>Not stated</t>
        </is>
      </c>
      <c r="T57" s="34" t="inlineStr">
        <is>
          <t>Not stated</t>
        </is>
      </c>
      <c r="U57" s="34" t="inlineStr">
        <is>
          <t>Unknown</t>
        </is>
      </c>
      <c r="V57" s="34" t="inlineStr">
        <is>
          <t>Unknown</t>
        </is>
      </c>
      <c r="W57" s="34" t="inlineStr">
        <is>
          <t>Not stated</t>
        </is>
      </c>
      <c r="X57" s="34" t="inlineStr">
        <is>
          <t>Unverified</t>
        </is>
      </c>
      <c r="Y57" s="34" t="inlineStr">
        <is>
          <t>Unknown</t>
        </is>
      </c>
      <c r="Z57" s="34" t="inlineStr">
        <is>
          <t>Unknown</t>
        </is>
      </c>
      <c r="AA57" s="34" t="inlineStr">
        <is>
          <t>Yes</t>
        </is>
      </c>
      <c r="AB57" s="34" t="inlineStr">
        <is>
          <t>Unknown</t>
        </is>
      </c>
      <c r="AC57" s="34" t="inlineStr">
        <is>
          <t>Not stated</t>
        </is>
      </c>
      <c r="AD57" s="34" t="inlineStr">
        <is>
          <t>Not stated</t>
        </is>
      </c>
      <c r="AE57" s="34" t="inlineStr">
        <is>
          <t>Not stated</t>
        </is>
      </c>
      <c r="AF57" s="34" t="inlineStr">
        <is>
          <t>Not stated</t>
        </is>
      </c>
      <c r="AG57" s="34" t="inlineStr">
        <is>
          <t>Not stated</t>
        </is>
      </c>
      <c r="AH57" s="34" t="inlineStr">
        <is>
          <t>No card required</t>
        </is>
      </c>
      <c r="AI57" s="34" t="inlineStr">
        <is>
          <t>Not stated</t>
        </is>
      </c>
      <c r="AJ57" s="34" t="inlineStr">
        <is>
          <t>https://aifree.dev/offer/novita-sandbox-free-credits</t>
        </is>
      </c>
      <c r="AK57" s="34" t="inlineStr">
        <is>
          <t>https://aifree.dev/startup-ai-credits</t>
        </is>
      </c>
      <c r="AL57" s="34" t="inlineStr">
        <is>
          <t>Directory listing (verified Oct 2026 per directory): $100 promo credits after short account survey; no card.</t>
        </is>
      </c>
      <c r="AM57" s="34" t="inlineStr">
        <is>
          <t>2026-10-24</t>
        </is>
      </c>
      <c r="AN57" s="34" t="inlineStr">
        <is>
          <t>Medium</t>
        </is>
      </c>
      <c r="AO57" s="34" t="inlineStr">
        <is>
          <t>Directory</t>
        </is>
      </c>
      <c r="AP57" s="34" t="inlineStr">
        <is>
          <t>Global (unverified)</t>
        </is>
      </c>
      <c r="AQ57" s="34" t="inlineStr">
        <is>
          <t>Not stated</t>
        </is>
      </c>
      <c r="AR57" s="34" t="inlineStr">
        <is>
          <t>Terms taken from aifree.dev directory; official program page not opened this session. Confirm on provider site before applying.</t>
        </is>
      </c>
      <c r="AS57" s="34" t="inlineStr">
        <is>
          <t>DG-T-NOVITA-SANDBOX</t>
        </is>
      </c>
      <c r="AT57" s="34" t="inlineStr">
        <is>
          <t>Excel only</t>
        </is>
      </c>
      <c r="AU57" s="34" t="inlineStr"/>
      <c r="AV57" s="34" t="inlineStr"/>
      <c r="AW57" s="34" t="inlineStr"/>
      <c r="AX57" s="34" t="inlineStr"/>
      <c r="AY57" s="34" t="inlineStr"/>
      <c r="AZ57" s="34" t="inlineStr"/>
      <c r="BA57" s="34" t="inlineStr"/>
      <c r="BB57" s="34" t="inlineStr">
        <is>
          <t>novita</t>
        </is>
      </c>
      <c r="BC57" s="34" t="inlineStr">
        <is>
          <t>novitasandbox100freecredits</t>
        </is>
      </c>
      <c r="BD57" s="34" t="inlineStr">
        <is>
          <t>novita|novitasandbox100freecredits</t>
        </is>
      </c>
      <c r="BE57" s="34" t="n">
        <v>1</v>
      </c>
      <c r="BF57" s="34" t="inlineStr">
        <is>
          <t>No</t>
        </is>
      </c>
    </row>
    <row r="58">
      <c r="A58" s="34" t="inlineStr">
        <is>
          <t>SB-057</t>
        </is>
      </c>
      <c r="B58" s="34" t="inlineStr">
        <is>
          <t>Alibaba Cloud</t>
        </is>
      </c>
      <c r="C58" s="34" t="inlineStr">
        <is>
          <t>Alibaba Cloud free trial</t>
        </is>
      </c>
      <c r="D58" s="34" t="inlineStr">
        <is>
          <t>Not stated</t>
        </is>
      </c>
      <c r="E58" s="34" t="inlineStr">
        <is>
          <t>Cloud &amp; Infrastructure</t>
        </is>
      </c>
      <c r="F58" s="34" t="inlineStr">
        <is>
          <t>Trial credit</t>
        </is>
      </c>
      <c r="G58" s="34" t="inlineStr">
        <is>
          <t>Free trial credit (not startup-exclusive)</t>
        </is>
      </c>
      <c r="H58" s="34" t="inlineStr">
        <is>
          <t>80+ product trials; ECS $90 credit valid 3 months.</t>
        </is>
      </c>
      <c r="I58" s="34" t="inlineStr">
        <is>
          <t>90</t>
        </is>
      </c>
      <c r="J58" s="34" t="inlineStr">
        <is>
          <t>USD</t>
        </is>
      </c>
      <c r="K58" s="34" t="inlineStr">
        <is>
          <t>Credits</t>
        </is>
      </c>
      <c r="L58" s="34" t="inlineStr"/>
      <c r="M58" s="34" t="inlineStr"/>
      <c r="N58" s="34" t="inlineStr"/>
      <c r="O58" s="34" t="inlineStr">
        <is>
          <t>Open</t>
        </is>
      </c>
      <c r="P58" s="34" t="inlineStr">
        <is>
          <t>Not verified this session</t>
        </is>
      </c>
      <c r="Q58" s="34" t="inlineStr">
        <is>
          <t>Not verified this session</t>
        </is>
      </c>
      <c r="R58" s="34" t="inlineStr">
        <is>
          <t>Not stated</t>
        </is>
      </c>
      <c r="S58" s="34" t="inlineStr">
        <is>
          <t>Not stated</t>
        </is>
      </c>
      <c r="T58" s="34" t="inlineStr">
        <is>
          <t>Not stated</t>
        </is>
      </c>
      <c r="U58" s="34" t="inlineStr">
        <is>
          <t>Unknown</t>
        </is>
      </c>
      <c r="V58" s="34" t="inlineStr">
        <is>
          <t>Unknown</t>
        </is>
      </c>
      <c r="W58" s="34" t="inlineStr">
        <is>
          <t>Not stated</t>
        </is>
      </c>
      <c r="X58" s="34" t="inlineStr">
        <is>
          <t>Unverified</t>
        </is>
      </c>
      <c r="Y58" s="34" t="inlineStr">
        <is>
          <t>Unknown</t>
        </is>
      </c>
      <c r="Z58" s="34" t="inlineStr">
        <is>
          <t>Unknown</t>
        </is>
      </c>
      <c r="AA58" s="34" t="inlineStr">
        <is>
          <t>No</t>
        </is>
      </c>
      <c r="AB58" s="34" t="inlineStr">
        <is>
          <t>Unknown</t>
        </is>
      </c>
      <c r="AC58" s="34" t="inlineStr">
        <is>
          <t>Not stated</t>
        </is>
      </c>
      <c r="AD58" s="34" t="inlineStr">
        <is>
          <t>Not stated</t>
        </is>
      </c>
      <c r="AE58" s="34" t="inlineStr">
        <is>
          <t>Not stated</t>
        </is>
      </c>
      <c r="AF58" s="34" t="inlineStr">
        <is>
          <t>Not stated</t>
        </is>
      </c>
      <c r="AG58" s="34" t="inlineStr">
        <is>
          <t>Not stated</t>
        </is>
      </c>
      <c r="AH58" s="34" t="inlineStr">
        <is>
          <t>Card required</t>
        </is>
      </c>
      <c r="AI58" s="34" t="inlineStr">
        <is>
          <t>Not stated</t>
        </is>
      </c>
      <c r="AJ58" s="34" t="inlineStr">
        <is>
          <t>https://aifree.dev/offer/alibaba-cloud-free-trial</t>
        </is>
      </c>
      <c r="AK58" s="34" t="inlineStr">
        <is>
          <t>https://aifree.dev/startup-ai-credits</t>
        </is>
      </c>
      <c r="AL58" s="34" t="inlineStr">
        <is>
          <t>Directory listing (verified Oct 2026 per directory): 80+ product trials; ECS $90 credit valid 3 months.</t>
        </is>
      </c>
      <c r="AM58" s="34" t="inlineStr">
        <is>
          <t>2026-10-24</t>
        </is>
      </c>
      <c r="AN58" s="34" t="inlineStr">
        <is>
          <t>Medium</t>
        </is>
      </c>
      <c r="AO58" s="34" t="inlineStr">
        <is>
          <t>Directory</t>
        </is>
      </c>
      <c r="AP58" s="34" t="inlineStr">
        <is>
          <t>Global (unverified)</t>
        </is>
      </c>
      <c r="AQ58" s="34" t="inlineStr">
        <is>
          <t>Not stated</t>
        </is>
      </c>
      <c r="AR58" s="34" t="inlineStr">
        <is>
          <t>Terms taken from aifree.dev directory; official program page not opened this session. Confirm on provider site before applying.</t>
        </is>
      </c>
      <c r="AS58" s="34" t="inlineStr">
        <is>
          <t>DG-T-ALIBABA-CLOUD-</t>
        </is>
      </c>
      <c r="AT58" s="34" t="inlineStr">
        <is>
          <t>Excel only</t>
        </is>
      </c>
      <c r="AU58" s="34" t="inlineStr"/>
      <c r="AV58" s="34" t="inlineStr"/>
      <c r="AW58" s="34" t="inlineStr"/>
      <c r="AX58" s="34" t="inlineStr"/>
      <c r="AY58" s="34" t="inlineStr"/>
      <c r="AZ58" s="34" t="inlineStr"/>
      <c r="BA58" s="34" t="inlineStr"/>
      <c r="BB58" s="34" t="inlineStr">
        <is>
          <t>alibabacloud</t>
        </is>
      </c>
      <c r="BC58" s="34" t="inlineStr">
        <is>
          <t>alibabacloudfreetrial</t>
        </is>
      </c>
      <c r="BD58" s="34" t="inlineStr">
        <is>
          <t>alibabacloud|alibabacloudfreetrial</t>
        </is>
      </c>
      <c r="BE58" s="34" t="n">
        <v>1</v>
      </c>
      <c r="BF58" s="34" t="inlineStr">
        <is>
          <t>No</t>
        </is>
      </c>
    </row>
    <row r="59">
      <c r="A59" s="34" t="inlineStr">
        <is>
          <t>SB-058</t>
        </is>
      </c>
      <c r="B59" s="34" t="inlineStr">
        <is>
          <t>Railway</t>
        </is>
      </c>
      <c r="C59" s="34" t="inlineStr">
        <is>
          <t>Railway free plan and trial credit</t>
        </is>
      </c>
      <c r="D59" s="34" t="inlineStr">
        <is>
          <t>Not stated</t>
        </is>
      </c>
      <c r="E59" s="34" t="inlineStr">
        <is>
          <t>Cloud &amp; Infrastructure</t>
        </is>
      </c>
      <c r="F59" s="34" t="inlineStr">
        <is>
          <t>Hosting trial</t>
        </is>
      </c>
      <c r="G59" s="34" t="inlineStr">
        <is>
          <t>Free trial credit (not startup-exclusive)</t>
        </is>
      </c>
      <c r="H59" s="34" t="inlineStr">
        <is>
          <t>One-time $5 trial credit (30 days); free plan has $1 monthly usage credit.</t>
        </is>
      </c>
      <c r="I59" s="34" t="inlineStr">
        <is>
          <t>5</t>
        </is>
      </c>
      <c r="J59" s="34" t="inlineStr">
        <is>
          <t>USD</t>
        </is>
      </c>
      <c r="K59" s="34" t="inlineStr">
        <is>
          <t>Credits</t>
        </is>
      </c>
      <c r="L59" s="34" t="inlineStr"/>
      <c r="M59" s="34" t="inlineStr"/>
      <c r="N59" s="34" t="inlineStr"/>
      <c r="O59" s="34" t="inlineStr">
        <is>
          <t>Open</t>
        </is>
      </c>
      <c r="P59" s="34" t="inlineStr">
        <is>
          <t>Not verified this session</t>
        </is>
      </c>
      <c r="Q59" s="34" t="inlineStr">
        <is>
          <t>Not verified this session</t>
        </is>
      </c>
      <c r="R59" s="34" t="inlineStr">
        <is>
          <t>Not stated</t>
        </is>
      </c>
      <c r="S59" s="34" t="inlineStr">
        <is>
          <t>Not stated</t>
        </is>
      </c>
      <c r="T59" s="34" t="inlineStr">
        <is>
          <t>Not stated</t>
        </is>
      </c>
      <c r="U59" s="34" t="inlineStr">
        <is>
          <t>Unknown</t>
        </is>
      </c>
      <c r="V59" s="34" t="inlineStr">
        <is>
          <t>Unknown</t>
        </is>
      </c>
      <c r="W59" s="34" t="inlineStr">
        <is>
          <t>Not stated</t>
        </is>
      </c>
      <c r="X59" s="34" t="inlineStr">
        <is>
          <t>Unverified</t>
        </is>
      </c>
      <c r="Y59" s="34" t="inlineStr">
        <is>
          <t>Unknown</t>
        </is>
      </c>
      <c r="Z59" s="34" t="inlineStr">
        <is>
          <t>Unknown</t>
        </is>
      </c>
      <c r="AA59" s="34" t="inlineStr">
        <is>
          <t>No</t>
        </is>
      </c>
      <c r="AB59" s="34" t="inlineStr">
        <is>
          <t>Unknown</t>
        </is>
      </c>
      <c r="AC59" s="34" t="inlineStr">
        <is>
          <t>Not stated</t>
        </is>
      </c>
      <c r="AD59" s="34" t="inlineStr">
        <is>
          <t>Not stated</t>
        </is>
      </c>
      <c r="AE59" s="34" t="inlineStr">
        <is>
          <t>Not stated</t>
        </is>
      </c>
      <c r="AF59" s="34" t="inlineStr">
        <is>
          <t>Not stated</t>
        </is>
      </c>
      <c r="AG59" s="34" t="inlineStr">
        <is>
          <t>Not stated</t>
        </is>
      </c>
      <c r="AH59" s="34" t="inlineStr">
        <is>
          <t>No card required</t>
        </is>
      </c>
      <c r="AI59" s="34" t="inlineStr">
        <is>
          <t>Not stated</t>
        </is>
      </c>
      <c r="AJ59" s="34" t="inlineStr">
        <is>
          <t>https://aifree.dev/offer/railway-free-plan-and-trial-credits</t>
        </is>
      </c>
      <c r="AK59" s="34" t="inlineStr">
        <is>
          <t>https://aifree.dev/startup-ai-credits</t>
        </is>
      </c>
      <c r="AL59" s="34" t="inlineStr">
        <is>
          <t>Directory listing (verified Oct 2026 per directory): One-time $5 trial credit (30 days); free plan has $1 monthly usage credit.</t>
        </is>
      </c>
      <c r="AM59" s="34" t="inlineStr">
        <is>
          <t>2026-10-24</t>
        </is>
      </c>
      <c r="AN59" s="34" t="inlineStr">
        <is>
          <t>Medium</t>
        </is>
      </c>
      <c r="AO59" s="34" t="inlineStr">
        <is>
          <t>Directory</t>
        </is>
      </c>
      <c r="AP59" s="34" t="inlineStr">
        <is>
          <t>Global (unverified)</t>
        </is>
      </c>
      <c r="AQ59" s="34" t="inlineStr">
        <is>
          <t>Not stated</t>
        </is>
      </c>
      <c r="AR59" s="34" t="inlineStr">
        <is>
          <t>Terms taken from aifree.dev directory; official program page not opened this session. Confirm on provider site before applying.</t>
        </is>
      </c>
      <c r="AS59" s="34" t="inlineStr">
        <is>
          <t>DG-T-RAILWAY-FREE-P</t>
        </is>
      </c>
      <c r="AT59" s="34" t="inlineStr">
        <is>
          <t>Excel only</t>
        </is>
      </c>
      <c r="AU59" s="34" t="inlineStr"/>
      <c r="AV59" s="34" t="inlineStr"/>
      <c r="AW59" s="34" t="inlineStr"/>
      <c r="AX59" s="34" t="inlineStr"/>
      <c r="AY59" s="34" t="inlineStr"/>
      <c r="AZ59" s="34" t="inlineStr"/>
      <c r="BA59" s="34" t="inlineStr"/>
      <c r="BB59" s="34" t="inlineStr">
        <is>
          <t>railway</t>
        </is>
      </c>
      <c r="BC59" s="34" t="inlineStr">
        <is>
          <t>railwayfreeplanandtrialcredit</t>
        </is>
      </c>
      <c r="BD59" s="34" t="inlineStr">
        <is>
          <t>railway|railwayfreeplanandtrialcredit</t>
        </is>
      </c>
      <c r="BE59" s="34" t="n">
        <v>1</v>
      </c>
      <c r="BF59" s="34" t="inlineStr">
        <is>
          <t>No</t>
        </is>
      </c>
    </row>
    <row r="60">
      <c r="A60" s="34" t="inlineStr">
        <is>
          <t>SB-059</t>
        </is>
      </c>
      <c r="B60" s="34" t="inlineStr">
        <is>
          <t>DeepInfra</t>
        </is>
      </c>
      <c r="C60" s="34" t="inlineStr">
        <is>
          <t>DeepInfra DeepStart free inference tokens</t>
        </is>
      </c>
      <c r="D60" s="34" t="inlineStr">
        <is>
          <t>Not stated</t>
        </is>
      </c>
      <c r="E60" s="34" t="inlineStr">
        <is>
          <t>AI &amp; LLM Credits</t>
        </is>
      </c>
      <c r="F60" s="34" t="inlineStr">
        <is>
          <t>LLM inference tokens</t>
        </is>
      </c>
      <c r="G60" s="34" t="inlineStr">
        <is>
          <t>Startup credits (startup-specific)</t>
        </is>
      </c>
      <c r="H60" s="34" t="inlineStr">
        <is>
          <t>50 billion inference tokens (priced at DeepSeek V4 Flash rates); expire 1 year after grant.</t>
        </is>
      </c>
      <c r="I60" s="34" t="inlineStr"/>
      <c r="J60" s="34" t="inlineStr">
        <is>
          <t>Tokens</t>
        </is>
      </c>
      <c r="K60" s="34" t="inlineStr">
        <is>
          <t>Credits</t>
        </is>
      </c>
      <c r="L60" s="34" t="inlineStr"/>
      <c r="M60" s="34" t="inlineStr"/>
      <c r="N60" s="34" t="inlineStr"/>
      <c r="O60" s="34" t="inlineStr">
        <is>
          <t>Open</t>
        </is>
      </c>
      <c r="P60" s="34" t="inlineStr">
        <is>
          <t>Not verified this session</t>
        </is>
      </c>
      <c r="Q60" s="34" t="inlineStr">
        <is>
          <t>Not verified this session</t>
        </is>
      </c>
      <c r="R60" s="34" t="inlineStr">
        <is>
          <t>Not stated</t>
        </is>
      </c>
      <c r="S60" s="34" t="inlineStr">
        <is>
          <t>Not stated</t>
        </is>
      </c>
      <c r="T60" s="34" t="inlineStr">
        <is>
          <t>Not stated</t>
        </is>
      </c>
      <c r="U60" s="34" t="inlineStr">
        <is>
          <t>Unknown</t>
        </is>
      </c>
      <c r="V60" s="34" t="inlineStr">
        <is>
          <t>Unknown</t>
        </is>
      </c>
      <c r="W60" s="34" t="inlineStr">
        <is>
          <t>Not stated</t>
        </is>
      </c>
      <c r="X60" s="34" t="inlineStr">
        <is>
          <t>Unverified</t>
        </is>
      </c>
      <c r="Y60" s="34" t="inlineStr">
        <is>
          <t>Unknown</t>
        </is>
      </c>
      <c r="Z60" s="34" t="inlineStr">
        <is>
          <t>Unknown</t>
        </is>
      </c>
      <c r="AA60" s="34" t="inlineStr">
        <is>
          <t>Yes</t>
        </is>
      </c>
      <c r="AB60" s="34" t="inlineStr">
        <is>
          <t>Unknown</t>
        </is>
      </c>
      <c r="AC60" s="34" t="inlineStr">
        <is>
          <t>Not stated</t>
        </is>
      </c>
      <c r="AD60" s="34" t="inlineStr">
        <is>
          <t>Not stated</t>
        </is>
      </c>
      <c r="AE60" s="34" t="inlineStr">
        <is>
          <t>Not stated</t>
        </is>
      </c>
      <c r="AF60" s="34" t="inlineStr">
        <is>
          <t>Not stated</t>
        </is>
      </c>
      <c r="AG60" s="34" t="inlineStr">
        <is>
          <t>Not stated</t>
        </is>
      </c>
      <c r="AH60" s="34" t="inlineStr">
        <is>
          <t>No card required</t>
        </is>
      </c>
      <c r="AI60" s="34" t="inlineStr">
        <is>
          <t>Numeric value left blank: tokens are not a currency.</t>
        </is>
      </c>
      <c r="AJ60" s="34" t="inlineStr">
        <is>
          <t>https://aifree.dev/offer/deepinfra-deepstart-free-tokens</t>
        </is>
      </c>
      <c r="AK60" s="34" t="inlineStr">
        <is>
          <t>https://aifree.dev/startup-ai-credits</t>
        </is>
      </c>
      <c r="AL60" s="34" t="inlineStr">
        <is>
          <t>Directory listing (verified Oct 2026 per directory): 50 billion inference tokens (priced at DeepSeek V4 Flash rates); expire 1 year after grant.</t>
        </is>
      </c>
      <c r="AM60" s="34" t="inlineStr">
        <is>
          <t>2026-10-24</t>
        </is>
      </c>
      <c r="AN60" s="34" t="inlineStr">
        <is>
          <t>Medium</t>
        </is>
      </c>
      <c r="AO60" s="34" t="inlineStr">
        <is>
          <t>Directory</t>
        </is>
      </c>
      <c r="AP60" s="34" t="inlineStr">
        <is>
          <t>Global (unverified)</t>
        </is>
      </c>
      <c r="AQ60" s="34" t="inlineStr">
        <is>
          <t>Not stated</t>
        </is>
      </c>
      <c r="AR60" s="34" t="inlineStr">
        <is>
          <t>Terms taken from aifree.dev directory; official program page not opened this session. Confirm on provider site before applying.</t>
        </is>
      </c>
      <c r="AS60" s="34" t="inlineStr">
        <is>
          <t>DG-T-DEEPINFRA-DEEP</t>
        </is>
      </c>
      <c r="AT60" s="34" t="inlineStr">
        <is>
          <t>Excel only</t>
        </is>
      </c>
      <c r="AU60" s="34" t="inlineStr"/>
      <c r="AV60" s="34" t="inlineStr"/>
      <c r="AW60" s="34" t="inlineStr"/>
      <c r="AX60" s="34" t="inlineStr"/>
      <c r="AY60" s="34" t="inlineStr"/>
      <c r="AZ60" s="34" t="inlineStr"/>
      <c r="BA60" s="34" t="inlineStr"/>
      <c r="BB60" s="34" t="inlineStr">
        <is>
          <t>deepinfra</t>
        </is>
      </c>
      <c r="BC60" s="34" t="inlineStr">
        <is>
          <t>deepinfradeepstartfreeinferencetokens</t>
        </is>
      </c>
      <c r="BD60" s="34" t="inlineStr">
        <is>
          <t>deepinfra|deepinfradeepstartfreeinferencetokens</t>
        </is>
      </c>
      <c r="BE60" s="34" t="n">
        <v>1</v>
      </c>
      <c r="BF60" s="34" t="inlineStr">
        <is>
          <t>No</t>
        </is>
      </c>
    </row>
    <row r="61">
      <c r="A61" s="34" t="inlineStr">
        <is>
          <t>SB-060</t>
        </is>
      </c>
      <c r="B61" s="34" t="inlineStr">
        <is>
          <t>Free.ai</t>
        </is>
      </c>
      <c r="C61" s="34" t="inlineStr">
        <is>
          <t>Free.ai Startup Grant</t>
        </is>
      </c>
      <c r="D61" s="34" t="inlineStr">
        <is>
          <t>Not stated</t>
        </is>
      </c>
      <c r="E61" s="34" t="inlineStr">
        <is>
          <t>AI &amp; LLM Credits</t>
        </is>
      </c>
      <c r="F61" s="34" t="inlineStr">
        <is>
          <t>LLM tokens</t>
        </is>
      </c>
      <c r="G61" s="34" t="inlineStr">
        <is>
          <t>Startup credits (startup-specific)</t>
        </is>
      </c>
      <c r="H61" s="34" t="inlineStr">
        <is>
          <t>15,000,000 tokens per accepted startup; tokens do not expire.</t>
        </is>
      </c>
      <c r="I61" s="34" t="inlineStr"/>
      <c r="J61" s="34" t="inlineStr">
        <is>
          <t>Tokens</t>
        </is>
      </c>
      <c r="K61" s="34" t="inlineStr">
        <is>
          <t>Credits</t>
        </is>
      </c>
      <c r="L61" s="34" t="inlineStr"/>
      <c r="M61" s="34" t="inlineStr"/>
      <c r="N61" s="34" t="inlineStr"/>
      <c r="O61" s="34" t="inlineStr">
        <is>
          <t>Open</t>
        </is>
      </c>
      <c r="P61" s="34" t="inlineStr">
        <is>
          <t>Not verified this session</t>
        </is>
      </c>
      <c r="Q61" s="34" t="inlineStr">
        <is>
          <t>Not verified this session</t>
        </is>
      </c>
      <c r="R61" s="34" t="inlineStr">
        <is>
          <t>Not stated</t>
        </is>
      </c>
      <c r="S61" s="34" t="inlineStr">
        <is>
          <t>Not stated</t>
        </is>
      </c>
      <c r="T61" s="34" t="inlineStr">
        <is>
          <t>Not stated</t>
        </is>
      </c>
      <c r="U61" s="34" t="inlineStr">
        <is>
          <t>Unknown</t>
        </is>
      </c>
      <c r="V61" s="34" t="inlineStr">
        <is>
          <t>Unknown</t>
        </is>
      </c>
      <c r="W61" s="34" t="inlineStr">
        <is>
          <t>Not stated</t>
        </is>
      </c>
      <c r="X61" s="34" t="inlineStr">
        <is>
          <t>Unverified</t>
        </is>
      </c>
      <c r="Y61" s="34" t="inlineStr">
        <is>
          <t>Unknown</t>
        </is>
      </c>
      <c r="Z61" s="34" t="inlineStr">
        <is>
          <t>Unknown</t>
        </is>
      </c>
      <c r="AA61" s="34" t="inlineStr">
        <is>
          <t>Yes</t>
        </is>
      </c>
      <c r="AB61" s="34" t="inlineStr">
        <is>
          <t>Unknown</t>
        </is>
      </c>
      <c r="AC61" s="34" t="inlineStr">
        <is>
          <t>Not stated</t>
        </is>
      </c>
      <c r="AD61" s="34" t="inlineStr">
        <is>
          <t>Not stated</t>
        </is>
      </c>
      <c r="AE61" s="34" t="inlineStr">
        <is>
          <t>Not stated</t>
        </is>
      </c>
      <c r="AF61" s="34" t="inlineStr">
        <is>
          <t>Not stated</t>
        </is>
      </c>
      <c r="AG61" s="34" t="inlineStr">
        <is>
          <t>Not stated</t>
        </is>
      </c>
      <c r="AH61" s="34" t="inlineStr">
        <is>
          <t>No card required</t>
        </is>
      </c>
      <c r="AI61" s="34" t="inlineStr">
        <is>
          <t>Numeric value left blank: tokens are not a currency.</t>
        </is>
      </c>
      <c r="AJ61" s="34" t="inlineStr">
        <is>
          <t>https://aifree.dev/offer/free-ai-startup-tokens</t>
        </is>
      </c>
      <c r="AK61" s="34" t="inlineStr">
        <is>
          <t>https://aifree.dev/startup-ai-credits</t>
        </is>
      </c>
      <c r="AL61" s="34" t="inlineStr">
        <is>
          <t>Directory listing (verified Oct 2026 per directory): 15,000,000 tokens per accepted startup; tokens do not expire.</t>
        </is>
      </c>
      <c r="AM61" s="34" t="inlineStr">
        <is>
          <t>2026-10-24</t>
        </is>
      </c>
      <c r="AN61" s="34" t="inlineStr">
        <is>
          <t>Low</t>
        </is>
      </c>
      <c r="AO61" s="34" t="inlineStr">
        <is>
          <t>Directory</t>
        </is>
      </c>
      <c r="AP61" s="34" t="inlineStr">
        <is>
          <t>Global (unverified)</t>
        </is>
      </c>
      <c r="AQ61" s="34" t="inlineStr">
        <is>
          <t>Not stated</t>
        </is>
      </c>
      <c r="AR61" s="34" t="inlineStr">
        <is>
          <t>Terms taken from aifree.dev directory; official program page not opened this session. Confirm on provider site before applying.</t>
        </is>
      </c>
      <c r="AS61" s="34" t="inlineStr">
        <is>
          <t>DG-T-FREE-AI-STARTU</t>
        </is>
      </c>
      <c r="AT61" s="34" t="inlineStr">
        <is>
          <t>Excel only</t>
        </is>
      </c>
      <c r="AU61" s="34" t="inlineStr"/>
      <c r="AV61" s="34" t="inlineStr"/>
      <c r="AW61" s="34" t="inlineStr"/>
      <c r="AX61" s="34" t="inlineStr"/>
      <c r="AY61" s="34" t="inlineStr"/>
      <c r="AZ61" s="34" t="inlineStr"/>
      <c r="BA61" s="34" t="inlineStr"/>
      <c r="BB61" s="34" t="inlineStr">
        <is>
          <t>freeai</t>
        </is>
      </c>
      <c r="BC61" s="34" t="inlineStr">
        <is>
          <t>freeaistartupgrant</t>
        </is>
      </c>
      <c r="BD61" s="34" t="inlineStr">
        <is>
          <t>freeai|freeaistartupgrant</t>
        </is>
      </c>
      <c r="BE61" s="34" t="n">
        <v>1</v>
      </c>
      <c r="BF61" s="34" t="inlineStr">
        <is>
          <t>No</t>
        </is>
      </c>
    </row>
    <row r="62">
      <c r="A62" s="34" t="inlineStr">
        <is>
          <t>SB-061</t>
        </is>
      </c>
      <c r="B62" s="34" t="inlineStr">
        <is>
          <t>Netlify</t>
        </is>
      </c>
      <c r="C62" s="34" t="inlineStr">
        <is>
          <t>Netlify free plan</t>
        </is>
      </c>
      <c r="D62" s="34" t="inlineStr">
        <is>
          <t>Not stated</t>
        </is>
      </c>
      <c r="E62" s="34" t="inlineStr">
        <is>
          <t>Cloud &amp; Infrastructure</t>
        </is>
      </c>
      <c r="F62" s="34" t="inlineStr">
        <is>
          <t>Free tier</t>
        </is>
      </c>
      <c r="G62" s="34" t="inlineStr">
        <is>
          <t>Free tier (ongoing, not startup-exclusive)</t>
        </is>
      </c>
      <c r="H62" s="34" t="inlineStr">
        <is>
          <t>300 credits per month on free plan; hard limit.</t>
        </is>
      </c>
      <c r="I62" s="34" t="inlineStr"/>
      <c r="J62" s="34" t="inlineStr">
        <is>
          <t>USD</t>
        </is>
      </c>
      <c r="K62" s="34" t="inlineStr">
        <is>
          <t>Unknown</t>
        </is>
      </c>
      <c r="L62" s="34" t="inlineStr"/>
      <c r="M62" s="34" t="inlineStr"/>
      <c r="N62" s="34" t="inlineStr"/>
      <c r="O62" s="34" t="inlineStr">
        <is>
          <t>Open</t>
        </is>
      </c>
      <c r="P62" s="34" t="inlineStr">
        <is>
          <t>Not verified this session</t>
        </is>
      </c>
      <c r="Q62" s="34" t="inlineStr">
        <is>
          <t>Not verified this session</t>
        </is>
      </c>
      <c r="R62" s="34" t="inlineStr">
        <is>
          <t>Not stated</t>
        </is>
      </c>
      <c r="S62" s="34" t="inlineStr">
        <is>
          <t>Not stated</t>
        </is>
      </c>
      <c r="T62" s="34" t="inlineStr">
        <is>
          <t>Not stated</t>
        </is>
      </c>
      <c r="U62" s="34" t="inlineStr">
        <is>
          <t>Unknown</t>
        </is>
      </c>
      <c r="V62" s="34" t="inlineStr">
        <is>
          <t>Unknown</t>
        </is>
      </c>
      <c r="W62" s="34" t="inlineStr">
        <is>
          <t>Not stated</t>
        </is>
      </c>
      <c r="X62" s="34" t="inlineStr">
        <is>
          <t>Unverified</t>
        </is>
      </c>
      <c r="Y62" s="34" t="inlineStr">
        <is>
          <t>Unknown</t>
        </is>
      </c>
      <c r="Z62" s="34" t="inlineStr">
        <is>
          <t>Unknown</t>
        </is>
      </c>
      <c r="AA62" s="34" t="inlineStr">
        <is>
          <t>No</t>
        </is>
      </c>
      <c r="AB62" s="34" t="inlineStr">
        <is>
          <t>Unknown</t>
        </is>
      </c>
      <c r="AC62" s="34" t="inlineStr">
        <is>
          <t>Not stated</t>
        </is>
      </c>
      <c r="AD62" s="34" t="inlineStr">
        <is>
          <t>Not stated</t>
        </is>
      </c>
      <c r="AE62" s="34" t="inlineStr">
        <is>
          <t>Not stated</t>
        </is>
      </c>
      <c r="AF62" s="34" t="inlineStr">
        <is>
          <t>Not stated</t>
        </is>
      </c>
      <c r="AG62" s="34" t="inlineStr">
        <is>
          <t>Not stated</t>
        </is>
      </c>
      <c r="AH62" s="34" t="inlineStr">
        <is>
          <t>No card required</t>
        </is>
      </c>
      <c r="AI62" s="34" t="inlineStr">
        <is>
          <t>Not stated</t>
        </is>
      </c>
      <c r="AJ62" s="34" t="inlineStr">
        <is>
          <t>https://aifree.dev/offer/netlify-free-plan</t>
        </is>
      </c>
      <c r="AK62" s="34" t="inlineStr">
        <is>
          <t>https://aifree.dev/startup-ai-credits</t>
        </is>
      </c>
      <c r="AL62" s="34" t="inlineStr">
        <is>
          <t>Directory listing (verified Oct 2026 per directory): 300 credits per month on free plan; hard limit.</t>
        </is>
      </c>
      <c r="AM62" s="34" t="inlineStr">
        <is>
          <t>2026-10-24</t>
        </is>
      </c>
      <c r="AN62" s="34" t="inlineStr">
        <is>
          <t>Medium</t>
        </is>
      </c>
      <c r="AO62" s="34" t="inlineStr">
        <is>
          <t>Directory</t>
        </is>
      </c>
      <c r="AP62" s="34" t="inlineStr">
        <is>
          <t>Global (unverified)</t>
        </is>
      </c>
      <c r="AQ62" s="34" t="inlineStr">
        <is>
          <t>Not stated</t>
        </is>
      </c>
      <c r="AR62" s="34" t="inlineStr">
        <is>
          <t>Terms taken from aifree.dev directory; official program page not opened this session. Confirm on provider site before applying.</t>
        </is>
      </c>
      <c r="AS62" s="34" t="inlineStr">
        <is>
          <t>DG-T-NETLIFY-FREE-P</t>
        </is>
      </c>
      <c r="AT62" s="34" t="inlineStr">
        <is>
          <t>Excel only</t>
        </is>
      </c>
      <c r="AU62" s="34" t="inlineStr"/>
      <c r="AV62" s="34" t="inlineStr"/>
      <c r="AW62" s="34" t="inlineStr"/>
      <c r="AX62" s="34" t="inlineStr"/>
      <c r="AY62" s="34" t="inlineStr"/>
      <c r="AZ62" s="34" t="inlineStr"/>
      <c r="BA62" s="34" t="inlineStr"/>
      <c r="BB62" s="34" t="inlineStr">
        <is>
          <t>netlify</t>
        </is>
      </c>
      <c r="BC62" s="34" t="inlineStr">
        <is>
          <t>netlifyfreeplan</t>
        </is>
      </c>
      <c r="BD62" s="34" t="inlineStr">
        <is>
          <t>netlify|netlifyfreeplan</t>
        </is>
      </c>
      <c r="BE62" s="34" t="n">
        <v>1</v>
      </c>
      <c r="BF62" s="34" t="inlineStr">
        <is>
          <t>No</t>
        </is>
      </c>
    </row>
    <row r="63">
      <c r="A63" s="34" t="inlineStr">
        <is>
          <t>SB-062</t>
        </is>
      </c>
      <c r="B63" s="34" t="inlineStr">
        <is>
          <t>Kaggle (Google)</t>
        </is>
      </c>
      <c r="C63" s="34" t="inlineStr">
        <is>
          <t>Kaggle free GPU/TPU notebooks</t>
        </is>
      </c>
      <c r="D63" s="34" t="inlineStr">
        <is>
          <t>Not stated</t>
        </is>
      </c>
      <c r="E63" s="34" t="inlineStr">
        <is>
          <t>AI &amp; LLM Credits</t>
        </is>
      </c>
      <c r="F63" s="34" t="inlineStr">
        <is>
          <t>Free GPU tier</t>
        </is>
      </c>
      <c r="G63" s="34" t="inlineStr">
        <is>
          <t>Free tier (ongoing, not startup-exclusive)</t>
        </is>
      </c>
      <c r="H63" s="34" t="inlineStr">
        <is>
          <t>Up to 30 GPU hours/week, resets weekly.</t>
        </is>
      </c>
      <c r="I63" s="34" t="inlineStr"/>
      <c r="J63" s="34" t="inlineStr">
        <is>
          <t>USD</t>
        </is>
      </c>
      <c r="K63" s="34" t="inlineStr">
        <is>
          <t>In-Kind</t>
        </is>
      </c>
      <c r="L63" s="34" t="inlineStr"/>
      <c r="M63" s="34" t="inlineStr"/>
      <c r="N63" s="34" t="inlineStr"/>
      <c r="O63" s="34" t="inlineStr">
        <is>
          <t>Open</t>
        </is>
      </c>
      <c r="P63" s="34" t="inlineStr">
        <is>
          <t>Not verified this session</t>
        </is>
      </c>
      <c r="Q63" s="34" t="inlineStr">
        <is>
          <t>Not verified this session</t>
        </is>
      </c>
      <c r="R63" s="34" t="inlineStr">
        <is>
          <t>Not stated</t>
        </is>
      </c>
      <c r="S63" s="34" t="inlineStr">
        <is>
          <t>Not stated</t>
        </is>
      </c>
      <c r="T63" s="34" t="inlineStr">
        <is>
          <t>Not stated</t>
        </is>
      </c>
      <c r="U63" s="34" t="inlineStr">
        <is>
          <t>Unknown</t>
        </is>
      </c>
      <c r="V63" s="34" t="inlineStr">
        <is>
          <t>Unknown</t>
        </is>
      </c>
      <c r="W63" s="34" t="inlineStr">
        <is>
          <t>Not stated</t>
        </is>
      </c>
      <c r="X63" s="34" t="inlineStr">
        <is>
          <t>Unverified</t>
        </is>
      </c>
      <c r="Y63" s="34" t="inlineStr">
        <is>
          <t>Unknown</t>
        </is>
      </c>
      <c r="Z63" s="34" t="inlineStr">
        <is>
          <t>Unknown</t>
        </is>
      </c>
      <c r="AA63" s="34" t="inlineStr">
        <is>
          <t>Yes</t>
        </is>
      </c>
      <c r="AB63" s="34" t="inlineStr">
        <is>
          <t>Unknown</t>
        </is>
      </c>
      <c r="AC63" s="34" t="inlineStr">
        <is>
          <t>Not stated</t>
        </is>
      </c>
      <c r="AD63" s="34" t="inlineStr">
        <is>
          <t>Not stated</t>
        </is>
      </c>
      <c r="AE63" s="34" t="inlineStr">
        <is>
          <t>Not stated</t>
        </is>
      </c>
      <c r="AF63" s="34" t="inlineStr">
        <is>
          <t>Not stated</t>
        </is>
      </c>
      <c r="AG63" s="34" t="inlineStr">
        <is>
          <t>Not stated</t>
        </is>
      </c>
      <c r="AH63" s="34" t="inlineStr">
        <is>
          <t>No card required</t>
        </is>
      </c>
      <c r="AI63" s="34" t="inlineStr">
        <is>
          <t>Not stated</t>
        </is>
      </c>
      <c r="AJ63" s="34" t="inlineStr">
        <is>
          <t>https://aifree.dev/offer/kaggle-free-gpu-tpu</t>
        </is>
      </c>
      <c r="AK63" s="34" t="inlineStr">
        <is>
          <t>https://aifree.dev/startup-ai-credits</t>
        </is>
      </c>
      <c r="AL63" s="34" t="inlineStr">
        <is>
          <t>Directory listing (verified Oct 2026 per directory): Up to 30 GPU hours/week, resets weekly.</t>
        </is>
      </c>
      <c r="AM63" s="34" t="inlineStr">
        <is>
          <t>2026-10-24</t>
        </is>
      </c>
      <c r="AN63" s="34" t="inlineStr">
        <is>
          <t>Medium</t>
        </is>
      </c>
      <c r="AO63" s="34" t="inlineStr">
        <is>
          <t>Directory</t>
        </is>
      </c>
      <c r="AP63" s="34" t="inlineStr">
        <is>
          <t>Global (unverified)</t>
        </is>
      </c>
      <c r="AQ63" s="34" t="inlineStr">
        <is>
          <t>Not stated</t>
        </is>
      </c>
      <c r="AR63" s="34" t="inlineStr">
        <is>
          <t>Terms taken from aifree.dev directory; official program page not opened this session. Confirm on provider site before applying.</t>
        </is>
      </c>
      <c r="AS63" s="34" t="inlineStr">
        <is>
          <t>DG-T-KAGGLE-FREE-GP</t>
        </is>
      </c>
      <c r="AT63" s="34" t="inlineStr">
        <is>
          <t>Excel only</t>
        </is>
      </c>
      <c r="AU63" s="34" t="inlineStr"/>
      <c r="AV63" s="34" t="inlineStr"/>
      <c r="AW63" s="34" t="inlineStr"/>
      <c r="AX63" s="34" t="inlineStr"/>
      <c r="AY63" s="34" t="inlineStr"/>
      <c r="AZ63" s="34" t="inlineStr"/>
      <c r="BA63" s="34" t="inlineStr"/>
      <c r="BB63" s="34" t="inlineStr">
        <is>
          <t>kagglegoogle</t>
        </is>
      </c>
      <c r="BC63" s="34" t="inlineStr">
        <is>
          <t>kagglefreegputpunotebooks</t>
        </is>
      </c>
      <c r="BD63" s="34" t="inlineStr">
        <is>
          <t>kagglegoogle|kagglefreegputpunotebooks</t>
        </is>
      </c>
      <c r="BE63" s="34" t="n">
        <v>1</v>
      </c>
      <c r="BF63" s="34" t="inlineStr">
        <is>
          <t>No</t>
        </is>
      </c>
    </row>
    <row r="64">
      <c r="A64" s="34" t="inlineStr">
        <is>
          <t>SB-063</t>
        </is>
      </c>
      <c r="B64" s="34" t="inlineStr">
        <is>
          <t>Lightning AI</t>
        </is>
      </c>
      <c r="C64" s="34" t="inlineStr">
        <is>
          <t>Lightning AI free plan</t>
        </is>
      </c>
      <c r="D64" s="34" t="inlineStr">
        <is>
          <t>Not stated</t>
        </is>
      </c>
      <c r="E64" s="34" t="inlineStr">
        <is>
          <t>AI &amp; LLM Credits</t>
        </is>
      </c>
      <c r="F64" s="34" t="inlineStr">
        <is>
          <t>Free GPU tier</t>
        </is>
      </c>
      <c r="G64" s="34" t="inlineStr">
        <is>
          <t>Free tier (ongoing, not startup-exclusive)</t>
        </is>
      </c>
      <c r="H64" s="34" t="inlineStr">
        <is>
          <t>Up to 30 free credits total; credits expire after 12 months.</t>
        </is>
      </c>
      <c r="I64" s="34" t="inlineStr"/>
      <c r="J64" s="34" t="inlineStr">
        <is>
          <t>USD</t>
        </is>
      </c>
      <c r="K64" s="34" t="inlineStr">
        <is>
          <t>Credits</t>
        </is>
      </c>
      <c r="L64" s="34" t="inlineStr"/>
      <c r="M64" s="34" t="inlineStr"/>
      <c r="N64" s="34" t="inlineStr"/>
      <c r="O64" s="34" t="inlineStr">
        <is>
          <t>Open</t>
        </is>
      </c>
      <c r="P64" s="34" t="inlineStr">
        <is>
          <t>Not verified this session</t>
        </is>
      </c>
      <c r="Q64" s="34" t="inlineStr">
        <is>
          <t>Not verified this session</t>
        </is>
      </c>
      <c r="R64" s="34" t="inlineStr">
        <is>
          <t>Not stated</t>
        </is>
      </c>
      <c r="S64" s="34" t="inlineStr">
        <is>
          <t>Not stated</t>
        </is>
      </c>
      <c r="T64" s="34" t="inlineStr">
        <is>
          <t>Not stated</t>
        </is>
      </c>
      <c r="U64" s="34" t="inlineStr">
        <is>
          <t>Unknown</t>
        </is>
      </c>
      <c r="V64" s="34" t="inlineStr">
        <is>
          <t>Unknown</t>
        </is>
      </c>
      <c r="W64" s="34" t="inlineStr">
        <is>
          <t>Not stated</t>
        </is>
      </c>
      <c r="X64" s="34" t="inlineStr">
        <is>
          <t>Unverified</t>
        </is>
      </c>
      <c r="Y64" s="34" t="inlineStr">
        <is>
          <t>Unknown</t>
        </is>
      </c>
      <c r="Z64" s="34" t="inlineStr">
        <is>
          <t>Unknown</t>
        </is>
      </c>
      <c r="AA64" s="34" t="inlineStr">
        <is>
          <t>Yes</t>
        </is>
      </c>
      <c r="AB64" s="34" t="inlineStr">
        <is>
          <t>Unknown</t>
        </is>
      </c>
      <c r="AC64" s="34" t="inlineStr">
        <is>
          <t>Not stated</t>
        </is>
      </c>
      <c r="AD64" s="34" t="inlineStr">
        <is>
          <t>Not stated</t>
        </is>
      </c>
      <c r="AE64" s="34" t="inlineStr">
        <is>
          <t>Not stated</t>
        </is>
      </c>
      <c r="AF64" s="34" t="inlineStr">
        <is>
          <t>Not stated</t>
        </is>
      </c>
      <c r="AG64" s="34" t="inlineStr">
        <is>
          <t>Not stated</t>
        </is>
      </c>
      <c r="AH64" s="34" t="inlineStr">
        <is>
          <t>No card required</t>
        </is>
      </c>
      <c r="AI64" s="34" t="inlineStr">
        <is>
          <t>Not stated</t>
        </is>
      </c>
      <c r="AJ64" s="34" t="inlineStr">
        <is>
          <t>https://aifree.dev/offer/lightning-ai-free-plan</t>
        </is>
      </c>
      <c r="AK64" s="34" t="inlineStr">
        <is>
          <t>https://aifree.dev/startup-ai-credits</t>
        </is>
      </c>
      <c r="AL64" s="34" t="inlineStr">
        <is>
          <t>Directory listing (verified Oct 2026 per directory): Up to 30 free credits total; credits expire after 12 months.</t>
        </is>
      </c>
      <c r="AM64" s="34" t="inlineStr">
        <is>
          <t>2026-10-24</t>
        </is>
      </c>
      <c r="AN64" s="34" t="inlineStr">
        <is>
          <t>Medium</t>
        </is>
      </c>
      <c r="AO64" s="34" t="inlineStr">
        <is>
          <t>Directory</t>
        </is>
      </c>
      <c r="AP64" s="34" t="inlineStr">
        <is>
          <t>Global (unverified)</t>
        </is>
      </c>
      <c r="AQ64" s="34" t="inlineStr">
        <is>
          <t>Not stated</t>
        </is>
      </c>
      <c r="AR64" s="34" t="inlineStr">
        <is>
          <t>Terms taken from aifree.dev directory; official program page not opened this session. Confirm on provider site before applying.</t>
        </is>
      </c>
      <c r="AS64" s="34" t="inlineStr">
        <is>
          <t>DG-T-LIGHTNING-AI-F</t>
        </is>
      </c>
      <c r="AT64" s="34" t="inlineStr">
        <is>
          <t>Excel only</t>
        </is>
      </c>
      <c r="AU64" s="34" t="inlineStr"/>
      <c r="AV64" s="34" t="inlineStr"/>
      <c r="AW64" s="34" t="inlineStr"/>
      <c r="AX64" s="34" t="inlineStr"/>
      <c r="AY64" s="34" t="inlineStr"/>
      <c r="AZ64" s="34" t="inlineStr"/>
      <c r="BA64" s="34" t="inlineStr"/>
      <c r="BB64" s="34" t="inlineStr">
        <is>
          <t>lightningai</t>
        </is>
      </c>
      <c r="BC64" s="34" t="inlineStr">
        <is>
          <t>lightningaifreeplan</t>
        </is>
      </c>
      <c r="BD64" s="34" t="inlineStr">
        <is>
          <t>lightningai|lightningaifreeplan</t>
        </is>
      </c>
      <c r="BE64" s="34" t="n">
        <v>1</v>
      </c>
      <c r="BF64" s="34" t="inlineStr">
        <is>
          <t>No</t>
        </is>
      </c>
    </row>
    <row r="65">
      <c r="A65" s="34" t="inlineStr">
        <is>
          <t>SB-064</t>
        </is>
      </c>
      <c r="B65" s="34" t="inlineStr">
        <is>
          <t>Hugging Face</t>
        </is>
      </c>
      <c r="C65" s="34" t="inlineStr">
        <is>
          <t>Hugging Face ZeroGPU on Spaces</t>
        </is>
      </c>
      <c r="D65" s="34" t="inlineStr">
        <is>
          <t>Not stated</t>
        </is>
      </c>
      <c r="E65" s="34" t="inlineStr">
        <is>
          <t>AI &amp; LLM Credits</t>
        </is>
      </c>
      <c r="F65" s="34" t="inlineStr">
        <is>
          <t>Free GPU tier</t>
        </is>
      </c>
      <c r="G65" s="34" t="inlineStr">
        <is>
          <t>Free tier (ongoing, not startup-exclusive)</t>
        </is>
      </c>
      <c r="H65" s="34" t="inlineStr">
        <is>
          <t>Free accounts get about 5 minutes/day GPU quota.</t>
        </is>
      </c>
      <c r="I65" s="34" t="inlineStr"/>
      <c r="J65" s="34" t="inlineStr">
        <is>
          <t>USD</t>
        </is>
      </c>
      <c r="K65" s="34" t="inlineStr">
        <is>
          <t>In-Kind</t>
        </is>
      </c>
      <c r="L65" s="34" t="inlineStr"/>
      <c r="M65" s="34" t="inlineStr"/>
      <c r="N65" s="34" t="inlineStr"/>
      <c r="O65" s="34" t="inlineStr">
        <is>
          <t>Open</t>
        </is>
      </c>
      <c r="P65" s="34" t="inlineStr">
        <is>
          <t>Not verified this session</t>
        </is>
      </c>
      <c r="Q65" s="34" t="inlineStr">
        <is>
          <t>Not verified this session</t>
        </is>
      </c>
      <c r="R65" s="34" t="inlineStr">
        <is>
          <t>Not stated</t>
        </is>
      </c>
      <c r="S65" s="34" t="inlineStr">
        <is>
          <t>Not stated</t>
        </is>
      </c>
      <c r="T65" s="34" t="inlineStr">
        <is>
          <t>Not stated</t>
        </is>
      </c>
      <c r="U65" s="34" t="inlineStr">
        <is>
          <t>Unknown</t>
        </is>
      </c>
      <c r="V65" s="34" t="inlineStr">
        <is>
          <t>Unknown</t>
        </is>
      </c>
      <c r="W65" s="34" t="inlineStr">
        <is>
          <t>Not stated</t>
        </is>
      </c>
      <c r="X65" s="34" t="inlineStr">
        <is>
          <t>Unverified</t>
        </is>
      </c>
      <c r="Y65" s="34" t="inlineStr">
        <is>
          <t>Unknown</t>
        </is>
      </c>
      <c r="Z65" s="34" t="inlineStr">
        <is>
          <t>Unknown</t>
        </is>
      </c>
      <c r="AA65" s="34" t="inlineStr">
        <is>
          <t>Yes</t>
        </is>
      </c>
      <c r="AB65" s="34" t="inlineStr">
        <is>
          <t>Unknown</t>
        </is>
      </c>
      <c r="AC65" s="34" t="inlineStr">
        <is>
          <t>Not stated</t>
        </is>
      </c>
      <c r="AD65" s="34" t="inlineStr">
        <is>
          <t>Not stated</t>
        </is>
      </c>
      <c r="AE65" s="34" t="inlineStr">
        <is>
          <t>Not stated</t>
        </is>
      </c>
      <c r="AF65" s="34" t="inlineStr">
        <is>
          <t>Not stated</t>
        </is>
      </c>
      <c r="AG65" s="34" t="inlineStr">
        <is>
          <t>Not stated</t>
        </is>
      </c>
      <c r="AH65" s="34" t="inlineStr">
        <is>
          <t>No card required</t>
        </is>
      </c>
      <c r="AI65" s="34" t="inlineStr">
        <is>
          <t>Not stated</t>
        </is>
      </c>
      <c r="AJ65" s="34" t="inlineStr">
        <is>
          <t>https://aifree.dev/offer/hugging-face-zerogpu-spaces</t>
        </is>
      </c>
      <c r="AK65" s="34" t="inlineStr">
        <is>
          <t>https://aifree.dev/startup-ai-credits</t>
        </is>
      </c>
      <c r="AL65" s="34" t="inlineStr">
        <is>
          <t>Directory listing (verified Oct 2026 per directory): Free accounts get about 5 minutes/day GPU quota.</t>
        </is>
      </c>
      <c r="AM65" s="34" t="inlineStr">
        <is>
          <t>2026-10-24</t>
        </is>
      </c>
      <c r="AN65" s="34" t="inlineStr">
        <is>
          <t>Medium</t>
        </is>
      </c>
      <c r="AO65" s="34" t="inlineStr">
        <is>
          <t>Directory</t>
        </is>
      </c>
      <c r="AP65" s="34" t="inlineStr">
        <is>
          <t>Global (unverified)</t>
        </is>
      </c>
      <c r="AQ65" s="34" t="inlineStr">
        <is>
          <t>Not stated</t>
        </is>
      </c>
      <c r="AR65" s="34" t="inlineStr">
        <is>
          <t>Terms taken from aifree.dev directory; official program page not opened this session. Confirm on provider site before applying.</t>
        </is>
      </c>
      <c r="AS65" s="34" t="inlineStr">
        <is>
          <t>DG-T-HUGGING-FACE-Z</t>
        </is>
      </c>
      <c r="AT65" s="34" t="inlineStr">
        <is>
          <t>Excel only</t>
        </is>
      </c>
      <c r="AU65" s="34" t="inlineStr"/>
      <c r="AV65" s="34" t="inlineStr"/>
      <c r="AW65" s="34" t="inlineStr"/>
      <c r="AX65" s="34" t="inlineStr"/>
      <c r="AY65" s="34" t="inlineStr"/>
      <c r="AZ65" s="34" t="inlineStr"/>
      <c r="BA65" s="34" t="inlineStr"/>
      <c r="BB65" s="34" t="inlineStr">
        <is>
          <t>huggingface</t>
        </is>
      </c>
      <c r="BC65" s="34" t="inlineStr">
        <is>
          <t>huggingfacezerogpuonspaces</t>
        </is>
      </c>
      <c r="BD65" s="34" t="inlineStr">
        <is>
          <t>huggingface|huggingfacezerogpuonspaces</t>
        </is>
      </c>
      <c r="BE65" s="34" t="n">
        <v>1</v>
      </c>
      <c r="BF65" s="34" t="inlineStr">
        <is>
          <t>No</t>
        </is>
      </c>
    </row>
    <row r="66">
      <c r="A66" s="34" t="inlineStr">
        <is>
          <t>SB-065</t>
        </is>
      </c>
      <c r="B66" s="34" t="inlineStr">
        <is>
          <t>Atlassian</t>
        </is>
      </c>
      <c r="C66" s="34" t="inlineStr">
        <is>
          <t>Atlassian for Startups</t>
        </is>
      </c>
      <c r="D66" s="34" t="inlineStr">
        <is>
          <t>Not stated</t>
        </is>
      </c>
      <c r="E66" s="34" t="inlineStr">
        <is>
          <t>SaaS &amp; Marketing</t>
        </is>
      </c>
      <c r="F66" s="34" t="inlineStr">
        <is>
          <t>Collaboration software</t>
        </is>
      </c>
      <c r="G66" s="34" t="inlineStr">
        <is>
          <t>Startup plan / free subscription period</t>
        </is>
      </c>
      <c r="H66" s="34" t="inlineStr">
        <is>
          <t>12 months at $0, one enrollment per startup; up to 50 seats for Jira, Confluence, Loom and more.</t>
        </is>
      </c>
      <c r="I66" s="34" t="inlineStr"/>
      <c r="J66" s="34" t="inlineStr">
        <is>
          <t>USD</t>
        </is>
      </c>
      <c r="K66" s="34" t="inlineStr">
        <is>
          <t>In-Kind</t>
        </is>
      </c>
      <c r="L66" s="34" t="inlineStr"/>
      <c r="M66" s="34" t="inlineStr"/>
      <c r="N66" s="34" t="inlineStr"/>
      <c r="O66" s="34" t="inlineStr">
        <is>
          <t>Open</t>
        </is>
      </c>
      <c r="P66" s="34" t="inlineStr">
        <is>
          <t>Not verified this session</t>
        </is>
      </c>
      <c r="Q66" s="34" t="inlineStr">
        <is>
          <t>Not verified this session</t>
        </is>
      </c>
      <c r="R66" s="34" t="inlineStr">
        <is>
          <t>Not stated</t>
        </is>
      </c>
      <c r="S66" s="34" t="inlineStr">
        <is>
          <t>Not stated</t>
        </is>
      </c>
      <c r="T66" s="34" t="inlineStr">
        <is>
          <t>Not stated</t>
        </is>
      </c>
      <c r="U66" s="34" t="inlineStr">
        <is>
          <t>Unknown</t>
        </is>
      </c>
      <c r="V66" s="34" t="inlineStr">
        <is>
          <t>Unknown</t>
        </is>
      </c>
      <c r="W66" s="34" t="inlineStr">
        <is>
          <t>Not stated</t>
        </is>
      </c>
      <c r="X66" s="34" t="inlineStr">
        <is>
          <t>Unverified</t>
        </is>
      </c>
      <c r="Y66" s="34" t="inlineStr">
        <is>
          <t>Unknown</t>
        </is>
      </c>
      <c r="Z66" s="34" t="inlineStr">
        <is>
          <t>Unknown</t>
        </is>
      </c>
      <c r="AA66" s="34" t="inlineStr">
        <is>
          <t>No</t>
        </is>
      </c>
      <c r="AB66" s="34" t="inlineStr">
        <is>
          <t>Unknown</t>
        </is>
      </c>
      <c r="AC66" s="34" t="inlineStr">
        <is>
          <t>Not stated</t>
        </is>
      </c>
      <c r="AD66" s="34" t="inlineStr">
        <is>
          <t>Not stated</t>
        </is>
      </c>
      <c r="AE66" s="34" t="inlineStr">
        <is>
          <t>Not stated</t>
        </is>
      </c>
      <c r="AF66" s="34" t="inlineStr">
        <is>
          <t>Not stated</t>
        </is>
      </c>
      <c r="AG66" s="34" t="inlineStr">
        <is>
          <t>Not stated</t>
        </is>
      </c>
      <c r="AH66" s="34" t="inlineStr">
        <is>
          <t>No card required</t>
        </is>
      </c>
      <c r="AI66" s="34" t="inlineStr">
        <is>
          <t>Not stated</t>
        </is>
      </c>
      <c r="AJ66" s="34" t="inlineStr">
        <is>
          <t>https://aifree.dev/offer/atlassian-startup-program</t>
        </is>
      </c>
      <c r="AK66" s="34" t="inlineStr">
        <is>
          <t>https://aifree.dev/startup-ai-credits</t>
        </is>
      </c>
      <c r="AL66" s="34" t="inlineStr">
        <is>
          <t>Directory listing (verified Oct 2026 per directory): 12 months at $0, one enrollment per startup; up to 50 seats for Jira, Confluence, Loom and more.</t>
        </is>
      </c>
      <c r="AM66" s="34" t="inlineStr">
        <is>
          <t>2026-10-24</t>
        </is>
      </c>
      <c r="AN66" s="34" t="inlineStr">
        <is>
          <t>Medium</t>
        </is>
      </c>
      <c r="AO66" s="34" t="inlineStr">
        <is>
          <t>Directory</t>
        </is>
      </c>
      <c r="AP66" s="34" t="inlineStr">
        <is>
          <t>Global (unverified)</t>
        </is>
      </c>
      <c r="AQ66" s="34" t="inlineStr">
        <is>
          <t>productivity</t>
        </is>
      </c>
      <c r="AR66" s="34" t="inlineStr">
        <is>
          <t>Terms taken from aifree.dev directory; official program page not opened this session. Confirm on provider site before applying.</t>
        </is>
      </c>
      <c r="AS66" s="34" t="inlineStr">
        <is>
          <t>DG-ATL</t>
        </is>
      </c>
      <c r="AT66" s="34" t="inlineStr">
        <is>
          <t>Excel only</t>
        </is>
      </c>
      <c r="AU66" s="34" t="inlineStr"/>
      <c r="AV66" s="34" t="inlineStr"/>
      <c r="AW66" s="34" t="inlineStr"/>
      <c r="AX66" s="34" t="inlineStr"/>
      <c r="AY66" s="34" t="inlineStr"/>
      <c r="AZ66" s="34" t="inlineStr"/>
      <c r="BA66" s="34" t="inlineStr"/>
      <c r="BB66" s="34" t="inlineStr">
        <is>
          <t>atlassian</t>
        </is>
      </c>
      <c r="BC66" s="34" t="inlineStr">
        <is>
          <t>atlassianforstartups</t>
        </is>
      </c>
      <c r="BD66" s="34" t="inlineStr">
        <is>
          <t>atlassian|atlassianforstartups</t>
        </is>
      </c>
      <c r="BE66" s="34" t="n">
        <v>1</v>
      </c>
      <c r="BF66" s="34" t="inlineStr">
        <is>
          <t>No</t>
        </is>
      </c>
    </row>
    <row r="67">
      <c r="A67" s="34" t="inlineStr">
        <is>
          <t>SB-066</t>
        </is>
      </c>
      <c r="B67" s="34" t="inlineStr">
        <is>
          <t>Auth0 (Okta)</t>
        </is>
      </c>
      <c r="C67" s="34" t="inlineStr">
        <is>
          <t>Auth0 for Startups</t>
        </is>
      </c>
      <c r="D67" s="34" t="inlineStr">
        <is>
          <t>Not stated</t>
        </is>
      </c>
      <c r="E67" s="34" t="inlineStr">
        <is>
          <t>SaaS &amp; Marketing</t>
        </is>
      </c>
      <c r="F67" s="34" t="inlineStr">
        <is>
          <t>Authentication</t>
        </is>
      </c>
      <c r="G67" s="34" t="inlineStr">
        <is>
          <t>Startup plan / free subscription period</t>
        </is>
      </c>
      <c r="H67" s="34" t="inlineStr">
        <is>
          <t>12 months free with 100,000 monthly active users and 5 enterprise connections.</t>
        </is>
      </c>
      <c r="I67" s="34" t="inlineStr"/>
      <c r="J67" s="34" t="inlineStr">
        <is>
          <t>USD</t>
        </is>
      </c>
      <c r="K67" s="34" t="inlineStr">
        <is>
          <t>In-Kind</t>
        </is>
      </c>
      <c r="L67" s="34" t="inlineStr"/>
      <c r="M67" s="34" t="inlineStr"/>
      <c r="N67" s="34" t="inlineStr"/>
      <c r="O67" s="34" t="inlineStr">
        <is>
          <t>Open</t>
        </is>
      </c>
      <c r="P67" s="34" t="inlineStr">
        <is>
          <t>Not verified this session</t>
        </is>
      </c>
      <c r="Q67" s="34" t="inlineStr">
        <is>
          <t>Not verified this session</t>
        </is>
      </c>
      <c r="R67" s="34" t="inlineStr">
        <is>
          <t>Not stated</t>
        </is>
      </c>
      <c r="S67" s="34" t="inlineStr">
        <is>
          <t>Not stated</t>
        </is>
      </c>
      <c r="T67" s="34" t="inlineStr">
        <is>
          <t>Not stated</t>
        </is>
      </c>
      <c r="U67" s="34" t="inlineStr">
        <is>
          <t>Unknown</t>
        </is>
      </c>
      <c r="V67" s="34" t="inlineStr">
        <is>
          <t>Unknown</t>
        </is>
      </c>
      <c r="W67" s="34" t="inlineStr">
        <is>
          <t>Not stated</t>
        </is>
      </c>
      <c r="X67" s="34" t="inlineStr">
        <is>
          <t>Unverified</t>
        </is>
      </c>
      <c r="Y67" s="34" t="inlineStr">
        <is>
          <t>Unknown</t>
        </is>
      </c>
      <c r="Z67" s="34" t="inlineStr">
        <is>
          <t>Unknown</t>
        </is>
      </c>
      <c r="AA67" s="34" t="inlineStr">
        <is>
          <t>No</t>
        </is>
      </c>
      <c r="AB67" s="34" t="inlineStr">
        <is>
          <t>Unknown</t>
        </is>
      </c>
      <c r="AC67" s="34" t="inlineStr">
        <is>
          <t>Not stated</t>
        </is>
      </c>
      <c r="AD67" s="34" t="inlineStr">
        <is>
          <t>Not stated</t>
        </is>
      </c>
      <c r="AE67" s="34" t="inlineStr">
        <is>
          <t>Not stated</t>
        </is>
      </c>
      <c r="AF67" s="34" t="inlineStr">
        <is>
          <t>Not stated</t>
        </is>
      </c>
      <c r="AG67" s="34" t="inlineStr">
        <is>
          <t>Not stated</t>
        </is>
      </c>
      <c r="AH67" s="34" t="inlineStr">
        <is>
          <t>No card required</t>
        </is>
      </c>
      <c r="AI67" s="34" t="inlineStr">
        <is>
          <t>Not stated</t>
        </is>
      </c>
      <c r="AJ67" s="34" t="inlineStr">
        <is>
          <t>https://aifree.dev/offer/auth0-for-startups</t>
        </is>
      </c>
      <c r="AK67" s="34" t="inlineStr">
        <is>
          <t>https://aifree.dev/startup-ai-credits</t>
        </is>
      </c>
      <c r="AL67" s="34" t="inlineStr">
        <is>
          <t>Directory listing (verified Oct 2026 per directory): 12 months free with 100,000 monthly active users and 5 enterprise connections.</t>
        </is>
      </c>
      <c r="AM67" s="34" t="inlineStr">
        <is>
          <t>2026-10-24</t>
        </is>
      </c>
      <c r="AN67" s="34" t="inlineStr">
        <is>
          <t>Medium</t>
        </is>
      </c>
      <c r="AO67" s="34" t="inlineStr">
        <is>
          <t>Directory</t>
        </is>
      </c>
      <c r="AP67" s="34" t="inlineStr">
        <is>
          <t>Global (unverified)</t>
        </is>
      </c>
      <c r="AQ67" s="34" t="inlineStr">
        <is>
          <t>auth,security</t>
        </is>
      </c>
      <c r="AR67" s="34" t="inlineStr">
        <is>
          <t>Terms taken from aifree.dev directory; official program page not opened this session. Confirm on provider site before applying.</t>
        </is>
      </c>
      <c r="AS67" s="34" t="inlineStr">
        <is>
          <t>DG-AUTH0</t>
        </is>
      </c>
      <c r="AT67" s="34" t="inlineStr">
        <is>
          <t>Excel only</t>
        </is>
      </c>
      <c r="AU67" s="34" t="inlineStr"/>
      <c r="AV67" s="34" t="inlineStr"/>
      <c r="AW67" s="34" t="inlineStr"/>
      <c r="AX67" s="34" t="inlineStr"/>
      <c r="AY67" s="34" t="inlineStr"/>
      <c r="AZ67" s="34" t="inlineStr"/>
      <c r="BA67" s="34" t="inlineStr"/>
      <c r="BB67" s="34" t="inlineStr">
        <is>
          <t>auth0okta</t>
        </is>
      </c>
      <c r="BC67" s="34" t="inlineStr">
        <is>
          <t>auth0forstartups</t>
        </is>
      </c>
      <c r="BD67" s="34" t="inlineStr">
        <is>
          <t>auth0okta|auth0forstartups</t>
        </is>
      </c>
      <c r="BE67" s="34" t="n">
        <v>1</v>
      </c>
      <c r="BF67" s="34" t="inlineStr">
        <is>
          <t>No</t>
        </is>
      </c>
    </row>
    <row r="68">
      <c r="A68" s="34" t="inlineStr">
        <is>
          <t>SB-067</t>
        </is>
      </c>
      <c r="B68" s="34" t="inlineStr">
        <is>
          <t>Convex</t>
        </is>
      </c>
      <c r="C68" s="34" t="inlineStr">
        <is>
          <t>Convex for Startups</t>
        </is>
      </c>
      <c r="D68" s="34" t="inlineStr">
        <is>
          <t>Not stated</t>
        </is>
      </c>
      <c r="E68" s="34" t="inlineStr">
        <is>
          <t>Cloud &amp; Infrastructure</t>
        </is>
      </c>
      <c r="F68" s="34" t="inlineStr">
        <is>
          <t>Backend platform</t>
        </is>
      </c>
      <c r="G68" s="34" t="inlineStr">
        <is>
          <t>Startup plan / free subscription period</t>
        </is>
      </c>
      <c r="H68" s="34" t="inlineStr">
        <is>
          <t>Up to 1 year free of Convex Professional plus 30% off usage fees capped at $30K.</t>
        </is>
      </c>
      <c r="I68" s="34" t="inlineStr">
        <is>
          <t>30000</t>
        </is>
      </c>
      <c r="J68" s="34" t="inlineStr">
        <is>
          <t>USD</t>
        </is>
      </c>
      <c r="K68" s="34" t="inlineStr">
        <is>
          <t>Discount</t>
        </is>
      </c>
      <c r="L68" s="34" t="inlineStr"/>
      <c r="M68" s="34" t="inlineStr"/>
      <c r="N68" s="34" t="inlineStr">
        <is>
          <t>0.3</t>
        </is>
      </c>
      <c r="O68" s="34" t="inlineStr">
        <is>
          <t>Open</t>
        </is>
      </c>
      <c r="P68" s="34" t="inlineStr">
        <is>
          <t>Not verified this session</t>
        </is>
      </c>
      <c r="Q68" s="34" t="inlineStr">
        <is>
          <t>Not verified this session</t>
        </is>
      </c>
      <c r="R68" s="34" t="inlineStr">
        <is>
          <t>Not stated</t>
        </is>
      </c>
      <c r="S68" s="34" t="inlineStr">
        <is>
          <t>Not stated</t>
        </is>
      </c>
      <c r="T68" s="34" t="inlineStr">
        <is>
          <t>Not stated</t>
        </is>
      </c>
      <c r="U68" s="34" t="inlineStr">
        <is>
          <t>Unknown</t>
        </is>
      </c>
      <c r="V68" s="34" t="inlineStr">
        <is>
          <t>Unknown</t>
        </is>
      </c>
      <c r="W68" s="34" t="inlineStr">
        <is>
          <t>Not stated</t>
        </is>
      </c>
      <c r="X68" s="34" t="inlineStr">
        <is>
          <t>Unverified</t>
        </is>
      </c>
      <c r="Y68" s="34" t="inlineStr">
        <is>
          <t>Unknown</t>
        </is>
      </c>
      <c r="Z68" s="34" t="inlineStr">
        <is>
          <t>Unknown</t>
        </is>
      </c>
      <c r="AA68" s="34" t="inlineStr">
        <is>
          <t>No</t>
        </is>
      </c>
      <c r="AB68" s="34" t="inlineStr">
        <is>
          <t>Unknown</t>
        </is>
      </c>
      <c r="AC68" s="34" t="inlineStr">
        <is>
          <t>Not stated</t>
        </is>
      </c>
      <c r="AD68" s="34" t="inlineStr">
        <is>
          <t>Not stated</t>
        </is>
      </c>
      <c r="AE68" s="34" t="inlineStr">
        <is>
          <t>Not stated</t>
        </is>
      </c>
      <c r="AF68" s="34" t="inlineStr">
        <is>
          <t>Not stated</t>
        </is>
      </c>
      <c r="AG68" s="34" t="inlineStr">
        <is>
          <t>Not stated</t>
        </is>
      </c>
      <c r="AH68" s="34" t="inlineStr">
        <is>
          <t>Card required</t>
        </is>
      </c>
      <c r="AI68" s="34" t="inlineStr">
        <is>
          <t>Discount cap is the stated $30K.</t>
        </is>
      </c>
      <c r="AJ68" s="34" t="inlineStr">
        <is>
          <t>https://aifree.dev/offer/convex-for-startups</t>
        </is>
      </c>
      <c r="AK68" s="34" t="inlineStr">
        <is>
          <t>https://aifree.dev/startup-ai-credits</t>
        </is>
      </c>
      <c r="AL68" s="34" t="inlineStr">
        <is>
          <t>Directory listing (verified Oct 2026 per directory): Up to 1 year free of Convex Professional plus 30% off usage fees capped at $30K.</t>
        </is>
      </c>
      <c r="AM68" s="34" t="inlineStr">
        <is>
          <t>2026-10-24</t>
        </is>
      </c>
      <c r="AN68" s="34" t="inlineStr">
        <is>
          <t>Medium</t>
        </is>
      </c>
      <c r="AO68" s="34" t="inlineStr">
        <is>
          <t>Directory</t>
        </is>
      </c>
      <c r="AP68" s="34" t="inlineStr">
        <is>
          <t>Global (unverified)</t>
        </is>
      </c>
      <c r="AQ68" s="34" t="inlineStr">
        <is>
          <t>Not stated</t>
        </is>
      </c>
      <c r="AR68" s="34" t="inlineStr">
        <is>
          <t>Terms taken from aifree.dev directory; official program page not opened this session. Confirm on provider site before applying.</t>
        </is>
      </c>
      <c r="AS68" s="34" t="inlineStr">
        <is>
          <t>DG-CONVEX</t>
        </is>
      </c>
      <c r="AT68" s="34" t="inlineStr">
        <is>
          <t>Excel only</t>
        </is>
      </c>
      <c r="AU68" s="34" t="inlineStr"/>
      <c r="AV68" s="34" t="inlineStr"/>
      <c r="AW68" s="34" t="inlineStr"/>
      <c r="AX68" s="34" t="inlineStr"/>
      <c r="AY68" s="34" t="inlineStr"/>
      <c r="AZ68" s="34" t="inlineStr"/>
      <c r="BA68" s="34" t="inlineStr"/>
      <c r="BB68" s="34" t="inlineStr">
        <is>
          <t>convex</t>
        </is>
      </c>
      <c r="BC68" s="34" t="inlineStr">
        <is>
          <t>convexforstartups</t>
        </is>
      </c>
      <c r="BD68" s="34" t="inlineStr">
        <is>
          <t>convex|convexforstartups</t>
        </is>
      </c>
      <c r="BE68" s="34" t="n">
        <v>1</v>
      </c>
      <c r="BF68" s="34" t="inlineStr">
        <is>
          <t>No</t>
        </is>
      </c>
    </row>
    <row r="69">
      <c r="A69" s="34" t="inlineStr">
        <is>
          <t>SB-068</t>
        </is>
      </c>
      <c r="B69" s="34" t="inlineStr">
        <is>
          <t>Customer.io</t>
        </is>
      </c>
      <c r="C69" s="34" t="inlineStr">
        <is>
          <t>Customer.io Startup Program</t>
        </is>
      </c>
      <c r="D69" s="34" t="inlineStr">
        <is>
          <t>Not stated</t>
        </is>
      </c>
      <c r="E69" s="34" t="inlineStr">
        <is>
          <t>SaaS &amp; Marketing</t>
        </is>
      </c>
      <c r="F69" s="34" t="inlineStr">
        <is>
          <t>Messaging automation</t>
        </is>
      </c>
      <c r="G69" s="34" t="inlineStr">
        <is>
          <t>Startup plan / free subscription period</t>
        </is>
      </c>
      <c r="H69" s="34" t="inlineStr">
        <is>
          <t>Up to 12 months free, up to 30,000 customer profiles.</t>
        </is>
      </c>
      <c r="I69" s="34" t="inlineStr"/>
      <c r="J69" s="34" t="inlineStr">
        <is>
          <t>USD</t>
        </is>
      </c>
      <c r="K69" s="34" t="inlineStr">
        <is>
          <t>In-Kind</t>
        </is>
      </c>
      <c r="L69" s="34" t="inlineStr"/>
      <c r="M69" s="34" t="inlineStr"/>
      <c r="N69" s="34" t="inlineStr"/>
      <c r="O69" s="34" t="inlineStr">
        <is>
          <t>Open</t>
        </is>
      </c>
      <c r="P69" s="34" t="inlineStr">
        <is>
          <t>Not verified this session</t>
        </is>
      </c>
      <c r="Q69" s="34" t="inlineStr">
        <is>
          <t>Not verified this session</t>
        </is>
      </c>
      <c r="R69" s="34" t="inlineStr">
        <is>
          <t>Not stated</t>
        </is>
      </c>
      <c r="S69" s="34" t="inlineStr">
        <is>
          <t>Not stated</t>
        </is>
      </c>
      <c r="T69" s="34" t="inlineStr">
        <is>
          <t>Not stated</t>
        </is>
      </c>
      <c r="U69" s="34" t="inlineStr">
        <is>
          <t>Unknown</t>
        </is>
      </c>
      <c r="V69" s="34" t="inlineStr">
        <is>
          <t>Unknown</t>
        </is>
      </c>
      <c r="W69" s="34" t="inlineStr">
        <is>
          <t>Not stated</t>
        </is>
      </c>
      <c r="X69" s="34" t="inlineStr">
        <is>
          <t>Unverified</t>
        </is>
      </c>
      <c r="Y69" s="34" t="inlineStr">
        <is>
          <t>Unknown</t>
        </is>
      </c>
      <c r="Z69" s="34" t="inlineStr">
        <is>
          <t>Unknown</t>
        </is>
      </c>
      <c r="AA69" s="34" t="inlineStr">
        <is>
          <t>No</t>
        </is>
      </c>
      <c r="AB69" s="34" t="inlineStr">
        <is>
          <t>Unknown</t>
        </is>
      </c>
      <c r="AC69" s="34" t="inlineStr">
        <is>
          <t>Not stated</t>
        </is>
      </c>
      <c r="AD69" s="34" t="inlineStr">
        <is>
          <t>Not stated</t>
        </is>
      </c>
      <c r="AE69" s="34" t="inlineStr">
        <is>
          <t>Not stated</t>
        </is>
      </c>
      <c r="AF69" s="34" t="inlineStr">
        <is>
          <t>Not stated</t>
        </is>
      </c>
      <c r="AG69" s="34" t="inlineStr">
        <is>
          <t>Not stated</t>
        </is>
      </c>
      <c r="AH69" s="34" t="inlineStr">
        <is>
          <t>Card required</t>
        </is>
      </c>
      <c r="AI69" s="34" t="inlineStr">
        <is>
          <t>Not stated</t>
        </is>
      </c>
      <c r="AJ69" s="34" t="inlineStr">
        <is>
          <t>https://aifree.dev/offer/customer-io-startup-program</t>
        </is>
      </c>
      <c r="AK69" s="34" t="inlineStr">
        <is>
          <t>https://aifree.dev/startup-ai-credits</t>
        </is>
      </c>
      <c r="AL69" s="34" t="inlineStr">
        <is>
          <t>Directory listing (verified Oct 2026 per directory): Up to 12 months free, up to 30,000 customer profiles.</t>
        </is>
      </c>
      <c r="AM69" s="34" t="inlineStr">
        <is>
          <t>2026-10-24</t>
        </is>
      </c>
      <c r="AN69" s="34" t="inlineStr">
        <is>
          <t>Medium</t>
        </is>
      </c>
      <c r="AO69" s="34" t="inlineStr">
        <is>
          <t>Directory</t>
        </is>
      </c>
      <c r="AP69" s="34" t="inlineStr">
        <is>
          <t>Global (unverified)</t>
        </is>
      </c>
      <c r="AQ69" s="34" t="inlineStr">
        <is>
          <t>messaging,crm</t>
        </is>
      </c>
      <c r="AR69" s="34" t="inlineStr">
        <is>
          <t>Terms taken from aifree.dev directory; official program page not opened this session. Confirm on provider site before applying.</t>
        </is>
      </c>
      <c r="AS69" s="34" t="inlineStr">
        <is>
          <t>DG-CIO</t>
        </is>
      </c>
      <c r="AT69" s="34" t="inlineStr">
        <is>
          <t>Excel only</t>
        </is>
      </c>
      <c r="AU69" s="34" t="inlineStr"/>
      <c r="AV69" s="34" t="inlineStr"/>
      <c r="AW69" s="34" t="inlineStr"/>
      <c r="AX69" s="34" t="inlineStr"/>
      <c r="AY69" s="34" t="inlineStr"/>
      <c r="AZ69" s="34" t="inlineStr"/>
      <c r="BA69" s="34" t="inlineStr"/>
      <c r="BB69" s="34" t="inlineStr">
        <is>
          <t>customerio</t>
        </is>
      </c>
      <c r="BC69" s="34" t="inlineStr">
        <is>
          <t>customeriostartupprogram</t>
        </is>
      </c>
      <c r="BD69" s="34" t="inlineStr">
        <is>
          <t>customerio|customeriostartupprogram</t>
        </is>
      </c>
      <c r="BE69" s="34" t="n">
        <v>1</v>
      </c>
      <c r="BF69" s="34" t="inlineStr">
        <is>
          <t>No</t>
        </is>
      </c>
    </row>
    <row r="70">
      <c r="A70" s="34" t="inlineStr">
        <is>
          <t>SB-069</t>
        </is>
      </c>
      <c r="B70" s="34" t="inlineStr">
        <is>
          <t>DigitalOcean</t>
        </is>
      </c>
      <c r="C70" s="34" t="inlineStr">
        <is>
          <t>DigitalOcean Hatch</t>
        </is>
      </c>
      <c r="D70" s="34" t="inlineStr">
        <is>
          <t>Not stated</t>
        </is>
      </c>
      <c r="E70" s="34" t="inlineStr">
        <is>
          <t>Cloud &amp; Infrastructure</t>
        </is>
      </c>
      <c r="F70" s="34" t="inlineStr">
        <is>
          <t>Cloud credits</t>
        </is>
      </c>
      <c r="G70" s="34" t="inlineStr">
        <is>
          <t>Startup credits (startup-specific)</t>
        </is>
      </c>
      <c r="H70" s="34" t="inlineStr">
        <is>
          <t>12-month startup program; $10,000 monthly credit limit; overage billed.</t>
        </is>
      </c>
      <c r="I70" s="34" t="inlineStr"/>
      <c r="J70" s="34" t="inlineStr">
        <is>
          <t>USD</t>
        </is>
      </c>
      <c r="K70" s="34" t="inlineStr">
        <is>
          <t>Credits</t>
        </is>
      </c>
      <c r="L70" s="34" t="inlineStr"/>
      <c r="M70" s="34" t="inlineStr"/>
      <c r="N70" s="34" t="inlineStr"/>
      <c r="O70" s="34" t="inlineStr">
        <is>
          <t>Open</t>
        </is>
      </c>
      <c r="P70" s="34" t="inlineStr">
        <is>
          <t>Not verified this session</t>
        </is>
      </c>
      <c r="Q70" s="34" t="inlineStr">
        <is>
          <t>Not verified this session</t>
        </is>
      </c>
      <c r="R70" s="34" t="inlineStr">
        <is>
          <t>Not stated</t>
        </is>
      </c>
      <c r="S70" s="34" t="inlineStr">
        <is>
          <t>Not stated</t>
        </is>
      </c>
      <c r="T70" s="34" t="inlineStr">
        <is>
          <t>Not stated</t>
        </is>
      </c>
      <c r="U70" s="34" t="inlineStr">
        <is>
          <t>Unknown</t>
        </is>
      </c>
      <c r="V70" s="34" t="inlineStr">
        <is>
          <t>Unknown</t>
        </is>
      </c>
      <c r="W70" s="34" t="inlineStr">
        <is>
          <t>Not stated</t>
        </is>
      </c>
      <c r="X70" s="34" t="inlineStr">
        <is>
          <t>Unverified</t>
        </is>
      </c>
      <c r="Y70" s="34" t="inlineStr">
        <is>
          <t>Unknown</t>
        </is>
      </c>
      <c r="Z70" s="34" t="inlineStr">
        <is>
          <t>Unknown</t>
        </is>
      </c>
      <c r="AA70" s="34" t="inlineStr">
        <is>
          <t>No</t>
        </is>
      </c>
      <c r="AB70" s="34" t="inlineStr">
        <is>
          <t>Unknown</t>
        </is>
      </c>
      <c r="AC70" s="34" t="inlineStr">
        <is>
          <t>Not stated</t>
        </is>
      </c>
      <c r="AD70" s="34" t="inlineStr">
        <is>
          <t>Not stated</t>
        </is>
      </c>
      <c r="AE70" s="34" t="inlineStr">
        <is>
          <t>Not stated</t>
        </is>
      </c>
      <c r="AF70" s="34" t="inlineStr">
        <is>
          <t>Not stated</t>
        </is>
      </c>
      <c r="AG70" s="34" t="inlineStr">
        <is>
          <t>Not stated</t>
        </is>
      </c>
      <c r="AH70" s="34" t="inlineStr">
        <is>
          <t>Card required</t>
        </is>
      </c>
      <c r="AI70" s="34" t="inlineStr">
        <is>
          <t>Total credit amount not captured in directory excerpt.</t>
        </is>
      </c>
      <c r="AJ70" s="34" t="inlineStr">
        <is>
          <t>https://aifree.dev/offer/digitalocean-hatch</t>
        </is>
      </c>
      <c r="AK70" s="34" t="inlineStr">
        <is>
          <t>https://aifree.dev/startup-ai-credits</t>
        </is>
      </c>
      <c r="AL70" s="34" t="inlineStr">
        <is>
          <t>Directory listing (verified Oct 2026 per directory): 12-month startup program; $10,000 monthly credit limit; overage billed.</t>
        </is>
      </c>
      <c r="AM70" s="34" t="inlineStr">
        <is>
          <t>2026-10-24</t>
        </is>
      </c>
      <c r="AN70" s="34" t="inlineStr">
        <is>
          <t>Medium</t>
        </is>
      </c>
      <c r="AO70" s="34" t="inlineStr">
        <is>
          <t>Directory</t>
        </is>
      </c>
      <c r="AP70" s="34" t="inlineStr">
        <is>
          <t>Global (unverified)</t>
        </is>
      </c>
      <c r="AQ70" s="34" t="inlineStr">
        <is>
          <t>Not stated</t>
        </is>
      </c>
      <c r="AR70" s="34" t="inlineStr">
        <is>
          <t>Terms taken from aifree.dev directory; official program page not opened this session. Confirm on provider site before applying.</t>
        </is>
      </c>
      <c r="AS70" s="34" t="inlineStr">
        <is>
          <t>DG-DO</t>
        </is>
      </c>
      <c r="AT70" s="34" t="inlineStr">
        <is>
          <t>Excel + GitHub repo</t>
        </is>
      </c>
      <c r="AU70" s="34" t="inlineStr">
        <is>
          <t>digitalocean-startups</t>
        </is>
      </c>
      <c r="AV70" s="34" t="inlineStr">
        <is>
          <t>No public code verified</t>
        </is>
      </c>
      <c r="AW70" s="34" t="inlineStr">
        <is>
          <t>Not published</t>
        </is>
      </c>
      <c r="AX70" s="34" t="inlineStr">
        <is>
          <t>https://sammydigitalocean.typeform.com/hatch</t>
        </is>
      </c>
      <c r="AY70" s="34" t="inlineStr">
        <is>
          <t>No provider-published coupon code found in the verified source; do not treat third-party codes as confirmed.</t>
        </is>
      </c>
      <c r="AZ70" s="34" t="inlineStr">
        <is>
          <t>Conservative fuzzy match (1.02)</t>
        </is>
      </c>
      <c r="BA70" s="34" t="inlineStr">
        <is>
          <t>No reliable community code confirmation recorded</t>
        </is>
      </c>
      <c r="BB70" s="34" t="inlineStr">
        <is>
          <t>digitalocean</t>
        </is>
      </c>
      <c r="BC70" s="34" t="inlineStr">
        <is>
          <t>digitaloceanhatch</t>
        </is>
      </c>
      <c r="BD70" s="34" t="inlineStr">
        <is>
          <t>digitalocean|digitaloceanhatch</t>
        </is>
      </c>
      <c r="BE70" s="34" t="n">
        <v>1</v>
      </c>
      <c r="BF70" s="34" t="inlineStr">
        <is>
          <t>No</t>
        </is>
      </c>
    </row>
    <row r="71">
      <c r="A71" s="34" t="inlineStr">
        <is>
          <t>SB-070</t>
        </is>
      </c>
      <c r="B71" s="34" t="inlineStr">
        <is>
          <t>Exoscale</t>
        </is>
      </c>
      <c r="C71" s="34" t="inlineStr">
        <is>
          <t>Exoscale trial credit</t>
        </is>
      </c>
      <c r="D71" s="34" t="inlineStr">
        <is>
          <t>Not stated</t>
        </is>
      </c>
      <c r="E71" s="34" t="inlineStr">
        <is>
          <t>Cloud &amp; Infrastructure</t>
        </is>
      </c>
      <c r="F71" s="34" t="inlineStr">
        <is>
          <t>Trial credit</t>
        </is>
      </c>
      <c r="G71" s="34" t="inlineStr">
        <is>
          <t>Free trial credit (not startup-exclusive)</t>
        </is>
      </c>
      <c r="H71" s="34" t="inlineStr">
        <is>
          <t>20 EUR or CHF free credit; card must be saved.</t>
        </is>
      </c>
      <c r="I71" s="34" t="inlineStr">
        <is>
          <t>20</t>
        </is>
      </c>
      <c r="J71" s="34" t="inlineStr">
        <is>
          <t>EUR</t>
        </is>
      </c>
      <c r="K71" s="34" t="inlineStr">
        <is>
          <t>Credits</t>
        </is>
      </c>
      <c r="L71" s="34" t="inlineStr"/>
      <c r="M71" s="34" t="inlineStr"/>
      <c r="N71" s="34" t="inlineStr"/>
      <c r="O71" s="34" t="inlineStr">
        <is>
          <t>Open</t>
        </is>
      </c>
      <c r="P71" s="34" t="inlineStr">
        <is>
          <t>Not verified this session</t>
        </is>
      </c>
      <c r="Q71" s="34" t="inlineStr">
        <is>
          <t>Not verified this session</t>
        </is>
      </c>
      <c r="R71" s="34" t="inlineStr">
        <is>
          <t>Not stated</t>
        </is>
      </c>
      <c r="S71" s="34" t="inlineStr">
        <is>
          <t>Not stated</t>
        </is>
      </c>
      <c r="T71" s="34" t="inlineStr">
        <is>
          <t>Not stated</t>
        </is>
      </c>
      <c r="U71" s="34" t="inlineStr">
        <is>
          <t>Unknown</t>
        </is>
      </c>
      <c r="V71" s="34" t="inlineStr">
        <is>
          <t>Unknown</t>
        </is>
      </c>
      <c r="W71" s="34" t="inlineStr">
        <is>
          <t>Not stated</t>
        </is>
      </c>
      <c r="X71" s="34" t="inlineStr">
        <is>
          <t>Unverified</t>
        </is>
      </c>
      <c r="Y71" s="34" t="inlineStr">
        <is>
          <t>Unknown</t>
        </is>
      </c>
      <c r="Z71" s="34" t="inlineStr">
        <is>
          <t>Unknown</t>
        </is>
      </c>
      <c r="AA71" s="34" t="inlineStr">
        <is>
          <t>No</t>
        </is>
      </c>
      <c r="AB71" s="34" t="inlineStr">
        <is>
          <t>Unknown</t>
        </is>
      </c>
      <c r="AC71" s="34" t="inlineStr">
        <is>
          <t>Not stated</t>
        </is>
      </c>
      <c r="AD71" s="34" t="inlineStr">
        <is>
          <t>Not stated</t>
        </is>
      </c>
      <c r="AE71" s="34" t="inlineStr">
        <is>
          <t>Not stated</t>
        </is>
      </c>
      <c r="AF71" s="34" t="inlineStr">
        <is>
          <t>Not stated</t>
        </is>
      </c>
      <c r="AG71" s="34" t="inlineStr">
        <is>
          <t>Not stated</t>
        </is>
      </c>
      <c r="AH71" s="34" t="inlineStr">
        <is>
          <t>Card required</t>
        </is>
      </c>
      <c r="AI71" s="34" t="inlineStr">
        <is>
          <t>Not stated</t>
        </is>
      </c>
      <c r="AJ71" s="34" t="inlineStr">
        <is>
          <t>https://aifree.dev/offer/exoscale-free-trial-credit</t>
        </is>
      </c>
      <c r="AK71" s="34" t="inlineStr">
        <is>
          <t>https://aifree.dev/startup-ai-credits</t>
        </is>
      </c>
      <c r="AL71" s="34" t="inlineStr">
        <is>
          <t>Directory listing (verified Oct 2026 per directory): 20 EUR or CHF free credit; card must be saved.</t>
        </is>
      </c>
      <c r="AM71" s="34" t="inlineStr">
        <is>
          <t>2026-10-24</t>
        </is>
      </c>
      <c r="AN71" s="34" t="inlineStr">
        <is>
          <t>Medium</t>
        </is>
      </c>
      <c r="AO71" s="34" t="inlineStr">
        <is>
          <t>Directory</t>
        </is>
      </c>
      <c r="AP71" s="34" t="inlineStr">
        <is>
          <t>Global (unverified)</t>
        </is>
      </c>
      <c r="AQ71" s="34" t="inlineStr">
        <is>
          <t>Not stated</t>
        </is>
      </c>
      <c r="AR71" s="34" t="inlineStr">
        <is>
          <t>Terms taken from aifree.dev directory; official program page not opened this session. Confirm on provider site before applying.</t>
        </is>
      </c>
      <c r="AS71" s="34" t="inlineStr">
        <is>
          <t>DG-EXO</t>
        </is>
      </c>
      <c r="AT71" s="34" t="inlineStr">
        <is>
          <t>Excel only</t>
        </is>
      </c>
      <c r="AU71" s="34" t="inlineStr"/>
      <c r="AV71" s="34" t="inlineStr"/>
      <c r="AW71" s="34" t="inlineStr"/>
      <c r="AX71" s="34" t="inlineStr"/>
      <c r="AY71" s="34" t="inlineStr"/>
      <c r="AZ71" s="34" t="inlineStr"/>
      <c r="BA71" s="34" t="inlineStr"/>
      <c r="BB71" s="34" t="inlineStr">
        <is>
          <t>exoscale</t>
        </is>
      </c>
      <c r="BC71" s="34" t="inlineStr">
        <is>
          <t>exoscaletrialcredit</t>
        </is>
      </c>
      <c r="BD71" s="34" t="inlineStr">
        <is>
          <t>exoscale|exoscaletrialcredit</t>
        </is>
      </c>
      <c r="BE71" s="34" t="n">
        <v>1</v>
      </c>
      <c r="BF71" s="34" t="inlineStr">
        <is>
          <t>No</t>
        </is>
      </c>
    </row>
    <row r="72">
      <c r="A72" s="34" t="inlineStr">
        <is>
          <t>SB-071</t>
        </is>
      </c>
      <c r="B72" s="34" t="inlineStr">
        <is>
          <t>Fireworks AI</t>
        </is>
      </c>
      <c r="C72" s="34" t="inlineStr">
        <is>
          <t>Fireworks for Startups</t>
        </is>
      </c>
      <c r="D72" s="34" t="inlineStr">
        <is>
          <t>Not stated</t>
        </is>
      </c>
      <c r="E72" s="34" t="inlineStr">
        <is>
          <t>AI &amp; LLM Credits</t>
        </is>
      </c>
      <c r="F72" s="34" t="inlineStr">
        <is>
          <t>Inference credits</t>
        </is>
      </c>
      <c r="G72" s="34" t="inlineStr">
        <is>
          <t>Startup credits (startup-specific)</t>
        </is>
      </c>
      <c r="H72" s="34" t="inlineStr">
        <is>
          <t>Build credits expire after 1 year and auto-apply to usage; amount not captured.</t>
        </is>
      </c>
      <c r="I72" s="34" t="inlineStr"/>
      <c r="J72" s="34" t="inlineStr">
        <is>
          <t>USD</t>
        </is>
      </c>
      <c r="K72" s="34" t="inlineStr">
        <is>
          <t>Credits</t>
        </is>
      </c>
      <c r="L72" s="34" t="inlineStr"/>
      <c r="M72" s="34" t="inlineStr"/>
      <c r="N72" s="34" t="inlineStr"/>
      <c r="O72" s="34" t="inlineStr">
        <is>
          <t>Open</t>
        </is>
      </c>
      <c r="P72" s="34" t="inlineStr">
        <is>
          <t>Not verified this session</t>
        </is>
      </c>
      <c r="Q72" s="34" t="inlineStr">
        <is>
          <t>Not verified this session</t>
        </is>
      </c>
      <c r="R72" s="34" t="inlineStr">
        <is>
          <t>Not stated</t>
        </is>
      </c>
      <c r="S72" s="34" t="inlineStr">
        <is>
          <t>Not stated</t>
        </is>
      </c>
      <c r="T72" s="34" t="inlineStr">
        <is>
          <t>Not stated</t>
        </is>
      </c>
      <c r="U72" s="34" t="inlineStr">
        <is>
          <t>Unknown</t>
        </is>
      </c>
      <c r="V72" s="34" t="inlineStr">
        <is>
          <t>Unknown</t>
        </is>
      </c>
      <c r="W72" s="34" t="inlineStr">
        <is>
          <t>Not stated</t>
        </is>
      </c>
      <c r="X72" s="34" t="inlineStr">
        <is>
          <t>Unverified</t>
        </is>
      </c>
      <c r="Y72" s="34" t="inlineStr">
        <is>
          <t>Unknown</t>
        </is>
      </c>
      <c r="Z72" s="34" t="inlineStr">
        <is>
          <t>Unknown</t>
        </is>
      </c>
      <c r="AA72" s="34" t="inlineStr">
        <is>
          <t>Yes</t>
        </is>
      </c>
      <c r="AB72" s="34" t="inlineStr">
        <is>
          <t>Unknown</t>
        </is>
      </c>
      <c r="AC72" s="34" t="inlineStr">
        <is>
          <t>Not stated</t>
        </is>
      </c>
      <c r="AD72" s="34" t="inlineStr">
        <is>
          <t>Not stated</t>
        </is>
      </c>
      <c r="AE72" s="34" t="inlineStr">
        <is>
          <t>Not stated</t>
        </is>
      </c>
      <c r="AF72" s="34" t="inlineStr">
        <is>
          <t>Not stated</t>
        </is>
      </c>
      <c r="AG72" s="34" t="inlineStr">
        <is>
          <t>Not stated</t>
        </is>
      </c>
      <c r="AH72" s="34" t="inlineStr">
        <is>
          <t>No card required</t>
        </is>
      </c>
      <c r="AI72" s="34" t="inlineStr">
        <is>
          <t>Not stated</t>
        </is>
      </c>
      <c r="AJ72" s="34" t="inlineStr">
        <is>
          <t>https://aifree.dev/offer/fireworks-ai-startup-program</t>
        </is>
      </c>
      <c r="AK72" s="34" t="inlineStr">
        <is>
          <t>https://aifree.dev/startup-ai-credits</t>
        </is>
      </c>
      <c r="AL72" s="34" t="inlineStr">
        <is>
          <t>Directory listing (verified Oct 2026 per directory): Build credits expire after 1 year and auto-apply to usage; amount not captured.</t>
        </is>
      </c>
      <c r="AM72" s="34" t="inlineStr">
        <is>
          <t>2026-10-24</t>
        </is>
      </c>
      <c r="AN72" s="34" t="inlineStr">
        <is>
          <t>Medium</t>
        </is>
      </c>
      <c r="AO72" s="34" t="inlineStr">
        <is>
          <t>Directory</t>
        </is>
      </c>
      <c r="AP72" s="34" t="inlineStr">
        <is>
          <t>Global (unverified)</t>
        </is>
      </c>
      <c r="AQ72" s="34" t="inlineStr">
        <is>
          <t>ai,inference</t>
        </is>
      </c>
      <c r="AR72" s="34" t="inlineStr">
        <is>
          <t>Terms taken from aifree.dev directory; official program page not opened this session. Confirm on provider site before applying.</t>
        </is>
      </c>
      <c r="AS72" s="34" t="inlineStr">
        <is>
          <t>DG-FIRE</t>
        </is>
      </c>
      <c r="AT72" s="34" t="inlineStr">
        <is>
          <t>Excel only</t>
        </is>
      </c>
      <c r="AU72" s="34" t="inlineStr"/>
      <c r="AV72" s="34" t="inlineStr"/>
      <c r="AW72" s="34" t="inlineStr"/>
      <c r="AX72" s="34" t="inlineStr"/>
      <c r="AY72" s="34" t="inlineStr"/>
      <c r="AZ72" s="34" t="inlineStr"/>
      <c r="BA72" s="34" t="inlineStr"/>
      <c r="BB72" s="34" t="inlineStr">
        <is>
          <t>fireworksai</t>
        </is>
      </c>
      <c r="BC72" s="34" t="inlineStr">
        <is>
          <t>fireworksforstartups</t>
        </is>
      </c>
      <c r="BD72" s="34" t="inlineStr">
        <is>
          <t>fireworksai|fireworksforstartups</t>
        </is>
      </c>
      <c r="BE72" s="34" t="n">
        <v>1</v>
      </c>
      <c r="BF72" s="34" t="inlineStr">
        <is>
          <t>No</t>
        </is>
      </c>
    </row>
    <row r="73">
      <c r="A73" s="34" t="inlineStr">
        <is>
          <t>SB-072</t>
        </is>
      </c>
      <c r="B73" s="34" t="inlineStr">
        <is>
          <t>Koyeb</t>
        </is>
      </c>
      <c r="C73" s="34" t="inlineStr">
        <is>
          <t>Koyeb free web service and Postgres</t>
        </is>
      </c>
      <c r="D73" s="34" t="inlineStr">
        <is>
          <t>Not stated</t>
        </is>
      </c>
      <c r="E73" s="34" t="inlineStr">
        <is>
          <t>Cloud &amp; Infrastructure</t>
        </is>
      </c>
      <c r="F73" s="34" t="inlineStr">
        <is>
          <t>Free tier</t>
        </is>
      </c>
      <c r="G73" s="34" t="inlineStr">
        <is>
          <t>Free tier (ongoing, not startup-exclusive)</t>
        </is>
      </c>
      <c r="H73" s="34" t="inlineStr">
        <is>
          <t>One free web service (512MB RAM, 0.1 vCPU); free service only in selected region.</t>
        </is>
      </c>
      <c r="I73" s="34" t="inlineStr"/>
      <c r="J73" s="34" t="inlineStr">
        <is>
          <t>USD</t>
        </is>
      </c>
      <c r="K73" s="34" t="inlineStr">
        <is>
          <t>In-Kind</t>
        </is>
      </c>
      <c r="L73" s="34" t="inlineStr"/>
      <c r="M73" s="34" t="inlineStr"/>
      <c r="N73" s="34" t="inlineStr"/>
      <c r="O73" s="34" t="inlineStr">
        <is>
          <t>Open</t>
        </is>
      </c>
      <c r="P73" s="34" t="inlineStr">
        <is>
          <t>Not verified this session</t>
        </is>
      </c>
      <c r="Q73" s="34" t="inlineStr">
        <is>
          <t>Not verified this session</t>
        </is>
      </c>
      <c r="R73" s="34" t="inlineStr">
        <is>
          <t>Not stated</t>
        </is>
      </c>
      <c r="S73" s="34" t="inlineStr">
        <is>
          <t>Not stated</t>
        </is>
      </c>
      <c r="T73" s="34" t="inlineStr">
        <is>
          <t>Not stated</t>
        </is>
      </c>
      <c r="U73" s="34" t="inlineStr">
        <is>
          <t>Unknown</t>
        </is>
      </c>
      <c r="V73" s="34" t="inlineStr">
        <is>
          <t>Unknown</t>
        </is>
      </c>
      <c r="W73" s="34" t="inlineStr">
        <is>
          <t>Not stated</t>
        </is>
      </c>
      <c r="X73" s="34" t="inlineStr">
        <is>
          <t>Unverified</t>
        </is>
      </c>
      <c r="Y73" s="34" t="inlineStr">
        <is>
          <t>Unknown</t>
        </is>
      </c>
      <c r="Z73" s="34" t="inlineStr">
        <is>
          <t>Unknown</t>
        </is>
      </c>
      <c r="AA73" s="34" t="inlineStr">
        <is>
          <t>No</t>
        </is>
      </c>
      <c r="AB73" s="34" t="inlineStr">
        <is>
          <t>Unknown</t>
        </is>
      </c>
      <c r="AC73" s="34" t="inlineStr">
        <is>
          <t>Not stated</t>
        </is>
      </c>
      <c r="AD73" s="34" t="inlineStr">
        <is>
          <t>Not stated</t>
        </is>
      </c>
      <c r="AE73" s="34" t="inlineStr">
        <is>
          <t>Not stated</t>
        </is>
      </c>
      <c r="AF73" s="34" t="inlineStr">
        <is>
          <t>Not stated</t>
        </is>
      </c>
      <c r="AG73" s="34" t="inlineStr">
        <is>
          <t>Not stated</t>
        </is>
      </c>
      <c r="AH73" s="34" t="inlineStr">
        <is>
          <t>Card required</t>
        </is>
      </c>
      <c r="AI73" s="34" t="inlineStr">
        <is>
          <t>Not stated</t>
        </is>
      </c>
      <c r="AJ73" s="34" t="inlineStr">
        <is>
          <t>https://aifree.dev/offer/koyeb-free-tier</t>
        </is>
      </c>
      <c r="AK73" s="34" t="inlineStr">
        <is>
          <t>https://aifree.dev/startup-ai-credits</t>
        </is>
      </c>
      <c r="AL73" s="34" t="inlineStr">
        <is>
          <t>Directory listing (verified Oct 2026 per directory): One free web service (512MB RAM, 0.1 vCPU); free service only in selected region.</t>
        </is>
      </c>
      <c r="AM73" s="34" t="inlineStr">
        <is>
          <t>2026-10-24</t>
        </is>
      </c>
      <c r="AN73" s="34" t="inlineStr">
        <is>
          <t>Medium</t>
        </is>
      </c>
      <c r="AO73" s="34" t="inlineStr">
        <is>
          <t>Directory</t>
        </is>
      </c>
      <c r="AP73" s="34" t="inlineStr">
        <is>
          <t>Global (unverified)</t>
        </is>
      </c>
      <c r="AQ73" s="34" t="inlineStr">
        <is>
          <t>Not stated</t>
        </is>
      </c>
      <c r="AR73" s="34" t="inlineStr">
        <is>
          <t>Terms taken from aifree.dev directory; official program page not opened this session. Confirm on provider site before applying.</t>
        </is>
      </c>
      <c r="AS73" s="34" t="inlineStr">
        <is>
          <t>DG-KOYEB</t>
        </is>
      </c>
      <c r="AT73" s="34" t="inlineStr">
        <is>
          <t>Excel only</t>
        </is>
      </c>
      <c r="AU73" s="34" t="inlineStr"/>
      <c r="AV73" s="34" t="inlineStr"/>
      <c r="AW73" s="34" t="inlineStr"/>
      <c r="AX73" s="34" t="inlineStr"/>
      <c r="AY73" s="34" t="inlineStr"/>
      <c r="AZ73" s="34" t="inlineStr"/>
      <c r="BA73" s="34" t="inlineStr"/>
      <c r="BB73" s="34" t="inlineStr">
        <is>
          <t>koyeb</t>
        </is>
      </c>
      <c r="BC73" s="34" t="inlineStr">
        <is>
          <t>koyebfreewebserviceandpostgres</t>
        </is>
      </c>
      <c r="BD73" s="34" t="inlineStr">
        <is>
          <t>koyeb|koyebfreewebserviceandpostgres</t>
        </is>
      </c>
      <c r="BE73" s="34" t="n">
        <v>1</v>
      </c>
      <c r="BF73" s="34" t="inlineStr">
        <is>
          <t>No</t>
        </is>
      </c>
    </row>
    <row r="74">
      <c r="A74" s="34" t="inlineStr">
        <is>
          <t>SB-073</t>
        </is>
      </c>
      <c r="B74" s="34" t="inlineStr">
        <is>
          <t>Linear</t>
        </is>
      </c>
      <c r="C74" s="34" t="inlineStr">
        <is>
          <t>Linear Startup Program</t>
        </is>
      </c>
      <c r="D74" s="34" t="inlineStr">
        <is>
          <t>Not stated</t>
        </is>
      </c>
      <c r="E74" s="34" t="inlineStr">
        <is>
          <t>SaaS &amp; Marketing</t>
        </is>
      </c>
      <c r="F74" s="34" t="inlineStr">
        <is>
          <t>Project management</t>
        </is>
      </c>
      <c r="G74" s="34" t="inlineStr">
        <is>
          <t>Startup plan / free subscription period</t>
        </is>
      </c>
      <c r="H74" s="34" t="inlineStr">
        <is>
          <t>Must be affiliated with an official Linear partner; non-paying Linear users only.</t>
        </is>
      </c>
      <c r="I74" s="34" t="inlineStr"/>
      <c r="J74" s="34" t="inlineStr">
        <is>
          <t>USD</t>
        </is>
      </c>
      <c r="K74" s="34" t="inlineStr">
        <is>
          <t>In-Kind</t>
        </is>
      </c>
      <c r="L74" s="34" t="inlineStr"/>
      <c r="M74" s="34" t="inlineStr"/>
      <c r="N74" s="34" t="inlineStr"/>
      <c r="O74" s="34" t="inlineStr">
        <is>
          <t>Open</t>
        </is>
      </c>
      <c r="P74" s="34" t="inlineStr">
        <is>
          <t>Not verified this session</t>
        </is>
      </c>
      <c r="Q74" s="34" t="inlineStr">
        <is>
          <t>Not verified this session</t>
        </is>
      </c>
      <c r="R74" s="34" t="inlineStr">
        <is>
          <t>Not stated</t>
        </is>
      </c>
      <c r="S74" s="34" t="inlineStr">
        <is>
          <t>Not stated</t>
        </is>
      </c>
      <c r="T74" s="34" t="inlineStr">
        <is>
          <t>Not stated</t>
        </is>
      </c>
      <c r="U74" s="34" t="inlineStr">
        <is>
          <t>Unknown</t>
        </is>
      </c>
      <c r="V74" s="34" t="inlineStr">
        <is>
          <t>Unknown</t>
        </is>
      </c>
      <c r="W74" s="34" t="inlineStr">
        <is>
          <t>Not stated</t>
        </is>
      </c>
      <c r="X74" s="34" t="inlineStr">
        <is>
          <t>Unverified</t>
        </is>
      </c>
      <c r="Y74" s="34" t="inlineStr">
        <is>
          <t>Unknown</t>
        </is>
      </c>
      <c r="Z74" s="34" t="inlineStr">
        <is>
          <t>Unknown</t>
        </is>
      </c>
      <c r="AA74" s="34" t="inlineStr">
        <is>
          <t>No</t>
        </is>
      </c>
      <c r="AB74" s="34" t="inlineStr">
        <is>
          <t>Yes</t>
        </is>
      </c>
      <c r="AC74" s="34" t="inlineStr">
        <is>
          <t>Not stated</t>
        </is>
      </c>
      <c r="AD74" s="34" t="inlineStr">
        <is>
          <t>Not stated</t>
        </is>
      </c>
      <c r="AE74" s="34" t="inlineStr">
        <is>
          <t>Not stated</t>
        </is>
      </c>
      <c r="AF74" s="34" t="inlineStr">
        <is>
          <t>Not stated</t>
        </is>
      </c>
      <c r="AG74" s="34" t="inlineStr">
        <is>
          <t>Not stated</t>
        </is>
      </c>
      <c r="AH74" s="34" t="inlineStr">
        <is>
          <t>No card required</t>
        </is>
      </c>
      <c r="AI74" s="34" t="inlineStr">
        <is>
          <t>Not stated</t>
        </is>
      </c>
      <c r="AJ74" s="34" t="inlineStr">
        <is>
          <t>https://aifree.dev/offer/linear-startup-program</t>
        </is>
      </c>
      <c r="AK74" s="34" t="inlineStr">
        <is>
          <t>https://aifree.dev/startup-ai-credits</t>
        </is>
      </c>
      <c r="AL74" s="34" t="inlineStr">
        <is>
          <t>Directory listing (verified Oct 2026 per directory): Must be affiliated with an official Linear partner; non-paying Linear users only.</t>
        </is>
      </c>
      <c r="AM74" s="34" t="inlineStr">
        <is>
          <t>2026-10-24</t>
        </is>
      </c>
      <c r="AN74" s="34" t="inlineStr">
        <is>
          <t>Medium</t>
        </is>
      </c>
      <c r="AO74" s="34" t="inlineStr">
        <is>
          <t>Directory</t>
        </is>
      </c>
      <c r="AP74" s="34" t="inlineStr">
        <is>
          <t>Global (unverified)</t>
        </is>
      </c>
      <c r="AQ74" s="34" t="inlineStr">
        <is>
          <t>Not stated</t>
        </is>
      </c>
      <c r="AR74" s="34" t="inlineStr">
        <is>
          <t>Terms taken from aifree.dev directory; official program page not opened this session. Confirm on provider site before applying.</t>
        </is>
      </c>
      <c r="AS74" s="34" t="inlineStr">
        <is>
          <t>DG-LINEAR</t>
        </is>
      </c>
      <c r="AT74" s="34" t="inlineStr">
        <is>
          <t>Excel only</t>
        </is>
      </c>
      <c r="AU74" s="34" t="inlineStr"/>
      <c r="AV74" s="34" t="inlineStr"/>
      <c r="AW74" s="34" t="inlineStr"/>
      <c r="AX74" s="34" t="inlineStr"/>
      <c r="AY74" s="34" t="inlineStr"/>
      <c r="AZ74" s="34" t="inlineStr"/>
      <c r="BA74" s="34" t="inlineStr"/>
      <c r="BB74" s="34" t="inlineStr">
        <is>
          <t>linear</t>
        </is>
      </c>
      <c r="BC74" s="34" t="inlineStr">
        <is>
          <t>linearstartupprogram</t>
        </is>
      </c>
      <c r="BD74" s="34" t="inlineStr">
        <is>
          <t>linear|linearstartupprogram</t>
        </is>
      </c>
      <c r="BE74" s="34" t="n">
        <v>1</v>
      </c>
      <c r="BF74" s="34" t="inlineStr">
        <is>
          <t>No</t>
        </is>
      </c>
    </row>
    <row r="75">
      <c r="A75" s="34" t="inlineStr">
        <is>
          <t>SB-074</t>
        </is>
      </c>
      <c r="B75" s="34" t="inlineStr">
        <is>
          <t>Mintlify</t>
        </is>
      </c>
      <c r="C75" s="34" t="inlineStr">
        <is>
          <t>Mintlify Startup Program</t>
        </is>
      </c>
      <c r="D75" s="34" t="inlineStr">
        <is>
          <t>Not stated</t>
        </is>
      </c>
      <c r="E75" s="34" t="inlineStr">
        <is>
          <t>SaaS &amp; Marketing</t>
        </is>
      </c>
      <c r="F75" s="34" t="inlineStr">
        <is>
          <t>Documentation platform</t>
        </is>
      </c>
      <c r="G75" s="34" t="inlineStr">
        <is>
          <t>Startup plan / free subscription period</t>
        </is>
      </c>
      <c r="H75" s="34" t="inlineStr">
        <is>
          <t>12 months free for the current YC batch; 50% off Pro for 12 months for other startups.</t>
        </is>
      </c>
      <c r="I75" s="34" t="inlineStr"/>
      <c r="J75" s="34" t="inlineStr">
        <is>
          <t>USD</t>
        </is>
      </c>
      <c r="K75" s="34" t="inlineStr">
        <is>
          <t>Discount</t>
        </is>
      </c>
      <c r="L75" s="34" t="inlineStr"/>
      <c r="M75" s="34" t="inlineStr"/>
      <c r="N75" s="34" t="inlineStr">
        <is>
          <t>0.5</t>
        </is>
      </c>
      <c r="O75" s="34" t="inlineStr">
        <is>
          <t>Open</t>
        </is>
      </c>
      <c r="P75" s="34" t="inlineStr">
        <is>
          <t>Not verified this session</t>
        </is>
      </c>
      <c r="Q75" s="34" t="inlineStr">
        <is>
          <t>Not verified this session</t>
        </is>
      </c>
      <c r="R75" s="34" t="inlineStr">
        <is>
          <t>Not stated</t>
        </is>
      </c>
      <c r="S75" s="34" t="inlineStr">
        <is>
          <t>Not stated</t>
        </is>
      </c>
      <c r="T75" s="34" t="inlineStr">
        <is>
          <t>Not stated</t>
        </is>
      </c>
      <c r="U75" s="34" t="inlineStr">
        <is>
          <t>Unknown</t>
        </is>
      </c>
      <c r="V75" s="34" t="inlineStr">
        <is>
          <t>Unknown</t>
        </is>
      </c>
      <c r="W75" s="34" t="inlineStr">
        <is>
          <t>Not stated</t>
        </is>
      </c>
      <c r="X75" s="34" t="inlineStr">
        <is>
          <t>Unverified</t>
        </is>
      </c>
      <c r="Y75" s="34" t="inlineStr">
        <is>
          <t>Unknown</t>
        </is>
      </c>
      <c r="Z75" s="34" t="inlineStr">
        <is>
          <t>Unknown</t>
        </is>
      </c>
      <c r="AA75" s="34" t="inlineStr">
        <is>
          <t>No</t>
        </is>
      </c>
      <c r="AB75" s="34" t="inlineStr">
        <is>
          <t>Unknown</t>
        </is>
      </c>
      <c r="AC75" s="34" t="inlineStr">
        <is>
          <t>Not stated</t>
        </is>
      </c>
      <c r="AD75" s="34" t="inlineStr">
        <is>
          <t>Not stated</t>
        </is>
      </c>
      <c r="AE75" s="34" t="inlineStr">
        <is>
          <t>Not stated</t>
        </is>
      </c>
      <c r="AF75" s="34" t="inlineStr">
        <is>
          <t>Not stated</t>
        </is>
      </c>
      <c r="AG75" s="34" t="inlineStr">
        <is>
          <t>Not stated</t>
        </is>
      </c>
      <c r="AH75" s="34" t="inlineStr">
        <is>
          <t>No card required</t>
        </is>
      </c>
      <c r="AI75" s="34" t="inlineStr">
        <is>
          <t>Free tier is for current YC batch only.</t>
        </is>
      </c>
      <c r="AJ75" s="34" t="inlineStr">
        <is>
          <t>https://aifree.dev/offer/mintlify-startup-program</t>
        </is>
      </c>
      <c r="AK75" s="34" t="inlineStr">
        <is>
          <t>https://aifree.dev/startup-ai-credits</t>
        </is>
      </c>
      <c r="AL75" s="34" t="inlineStr">
        <is>
          <t>Directory listing (verified Oct 2026 per directory): 12 months free for the current YC batch; 50% off Pro for 12 months for other startups.</t>
        </is>
      </c>
      <c r="AM75" s="34" t="inlineStr">
        <is>
          <t>2026-10-24</t>
        </is>
      </c>
      <c r="AN75" s="34" t="inlineStr">
        <is>
          <t>Medium</t>
        </is>
      </c>
      <c r="AO75" s="34" t="inlineStr">
        <is>
          <t>Directory</t>
        </is>
      </c>
      <c r="AP75" s="34" t="inlineStr">
        <is>
          <t>Global (unverified)</t>
        </is>
      </c>
      <c r="AQ75" s="34" t="inlineStr">
        <is>
          <t>Not stated</t>
        </is>
      </c>
      <c r="AR75" s="34" t="inlineStr">
        <is>
          <t>Terms taken from aifree.dev directory; official program page not opened this session. Confirm on provider site before applying.</t>
        </is>
      </c>
      <c r="AS75" s="34" t="inlineStr">
        <is>
          <t>DG-MINT</t>
        </is>
      </c>
      <c r="AT75" s="34" t="inlineStr">
        <is>
          <t>Excel only</t>
        </is>
      </c>
      <c r="AU75" s="34" t="inlineStr"/>
      <c r="AV75" s="34" t="inlineStr"/>
      <c r="AW75" s="34" t="inlineStr"/>
      <c r="AX75" s="34" t="inlineStr"/>
      <c r="AY75" s="34" t="inlineStr"/>
      <c r="AZ75" s="34" t="inlineStr"/>
      <c r="BA75" s="34" t="inlineStr"/>
      <c r="BB75" s="34" t="inlineStr">
        <is>
          <t>mintlify</t>
        </is>
      </c>
      <c r="BC75" s="34" t="inlineStr">
        <is>
          <t>mintlifystartupprogram</t>
        </is>
      </c>
      <c r="BD75" s="34" t="inlineStr">
        <is>
          <t>mintlify|mintlifystartupprogram</t>
        </is>
      </c>
      <c r="BE75" s="34" t="n">
        <v>1</v>
      </c>
      <c r="BF75" s="34" t="inlineStr">
        <is>
          <t>No</t>
        </is>
      </c>
    </row>
    <row r="76">
      <c r="A76" s="34" t="inlineStr">
        <is>
          <t>SB-075</t>
        </is>
      </c>
      <c r="B76" s="34" t="inlineStr">
        <is>
          <t>Modal</t>
        </is>
      </c>
      <c r="C76" s="34" t="inlineStr">
        <is>
          <t>Modal for Startups</t>
        </is>
      </c>
      <c r="D76" s="34" t="inlineStr">
        <is>
          <t>Not stated</t>
        </is>
      </c>
      <c r="E76" s="34" t="inlineStr">
        <is>
          <t>AI &amp; LLM Credits</t>
        </is>
      </c>
      <c r="F76" s="34" t="inlineStr">
        <is>
          <t>Serverless GPU credits</t>
        </is>
      </c>
      <c r="G76" s="34" t="inlineStr">
        <is>
          <t>Startup credits (startup-specific)</t>
        </is>
      </c>
      <c r="H76" s="34" t="inlineStr">
        <is>
          <t>One-time credit grant by tier (Tier 1 for Seed to Series A); amounts truncated on directory.</t>
        </is>
      </c>
      <c r="I76" s="34" t="inlineStr"/>
      <c r="J76" s="34" t="inlineStr">
        <is>
          <t>USD</t>
        </is>
      </c>
      <c r="K76" s="34" t="inlineStr">
        <is>
          <t>Credits</t>
        </is>
      </c>
      <c r="L76" s="34" t="inlineStr"/>
      <c r="M76" s="34" t="inlineStr"/>
      <c r="N76" s="34" t="inlineStr"/>
      <c r="O76" s="34" t="inlineStr">
        <is>
          <t>Open</t>
        </is>
      </c>
      <c r="P76" s="34" t="inlineStr">
        <is>
          <t>Not verified this session</t>
        </is>
      </c>
      <c r="Q76" s="34" t="inlineStr">
        <is>
          <t>Not verified this session</t>
        </is>
      </c>
      <c r="R76" s="34" t="inlineStr">
        <is>
          <t>Not stated</t>
        </is>
      </c>
      <c r="S76" s="34" t="inlineStr">
        <is>
          <t>Not stated</t>
        </is>
      </c>
      <c r="T76" s="34" t="inlineStr">
        <is>
          <t>Not stated</t>
        </is>
      </c>
      <c r="U76" s="34" t="inlineStr">
        <is>
          <t>Unknown</t>
        </is>
      </c>
      <c r="V76" s="34" t="inlineStr">
        <is>
          <t>Unknown</t>
        </is>
      </c>
      <c r="W76" s="34" t="inlineStr">
        <is>
          <t>Not stated</t>
        </is>
      </c>
      <c r="X76" s="34" t="inlineStr">
        <is>
          <t>Unverified</t>
        </is>
      </c>
      <c r="Y76" s="34" t="inlineStr">
        <is>
          <t>Unknown</t>
        </is>
      </c>
      <c r="Z76" s="34" t="inlineStr">
        <is>
          <t>Unknown</t>
        </is>
      </c>
      <c r="AA76" s="34" t="inlineStr">
        <is>
          <t>Yes</t>
        </is>
      </c>
      <c r="AB76" s="34" t="inlineStr">
        <is>
          <t>Unknown</t>
        </is>
      </c>
      <c r="AC76" s="34" t="inlineStr">
        <is>
          <t>Not stated</t>
        </is>
      </c>
      <c r="AD76" s="34" t="inlineStr">
        <is>
          <t>Not stated</t>
        </is>
      </c>
      <c r="AE76" s="34" t="inlineStr">
        <is>
          <t>Not stated</t>
        </is>
      </c>
      <c r="AF76" s="34" t="inlineStr">
        <is>
          <t>Not stated</t>
        </is>
      </c>
      <c r="AG76" s="34" t="inlineStr">
        <is>
          <t>Not stated</t>
        </is>
      </c>
      <c r="AH76" s="34" t="inlineStr">
        <is>
          <t>Card required</t>
        </is>
      </c>
      <c r="AI76" s="34" t="inlineStr">
        <is>
          <t>No re-application within a tier.</t>
        </is>
      </c>
      <c r="AJ76" s="34" t="inlineStr">
        <is>
          <t>https://aifree.dev/offer/modal-startup-program</t>
        </is>
      </c>
      <c r="AK76" s="34" t="inlineStr">
        <is>
          <t>https://aifree.dev/startup-ai-credits</t>
        </is>
      </c>
      <c r="AL76" s="34" t="inlineStr">
        <is>
          <t>Directory listing (verified Oct 2026 per directory): One-time credit grant by tier (Tier 1 for Seed to Series A); amounts truncated on directory.</t>
        </is>
      </c>
      <c r="AM76" s="34" t="inlineStr">
        <is>
          <t>2026-10-24</t>
        </is>
      </c>
      <c r="AN76" s="34" t="inlineStr">
        <is>
          <t>Medium</t>
        </is>
      </c>
      <c r="AO76" s="34" t="inlineStr">
        <is>
          <t>Directory</t>
        </is>
      </c>
      <c r="AP76" s="34" t="inlineStr">
        <is>
          <t>Global (unverified)</t>
        </is>
      </c>
      <c r="AQ76" s="34" t="inlineStr">
        <is>
          <t>Not stated</t>
        </is>
      </c>
      <c r="AR76" s="34" t="inlineStr">
        <is>
          <t>Terms taken from aifree.dev directory; official program page not opened this session. Confirm on provider site before applying.</t>
        </is>
      </c>
      <c r="AS76" s="34" t="inlineStr">
        <is>
          <t>DG-MODAL</t>
        </is>
      </c>
      <c r="AT76" s="34" t="inlineStr">
        <is>
          <t>Excel only</t>
        </is>
      </c>
      <c r="AU76" s="34" t="inlineStr"/>
      <c r="AV76" s="34" t="inlineStr"/>
      <c r="AW76" s="34" t="inlineStr"/>
      <c r="AX76" s="34" t="inlineStr"/>
      <c r="AY76" s="34" t="inlineStr"/>
      <c r="AZ76" s="34" t="inlineStr"/>
      <c r="BA76" s="34" t="inlineStr"/>
      <c r="BB76" s="34" t="inlineStr">
        <is>
          <t>modal</t>
        </is>
      </c>
      <c r="BC76" s="34" t="inlineStr">
        <is>
          <t>modalforstartups</t>
        </is>
      </c>
      <c r="BD76" s="34" t="inlineStr">
        <is>
          <t>modal|modalforstartups</t>
        </is>
      </c>
      <c r="BE76" s="34" t="n">
        <v>1</v>
      </c>
      <c r="BF76" s="34" t="inlineStr">
        <is>
          <t>No</t>
        </is>
      </c>
    </row>
    <row r="77">
      <c r="A77" s="34" t="inlineStr">
        <is>
          <t>SB-076</t>
        </is>
      </c>
      <c r="B77" s="34" t="inlineStr">
        <is>
          <t>MongoDB</t>
        </is>
      </c>
      <c r="C77" s="34" t="inlineStr">
        <is>
          <t>MongoDB for Startups</t>
        </is>
      </c>
      <c r="D77" s="34" t="inlineStr">
        <is>
          <t>Not stated</t>
        </is>
      </c>
      <c r="E77" s="34" t="inlineStr">
        <is>
          <t>Cloud &amp; Infrastructure</t>
        </is>
      </c>
      <c r="F77" s="34" t="inlineStr">
        <is>
          <t>Database credits</t>
        </is>
      </c>
      <c r="G77" s="34" t="inlineStr">
        <is>
          <t>Startup credits (startup-specific)</t>
        </is>
      </c>
      <c r="H77" s="34" t="inlineStr">
        <is>
          <t>Atlas credits; 12 months to activate promo code and 12 months to use credits after activation; amount not captured.</t>
        </is>
      </c>
      <c r="I77" s="34" t="inlineStr"/>
      <c r="J77" s="34" t="inlineStr">
        <is>
          <t>USD</t>
        </is>
      </c>
      <c r="K77" s="34" t="inlineStr">
        <is>
          <t>Credits</t>
        </is>
      </c>
      <c r="L77" s="34" t="inlineStr"/>
      <c r="M77" s="34" t="inlineStr"/>
      <c r="N77" s="34" t="inlineStr"/>
      <c r="O77" s="34" t="inlineStr">
        <is>
          <t>Open</t>
        </is>
      </c>
      <c r="P77" s="34" t="inlineStr">
        <is>
          <t>Not verified this session</t>
        </is>
      </c>
      <c r="Q77" s="34" t="inlineStr">
        <is>
          <t>Not verified this session</t>
        </is>
      </c>
      <c r="R77" s="34" t="inlineStr">
        <is>
          <t>Not stated</t>
        </is>
      </c>
      <c r="S77" s="34" t="inlineStr">
        <is>
          <t>Not stated</t>
        </is>
      </c>
      <c r="T77" s="34" t="inlineStr">
        <is>
          <t>Not stated</t>
        </is>
      </c>
      <c r="U77" s="34" t="inlineStr">
        <is>
          <t>Unknown</t>
        </is>
      </c>
      <c r="V77" s="34" t="inlineStr">
        <is>
          <t>Unknown</t>
        </is>
      </c>
      <c r="W77" s="34" t="inlineStr">
        <is>
          <t>Not stated</t>
        </is>
      </c>
      <c r="X77" s="34" t="inlineStr">
        <is>
          <t>Unverified</t>
        </is>
      </c>
      <c r="Y77" s="34" t="inlineStr">
        <is>
          <t>Unknown</t>
        </is>
      </c>
      <c r="Z77" s="34" t="inlineStr">
        <is>
          <t>Unknown</t>
        </is>
      </c>
      <c r="AA77" s="34" t="inlineStr">
        <is>
          <t>No</t>
        </is>
      </c>
      <c r="AB77" s="34" t="inlineStr">
        <is>
          <t>Unknown</t>
        </is>
      </c>
      <c r="AC77" s="34" t="inlineStr">
        <is>
          <t>Not stated</t>
        </is>
      </c>
      <c r="AD77" s="34" t="inlineStr">
        <is>
          <t>Not stated</t>
        </is>
      </c>
      <c r="AE77" s="34" t="inlineStr">
        <is>
          <t>Not stated</t>
        </is>
      </c>
      <c r="AF77" s="34" t="inlineStr">
        <is>
          <t>Not stated</t>
        </is>
      </c>
      <c r="AG77" s="34" t="inlineStr">
        <is>
          <t>Not stated</t>
        </is>
      </c>
      <c r="AH77" s="34" t="inlineStr">
        <is>
          <t>No card required</t>
        </is>
      </c>
      <c r="AI77" s="34" t="inlineStr">
        <is>
          <t>Not stated</t>
        </is>
      </c>
      <c r="AJ77" s="34" t="inlineStr">
        <is>
          <t>https://aifree.dev/offer/mongodb-for-startups</t>
        </is>
      </c>
      <c r="AK77" s="34" t="inlineStr">
        <is>
          <t>https://aifree.dev/startup-ai-credits</t>
        </is>
      </c>
      <c r="AL77" s="34" t="inlineStr">
        <is>
          <t>Directory listing (verified Oct 2026 per directory): Atlas credits; 12 months to activate promo code and 12 months to use credits after activation; amount not captured.</t>
        </is>
      </c>
      <c r="AM77" s="34" t="inlineStr">
        <is>
          <t>2026-10-24</t>
        </is>
      </c>
      <c r="AN77" s="34" t="inlineStr">
        <is>
          <t>Medium</t>
        </is>
      </c>
      <c r="AO77" s="34" t="inlineStr">
        <is>
          <t>Directory</t>
        </is>
      </c>
      <c r="AP77" s="34" t="inlineStr">
        <is>
          <t>Global (unverified)</t>
        </is>
      </c>
      <c r="AQ77" s="34" t="inlineStr">
        <is>
          <t>Not stated</t>
        </is>
      </c>
      <c r="AR77" s="34" t="inlineStr">
        <is>
          <t>Terms taken from aifree.dev directory; official program page not opened this session. Confirm on provider site before applying.</t>
        </is>
      </c>
      <c r="AS77" s="34" t="inlineStr">
        <is>
          <t>DG-MONGO</t>
        </is>
      </c>
      <c r="AT77" s="34" t="inlineStr">
        <is>
          <t>Excel + GitHub repo</t>
        </is>
      </c>
      <c r="AU77" s="34" t="inlineStr">
        <is>
          <t>mongodb-startups</t>
        </is>
      </c>
      <c r="AV77" s="34" t="inlineStr">
        <is>
          <t>No public code verified</t>
        </is>
      </c>
      <c r="AW77" s="34" t="inlineStr">
        <is>
          <t>Not published</t>
        </is>
      </c>
      <c r="AX77" s="34" t="inlineStr">
        <is>
          <t>https://www.mongodb.com/solutions/startups</t>
        </is>
      </c>
      <c r="AY77" s="34" t="inlineStr">
        <is>
          <t>No provider-published coupon code found in the verified source; do not treat third-party codes as confirmed.</t>
        </is>
      </c>
      <c r="AZ77" s="34" t="inlineStr">
        <is>
          <t>Exact provider + program</t>
        </is>
      </c>
      <c r="BA77" s="34" t="inlineStr">
        <is>
          <t>No reliable community code confirmation recorded</t>
        </is>
      </c>
      <c r="BB77" s="34" t="inlineStr">
        <is>
          <t>mongodb</t>
        </is>
      </c>
      <c r="BC77" s="34" t="inlineStr">
        <is>
          <t>mongodbforstartups</t>
        </is>
      </c>
      <c r="BD77" s="34" t="inlineStr">
        <is>
          <t>mongodb|mongodbforstartups</t>
        </is>
      </c>
      <c r="BE77" s="34" t="n">
        <v>1</v>
      </c>
      <c r="BF77" s="34" t="inlineStr">
        <is>
          <t>No</t>
        </is>
      </c>
    </row>
    <row r="78">
      <c r="A78" s="34" t="inlineStr">
        <is>
          <t>SB-077</t>
        </is>
      </c>
      <c r="B78" s="34" t="inlineStr">
        <is>
          <t>Northflank</t>
        </is>
      </c>
      <c r="C78" s="34" t="inlineStr">
        <is>
          <t>Northflank Developer Sandbox</t>
        </is>
      </c>
      <c r="D78" s="34" t="inlineStr">
        <is>
          <t>Not stated</t>
        </is>
      </c>
      <c r="E78" s="34" t="inlineStr">
        <is>
          <t>Cloud &amp; Infrastructure</t>
        </is>
      </c>
      <c r="F78" s="34" t="inlineStr">
        <is>
          <t>Free tier</t>
        </is>
      </c>
      <c r="G78" s="34" t="inlineStr">
        <is>
          <t>Free tier (ongoing, not startup-exclusive)</t>
        </is>
      </c>
      <c r="H78" s="34" t="inlineStr">
        <is>
          <t>Always-on free compute with 2 free services and 2 cron jobs; no expiration stated.</t>
        </is>
      </c>
      <c r="I78" s="34" t="inlineStr"/>
      <c r="J78" s="34" t="inlineStr">
        <is>
          <t>USD</t>
        </is>
      </c>
      <c r="K78" s="34" t="inlineStr">
        <is>
          <t>In-Kind</t>
        </is>
      </c>
      <c r="L78" s="34" t="inlineStr"/>
      <c r="M78" s="34" t="inlineStr"/>
      <c r="N78" s="34" t="inlineStr"/>
      <c r="O78" s="34" t="inlineStr">
        <is>
          <t>Open</t>
        </is>
      </c>
      <c r="P78" s="34" t="inlineStr">
        <is>
          <t>Not verified this session</t>
        </is>
      </c>
      <c r="Q78" s="34" t="inlineStr">
        <is>
          <t>Not verified this session</t>
        </is>
      </c>
      <c r="R78" s="34" t="inlineStr">
        <is>
          <t>Not stated</t>
        </is>
      </c>
      <c r="S78" s="34" t="inlineStr">
        <is>
          <t>Not stated</t>
        </is>
      </c>
      <c r="T78" s="34" t="inlineStr">
        <is>
          <t>Not stated</t>
        </is>
      </c>
      <c r="U78" s="34" t="inlineStr">
        <is>
          <t>Unknown</t>
        </is>
      </c>
      <c r="V78" s="34" t="inlineStr">
        <is>
          <t>Unknown</t>
        </is>
      </c>
      <c r="W78" s="34" t="inlineStr">
        <is>
          <t>Not stated</t>
        </is>
      </c>
      <c r="X78" s="34" t="inlineStr">
        <is>
          <t>Unverified</t>
        </is>
      </c>
      <c r="Y78" s="34" t="inlineStr">
        <is>
          <t>Unknown</t>
        </is>
      </c>
      <c r="Z78" s="34" t="inlineStr">
        <is>
          <t>Unknown</t>
        </is>
      </c>
      <c r="AA78" s="34" t="inlineStr">
        <is>
          <t>No</t>
        </is>
      </c>
      <c r="AB78" s="34" t="inlineStr">
        <is>
          <t>Unknown</t>
        </is>
      </c>
      <c r="AC78" s="34" t="inlineStr">
        <is>
          <t>Not stated</t>
        </is>
      </c>
      <c r="AD78" s="34" t="inlineStr">
        <is>
          <t>Not stated</t>
        </is>
      </c>
      <c r="AE78" s="34" t="inlineStr">
        <is>
          <t>Not stated</t>
        </is>
      </c>
      <c r="AF78" s="34" t="inlineStr">
        <is>
          <t>Not stated</t>
        </is>
      </c>
      <c r="AG78" s="34" t="inlineStr">
        <is>
          <t>Not stated</t>
        </is>
      </c>
      <c r="AH78" s="34" t="inlineStr">
        <is>
          <t>Card required</t>
        </is>
      </c>
      <c r="AI78" s="34" t="inlineStr">
        <is>
          <t>Not stated</t>
        </is>
      </c>
      <c r="AJ78" s="34" t="inlineStr">
        <is>
          <t>https://aifree.dev/offer/northflank-developer-sandbox</t>
        </is>
      </c>
      <c r="AK78" s="34" t="inlineStr">
        <is>
          <t>https://aifree.dev/startup-ai-credits</t>
        </is>
      </c>
      <c r="AL78" s="34" t="inlineStr">
        <is>
          <t>Directory listing (verified Oct 2026 per directory): Always-on free compute with 2 free services and 2 cron jobs; no expiration stated.</t>
        </is>
      </c>
      <c r="AM78" s="34" t="inlineStr">
        <is>
          <t>2026-10-24</t>
        </is>
      </c>
      <c r="AN78" s="34" t="inlineStr">
        <is>
          <t>Medium</t>
        </is>
      </c>
      <c r="AO78" s="34" t="inlineStr">
        <is>
          <t>Directory</t>
        </is>
      </c>
      <c r="AP78" s="34" t="inlineStr">
        <is>
          <t>Global (unverified)</t>
        </is>
      </c>
      <c r="AQ78" s="34" t="inlineStr">
        <is>
          <t>Not stated</t>
        </is>
      </c>
      <c r="AR78" s="34" t="inlineStr">
        <is>
          <t>Terms taken from aifree.dev directory; official program page not opened this session. Confirm on provider site before applying.</t>
        </is>
      </c>
      <c r="AS78" s="34" t="inlineStr">
        <is>
          <t>DG-NF</t>
        </is>
      </c>
      <c r="AT78" s="34" t="inlineStr">
        <is>
          <t>Excel only</t>
        </is>
      </c>
      <c r="AU78" s="34" t="inlineStr"/>
      <c r="AV78" s="34" t="inlineStr"/>
      <c r="AW78" s="34" t="inlineStr"/>
      <c r="AX78" s="34" t="inlineStr"/>
      <c r="AY78" s="34" t="inlineStr"/>
      <c r="AZ78" s="34" t="inlineStr"/>
      <c r="BA78" s="34" t="inlineStr"/>
      <c r="BB78" s="34" t="inlineStr">
        <is>
          <t>northflank</t>
        </is>
      </c>
      <c r="BC78" s="34" t="inlineStr">
        <is>
          <t>northflankdevelopersandbox</t>
        </is>
      </c>
      <c r="BD78" s="34" t="inlineStr">
        <is>
          <t>northflank|northflankdevelopersandbox</t>
        </is>
      </c>
      <c r="BE78" s="34" t="n">
        <v>1</v>
      </c>
      <c r="BF78" s="34" t="inlineStr">
        <is>
          <t>No</t>
        </is>
      </c>
    </row>
    <row r="79">
      <c r="A79" s="34" t="inlineStr">
        <is>
          <t>SB-078</t>
        </is>
      </c>
      <c r="B79" s="34" t="inlineStr">
        <is>
          <t>NVIDIA</t>
        </is>
      </c>
      <c r="C79" s="34" t="inlineStr">
        <is>
          <t>NVIDIA Inception</t>
        </is>
      </c>
      <c r="D79" s="34" t="inlineStr">
        <is>
          <t>Not stated</t>
        </is>
      </c>
      <c r="E79" s="34" t="inlineStr">
        <is>
          <t>Accelerators &amp; Partner Networks</t>
        </is>
      </c>
      <c r="F79" s="34" t="inlineStr">
        <is>
          <t>Startup program (credits + pricing)</t>
        </is>
      </c>
      <c r="G79" s="34" t="inlineStr">
        <is>
          <t>Startup credits (startup-specific)</t>
        </is>
      </c>
      <c r="H79" s="34" t="inlineStr">
        <is>
          <t>Free cloud credits from NVIDIA and partners (amount not fixed on page) plus preferred pricing.</t>
        </is>
      </c>
      <c r="I79" s="34" t="inlineStr"/>
      <c r="J79" s="34" t="inlineStr">
        <is>
          <t>USD</t>
        </is>
      </c>
      <c r="K79" s="34" t="inlineStr">
        <is>
          <t>Credits</t>
        </is>
      </c>
      <c r="L79" s="34" t="inlineStr"/>
      <c r="M79" s="34" t="inlineStr"/>
      <c r="N79" s="34" t="inlineStr"/>
      <c r="O79" s="34" t="inlineStr">
        <is>
          <t>Open</t>
        </is>
      </c>
      <c r="P79" s="34" t="inlineStr">
        <is>
          <t>Not verified this session</t>
        </is>
      </c>
      <c r="Q79" s="34" t="inlineStr">
        <is>
          <t>Not verified this session</t>
        </is>
      </c>
      <c r="R79" s="34" t="inlineStr">
        <is>
          <t>Not stated</t>
        </is>
      </c>
      <c r="S79" s="34" t="inlineStr">
        <is>
          <t>Not stated</t>
        </is>
      </c>
      <c r="T79" s="34" t="inlineStr">
        <is>
          <t>Not stated</t>
        </is>
      </c>
      <c r="U79" s="34" t="inlineStr">
        <is>
          <t>Unknown</t>
        </is>
      </c>
      <c r="V79" s="34" t="inlineStr">
        <is>
          <t>Unknown</t>
        </is>
      </c>
      <c r="W79" s="34" t="inlineStr">
        <is>
          <t>Not stated</t>
        </is>
      </c>
      <c r="X79" s="34" t="inlineStr">
        <is>
          <t>Unverified</t>
        </is>
      </c>
      <c r="Y79" s="34" t="inlineStr">
        <is>
          <t>Unknown</t>
        </is>
      </c>
      <c r="Z79" s="34" t="inlineStr">
        <is>
          <t>Unknown</t>
        </is>
      </c>
      <c r="AA79" s="34" t="inlineStr">
        <is>
          <t>Yes</t>
        </is>
      </c>
      <c r="AB79" s="34" t="inlineStr">
        <is>
          <t>Unknown</t>
        </is>
      </c>
      <c r="AC79" s="34" t="inlineStr">
        <is>
          <t>Not stated</t>
        </is>
      </c>
      <c r="AD79" s="34" t="inlineStr">
        <is>
          <t>Not stated</t>
        </is>
      </c>
      <c r="AE79" s="34" t="inlineStr">
        <is>
          <t>Not stated</t>
        </is>
      </c>
      <c r="AF79" s="34" t="inlineStr">
        <is>
          <t>Not stated</t>
        </is>
      </c>
      <c r="AG79" s="34" t="inlineStr">
        <is>
          <t>Not stated</t>
        </is>
      </c>
      <c r="AH79" s="34" t="inlineStr">
        <is>
          <t>No card required</t>
        </is>
      </c>
      <c r="AI79" s="34" t="inlineStr">
        <is>
          <t>Not stated</t>
        </is>
      </c>
      <c r="AJ79" s="34" t="inlineStr">
        <is>
          <t>https://aifree.dev/offer/nvidia-inception</t>
        </is>
      </c>
      <c r="AK79" s="34" t="inlineStr">
        <is>
          <t>https://aifree.dev/startup-ai-credits</t>
        </is>
      </c>
      <c r="AL79" s="34" t="inlineStr">
        <is>
          <t>Directory listing (verified Oct 2026 per directory): Free cloud credits from NVIDIA and partners (amount not fixed on page) plus preferred pricing.</t>
        </is>
      </c>
      <c r="AM79" s="34" t="inlineStr">
        <is>
          <t>2026-10-24</t>
        </is>
      </c>
      <c r="AN79" s="34" t="inlineStr">
        <is>
          <t>Medium</t>
        </is>
      </c>
      <c r="AO79" s="34" t="inlineStr">
        <is>
          <t>Directory</t>
        </is>
      </c>
      <c r="AP79" s="34" t="inlineStr">
        <is>
          <t>Global (unverified)</t>
        </is>
      </c>
      <c r="AQ79" s="34" t="inlineStr">
        <is>
          <t>gpu,ai,program</t>
        </is>
      </c>
      <c r="AR79" s="34" t="inlineStr">
        <is>
          <t>Terms taken from aifree.dev directory; official program page not opened this session. Confirm on provider site before applying.</t>
        </is>
      </c>
      <c r="AS79" s="34" t="inlineStr">
        <is>
          <t>DG-NVIDIA</t>
        </is>
      </c>
      <c r="AT79" s="34" t="inlineStr">
        <is>
          <t>Excel + GitHub repo</t>
        </is>
      </c>
      <c r="AU79" s="34" t="inlineStr">
        <is>
          <t>nvidia-inception</t>
        </is>
      </c>
      <c r="AV79" s="34" t="inlineStr">
        <is>
          <t>No public code verified</t>
        </is>
      </c>
      <c r="AW79" s="34" t="inlineStr">
        <is>
          <t>Not published</t>
        </is>
      </c>
      <c r="AX79" s="34" t="inlineStr">
        <is>
          <t>https://www.nvidia.com/en-us/startups/</t>
        </is>
      </c>
      <c r="AY79" s="34" t="inlineStr">
        <is>
          <t>No provider-published coupon code found in the verified source; do not treat third-party codes as confirmed.</t>
        </is>
      </c>
      <c r="AZ79" s="34" t="inlineStr">
        <is>
          <t>Exact provider + program</t>
        </is>
      </c>
      <c r="BA79" s="34" t="inlineStr">
        <is>
          <t>No reliable community code confirmation recorded</t>
        </is>
      </c>
      <c r="BB79" s="34" t="inlineStr">
        <is>
          <t>nvidia</t>
        </is>
      </c>
      <c r="BC79" s="34" t="inlineStr">
        <is>
          <t>nvidiainception</t>
        </is>
      </c>
      <c r="BD79" s="34" t="inlineStr">
        <is>
          <t>nvidia|nvidiainception</t>
        </is>
      </c>
      <c r="BE79" s="34" t="n">
        <v>1</v>
      </c>
      <c r="BF79" s="34" t="inlineStr">
        <is>
          <t>No</t>
        </is>
      </c>
    </row>
    <row r="80">
      <c r="A80" s="34" t="inlineStr">
        <is>
          <t>SB-079</t>
        </is>
      </c>
      <c r="B80" s="34" t="inlineStr">
        <is>
          <t>OpenAI</t>
        </is>
      </c>
      <c r="C80" s="34" t="inlineStr">
        <is>
          <t>OpenAI for Startups</t>
        </is>
      </c>
      <c r="D80" s="34" t="inlineStr">
        <is>
          <t>Not stated</t>
        </is>
      </c>
      <c r="E80" s="34" t="inlineStr">
        <is>
          <t>AI &amp; LLM Credits</t>
        </is>
      </c>
      <c r="F80" s="34" t="inlineStr">
        <is>
          <t>LLM API credits</t>
        </is>
      </c>
      <c r="G80" s="34" t="inlineStr">
        <is>
          <t>Startup credits (startup-specific)</t>
        </is>
      </c>
      <c r="H80" s="34" t="inlineStr">
        <is>
          <t>Free API credits, rate-limit upgrades and time with solutions engineers for eligible startups.</t>
        </is>
      </c>
      <c r="I80" s="34" t="inlineStr"/>
      <c r="J80" s="34" t="inlineStr">
        <is>
          <t>USD</t>
        </is>
      </c>
      <c r="K80" s="34" t="inlineStr">
        <is>
          <t>Credits</t>
        </is>
      </c>
      <c r="L80" s="34" t="inlineStr"/>
      <c r="M80" s="34" t="inlineStr"/>
      <c r="N80" s="34" t="inlineStr"/>
      <c r="O80" s="34" t="inlineStr">
        <is>
          <t>Open</t>
        </is>
      </c>
      <c r="P80" s="34" t="inlineStr">
        <is>
          <t>Not verified this session</t>
        </is>
      </c>
      <c r="Q80" s="34" t="inlineStr">
        <is>
          <t>Not verified this session</t>
        </is>
      </c>
      <c r="R80" s="34" t="inlineStr">
        <is>
          <t>Not stated</t>
        </is>
      </c>
      <c r="S80" s="34" t="inlineStr">
        <is>
          <t>Not stated</t>
        </is>
      </c>
      <c r="T80" s="34" t="inlineStr">
        <is>
          <t>Not stated</t>
        </is>
      </c>
      <c r="U80" s="34" t="inlineStr">
        <is>
          <t>Unknown</t>
        </is>
      </c>
      <c r="V80" s="34" t="inlineStr">
        <is>
          <t>Unknown</t>
        </is>
      </c>
      <c r="W80" s="34" t="inlineStr">
        <is>
          <t>Not stated</t>
        </is>
      </c>
      <c r="X80" s="34" t="inlineStr">
        <is>
          <t>Unverified</t>
        </is>
      </c>
      <c r="Y80" s="34" t="inlineStr">
        <is>
          <t>Unknown</t>
        </is>
      </c>
      <c r="Z80" s="34" t="inlineStr">
        <is>
          <t>Unknown</t>
        </is>
      </c>
      <c r="AA80" s="34" t="inlineStr">
        <is>
          <t>Yes</t>
        </is>
      </c>
      <c r="AB80" s="34" t="inlineStr">
        <is>
          <t>Unknown</t>
        </is>
      </c>
      <c r="AC80" s="34" t="inlineStr">
        <is>
          <t>Not stated</t>
        </is>
      </c>
      <c r="AD80" s="34" t="inlineStr">
        <is>
          <t>Not stated</t>
        </is>
      </c>
      <c r="AE80" s="34" t="inlineStr">
        <is>
          <t>Not stated</t>
        </is>
      </c>
      <c r="AF80" s="34" t="inlineStr">
        <is>
          <t>Not stated</t>
        </is>
      </c>
      <c r="AG80" s="34" t="inlineStr">
        <is>
          <t>Not stated</t>
        </is>
      </c>
      <c r="AH80" s="34" t="inlineStr">
        <is>
          <t>No card required</t>
        </is>
      </c>
      <c r="AI80" s="34" t="inlineStr">
        <is>
          <t>Not stated</t>
        </is>
      </c>
      <c r="AJ80" s="34" t="inlineStr">
        <is>
          <t>https://aifree.dev/offer/openai-for-startups</t>
        </is>
      </c>
      <c r="AK80" s="34" t="inlineStr">
        <is>
          <t>https://aifree.dev/startup-ai-credits</t>
        </is>
      </c>
      <c r="AL80" s="34" t="inlineStr">
        <is>
          <t>Directory listing (verified Oct 2026 per directory): Free API credits, rate-limit upgrades and time with solutions engineers for eligible startups.</t>
        </is>
      </c>
      <c r="AM80" s="34" t="inlineStr">
        <is>
          <t>2026-10-24</t>
        </is>
      </c>
      <c r="AN80" s="34" t="inlineStr">
        <is>
          <t>Medium</t>
        </is>
      </c>
      <c r="AO80" s="34" t="inlineStr">
        <is>
          <t>Directory</t>
        </is>
      </c>
      <c r="AP80" s="34" t="inlineStr">
        <is>
          <t>Global (unverified)</t>
        </is>
      </c>
      <c r="AQ80" s="34" t="inlineStr">
        <is>
          <t>llm,api</t>
        </is>
      </c>
      <c r="AR80" s="34" t="inlineStr">
        <is>
          <t>Terms taken from aifree.dev directory; official program page not opened this session. Confirm on provider site before applying.</t>
        </is>
      </c>
      <c r="AS80" s="34" t="inlineStr">
        <is>
          <t>DG-OAI</t>
        </is>
      </c>
      <c r="AT80" s="34" t="inlineStr">
        <is>
          <t>Excel only</t>
        </is>
      </c>
      <c r="AU80" s="34" t="inlineStr"/>
      <c r="AV80" s="34" t="inlineStr"/>
      <c r="AW80" s="34" t="inlineStr"/>
      <c r="AX80" s="34" t="inlineStr"/>
      <c r="AY80" s="34" t="inlineStr"/>
      <c r="AZ80" s="34" t="inlineStr"/>
      <c r="BA80" s="34" t="inlineStr"/>
      <c r="BB80" s="34" t="inlineStr">
        <is>
          <t>openai</t>
        </is>
      </c>
      <c r="BC80" s="34" t="inlineStr">
        <is>
          <t>openaiforstartups</t>
        </is>
      </c>
      <c r="BD80" s="34" t="inlineStr">
        <is>
          <t>openai|openaiforstartups</t>
        </is>
      </c>
      <c r="BE80" s="34" t="n">
        <v>1</v>
      </c>
      <c r="BF80" s="34" t="inlineStr">
        <is>
          <t>No</t>
        </is>
      </c>
    </row>
    <row r="81">
      <c r="A81" s="34" t="inlineStr">
        <is>
          <t>SB-080</t>
        </is>
      </c>
      <c r="B81" s="34" t="inlineStr">
        <is>
          <t>OVHcloud</t>
        </is>
      </c>
      <c r="C81" s="34" t="inlineStr">
        <is>
          <t>OVHcloud Startup Program</t>
        </is>
      </c>
      <c r="D81" s="34" t="inlineStr">
        <is>
          <t>Not stated</t>
        </is>
      </c>
      <c r="E81" s="34" t="inlineStr">
        <is>
          <t>Cloud &amp; Infrastructure</t>
        </is>
      </c>
      <c r="F81" s="34" t="inlineStr">
        <is>
          <t>Cloud credits</t>
        </is>
      </c>
      <c r="G81" s="34" t="inlineStr">
        <is>
          <t>Startup credits (startup-specific)</t>
        </is>
      </c>
      <c r="H81" s="34" t="inlineStr">
        <is>
          <t>Start tier: EUR 10,000 credits plus 6 hours 1-on-1 engineer time, 12 months.</t>
        </is>
      </c>
      <c r="I81" s="34" t="inlineStr">
        <is>
          <t>10000</t>
        </is>
      </c>
      <c r="J81" s="34" t="inlineStr">
        <is>
          <t>EUR</t>
        </is>
      </c>
      <c r="K81" s="34" t="inlineStr">
        <is>
          <t>Credits</t>
        </is>
      </c>
      <c r="L81" s="34" t="inlineStr"/>
      <c r="M81" s="34" t="inlineStr">
        <is>
          <t>10000</t>
        </is>
      </c>
      <c r="N81" s="34" t="inlineStr"/>
      <c r="O81" s="34" t="inlineStr">
        <is>
          <t>Open</t>
        </is>
      </c>
      <c r="P81" s="34" t="inlineStr">
        <is>
          <t>Not verified this session</t>
        </is>
      </c>
      <c r="Q81" s="34" t="inlineStr">
        <is>
          <t>Not verified this session</t>
        </is>
      </c>
      <c r="R81" s="34" t="inlineStr">
        <is>
          <t>Not stated</t>
        </is>
      </c>
      <c r="S81" s="34" t="inlineStr">
        <is>
          <t>Not stated</t>
        </is>
      </c>
      <c r="T81" s="34" t="inlineStr">
        <is>
          <t>Not stated</t>
        </is>
      </c>
      <c r="U81" s="34" t="inlineStr">
        <is>
          <t>Unknown</t>
        </is>
      </c>
      <c r="V81" s="34" t="inlineStr">
        <is>
          <t>Unknown</t>
        </is>
      </c>
      <c r="W81" s="34" t="inlineStr">
        <is>
          <t>Not stated</t>
        </is>
      </c>
      <c r="X81" s="34" t="inlineStr">
        <is>
          <t>Unverified</t>
        </is>
      </c>
      <c r="Y81" s="34" t="inlineStr">
        <is>
          <t>Unknown</t>
        </is>
      </c>
      <c r="Z81" s="34" t="inlineStr">
        <is>
          <t>Unknown</t>
        </is>
      </c>
      <c r="AA81" s="34" t="inlineStr">
        <is>
          <t>No</t>
        </is>
      </c>
      <c r="AB81" s="34" t="inlineStr">
        <is>
          <t>Unknown</t>
        </is>
      </c>
      <c r="AC81" s="34" t="inlineStr">
        <is>
          <t>Not stated</t>
        </is>
      </c>
      <c r="AD81" s="34" t="inlineStr">
        <is>
          <t>Not stated</t>
        </is>
      </c>
      <c r="AE81" s="34" t="inlineStr">
        <is>
          <t>Not stated</t>
        </is>
      </c>
      <c r="AF81" s="34" t="inlineStr">
        <is>
          <t>Not stated</t>
        </is>
      </c>
      <c r="AG81" s="34" t="inlineStr">
        <is>
          <t>Not stated</t>
        </is>
      </c>
      <c r="AH81" s="34" t="inlineStr">
        <is>
          <t>No card required</t>
        </is>
      </c>
      <c r="AI81" s="34" t="inlineStr">
        <is>
          <t>Not stated</t>
        </is>
      </c>
      <c r="AJ81" s="34" t="inlineStr">
        <is>
          <t>https://aifree.dev/offer/ovhcloud-startup-program</t>
        </is>
      </c>
      <c r="AK81" s="34" t="inlineStr">
        <is>
          <t>https://aifree.dev/startup-ai-credits</t>
        </is>
      </c>
      <c r="AL81" s="34" t="inlineStr">
        <is>
          <t>Directory listing (verified Oct 2026 per directory): Start tier: EUR 10,000 credits plus 6 hours 1-on-1 engineer time, 12 months.</t>
        </is>
      </c>
      <c r="AM81" s="34" t="inlineStr">
        <is>
          <t>2026-10-24</t>
        </is>
      </c>
      <c r="AN81" s="34" t="inlineStr">
        <is>
          <t>Medium</t>
        </is>
      </c>
      <c r="AO81" s="34" t="inlineStr">
        <is>
          <t>Directory</t>
        </is>
      </c>
      <c r="AP81" s="34" t="inlineStr">
        <is>
          <t>Global (unverified)</t>
        </is>
      </c>
      <c r="AQ81" s="34" t="inlineStr">
        <is>
          <t>Not stated</t>
        </is>
      </c>
      <c r="AR81" s="34" t="inlineStr">
        <is>
          <t>Terms taken from aifree.dev directory; official program page not opened this session. Confirm on provider site before applying.</t>
        </is>
      </c>
      <c r="AS81" s="34" t="inlineStr">
        <is>
          <t>DG-OVH</t>
        </is>
      </c>
      <c r="AT81" s="34" t="inlineStr">
        <is>
          <t>Excel + GitHub repo</t>
        </is>
      </c>
      <c r="AU81" s="34" t="inlineStr">
        <is>
          <t>ovhcloud-startup</t>
        </is>
      </c>
      <c r="AV81" s="34" t="inlineStr">
        <is>
          <t>No public code verified</t>
        </is>
      </c>
      <c r="AW81" s="34" t="inlineStr">
        <is>
          <t>Not published</t>
        </is>
      </c>
      <c r="AX81" s="34" t="inlineStr">
        <is>
          <t>https://startup.ovhcloud.com/en/login/</t>
        </is>
      </c>
      <c r="AY81" s="34" t="inlineStr">
        <is>
          <t>No provider-published coupon code found in the verified source; do not treat third-party codes as confirmed.</t>
        </is>
      </c>
      <c r="AZ81" s="34" t="inlineStr">
        <is>
          <t>Exact provider + program</t>
        </is>
      </c>
      <c r="BA81" s="34" t="inlineStr">
        <is>
          <t>No reliable community code confirmation recorded</t>
        </is>
      </c>
      <c r="BB81" s="34" t="inlineStr">
        <is>
          <t>ovhcloud</t>
        </is>
      </c>
      <c r="BC81" s="34" t="inlineStr">
        <is>
          <t>ovhcloudstartupprogram</t>
        </is>
      </c>
      <c r="BD81" s="34" t="inlineStr">
        <is>
          <t>ovhcloud|ovhcloudstartupprogram</t>
        </is>
      </c>
      <c r="BE81" s="34" t="n">
        <v>1</v>
      </c>
      <c r="BF81" s="34" t="inlineStr">
        <is>
          <t>No</t>
        </is>
      </c>
    </row>
    <row r="82">
      <c r="A82" s="34" t="inlineStr">
        <is>
          <t>SB-081</t>
        </is>
      </c>
      <c r="B82" s="34" t="inlineStr">
        <is>
          <t>Paperspace (DigitalOcean)</t>
        </is>
      </c>
      <c r="C82" s="34" t="inlineStr">
        <is>
          <t>Paperspace Gradient free GPU notebooks</t>
        </is>
      </c>
      <c r="D82" s="34" t="inlineStr">
        <is>
          <t>Not stated</t>
        </is>
      </c>
      <c r="E82" s="34" t="inlineStr">
        <is>
          <t>AI &amp; LLM Credits</t>
        </is>
      </c>
      <c r="F82" s="34" t="inlineStr">
        <is>
          <t>Free GPU tier</t>
        </is>
      </c>
      <c r="G82" s="34" t="inlineStr">
        <is>
          <t>Free tier (ongoing, not startup-exclusive)</t>
        </is>
      </c>
      <c r="H82" s="34" t="inlineStr">
        <is>
          <t>Free plan with basic GPU instances; no expiration stated.</t>
        </is>
      </c>
      <c r="I82" s="34" t="inlineStr"/>
      <c r="J82" s="34" t="inlineStr">
        <is>
          <t>USD</t>
        </is>
      </c>
      <c r="K82" s="34" t="inlineStr">
        <is>
          <t>In-Kind</t>
        </is>
      </c>
      <c r="L82" s="34" t="inlineStr"/>
      <c r="M82" s="34" t="inlineStr"/>
      <c r="N82" s="34" t="inlineStr"/>
      <c r="O82" s="34" t="inlineStr">
        <is>
          <t>Open</t>
        </is>
      </c>
      <c r="P82" s="34" t="inlineStr">
        <is>
          <t>Not verified this session</t>
        </is>
      </c>
      <c r="Q82" s="34" t="inlineStr">
        <is>
          <t>Not verified this session</t>
        </is>
      </c>
      <c r="R82" s="34" t="inlineStr">
        <is>
          <t>Not stated</t>
        </is>
      </c>
      <c r="S82" s="34" t="inlineStr">
        <is>
          <t>Not stated</t>
        </is>
      </c>
      <c r="T82" s="34" t="inlineStr">
        <is>
          <t>Not stated</t>
        </is>
      </c>
      <c r="U82" s="34" t="inlineStr">
        <is>
          <t>Unknown</t>
        </is>
      </c>
      <c r="V82" s="34" t="inlineStr">
        <is>
          <t>Unknown</t>
        </is>
      </c>
      <c r="W82" s="34" t="inlineStr">
        <is>
          <t>Not stated</t>
        </is>
      </c>
      <c r="X82" s="34" t="inlineStr">
        <is>
          <t>Unverified</t>
        </is>
      </c>
      <c r="Y82" s="34" t="inlineStr">
        <is>
          <t>Unknown</t>
        </is>
      </c>
      <c r="Z82" s="34" t="inlineStr">
        <is>
          <t>Unknown</t>
        </is>
      </c>
      <c r="AA82" s="34" t="inlineStr">
        <is>
          <t>Yes</t>
        </is>
      </c>
      <c r="AB82" s="34" t="inlineStr">
        <is>
          <t>Unknown</t>
        </is>
      </c>
      <c r="AC82" s="34" t="inlineStr">
        <is>
          <t>Not stated</t>
        </is>
      </c>
      <c r="AD82" s="34" t="inlineStr">
        <is>
          <t>Not stated</t>
        </is>
      </c>
      <c r="AE82" s="34" t="inlineStr">
        <is>
          <t>Not stated</t>
        </is>
      </c>
      <c r="AF82" s="34" t="inlineStr">
        <is>
          <t>Not stated</t>
        </is>
      </c>
      <c r="AG82" s="34" t="inlineStr">
        <is>
          <t>Not stated</t>
        </is>
      </c>
      <c r="AH82" s="34" t="inlineStr">
        <is>
          <t>Card required</t>
        </is>
      </c>
      <c r="AI82" s="34" t="inlineStr">
        <is>
          <t>Not stated</t>
        </is>
      </c>
      <c r="AJ82" s="34" t="inlineStr">
        <is>
          <t>https://aifree.dev/offer/paperspace-gradient-free-tier</t>
        </is>
      </c>
      <c r="AK82" s="34" t="inlineStr">
        <is>
          <t>https://aifree.dev/startup-ai-credits</t>
        </is>
      </c>
      <c r="AL82" s="34" t="inlineStr">
        <is>
          <t>Directory listing (verified Oct 2026 per directory): Free plan with basic GPU instances; no expiration stated.</t>
        </is>
      </c>
      <c r="AM82" s="34" t="inlineStr">
        <is>
          <t>2026-10-24</t>
        </is>
      </c>
      <c r="AN82" s="34" t="inlineStr">
        <is>
          <t>Medium</t>
        </is>
      </c>
      <c r="AO82" s="34" t="inlineStr">
        <is>
          <t>Directory</t>
        </is>
      </c>
      <c r="AP82" s="34" t="inlineStr">
        <is>
          <t>Global (unverified)</t>
        </is>
      </c>
      <c r="AQ82" s="34" t="inlineStr">
        <is>
          <t>Not stated</t>
        </is>
      </c>
      <c r="AR82" s="34" t="inlineStr">
        <is>
          <t>Terms taken from aifree.dev directory; official program page not opened this session. Confirm on provider site before applying.</t>
        </is>
      </c>
      <c r="AS82" s="34" t="inlineStr">
        <is>
          <t>DG-PAPER</t>
        </is>
      </c>
      <c r="AT82" s="34" t="inlineStr">
        <is>
          <t>Excel only</t>
        </is>
      </c>
      <c r="AU82" s="34" t="inlineStr"/>
      <c r="AV82" s="34" t="inlineStr"/>
      <c r="AW82" s="34" t="inlineStr"/>
      <c r="AX82" s="34" t="inlineStr"/>
      <c r="AY82" s="34" t="inlineStr"/>
      <c r="AZ82" s="34" t="inlineStr"/>
      <c r="BA82" s="34" t="inlineStr"/>
      <c r="BB82" s="34" t="inlineStr">
        <is>
          <t>paperspacedigitalocean</t>
        </is>
      </c>
      <c r="BC82" s="34" t="inlineStr">
        <is>
          <t>paperspacegradientfreegpunotebooks</t>
        </is>
      </c>
      <c r="BD82" s="34" t="inlineStr">
        <is>
          <t>paperspacedigitalocean|paperspacegradientfreegpunotebooks</t>
        </is>
      </c>
      <c r="BE82" s="34" t="n">
        <v>1</v>
      </c>
      <c r="BF82" s="34" t="inlineStr">
        <is>
          <t>No</t>
        </is>
      </c>
    </row>
    <row r="83">
      <c r="A83" s="34" t="inlineStr">
        <is>
          <t>SB-082</t>
        </is>
      </c>
      <c r="B83" s="34" t="inlineStr">
        <is>
          <t>Pinecone</t>
        </is>
      </c>
      <c r="C83" s="34" t="inlineStr">
        <is>
          <t>Pinecone for Startups</t>
        </is>
      </c>
      <c r="D83" s="34" t="inlineStr">
        <is>
          <t>Not stated</t>
        </is>
      </c>
      <c r="E83" s="34" t="inlineStr">
        <is>
          <t>AI &amp; LLM Credits</t>
        </is>
      </c>
      <c r="F83" s="34" t="inlineStr">
        <is>
          <t>Vector database</t>
        </is>
      </c>
      <c r="G83" s="34" t="inlineStr">
        <is>
          <t>Startup plan / free subscription period</t>
        </is>
      </c>
      <c r="H83" s="34" t="inlineStr">
        <is>
          <t>Fewer than 100 employees and Series A or earlier; free Standard tier plus Pro credits.</t>
        </is>
      </c>
      <c r="I83" s="34" t="inlineStr"/>
      <c r="J83" s="34" t="inlineStr">
        <is>
          <t>USD</t>
        </is>
      </c>
      <c r="K83" s="34" t="inlineStr">
        <is>
          <t>Credits</t>
        </is>
      </c>
      <c r="L83" s="34" t="inlineStr"/>
      <c r="M83" s="34" t="inlineStr"/>
      <c r="N83" s="34" t="inlineStr"/>
      <c r="O83" s="34" t="inlineStr">
        <is>
          <t>Open</t>
        </is>
      </c>
      <c r="P83" s="34" t="inlineStr">
        <is>
          <t>Not verified this session</t>
        </is>
      </c>
      <c r="Q83" s="34" t="inlineStr">
        <is>
          <t>Not verified this session</t>
        </is>
      </c>
      <c r="R83" s="34" t="inlineStr">
        <is>
          <t>Not stated</t>
        </is>
      </c>
      <c r="S83" s="34" t="inlineStr">
        <is>
          <t>Not stated</t>
        </is>
      </c>
      <c r="T83" s="34" t="inlineStr">
        <is>
          <t>Series A or earlier, &lt;100 employees</t>
        </is>
      </c>
      <c r="U83" s="34" t="inlineStr">
        <is>
          <t>Unknown</t>
        </is>
      </c>
      <c r="V83" s="34" t="inlineStr">
        <is>
          <t>Unknown</t>
        </is>
      </c>
      <c r="W83" s="34" t="inlineStr">
        <is>
          <t>Not stated</t>
        </is>
      </c>
      <c r="X83" s="34" t="inlineStr">
        <is>
          <t>Unverified</t>
        </is>
      </c>
      <c r="Y83" s="34" t="inlineStr">
        <is>
          <t>Unknown</t>
        </is>
      </c>
      <c r="Z83" s="34" t="inlineStr">
        <is>
          <t>Unknown</t>
        </is>
      </c>
      <c r="AA83" s="34" t="inlineStr">
        <is>
          <t>Yes</t>
        </is>
      </c>
      <c r="AB83" s="34" t="inlineStr">
        <is>
          <t>Unknown</t>
        </is>
      </c>
      <c r="AC83" s="34" t="inlineStr">
        <is>
          <t>Not stated</t>
        </is>
      </c>
      <c r="AD83" s="34" t="inlineStr">
        <is>
          <t>Not stated</t>
        </is>
      </c>
      <c r="AE83" s="34" t="inlineStr">
        <is>
          <t>Not stated</t>
        </is>
      </c>
      <c r="AF83" s="34" t="inlineStr">
        <is>
          <t>Not stated</t>
        </is>
      </c>
      <c r="AG83" s="34" t="inlineStr">
        <is>
          <t>Not stated</t>
        </is>
      </c>
      <c r="AH83" s="34" t="inlineStr">
        <is>
          <t>No card required</t>
        </is>
      </c>
      <c r="AI83" s="34" t="inlineStr">
        <is>
          <t>Not stated</t>
        </is>
      </c>
      <c r="AJ83" s="34" t="inlineStr">
        <is>
          <t>https://aifree.dev/offer/pinecone-startup-program</t>
        </is>
      </c>
      <c r="AK83" s="34" t="inlineStr">
        <is>
          <t>https://aifree.dev/startup-ai-credits</t>
        </is>
      </c>
      <c r="AL83" s="34" t="inlineStr">
        <is>
          <t>Directory listing (verified Oct 2026 per directory): Fewer than 100 employees and Series A or earlier; free Standard tier plus Pro credits.</t>
        </is>
      </c>
      <c r="AM83" s="34" t="inlineStr">
        <is>
          <t>2026-10-24</t>
        </is>
      </c>
      <c r="AN83" s="34" t="inlineStr">
        <is>
          <t>Medium</t>
        </is>
      </c>
      <c r="AO83" s="34" t="inlineStr">
        <is>
          <t>Directory</t>
        </is>
      </c>
      <c r="AP83" s="34" t="inlineStr">
        <is>
          <t>Global (unverified)</t>
        </is>
      </c>
      <c r="AQ83" s="34" t="inlineStr">
        <is>
          <t>vector,rag</t>
        </is>
      </c>
      <c r="AR83" s="34" t="inlineStr">
        <is>
          <t>Terms taken from aifree.dev directory; official program page not opened this session. Confirm on provider site before applying.</t>
        </is>
      </c>
      <c r="AS83" s="34" t="inlineStr">
        <is>
          <t>DG-PINE</t>
        </is>
      </c>
      <c r="AT83" s="34" t="inlineStr">
        <is>
          <t>Excel only</t>
        </is>
      </c>
      <c r="AU83" s="34" t="inlineStr"/>
      <c r="AV83" s="34" t="inlineStr"/>
      <c r="AW83" s="34" t="inlineStr"/>
      <c r="AX83" s="34" t="inlineStr"/>
      <c r="AY83" s="34" t="inlineStr"/>
      <c r="AZ83" s="34" t="inlineStr"/>
      <c r="BA83" s="34" t="inlineStr"/>
      <c r="BB83" s="34" t="inlineStr">
        <is>
          <t>pinecone</t>
        </is>
      </c>
      <c r="BC83" s="34" t="inlineStr">
        <is>
          <t>pineconeforstartups</t>
        </is>
      </c>
      <c r="BD83" s="34" t="inlineStr">
        <is>
          <t>pinecone|pineconeforstartups</t>
        </is>
      </c>
      <c r="BE83" s="34" t="n">
        <v>1</v>
      </c>
      <c r="BF83" s="34" t="inlineStr">
        <is>
          <t>No</t>
        </is>
      </c>
    </row>
    <row r="84">
      <c r="A84" s="34" t="inlineStr">
        <is>
          <t>SB-083</t>
        </is>
      </c>
      <c r="B84" s="34" t="inlineStr">
        <is>
          <t>RunPod</t>
        </is>
      </c>
      <c r="C84" s="34" t="inlineStr">
        <is>
          <t>RunPod referral bonus credits</t>
        </is>
      </c>
      <c r="D84" s="34" t="inlineStr">
        <is>
          <t>Not stated</t>
        </is>
      </c>
      <c r="E84" s="34" t="inlineStr">
        <is>
          <t>Cloud &amp; Infrastructure</t>
        </is>
      </c>
      <c r="F84" s="34" t="inlineStr">
        <is>
          <t>Referral credit</t>
        </is>
      </c>
      <c r="G84" s="34" t="inlineStr">
        <is>
          <t>Free trial credit (not startup-exclusive)</t>
        </is>
      </c>
      <c r="H84" s="34" t="inlineStr">
        <is>
          <t>Referred user must spend $10 first; bonus randomized.</t>
        </is>
      </c>
      <c r="I84" s="34" t="inlineStr"/>
      <c r="J84" s="34" t="inlineStr">
        <is>
          <t>USD</t>
        </is>
      </c>
      <c r="K84" s="34" t="inlineStr">
        <is>
          <t>Credits</t>
        </is>
      </c>
      <c r="L84" s="34" t="inlineStr"/>
      <c r="M84" s="34" t="inlineStr"/>
      <c r="N84" s="34" t="inlineStr"/>
      <c r="O84" s="34" t="inlineStr">
        <is>
          <t>Open</t>
        </is>
      </c>
      <c r="P84" s="34" t="inlineStr">
        <is>
          <t>Not verified this session</t>
        </is>
      </c>
      <c r="Q84" s="34" t="inlineStr">
        <is>
          <t>Not verified this session</t>
        </is>
      </c>
      <c r="R84" s="34" t="inlineStr">
        <is>
          <t>Not stated</t>
        </is>
      </c>
      <c r="S84" s="34" t="inlineStr">
        <is>
          <t>Not stated</t>
        </is>
      </c>
      <c r="T84" s="34" t="inlineStr">
        <is>
          <t>Not stated</t>
        </is>
      </c>
      <c r="U84" s="34" t="inlineStr">
        <is>
          <t>Unknown</t>
        </is>
      </c>
      <c r="V84" s="34" t="inlineStr">
        <is>
          <t>Unknown</t>
        </is>
      </c>
      <c r="W84" s="34" t="inlineStr">
        <is>
          <t>Not stated</t>
        </is>
      </c>
      <c r="X84" s="34" t="inlineStr">
        <is>
          <t>Unverified</t>
        </is>
      </c>
      <c r="Y84" s="34" t="inlineStr">
        <is>
          <t>Unknown</t>
        </is>
      </c>
      <c r="Z84" s="34" t="inlineStr">
        <is>
          <t>Unknown</t>
        </is>
      </c>
      <c r="AA84" s="34" t="inlineStr">
        <is>
          <t>No</t>
        </is>
      </c>
      <c r="AB84" s="34" t="inlineStr">
        <is>
          <t>Unknown</t>
        </is>
      </c>
      <c r="AC84" s="34" t="inlineStr">
        <is>
          <t>Not stated</t>
        </is>
      </c>
      <c r="AD84" s="34" t="inlineStr">
        <is>
          <t>Not stated</t>
        </is>
      </c>
      <c r="AE84" s="34" t="inlineStr">
        <is>
          <t>Not stated</t>
        </is>
      </c>
      <c r="AF84" s="34" t="inlineStr">
        <is>
          <t>Not stated</t>
        </is>
      </c>
      <c r="AG84" s="34" t="inlineStr">
        <is>
          <t>Not stated</t>
        </is>
      </c>
      <c r="AH84" s="34" t="inlineStr">
        <is>
          <t>Card required</t>
        </is>
      </c>
      <c r="AI84" s="34" t="inlineStr">
        <is>
          <t>Referral mechanic; not startup-exclusive.</t>
        </is>
      </c>
      <c r="AJ84" s="34" t="inlineStr">
        <is>
          <t>https://aifree.dev/offer/runpod-referral-bonus-credits</t>
        </is>
      </c>
      <c r="AK84" s="34" t="inlineStr">
        <is>
          <t>https://aifree.dev/startup-ai-credits</t>
        </is>
      </c>
      <c r="AL84" s="34" t="inlineStr">
        <is>
          <t>Directory listing (verified Oct 2026 per directory): Referred user must spend $10 first; bonus randomized.</t>
        </is>
      </c>
      <c r="AM84" s="34" t="inlineStr">
        <is>
          <t>2026-10-24</t>
        </is>
      </c>
      <c r="AN84" s="34" t="inlineStr">
        <is>
          <t>Medium</t>
        </is>
      </c>
      <c r="AO84" s="34" t="inlineStr">
        <is>
          <t>Directory</t>
        </is>
      </c>
      <c r="AP84" s="34" t="inlineStr">
        <is>
          <t>Global (unverified)</t>
        </is>
      </c>
      <c r="AQ84" s="34" t="inlineStr">
        <is>
          <t>Not stated</t>
        </is>
      </c>
      <c r="AR84" s="34" t="inlineStr">
        <is>
          <t>Terms taken from aifree.dev directory; official program page not opened this session. Confirm on provider site before applying.</t>
        </is>
      </c>
      <c r="AS84" s="34" t="inlineStr">
        <is>
          <t>DG-RUNPOD-REF</t>
        </is>
      </c>
      <c r="AT84" s="34" t="inlineStr">
        <is>
          <t>Excel only</t>
        </is>
      </c>
      <c r="AU84" s="34" t="inlineStr"/>
      <c r="AV84" s="34" t="inlineStr"/>
      <c r="AW84" s="34" t="inlineStr"/>
      <c r="AX84" s="34" t="inlineStr"/>
      <c r="AY84" s="34" t="inlineStr"/>
      <c r="AZ84" s="34" t="inlineStr"/>
      <c r="BA84" s="34" t="inlineStr"/>
      <c r="BB84" s="34" t="inlineStr">
        <is>
          <t>runpod</t>
        </is>
      </c>
      <c r="BC84" s="34" t="inlineStr">
        <is>
          <t>runpodreferralbonuscredits</t>
        </is>
      </c>
      <c r="BD84" s="34" t="inlineStr">
        <is>
          <t>runpod|runpodreferralbonuscredits</t>
        </is>
      </c>
      <c r="BE84" s="34" t="n">
        <v>1</v>
      </c>
      <c r="BF84" s="34" t="inlineStr">
        <is>
          <t>No</t>
        </is>
      </c>
    </row>
    <row r="85">
      <c r="A85" s="34" t="inlineStr">
        <is>
          <t>SB-084</t>
        </is>
      </c>
      <c r="B85" s="34" t="inlineStr">
        <is>
          <t>Sarvam AI</t>
        </is>
      </c>
      <c r="C85" s="34" t="inlineStr">
        <is>
          <t>Sarvam AI Startup Program</t>
        </is>
      </c>
      <c r="D85" s="34" t="inlineStr">
        <is>
          <t>Not stated</t>
        </is>
      </c>
      <c r="E85" s="34" t="inlineStr">
        <is>
          <t>AI &amp; LLM Credits</t>
        </is>
      </c>
      <c r="F85" s="34" t="inlineStr">
        <is>
          <t>LLM credits</t>
        </is>
      </c>
      <c r="G85" s="34" t="inlineStr">
        <is>
          <t>Startup credits (startup-specific)</t>
        </is>
      </c>
      <c r="H85" s="34" t="inlineStr">
        <is>
          <t>6-12 months of credits matched to scale; rolling applications.</t>
        </is>
      </c>
      <c r="I85" s="34" t="inlineStr"/>
      <c r="J85" s="34" t="inlineStr">
        <is>
          <t>USD</t>
        </is>
      </c>
      <c r="K85" s="34" t="inlineStr">
        <is>
          <t>Credits</t>
        </is>
      </c>
      <c r="L85" s="34" t="inlineStr"/>
      <c r="M85" s="34" t="inlineStr"/>
      <c r="N85" s="34" t="inlineStr"/>
      <c r="O85" s="34" t="inlineStr">
        <is>
          <t>Rolling</t>
        </is>
      </c>
      <c r="P85" s="34" t="inlineStr">
        <is>
          <t>Not verified this session</t>
        </is>
      </c>
      <c r="Q85" s="34" t="inlineStr">
        <is>
          <t>Not verified this session</t>
        </is>
      </c>
      <c r="R85" s="34" t="inlineStr">
        <is>
          <t>Not stated</t>
        </is>
      </c>
      <c r="S85" s="34" t="inlineStr">
        <is>
          <t>Not stated</t>
        </is>
      </c>
      <c r="T85" s="34" t="inlineStr">
        <is>
          <t>Not stated</t>
        </is>
      </c>
      <c r="U85" s="34" t="inlineStr">
        <is>
          <t>Unknown</t>
        </is>
      </c>
      <c r="V85" s="34" t="inlineStr">
        <is>
          <t>Unknown</t>
        </is>
      </c>
      <c r="W85" s="34" t="inlineStr">
        <is>
          <t>Not stated</t>
        </is>
      </c>
      <c r="X85" s="34" t="inlineStr">
        <is>
          <t>Unverified</t>
        </is>
      </c>
      <c r="Y85" s="34" t="inlineStr">
        <is>
          <t>Unknown</t>
        </is>
      </c>
      <c r="Z85" s="34" t="inlineStr">
        <is>
          <t>Unknown</t>
        </is>
      </c>
      <c r="AA85" s="34" t="inlineStr">
        <is>
          <t>Yes</t>
        </is>
      </c>
      <c r="AB85" s="34" t="inlineStr">
        <is>
          <t>Unknown</t>
        </is>
      </c>
      <c r="AC85" s="34" t="inlineStr">
        <is>
          <t>Not stated</t>
        </is>
      </c>
      <c r="AD85" s="34" t="inlineStr">
        <is>
          <t>Not stated</t>
        </is>
      </c>
      <c r="AE85" s="34" t="inlineStr">
        <is>
          <t>Not stated</t>
        </is>
      </c>
      <c r="AF85" s="34" t="inlineStr">
        <is>
          <t>Not stated</t>
        </is>
      </c>
      <c r="AG85" s="34" t="inlineStr">
        <is>
          <t>Not stated</t>
        </is>
      </c>
      <c r="AH85" s="34" t="inlineStr">
        <is>
          <t>No card required</t>
        </is>
      </c>
      <c r="AI85" s="34" t="inlineStr">
        <is>
          <t>Not stated</t>
        </is>
      </c>
      <c r="AJ85" s="34" t="inlineStr">
        <is>
          <t>https://aifree.dev/offer/sarvam-ai-startup-program</t>
        </is>
      </c>
      <c r="AK85" s="34" t="inlineStr">
        <is>
          <t>https://aifree.dev/startup-ai-credits</t>
        </is>
      </c>
      <c r="AL85" s="34" t="inlineStr">
        <is>
          <t>Directory listing (verified Oct 2026 per directory): 6-12 months of credits matched to scale; rolling applications.</t>
        </is>
      </c>
      <c r="AM85" s="34" t="inlineStr">
        <is>
          <t>2026-10-24</t>
        </is>
      </c>
      <c r="AN85" s="34" t="inlineStr">
        <is>
          <t>Medium</t>
        </is>
      </c>
      <c r="AO85" s="34" t="inlineStr">
        <is>
          <t>Directory</t>
        </is>
      </c>
      <c r="AP85" s="34" t="inlineStr">
        <is>
          <t>India-focused (unverified)</t>
        </is>
      </c>
      <c r="AQ85" s="34" t="inlineStr">
        <is>
          <t>Not stated</t>
        </is>
      </c>
      <c r="AR85" s="34" t="inlineStr">
        <is>
          <t>Indian provider; Egypt eligibility unknown. Official page not opened.</t>
        </is>
      </c>
      <c r="AS85" s="34" t="inlineStr">
        <is>
          <t>DG-SARVAM</t>
        </is>
      </c>
      <c r="AT85" s="34" t="inlineStr">
        <is>
          <t>Excel only</t>
        </is>
      </c>
      <c r="AU85" s="34" t="inlineStr"/>
      <c r="AV85" s="34" t="inlineStr"/>
      <c r="AW85" s="34" t="inlineStr"/>
      <c r="AX85" s="34" t="inlineStr"/>
      <c r="AY85" s="34" t="inlineStr"/>
      <c r="AZ85" s="34" t="inlineStr"/>
      <c r="BA85" s="34" t="inlineStr"/>
      <c r="BB85" s="34" t="inlineStr">
        <is>
          <t>sarvamai</t>
        </is>
      </c>
      <c r="BC85" s="34" t="inlineStr">
        <is>
          <t>sarvamaistartupprogram</t>
        </is>
      </c>
      <c r="BD85" s="34" t="inlineStr">
        <is>
          <t>sarvamai|sarvamaistartupprogram</t>
        </is>
      </c>
      <c r="BE85" s="34" t="n">
        <v>1</v>
      </c>
      <c r="BF85" s="34" t="inlineStr">
        <is>
          <t>No</t>
        </is>
      </c>
    </row>
    <row r="86">
      <c r="A86" s="34" t="inlineStr">
        <is>
          <t>SB-085</t>
        </is>
      </c>
      <c r="B86" s="34" t="inlineStr">
        <is>
          <t>Shortcut</t>
        </is>
      </c>
      <c r="C86" s="34" t="inlineStr">
        <is>
          <t>Shortcut for Startups</t>
        </is>
      </c>
      <c r="D86" s="34" t="inlineStr">
        <is>
          <t>Not stated</t>
        </is>
      </c>
      <c r="E86" s="34" t="inlineStr">
        <is>
          <t>SaaS &amp; Marketing</t>
        </is>
      </c>
      <c r="F86" s="34" t="inlineStr">
        <is>
          <t>Project management</t>
        </is>
      </c>
      <c r="G86" s="34" t="inlineStr">
        <is>
          <t>Startup plan / free subscription period</t>
        </is>
      </c>
      <c r="H86" s="34" t="inlineStr">
        <is>
          <t>12 months free Business plan; new customers only.</t>
        </is>
      </c>
      <c r="I86" s="34" t="inlineStr"/>
      <c r="J86" s="34" t="inlineStr">
        <is>
          <t>USD</t>
        </is>
      </c>
      <c r="K86" s="34" t="inlineStr">
        <is>
          <t>In-Kind</t>
        </is>
      </c>
      <c r="L86" s="34" t="inlineStr"/>
      <c r="M86" s="34" t="inlineStr"/>
      <c r="N86" s="34" t="inlineStr"/>
      <c r="O86" s="34" t="inlineStr">
        <is>
          <t>Open</t>
        </is>
      </c>
      <c r="P86" s="34" t="inlineStr">
        <is>
          <t>Not verified this session</t>
        </is>
      </c>
      <c r="Q86" s="34" t="inlineStr">
        <is>
          <t>Not verified this session</t>
        </is>
      </c>
      <c r="R86" s="34" t="inlineStr">
        <is>
          <t>Not stated</t>
        </is>
      </c>
      <c r="S86" s="34" t="inlineStr">
        <is>
          <t>Not stated</t>
        </is>
      </c>
      <c r="T86" s="34" t="inlineStr">
        <is>
          <t>Not stated</t>
        </is>
      </c>
      <c r="U86" s="34" t="inlineStr">
        <is>
          <t>Unknown</t>
        </is>
      </c>
      <c r="V86" s="34" t="inlineStr">
        <is>
          <t>Unknown</t>
        </is>
      </c>
      <c r="W86" s="34" t="inlineStr">
        <is>
          <t>Not stated</t>
        </is>
      </c>
      <c r="X86" s="34" t="inlineStr">
        <is>
          <t>Unverified</t>
        </is>
      </c>
      <c r="Y86" s="34" t="inlineStr">
        <is>
          <t>Unknown</t>
        </is>
      </c>
      <c r="Z86" s="34" t="inlineStr">
        <is>
          <t>Unknown</t>
        </is>
      </c>
      <c r="AA86" s="34" t="inlineStr">
        <is>
          <t>No</t>
        </is>
      </c>
      <c r="AB86" s="34" t="inlineStr">
        <is>
          <t>Unknown</t>
        </is>
      </c>
      <c r="AC86" s="34" t="inlineStr">
        <is>
          <t>Not stated</t>
        </is>
      </c>
      <c r="AD86" s="34" t="inlineStr">
        <is>
          <t>Not stated</t>
        </is>
      </c>
      <c r="AE86" s="34" t="inlineStr">
        <is>
          <t>Not stated</t>
        </is>
      </c>
      <c r="AF86" s="34" t="inlineStr">
        <is>
          <t>Not stated</t>
        </is>
      </c>
      <c r="AG86" s="34" t="inlineStr">
        <is>
          <t>Not stated</t>
        </is>
      </c>
      <c r="AH86" s="34" t="inlineStr">
        <is>
          <t>No card required</t>
        </is>
      </c>
      <c r="AI86" s="34" t="inlineStr">
        <is>
          <t>Not stated</t>
        </is>
      </c>
      <c r="AJ86" s="34" t="inlineStr">
        <is>
          <t>https://aifree.dev/offer/shortcut-startup-program</t>
        </is>
      </c>
      <c r="AK86" s="34" t="inlineStr">
        <is>
          <t>https://aifree.dev/startup-ai-credits</t>
        </is>
      </c>
      <c r="AL86" s="34" t="inlineStr">
        <is>
          <t>Directory listing (verified Oct 2026 per directory): 12 months free Business plan; new customers only.</t>
        </is>
      </c>
      <c r="AM86" s="34" t="inlineStr">
        <is>
          <t>2026-10-24</t>
        </is>
      </c>
      <c r="AN86" s="34" t="inlineStr">
        <is>
          <t>Medium</t>
        </is>
      </c>
      <c r="AO86" s="34" t="inlineStr">
        <is>
          <t>Directory</t>
        </is>
      </c>
      <c r="AP86" s="34" t="inlineStr">
        <is>
          <t>Global (unverified)</t>
        </is>
      </c>
      <c r="AQ86" s="34" t="inlineStr">
        <is>
          <t>Not stated</t>
        </is>
      </c>
      <c r="AR86" s="34" t="inlineStr">
        <is>
          <t>Terms taken from aifree.dev directory; official program page not opened this session. Confirm on provider site before applying.</t>
        </is>
      </c>
      <c r="AS86" s="34" t="inlineStr">
        <is>
          <t>DG-SHORT</t>
        </is>
      </c>
      <c r="AT86" s="34" t="inlineStr">
        <is>
          <t>Excel only</t>
        </is>
      </c>
      <c r="AU86" s="34" t="inlineStr"/>
      <c r="AV86" s="34" t="inlineStr"/>
      <c r="AW86" s="34" t="inlineStr"/>
      <c r="AX86" s="34" t="inlineStr"/>
      <c r="AY86" s="34" t="inlineStr"/>
      <c r="AZ86" s="34" t="inlineStr"/>
      <c r="BA86" s="34" t="inlineStr"/>
      <c r="BB86" s="34" t="inlineStr">
        <is>
          <t>shortcut</t>
        </is>
      </c>
      <c r="BC86" s="34" t="inlineStr">
        <is>
          <t>shortcutforstartups</t>
        </is>
      </c>
      <c r="BD86" s="34" t="inlineStr">
        <is>
          <t>shortcut|shortcutforstartups</t>
        </is>
      </c>
      <c r="BE86" s="34" t="n">
        <v>1</v>
      </c>
      <c r="BF86" s="34" t="inlineStr">
        <is>
          <t>No</t>
        </is>
      </c>
    </row>
    <row r="87">
      <c r="A87" s="34" t="inlineStr">
        <is>
          <t>SB-086</t>
        </is>
      </c>
      <c r="B87" s="34" t="inlineStr">
        <is>
          <t>Snowflake</t>
        </is>
      </c>
      <c r="C87" s="34" t="inlineStr">
        <is>
          <t>Snowflake for Startups</t>
        </is>
      </c>
      <c r="D87" s="34" t="inlineStr">
        <is>
          <t>Not stated</t>
        </is>
      </c>
      <c r="E87" s="34" t="inlineStr">
        <is>
          <t>Cloud &amp; Infrastructure</t>
        </is>
      </c>
      <c r="F87" s="34" t="inlineStr">
        <is>
          <t>Data platform</t>
        </is>
      </c>
      <c r="G87" s="34" t="inlineStr">
        <is>
          <t>Startup credits (startup-specific)</t>
        </is>
      </c>
      <c r="H87" s="34" t="inlineStr">
        <is>
          <t>Free usage on first contract (Startup Package); no published credit amount.</t>
        </is>
      </c>
      <c r="I87" s="34" t="inlineStr"/>
      <c r="J87" s="34" t="inlineStr">
        <is>
          <t>USD</t>
        </is>
      </c>
      <c r="K87" s="34" t="inlineStr">
        <is>
          <t>Credits</t>
        </is>
      </c>
      <c r="L87" s="34" t="inlineStr"/>
      <c r="M87" s="34" t="inlineStr"/>
      <c r="N87" s="34" t="inlineStr"/>
      <c r="O87" s="34" t="inlineStr">
        <is>
          <t>Open</t>
        </is>
      </c>
      <c r="P87" s="34" t="inlineStr">
        <is>
          <t>Not verified this session</t>
        </is>
      </c>
      <c r="Q87" s="34" t="inlineStr">
        <is>
          <t>Not verified this session</t>
        </is>
      </c>
      <c r="R87" s="34" t="inlineStr">
        <is>
          <t>Not stated</t>
        </is>
      </c>
      <c r="S87" s="34" t="inlineStr">
        <is>
          <t>Not stated</t>
        </is>
      </c>
      <c r="T87" s="34" t="inlineStr">
        <is>
          <t>Not stated</t>
        </is>
      </c>
      <c r="U87" s="34" t="inlineStr">
        <is>
          <t>Unknown</t>
        </is>
      </c>
      <c r="V87" s="34" t="inlineStr">
        <is>
          <t>Unknown</t>
        </is>
      </c>
      <c r="W87" s="34" t="inlineStr">
        <is>
          <t>Not stated</t>
        </is>
      </c>
      <c r="X87" s="34" t="inlineStr">
        <is>
          <t>Unverified</t>
        </is>
      </c>
      <c r="Y87" s="34" t="inlineStr">
        <is>
          <t>Unknown</t>
        </is>
      </c>
      <c r="Z87" s="34" t="inlineStr">
        <is>
          <t>Unknown</t>
        </is>
      </c>
      <c r="AA87" s="34" t="inlineStr">
        <is>
          <t>No</t>
        </is>
      </c>
      <c r="AB87" s="34" t="inlineStr">
        <is>
          <t>Unknown</t>
        </is>
      </c>
      <c r="AC87" s="34" t="inlineStr">
        <is>
          <t>Not stated</t>
        </is>
      </c>
      <c r="AD87" s="34" t="inlineStr">
        <is>
          <t>Not stated</t>
        </is>
      </c>
      <c r="AE87" s="34" t="inlineStr">
        <is>
          <t>Not stated</t>
        </is>
      </c>
      <c r="AF87" s="34" t="inlineStr">
        <is>
          <t>Not stated</t>
        </is>
      </c>
      <c r="AG87" s="34" t="inlineStr">
        <is>
          <t>Not stated</t>
        </is>
      </c>
      <c r="AH87" s="34" t="inlineStr">
        <is>
          <t>No card required</t>
        </is>
      </c>
      <c r="AI87" s="34" t="inlineStr">
        <is>
          <t>Not stated</t>
        </is>
      </c>
      <c r="AJ87" s="34" t="inlineStr">
        <is>
          <t>https://aifree.dev/offer/snowflake-for-startups</t>
        </is>
      </c>
      <c r="AK87" s="34" t="inlineStr">
        <is>
          <t>https://aifree.dev/startup-ai-credits</t>
        </is>
      </c>
      <c r="AL87" s="34" t="inlineStr">
        <is>
          <t>Directory listing (verified Oct 2026 per directory): Free usage on first contract (Startup Package); no published credit amount.</t>
        </is>
      </c>
      <c r="AM87" s="34" t="inlineStr">
        <is>
          <t>2026-10-24</t>
        </is>
      </c>
      <c r="AN87" s="34" t="inlineStr">
        <is>
          <t>Medium</t>
        </is>
      </c>
      <c r="AO87" s="34" t="inlineStr">
        <is>
          <t>Directory</t>
        </is>
      </c>
      <c r="AP87" s="34" t="inlineStr">
        <is>
          <t>Global (unverified)</t>
        </is>
      </c>
      <c r="AQ87" s="34" t="inlineStr">
        <is>
          <t>Not stated</t>
        </is>
      </c>
      <c r="AR87" s="34" t="inlineStr">
        <is>
          <t>Terms taken from aifree.dev directory; official program page not opened this session. Confirm on provider site before applying.</t>
        </is>
      </c>
      <c r="AS87" s="34" t="inlineStr">
        <is>
          <t>DG-SNOW</t>
        </is>
      </c>
      <c r="AT87" s="34" t="inlineStr">
        <is>
          <t>Excel only</t>
        </is>
      </c>
      <c r="AU87" s="34" t="inlineStr"/>
      <c r="AV87" s="34" t="inlineStr"/>
      <c r="AW87" s="34" t="inlineStr"/>
      <c r="AX87" s="34" t="inlineStr"/>
      <c r="AY87" s="34" t="inlineStr"/>
      <c r="AZ87" s="34" t="inlineStr"/>
      <c r="BA87" s="34" t="inlineStr"/>
      <c r="BB87" s="34" t="inlineStr">
        <is>
          <t>snowflake</t>
        </is>
      </c>
      <c r="BC87" s="34" t="inlineStr">
        <is>
          <t>snowflakeforstartups</t>
        </is>
      </c>
      <c r="BD87" s="34" t="inlineStr">
        <is>
          <t>snowflake|snowflakeforstartups</t>
        </is>
      </c>
      <c r="BE87" s="34" t="n">
        <v>1</v>
      </c>
      <c r="BF87" s="34" t="inlineStr">
        <is>
          <t>No</t>
        </is>
      </c>
    </row>
    <row r="88">
      <c r="A88" s="34" t="inlineStr">
        <is>
          <t>SB-087</t>
        </is>
      </c>
      <c r="B88" s="34" t="inlineStr">
        <is>
          <t>Stripe</t>
        </is>
      </c>
      <c r="C88" s="34" t="inlineStr">
        <is>
          <t>Stripe for Startups</t>
        </is>
      </c>
      <c r="D88" s="34" t="inlineStr">
        <is>
          <t>Not stated</t>
        </is>
      </c>
      <c r="E88" s="34" t="inlineStr">
        <is>
          <t>SaaS &amp; Marketing</t>
        </is>
      </c>
      <c r="F88" s="34" t="inlineStr">
        <is>
          <t>Payments fee discount</t>
        </is>
      </c>
      <c r="G88" s="34" t="inlineStr">
        <is>
          <t>Startup plan / free subscription period</t>
        </is>
      </c>
      <c r="H88" s="34" t="inlineStr">
        <is>
          <t>Invoicing fees capped starting at 0.4%, up to $10 per invoice.</t>
        </is>
      </c>
      <c r="I88" s="34" t="inlineStr"/>
      <c r="J88" s="34" t="inlineStr">
        <is>
          <t>USD</t>
        </is>
      </c>
      <c r="K88" s="34" t="inlineStr">
        <is>
          <t>Discount</t>
        </is>
      </c>
      <c r="L88" s="34" t="inlineStr"/>
      <c r="M88" s="34" t="inlineStr"/>
      <c r="N88" s="34" t="inlineStr"/>
      <c r="O88" s="34" t="inlineStr">
        <is>
          <t>Open</t>
        </is>
      </c>
      <c r="P88" s="34" t="inlineStr">
        <is>
          <t>Not verified this session</t>
        </is>
      </c>
      <c r="Q88" s="34" t="inlineStr">
        <is>
          <t>https://stripe.com/startup-benefits/aws-activate</t>
        </is>
      </c>
      <c r="R88" s="34" t="inlineStr">
        <is>
          <t>Not stated</t>
        </is>
      </c>
      <c r="S88" s="34" t="inlineStr">
        <is>
          <t>Not stated</t>
        </is>
      </c>
      <c r="T88" s="34" t="inlineStr">
        <is>
          <t>Not stated</t>
        </is>
      </c>
      <c r="U88" s="34" t="inlineStr">
        <is>
          <t>Unknown</t>
        </is>
      </c>
      <c r="V88" s="34" t="inlineStr">
        <is>
          <t>Unknown</t>
        </is>
      </c>
      <c r="W88" s="34" t="inlineStr">
        <is>
          <t>Not stated</t>
        </is>
      </c>
      <c r="X88" s="34" t="inlineStr">
        <is>
          <t>Unverified</t>
        </is>
      </c>
      <c r="Y88" s="34" t="inlineStr">
        <is>
          <t>Unknown</t>
        </is>
      </c>
      <c r="Z88" s="34" t="inlineStr">
        <is>
          <t>Unknown</t>
        </is>
      </c>
      <c r="AA88" s="34" t="inlineStr">
        <is>
          <t>No</t>
        </is>
      </c>
      <c r="AB88" s="34" t="inlineStr">
        <is>
          <t>Unknown</t>
        </is>
      </c>
      <c r="AC88" s="34" t="inlineStr">
        <is>
          <t>Not stated</t>
        </is>
      </c>
      <c r="AD88" s="34" t="inlineStr">
        <is>
          <t>Not stated</t>
        </is>
      </c>
      <c r="AE88" s="34" t="inlineStr">
        <is>
          <t>Not stated</t>
        </is>
      </c>
      <c r="AF88" s="34" t="inlineStr">
        <is>
          <t>Not stated</t>
        </is>
      </c>
      <c r="AG88" s="34" t="inlineStr">
        <is>
          <t>Not stated</t>
        </is>
      </c>
      <c r="AH88" s="34" t="inlineStr">
        <is>
          <t>No card required</t>
        </is>
      </c>
      <c r="AI88" s="34" t="inlineStr">
        <is>
          <t>Not stated</t>
        </is>
      </c>
      <c r="AJ88" s="34" t="inlineStr">
        <is>
          <t>https://aifree.dev/offer/stripe-for-startups</t>
        </is>
      </c>
      <c r="AK88" s="34" t="inlineStr">
        <is>
          <t>https://aifree.dev/startup-ai-credits</t>
        </is>
      </c>
      <c r="AL88" s="34" t="inlineStr">
        <is>
          <t>Directory listing (verified Oct 2026 per directory): Invoicing fees capped starting at 0.4%, up to $10 per invoice.</t>
        </is>
      </c>
      <c r="AM88" s="34" t="inlineStr">
        <is>
          <t>2026-10-24</t>
        </is>
      </c>
      <c r="AN88" s="34" t="inlineStr">
        <is>
          <t>Medium</t>
        </is>
      </c>
      <c r="AO88" s="34" t="inlineStr">
        <is>
          <t>Directory</t>
        </is>
      </c>
      <c r="AP88" s="34" t="inlineStr">
        <is>
          <t>Global (unverified)</t>
        </is>
      </c>
      <c r="AQ88" s="34" t="inlineStr">
        <is>
          <t>Not stated</t>
        </is>
      </c>
      <c r="AR88" s="34" t="inlineStr">
        <is>
          <t>Seed URL (stripe.com/startup-benefits/aws-activate) NOT opened; directory describes an invoicing fee cap.</t>
        </is>
      </c>
      <c r="AS88" s="34" t="inlineStr">
        <is>
          <t>DG-STRIPE</t>
        </is>
      </c>
      <c r="AT88" s="34" t="inlineStr">
        <is>
          <t>Excel only</t>
        </is>
      </c>
      <c r="AU88" s="34" t="inlineStr"/>
      <c r="AV88" s="34" t="inlineStr"/>
      <c r="AW88" s="34" t="inlineStr"/>
      <c r="AX88" s="34" t="inlineStr"/>
      <c r="AY88" s="34" t="inlineStr"/>
      <c r="AZ88" s="34" t="inlineStr"/>
      <c r="BA88" s="34" t="inlineStr"/>
      <c r="BB88" s="34" t="inlineStr">
        <is>
          <t>stripe</t>
        </is>
      </c>
      <c r="BC88" s="34" t="inlineStr">
        <is>
          <t>stripeforstartups</t>
        </is>
      </c>
      <c r="BD88" s="34" t="inlineStr">
        <is>
          <t>stripe|stripeforstartups</t>
        </is>
      </c>
      <c r="BE88" s="34" t="n">
        <v>1</v>
      </c>
      <c r="BF88" s="34" t="inlineStr">
        <is>
          <t>No</t>
        </is>
      </c>
    </row>
    <row r="89">
      <c r="A89" s="34" t="inlineStr">
        <is>
          <t>SB-088</t>
        </is>
      </c>
      <c r="B89" s="34" t="inlineStr">
        <is>
          <t>T-Systems (T Cloud Public)</t>
        </is>
      </c>
      <c r="C89" s="34" t="inlineStr">
        <is>
          <t>T Cloud Public EUR 250 starter credit</t>
        </is>
      </c>
      <c r="D89" s="34" t="inlineStr">
        <is>
          <t>Not stated</t>
        </is>
      </c>
      <c r="E89" s="34" t="inlineStr">
        <is>
          <t>Cloud &amp; Infrastructure</t>
        </is>
      </c>
      <c r="F89" s="34" t="inlineStr">
        <is>
          <t>Trial credit</t>
        </is>
      </c>
      <c r="G89" s="34" t="inlineStr">
        <is>
          <t>Free trial credit (not startup-exclusive)</t>
        </is>
      </c>
      <c r="H89" s="34" t="inlineStr">
        <is>
          <t>EUR 250 starting credit for new customers; voucher redeemable until 31 Dec 2026.</t>
        </is>
      </c>
      <c r="I89" s="34" t="inlineStr">
        <is>
          <t>250</t>
        </is>
      </c>
      <c r="J89" s="34" t="inlineStr">
        <is>
          <t>EUR</t>
        </is>
      </c>
      <c r="K89" s="34" t="inlineStr">
        <is>
          <t>Credits</t>
        </is>
      </c>
      <c r="L89" s="34" t="inlineStr"/>
      <c r="M89" s="34" t="inlineStr"/>
      <c r="N89" s="34" t="inlineStr"/>
      <c r="O89" s="34" t="inlineStr">
        <is>
          <t>Open</t>
        </is>
      </c>
      <c r="P89" s="34" t="inlineStr">
        <is>
          <t>Not verified this session</t>
        </is>
      </c>
      <c r="Q89" s="34" t="inlineStr">
        <is>
          <t>Not verified this session</t>
        </is>
      </c>
      <c r="R89" s="34" t="inlineStr">
        <is>
          <t>Not stated</t>
        </is>
      </c>
      <c r="S89" s="34" t="inlineStr">
        <is>
          <t>Not stated</t>
        </is>
      </c>
      <c r="T89" s="34" t="inlineStr">
        <is>
          <t>Not stated</t>
        </is>
      </c>
      <c r="U89" s="34" t="inlineStr">
        <is>
          <t>Unknown</t>
        </is>
      </c>
      <c r="V89" s="34" t="inlineStr">
        <is>
          <t>Unknown</t>
        </is>
      </c>
      <c r="W89" s="34" t="inlineStr">
        <is>
          <t>Not stated</t>
        </is>
      </c>
      <c r="X89" s="34" t="inlineStr">
        <is>
          <t>Unverified</t>
        </is>
      </c>
      <c r="Y89" s="34" t="inlineStr">
        <is>
          <t>Unknown</t>
        </is>
      </c>
      <c r="Z89" s="34" t="inlineStr">
        <is>
          <t>Unknown</t>
        </is>
      </c>
      <c r="AA89" s="34" t="inlineStr">
        <is>
          <t>No</t>
        </is>
      </c>
      <c r="AB89" s="34" t="inlineStr">
        <is>
          <t>Unknown</t>
        </is>
      </c>
      <c r="AC89" s="34" t="inlineStr">
        <is>
          <t>Not stated</t>
        </is>
      </c>
      <c r="AD89" s="34" t="inlineStr">
        <is>
          <t>Not stated</t>
        </is>
      </c>
      <c r="AE89" s="34" t="inlineStr">
        <is>
          <t>Not stated</t>
        </is>
      </c>
      <c r="AF89" s="34" t="inlineStr">
        <is>
          <t>Not stated</t>
        </is>
      </c>
      <c r="AG89" s="34" t="inlineStr">
        <is>
          <t>Not stated</t>
        </is>
      </c>
      <c r="AH89" s="34" t="inlineStr">
        <is>
          <t>No card required</t>
        </is>
      </c>
      <c r="AI89" s="34" t="inlineStr">
        <is>
          <t>Not stated</t>
        </is>
      </c>
      <c r="AJ89" s="34" t="inlineStr">
        <is>
          <t>https://aifree.dev/offer/t-cloud-public-starter-credit</t>
        </is>
      </c>
      <c r="AK89" s="34" t="inlineStr">
        <is>
          <t>https://aifree.dev/startup-ai-credits</t>
        </is>
      </c>
      <c r="AL89" s="34" t="inlineStr">
        <is>
          <t>Directory listing (verified Oct 2026 per directory): EUR 250 starting credit for new customers; voucher redeemable until 31 Dec 2026.</t>
        </is>
      </c>
      <c r="AM89" s="34" t="inlineStr">
        <is>
          <t>2026-10-24</t>
        </is>
      </c>
      <c r="AN89" s="34" t="inlineStr">
        <is>
          <t>Medium</t>
        </is>
      </c>
      <c r="AO89" s="34" t="inlineStr">
        <is>
          <t>Directory</t>
        </is>
      </c>
      <c r="AP89" s="34" t="inlineStr">
        <is>
          <t>Global (unverified)</t>
        </is>
      </c>
      <c r="AQ89" s="34" t="inlineStr">
        <is>
          <t>Not stated</t>
        </is>
      </c>
      <c r="AR89" s="34" t="inlineStr">
        <is>
          <t>Terms taken from aifree.dev directory; official program page not opened this session. Confirm on provider site before applying.</t>
        </is>
      </c>
      <c r="AS89" s="34" t="inlineStr">
        <is>
          <t>DG-TCLOUD</t>
        </is>
      </c>
      <c r="AT89" s="34" t="inlineStr">
        <is>
          <t>Excel only</t>
        </is>
      </c>
      <c r="AU89" s="34" t="inlineStr"/>
      <c r="AV89" s="34" t="inlineStr"/>
      <c r="AW89" s="34" t="inlineStr"/>
      <c r="AX89" s="34" t="inlineStr"/>
      <c r="AY89" s="34" t="inlineStr"/>
      <c r="AZ89" s="34" t="inlineStr"/>
      <c r="BA89" s="34" t="inlineStr"/>
      <c r="BB89" s="34" t="inlineStr">
        <is>
          <t>tsystemstcloudpublic</t>
        </is>
      </c>
      <c r="BC89" s="34" t="inlineStr">
        <is>
          <t>tcloudpubliceur250startercredit</t>
        </is>
      </c>
      <c r="BD89" s="34" t="inlineStr">
        <is>
          <t>tsystemstcloudpublic|tcloudpubliceur250startercredit</t>
        </is>
      </c>
      <c r="BE89" s="34" t="n">
        <v>1</v>
      </c>
      <c r="BF89" s="34" t="inlineStr">
        <is>
          <t>No</t>
        </is>
      </c>
    </row>
    <row r="90">
      <c r="A90" s="34" t="inlineStr">
        <is>
          <t>SB-089</t>
        </is>
      </c>
      <c r="B90" s="34" t="inlineStr">
        <is>
          <t>Tencent Cloud</t>
        </is>
      </c>
      <c r="C90" s="34" t="inlineStr">
        <is>
          <t>Tencent Cloud free tier</t>
        </is>
      </c>
      <c r="D90" s="34" t="inlineStr">
        <is>
          <t>Not stated</t>
        </is>
      </c>
      <c r="E90" s="34" t="inlineStr">
        <is>
          <t>Cloud &amp; Infrastructure</t>
        </is>
      </c>
      <c r="F90" s="34" t="inlineStr">
        <is>
          <t>Free tier</t>
        </is>
      </c>
      <c r="G90" s="34" t="inlineStr">
        <is>
          <t>Free tier (ongoing, not startup-exclusive)</t>
        </is>
      </c>
      <c r="H90" s="34" t="inlineStr">
        <is>
          <t>Free CVM and Lighthouse instances for new users of each product.</t>
        </is>
      </c>
      <c r="I90" s="34" t="inlineStr"/>
      <c r="J90" s="34" t="inlineStr">
        <is>
          <t>USD</t>
        </is>
      </c>
      <c r="K90" s="34" t="inlineStr">
        <is>
          <t>In-Kind</t>
        </is>
      </c>
      <c r="L90" s="34" t="inlineStr"/>
      <c r="M90" s="34" t="inlineStr"/>
      <c r="N90" s="34" t="inlineStr"/>
      <c r="O90" s="34" t="inlineStr">
        <is>
          <t>Open</t>
        </is>
      </c>
      <c r="P90" s="34" t="inlineStr">
        <is>
          <t>Not verified this session</t>
        </is>
      </c>
      <c r="Q90" s="34" t="inlineStr">
        <is>
          <t>Not verified this session</t>
        </is>
      </c>
      <c r="R90" s="34" t="inlineStr">
        <is>
          <t>Not stated</t>
        </is>
      </c>
      <c r="S90" s="34" t="inlineStr">
        <is>
          <t>Not stated</t>
        </is>
      </c>
      <c r="T90" s="34" t="inlineStr">
        <is>
          <t>Not stated</t>
        </is>
      </c>
      <c r="U90" s="34" t="inlineStr">
        <is>
          <t>Unknown</t>
        </is>
      </c>
      <c r="V90" s="34" t="inlineStr">
        <is>
          <t>Unknown</t>
        </is>
      </c>
      <c r="W90" s="34" t="inlineStr">
        <is>
          <t>Not stated</t>
        </is>
      </c>
      <c r="X90" s="34" t="inlineStr">
        <is>
          <t>Unverified</t>
        </is>
      </c>
      <c r="Y90" s="34" t="inlineStr">
        <is>
          <t>Unknown</t>
        </is>
      </c>
      <c r="Z90" s="34" t="inlineStr">
        <is>
          <t>Unknown</t>
        </is>
      </c>
      <c r="AA90" s="34" t="inlineStr">
        <is>
          <t>No</t>
        </is>
      </c>
      <c r="AB90" s="34" t="inlineStr">
        <is>
          <t>Unknown</t>
        </is>
      </c>
      <c r="AC90" s="34" t="inlineStr">
        <is>
          <t>Not stated</t>
        </is>
      </c>
      <c r="AD90" s="34" t="inlineStr">
        <is>
          <t>Not stated</t>
        </is>
      </c>
      <c r="AE90" s="34" t="inlineStr">
        <is>
          <t>Not stated</t>
        </is>
      </c>
      <c r="AF90" s="34" t="inlineStr">
        <is>
          <t>Not stated</t>
        </is>
      </c>
      <c r="AG90" s="34" t="inlineStr">
        <is>
          <t>Not stated</t>
        </is>
      </c>
      <c r="AH90" s="34" t="inlineStr">
        <is>
          <t>No card required</t>
        </is>
      </c>
      <c r="AI90" s="34" t="inlineStr">
        <is>
          <t>Not stated</t>
        </is>
      </c>
      <c r="AJ90" s="34" t="inlineStr">
        <is>
          <t>https://aifree.dev/offer/tencent-cloud-free-tier</t>
        </is>
      </c>
      <c r="AK90" s="34" t="inlineStr">
        <is>
          <t>https://aifree.dev/startup-ai-credits</t>
        </is>
      </c>
      <c r="AL90" s="34" t="inlineStr">
        <is>
          <t>Directory listing (verified Oct 2026 per directory): Free CVM and Lighthouse instances for new users of each product.</t>
        </is>
      </c>
      <c r="AM90" s="34" t="inlineStr">
        <is>
          <t>2026-10-24</t>
        </is>
      </c>
      <c r="AN90" s="34" t="inlineStr">
        <is>
          <t>Medium</t>
        </is>
      </c>
      <c r="AO90" s="34" t="inlineStr">
        <is>
          <t>Directory</t>
        </is>
      </c>
      <c r="AP90" s="34" t="inlineStr">
        <is>
          <t>Global (unverified)</t>
        </is>
      </c>
      <c r="AQ90" s="34" t="inlineStr">
        <is>
          <t>Not stated</t>
        </is>
      </c>
      <c r="AR90" s="34" t="inlineStr">
        <is>
          <t>Terms taken from aifree.dev directory; official program page not opened this session. Confirm on provider site before applying.</t>
        </is>
      </c>
      <c r="AS90" s="34" t="inlineStr">
        <is>
          <t>DG-TENCENT</t>
        </is>
      </c>
      <c r="AT90" s="34" t="inlineStr">
        <is>
          <t>Excel only</t>
        </is>
      </c>
      <c r="AU90" s="34" t="inlineStr"/>
      <c r="AV90" s="34" t="inlineStr"/>
      <c r="AW90" s="34" t="inlineStr"/>
      <c r="AX90" s="34" t="inlineStr"/>
      <c r="AY90" s="34" t="inlineStr"/>
      <c r="AZ90" s="34" t="inlineStr"/>
      <c r="BA90" s="34" t="inlineStr"/>
      <c r="BB90" s="34" t="inlineStr">
        <is>
          <t>tencentcloud</t>
        </is>
      </c>
      <c r="BC90" s="34" t="inlineStr">
        <is>
          <t>tencentcloudfreetier</t>
        </is>
      </c>
      <c r="BD90" s="34" t="inlineStr">
        <is>
          <t>tencentcloud|tencentcloudfreetier</t>
        </is>
      </c>
      <c r="BE90" s="34" t="n">
        <v>1</v>
      </c>
      <c r="BF90" s="34" t="inlineStr">
        <is>
          <t>No</t>
        </is>
      </c>
    </row>
    <row r="91">
      <c r="A91" s="34" t="inlineStr">
        <is>
          <t>SB-090</t>
        </is>
      </c>
      <c r="B91" s="34" t="inlineStr">
        <is>
          <t>Vultr</t>
        </is>
      </c>
      <c r="C91" s="34" t="inlineStr">
        <is>
          <t>Vultr Free Tier Program</t>
        </is>
      </c>
      <c r="D91" s="34" t="inlineStr">
        <is>
          <t>Not stated</t>
        </is>
      </c>
      <c r="E91" s="34" t="inlineStr">
        <is>
          <t>Cloud &amp; Infrastructure</t>
        </is>
      </c>
      <c r="F91" s="34" t="inlineStr">
        <is>
          <t>Free tier</t>
        </is>
      </c>
      <c r="G91" s="34" t="inlineStr">
        <is>
          <t>Free tier (ongoing, not startup-exclusive)</t>
        </is>
      </c>
      <c r="H91" s="34" t="inlineStr">
        <is>
          <t>One free instance (1 vCPU, 512 MB RAM, 10 GB SSD) with 2 TB monthly bandwidth.</t>
        </is>
      </c>
      <c r="I91" s="34" t="inlineStr"/>
      <c r="J91" s="34" t="inlineStr">
        <is>
          <t>USD</t>
        </is>
      </c>
      <c r="K91" s="34" t="inlineStr">
        <is>
          <t>In-Kind</t>
        </is>
      </c>
      <c r="L91" s="34" t="inlineStr"/>
      <c r="M91" s="34" t="inlineStr"/>
      <c r="N91" s="34" t="inlineStr"/>
      <c r="O91" s="34" t="inlineStr">
        <is>
          <t>Open</t>
        </is>
      </c>
      <c r="P91" s="34" t="inlineStr">
        <is>
          <t>Not verified this session</t>
        </is>
      </c>
      <c r="Q91" s="34" t="inlineStr">
        <is>
          <t>Not verified this session</t>
        </is>
      </c>
      <c r="R91" s="34" t="inlineStr">
        <is>
          <t>Not stated</t>
        </is>
      </c>
      <c r="S91" s="34" t="inlineStr">
        <is>
          <t>Not stated</t>
        </is>
      </c>
      <c r="T91" s="34" t="inlineStr">
        <is>
          <t>Not stated</t>
        </is>
      </c>
      <c r="U91" s="34" t="inlineStr">
        <is>
          <t>Unknown</t>
        </is>
      </c>
      <c r="V91" s="34" t="inlineStr">
        <is>
          <t>Unknown</t>
        </is>
      </c>
      <c r="W91" s="34" t="inlineStr">
        <is>
          <t>Not stated</t>
        </is>
      </c>
      <c r="X91" s="34" t="inlineStr">
        <is>
          <t>Unverified</t>
        </is>
      </c>
      <c r="Y91" s="34" t="inlineStr">
        <is>
          <t>Unknown</t>
        </is>
      </c>
      <c r="Z91" s="34" t="inlineStr">
        <is>
          <t>Unknown</t>
        </is>
      </c>
      <c r="AA91" s="34" t="inlineStr">
        <is>
          <t>No</t>
        </is>
      </c>
      <c r="AB91" s="34" t="inlineStr">
        <is>
          <t>Unknown</t>
        </is>
      </c>
      <c r="AC91" s="34" t="inlineStr">
        <is>
          <t>Not stated</t>
        </is>
      </c>
      <c r="AD91" s="34" t="inlineStr">
        <is>
          <t>Not stated</t>
        </is>
      </c>
      <c r="AE91" s="34" t="inlineStr">
        <is>
          <t>Not stated</t>
        </is>
      </c>
      <c r="AF91" s="34" t="inlineStr">
        <is>
          <t>Not stated</t>
        </is>
      </c>
      <c r="AG91" s="34" t="inlineStr">
        <is>
          <t>Not stated</t>
        </is>
      </c>
      <c r="AH91" s="34" t="inlineStr">
        <is>
          <t>No card required</t>
        </is>
      </c>
      <c r="AI91" s="34" t="inlineStr">
        <is>
          <t>Not stated</t>
        </is>
      </c>
      <c r="AJ91" s="34" t="inlineStr">
        <is>
          <t>https://aifree.dev/offer/vultr-free-tier-program</t>
        </is>
      </c>
      <c r="AK91" s="34" t="inlineStr">
        <is>
          <t>https://aifree.dev/startup-ai-credits</t>
        </is>
      </c>
      <c r="AL91" s="34" t="inlineStr">
        <is>
          <t>Directory listing (verified Oct 2026 per directory): One free instance (1 vCPU, 512 MB RAM, 10 GB SSD) with 2 TB monthly bandwidth.</t>
        </is>
      </c>
      <c r="AM91" s="34" t="inlineStr">
        <is>
          <t>2026-10-24</t>
        </is>
      </c>
      <c r="AN91" s="34" t="inlineStr">
        <is>
          <t>Medium</t>
        </is>
      </c>
      <c r="AO91" s="34" t="inlineStr">
        <is>
          <t>Directory</t>
        </is>
      </c>
      <c r="AP91" s="34" t="inlineStr">
        <is>
          <t>Global (unverified)</t>
        </is>
      </c>
      <c r="AQ91" s="34" t="inlineStr">
        <is>
          <t>Not stated</t>
        </is>
      </c>
      <c r="AR91" s="34" t="inlineStr">
        <is>
          <t>Terms taken from aifree.dev directory; official program page not opened this session. Confirm on provider site before applying.</t>
        </is>
      </c>
      <c r="AS91" s="34" t="inlineStr">
        <is>
          <t>DG-VULTR-FT</t>
        </is>
      </c>
      <c r="AT91" s="34" t="inlineStr">
        <is>
          <t>Excel only</t>
        </is>
      </c>
      <c r="AU91" s="34" t="inlineStr"/>
      <c r="AV91" s="34" t="inlineStr"/>
      <c r="AW91" s="34" t="inlineStr"/>
      <c r="AX91" s="34" t="inlineStr"/>
      <c r="AY91" s="34" t="inlineStr"/>
      <c r="AZ91" s="34" t="inlineStr"/>
      <c r="BA91" s="34" t="inlineStr"/>
      <c r="BB91" s="34" t="inlineStr">
        <is>
          <t>vultr</t>
        </is>
      </c>
      <c r="BC91" s="34" t="inlineStr">
        <is>
          <t>vultrfreetierprogram</t>
        </is>
      </c>
      <c r="BD91" s="34" t="inlineStr">
        <is>
          <t>vultr|vultrfreetierprogram</t>
        </is>
      </c>
      <c r="BE91" s="34" t="n">
        <v>1</v>
      </c>
      <c r="BF91" s="34" t="inlineStr">
        <is>
          <t>No</t>
        </is>
      </c>
    </row>
    <row r="92">
      <c r="A92" s="34" t="inlineStr">
        <is>
          <t>SB-091</t>
        </is>
      </c>
      <c r="B92" s="34" t="inlineStr">
        <is>
          <t>Anthropic</t>
        </is>
      </c>
      <c r="C92" s="34" t="inlineStr">
        <is>
          <t>Claude for Startups</t>
        </is>
      </c>
      <c r="D92" s="34" t="inlineStr">
        <is>
          <t>Not stated</t>
        </is>
      </c>
      <c r="E92" s="34" t="inlineStr">
        <is>
          <t>AI &amp; LLM Credits</t>
        </is>
      </c>
      <c r="F92" s="34" t="inlineStr">
        <is>
          <t>LLM API credits</t>
        </is>
      </c>
      <c r="G92" s="34" t="inlineStr">
        <is>
          <t>Startup credits (startup-specific)</t>
        </is>
      </c>
      <c r="H92" s="34" t="inlineStr">
        <is>
          <t>Directory says the current cohort is full and no new applications are being accepted; re-verification in progress.</t>
        </is>
      </c>
      <c r="I92" s="34" t="inlineStr"/>
      <c r="J92" s="34" t="inlineStr">
        <is>
          <t>USD</t>
        </is>
      </c>
      <c r="K92" s="34" t="inlineStr">
        <is>
          <t>Credits</t>
        </is>
      </c>
      <c r="L92" s="34" t="inlineStr"/>
      <c r="M92" s="34" t="inlineStr"/>
      <c r="N92" s="34" t="inlineStr"/>
      <c r="O92" s="34" t="inlineStr">
        <is>
          <t>Closed</t>
        </is>
      </c>
      <c r="P92" s="34" t="inlineStr">
        <is>
          <t>Not verified this session</t>
        </is>
      </c>
      <c r="Q92" s="34" t="inlineStr">
        <is>
          <t>Not verified this session</t>
        </is>
      </c>
      <c r="R92" s="34" t="inlineStr">
        <is>
          <t>Not stated</t>
        </is>
      </c>
      <c r="S92" s="34" t="inlineStr">
        <is>
          <t>Not stated</t>
        </is>
      </c>
      <c r="T92" s="34" t="inlineStr">
        <is>
          <t>Not stated</t>
        </is>
      </c>
      <c r="U92" s="34" t="inlineStr">
        <is>
          <t>Unknown</t>
        </is>
      </c>
      <c r="V92" s="34" t="inlineStr">
        <is>
          <t>Unknown</t>
        </is>
      </c>
      <c r="W92" s="34" t="inlineStr">
        <is>
          <t>Not stated</t>
        </is>
      </c>
      <c r="X92" s="34" t="inlineStr">
        <is>
          <t>Unverified</t>
        </is>
      </c>
      <c r="Y92" s="34" t="inlineStr">
        <is>
          <t>Unknown</t>
        </is>
      </c>
      <c r="Z92" s="34" t="inlineStr">
        <is>
          <t>Unknown</t>
        </is>
      </c>
      <c r="AA92" s="34" t="inlineStr">
        <is>
          <t>Yes</t>
        </is>
      </c>
      <c r="AB92" s="34" t="inlineStr">
        <is>
          <t>Unknown</t>
        </is>
      </c>
      <c r="AC92" s="34" t="inlineStr">
        <is>
          <t>Not stated</t>
        </is>
      </c>
      <c r="AD92" s="34" t="inlineStr">
        <is>
          <t>Not stated</t>
        </is>
      </c>
      <c r="AE92" s="34" t="inlineStr">
        <is>
          <t>Not stated</t>
        </is>
      </c>
      <c r="AF92" s="34" t="inlineStr">
        <is>
          <t>Not stated</t>
        </is>
      </c>
      <c r="AG92" s="34" t="inlineStr">
        <is>
          <t>Not stated</t>
        </is>
      </c>
      <c r="AH92" s="34" t="inlineStr">
        <is>
          <t>No card required</t>
        </is>
      </c>
      <c r="AI92" s="34" t="inlineStr">
        <is>
          <t>Not stated</t>
        </is>
      </c>
      <c r="AJ92" s="34" t="inlineStr">
        <is>
          <t>https://aifree.dev/offer/claude-for-startups</t>
        </is>
      </c>
      <c r="AK92" s="34" t="inlineStr">
        <is>
          <t>https://aifree.dev/startup-ai-credits</t>
        </is>
      </c>
      <c r="AL92" s="34" t="inlineStr">
        <is>
          <t>Directory listing (verified Oct 2026 per directory): Directory says the current cohort is full and no new applications are being accepted; re-verification in progress.</t>
        </is>
      </c>
      <c r="AM92" s="34" t="inlineStr">
        <is>
          <t>2026-10-24</t>
        </is>
      </c>
      <c r="AN92" s="34" t="inlineStr">
        <is>
          <t>Low</t>
        </is>
      </c>
      <c r="AO92" s="34" t="inlineStr">
        <is>
          <t>Directory</t>
        </is>
      </c>
      <c r="AP92" s="34" t="inlineStr">
        <is>
          <t>Global (unverified)</t>
        </is>
      </c>
      <c r="AQ92" s="34" t="inlineStr">
        <is>
          <t>Not stated</t>
        </is>
      </c>
      <c r="AR92" s="34" t="inlineStr">
        <is>
          <t>Directory flags re-verification in progress. Check Anthropic's official startup page before assuming closed.</t>
        </is>
      </c>
      <c r="AS92" s="34" t="inlineStr">
        <is>
          <t>DG-CLAUDE</t>
        </is>
      </c>
      <c r="AT92" s="34" t="inlineStr">
        <is>
          <t>Excel only</t>
        </is>
      </c>
      <c r="AU92" s="34" t="inlineStr"/>
      <c r="AV92" s="34" t="inlineStr"/>
      <c r="AW92" s="34" t="inlineStr"/>
      <c r="AX92" s="34" t="inlineStr"/>
      <c r="AY92" s="34" t="inlineStr"/>
      <c r="AZ92" s="34" t="inlineStr"/>
      <c r="BA92" s="34" t="inlineStr"/>
      <c r="BB92" s="34" t="inlineStr">
        <is>
          <t>anthropic</t>
        </is>
      </c>
      <c r="BC92" s="34" t="inlineStr">
        <is>
          <t>claudeforstartups</t>
        </is>
      </c>
      <c r="BD92" s="34" t="inlineStr">
        <is>
          <t>anthropic|claudeforstartups</t>
        </is>
      </c>
      <c r="BE92" s="34" t="n">
        <v>1</v>
      </c>
      <c r="BF92" s="34" t="inlineStr">
        <is>
          <t>No</t>
        </is>
      </c>
    </row>
    <row r="93">
      <c r="A93" s="34" t="inlineStr">
        <is>
          <t>SB-092</t>
        </is>
      </c>
      <c r="B93" s="34" t="inlineStr">
        <is>
          <t>Huawei Cloud</t>
        </is>
      </c>
      <c r="C93" s="34" t="inlineStr">
        <is>
          <t>Huawei Cloud free packages for new users</t>
        </is>
      </c>
      <c r="D93" s="34" t="inlineStr">
        <is>
          <t>Not stated</t>
        </is>
      </c>
      <c r="E93" s="34" t="inlineStr">
        <is>
          <t>Cloud &amp; Infrastructure</t>
        </is>
      </c>
      <c r="F93" s="34" t="inlineStr">
        <is>
          <t>Free trial</t>
        </is>
      </c>
      <c r="G93" s="34" t="inlineStr">
        <is>
          <t>Free trial credit (not startup-exclusive)</t>
        </is>
      </c>
      <c r="H93" s="34" t="inlineStr">
        <is>
          <t>Up to 12 months of ECS, RDS and OBS free packages for new users.</t>
        </is>
      </c>
      <c r="I93" s="34" t="inlineStr"/>
      <c r="J93" s="34" t="inlineStr">
        <is>
          <t>USD</t>
        </is>
      </c>
      <c r="K93" s="34" t="inlineStr">
        <is>
          <t>In-Kind</t>
        </is>
      </c>
      <c r="L93" s="34" t="inlineStr"/>
      <c r="M93" s="34" t="inlineStr"/>
      <c r="N93" s="34" t="inlineStr"/>
      <c r="O93" s="34" t="inlineStr">
        <is>
          <t>Open</t>
        </is>
      </c>
      <c r="P93" s="34" t="inlineStr">
        <is>
          <t>Not verified this session</t>
        </is>
      </c>
      <c r="Q93" s="34" t="inlineStr">
        <is>
          <t>Not verified this session</t>
        </is>
      </c>
      <c r="R93" s="34" t="inlineStr">
        <is>
          <t>Not stated</t>
        </is>
      </c>
      <c r="S93" s="34" t="inlineStr">
        <is>
          <t>Not stated</t>
        </is>
      </c>
      <c r="T93" s="34" t="inlineStr">
        <is>
          <t>Not stated</t>
        </is>
      </c>
      <c r="U93" s="34" t="inlineStr">
        <is>
          <t>Unknown</t>
        </is>
      </c>
      <c r="V93" s="34" t="inlineStr">
        <is>
          <t>Unknown</t>
        </is>
      </c>
      <c r="W93" s="34" t="inlineStr">
        <is>
          <t>Not stated</t>
        </is>
      </c>
      <c r="X93" s="34" t="inlineStr">
        <is>
          <t>Unverified</t>
        </is>
      </c>
      <c r="Y93" s="34" t="inlineStr">
        <is>
          <t>Unknown</t>
        </is>
      </c>
      <c r="Z93" s="34" t="inlineStr">
        <is>
          <t>Unknown</t>
        </is>
      </c>
      <c r="AA93" s="34" t="inlineStr">
        <is>
          <t>No</t>
        </is>
      </c>
      <c r="AB93" s="34" t="inlineStr">
        <is>
          <t>Unknown</t>
        </is>
      </c>
      <c r="AC93" s="34" t="inlineStr">
        <is>
          <t>Not stated</t>
        </is>
      </c>
      <c r="AD93" s="34" t="inlineStr">
        <is>
          <t>Not stated</t>
        </is>
      </c>
      <c r="AE93" s="34" t="inlineStr">
        <is>
          <t>Not stated</t>
        </is>
      </c>
      <c r="AF93" s="34" t="inlineStr">
        <is>
          <t>Not stated</t>
        </is>
      </c>
      <c r="AG93" s="34" t="inlineStr">
        <is>
          <t>Not stated</t>
        </is>
      </c>
      <c r="AH93" s="34" t="inlineStr">
        <is>
          <t>Card required</t>
        </is>
      </c>
      <c r="AI93" s="34" t="inlineStr">
        <is>
          <t>Not stated</t>
        </is>
      </c>
      <c r="AJ93" s="34" t="inlineStr">
        <is>
          <t>https://aifree.dev/offer/huawei-cloud-free-packages</t>
        </is>
      </c>
      <c r="AK93" s="34" t="inlineStr">
        <is>
          <t>https://aifree.dev/startup-ai-credits</t>
        </is>
      </c>
      <c r="AL93" s="34" t="inlineStr">
        <is>
          <t>Directory listing (verified Oct 2026 per directory): Up to 12 months of ECS, RDS and OBS free packages for new users.</t>
        </is>
      </c>
      <c r="AM93" s="34" t="inlineStr">
        <is>
          <t>2026-10-24</t>
        </is>
      </c>
      <c r="AN93" s="34" t="inlineStr">
        <is>
          <t>Low</t>
        </is>
      </c>
      <c r="AO93" s="34" t="inlineStr">
        <is>
          <t>Directory</t>
        </is>
      </c>
      <c r="AP93" s="34" t="inlineStr">
        <is>
          <t>Global (unverified)</t>
        </is>
      </c>
      <c r="AQ93" s="34" t="inlineStr">
        <is>
          <t>Not stated</t>
        </is>
      </c>
      <c r="AR93" s="34" t="inlineStr">
        <is>
          <t>Directory shows only a 'Listed' badge (Sep 12, 2026), not verified.</t>
        </is>
      </c>
      <c r="AS93" s="34" t="inlineStr">
        <is>
          <t>DG-HUAWEI</t>
        </is>
      </c>
      <c r="AT93" s="34" t="inlineStr">
        <is>
          <t>Excel only</t>
        </is>
      </c>
      <c r="AU93" s="34" t="inlineStr"/>
      <c r="AV93" s="34" t="inlineStr"/>
      <c r="AW93" s="34" t="inlineStr"/>
      <c r="AX93" s="34" t="inlineStr"/>
      <c r="AY93" s="34" t="inlineStr"/>
      <c r="AZ93" s="34" t="inlineStr"/>
      <c r="BA93" s="34" t="inlineStr"/>
      <c r="BB93" s="34" t="inlineStr">
        <is>
          <t>huaweicloud</t>
        </is>
      </c>
      <c r="BC93" s="34" t="inlineStr">
        <is>
          <t>huaweicloudfreepackagesfornewusers</t>
        </is>
      </c>
      <c r="BD93" s="34" t="inlineStr">
        <is>
          <t>huaweicloud|huaweicloudfreepackagesfornewusers</t>
        </is>
      </c>
      <c r="BE93" s="34" t="n">
        <v>1</v>
      </c>
      <c r="BF93" s="34" t="inlineStr">
        <is>
          <t>No</t>
        </is>
      </c>
    </row>
    <row r="94">
      <c r="A94" s="34" t="inlineStr">
        <is>
          <t>REPO-001</t>
        </is>
      </c>
      <c r="B94" s="34" t="inlineStr">
        <is>
          <t>ClickUp</t>
        </is>
      </c>
      <c r="C94" s="34" t="inlineStr">
        <is>
          <t>ClickUp for Startups</t>
        </is>
      </c>
      <c r="D94" s="34" t="inlineStr"/>
      <c r="E94" s="34" t="inlineStr">
        <is>
          <t>Cloud &amp; infrastructure credits</t>
        </is>
      </c>
      <c r="F94" s="34" t="inlineStr">
        <is>
          <t>Credits / discount; Global</t>
        </is>
      </c>
      <c r="G94" s="34" t="inlineStr">
        <is>
          <t>Credits / discount</t>
        </is>
      </c>
      <c r="H94" s="34" t="inlineStr">
        <is>
          <t>$3,000 ClickUp credit plus Enterprise workspace</t>
        </is>
      </c>
      <c r="I94" s="34" t="inlineStr"/>
      <c r="J94" s="34" t="inlineStr"/>
      <c r="K94" s="34" t="inlineStr"/>
      <c r="L94" s="34" t="inlineStr"/>
      <c r="M94" s="34" t="inlineStr"/>
      <c r="N94" s="34" t="inlineStr"/>
      <c r="O94" s="34" t="inlineStr">
        <is>
          <t>🔄 Rolling</t>
        </is>
      </c>
      <c r="P94" s="34" t="inlineStr">
        <is>
          <t>https://clickup.com/startup-program</t>
        </is>
      </c>
      <c r="Q94" s="34" t="inlineStr">
        <is>
          <t>https://clickup.com/startup-program</t>
        </is>
      </c>
      <c r="R94" s="34" t="inlineStr"/>
      <c r="S94" s="34" t="inlineStr">
        <is>
          <t>Approved funding-partner affiliation; no later than Series B; incorporated less than 5 years.</t>
        </is>
      </c>
      <c r="T94" s="34" t="inlineStr">
        <is>
          <t>Early-stage through Series B.</t>
        </is>
      </c>
      <c r="U94" s="34" t="inlineStr"/>
      <c r="V94" s="34" t="inlineStr"/>
      <c r="W94" s="34" t="inlineStr">
        <is>
          <t>No geographic restriction stated on the official page.</t>
        </is>
      </c>
      <c r="X94" s="34" t="inlineStr">
        <is>
          <t>Unverified</t>
        </is>
      </c>
      <c r="Y94" s="34" t="inlineStr">
        <is>
          <t>Unknown</t>
        </is>
      </c>
      <c r="Z94" s="34" t="inlineStr">
        <is>
          <t>Unknown</t>
        </is>
      </c>
      <c r="AA94" s="34" t="inlineStr">
        <is>
          <t>Unknown</t>
        </is>
      </c>
      <c r="AB94" s="34" t="inlineStr">
        <is>
          <t>Approved funding partner.</t>
        </is>
      </c>
      <c r="AC94" s="34" t="inlineStr">
        <is>
          <t>Confirm approved funding-partner affiliation. | Check age and funding-stage requirements. | Open the official ClickUp for Startups application. | Submit startup and partner details. | Complete onboarding after approval.</t>
        </is>
      </c>
      <c r="AD94" s="34" t="inlineStr">
        <is>
          <t>Startup details and funding-partner affiliation; the official application determines additional fields.</t>
        </is>
      </c>
      <c r="AE94" s="34" t="inlineStr">
        <is>
          <t>Maximum Series B; incorporated &lt;5 years.</t>
        </is>
      </c>
      <c r="AF94" s="34" t="inlineStr"/>
      <c r="AG94" s="34" t="inlineStr"/>
      <c r="AH94" s="34" t="inlineStr"/>
      <c r="AI94" s="34" t="inlineStr">
        <is>
          <t>Maximum Series B; incorporated &lt;5 years.</t>
        </is>
      </c>
      <c r="AJ94" s="34" t="inlineStr">
        <is>
          <t>https://clickup.com/startup-program</t>
        </is>
      </c>
      <c r="AK94" s="34" t="inlineStr"/>
      <c r="AL94" s="34" t="inlineStr">
        <is>
          <t>$3,000 ClickUp credit. | Enterprise workspace. | Onboarding resources, training, and support.</t>
        </is>
      </c>
      <c r="AM94" s="34" t="inlineStr">
        <is>
          <t>2026-10-12</t>
        </is>
      </c>
      <c r="AN94" s="34" t="inlineStr">
        <is>
          <t>Repo source; preserve original confidence context</t>
        </is>
      </c>
      <c r="AO94" s="34" t="inlineStr">
        <is>
          <t>GitHub repository</t>
        </is>
      </c>
      <c r="AP94" s="34" t="inlineStr">
        <is>
          <t>Global</t>
        </is>
      </c>
      <c r="AQ94" s="34" t="inlineStr">
        <is>
          <t>Global</t>
        </is>
      </c>
      <c r="AR94" s="34" t="inlineStr">
        <is>
          <t>Not published.</t>
        </is>
      </c>
      <c r="AS94" s="34" t="inlineStr"/>
      <c r="AT94" s="34" t="inlineStr">
        <is>
          <t>GitHub repo only</t>
        </is>
      </c>
      <c r="AU94" s="34" t="inlineStr">
        <is>
          <t>clickup-startups</t>
        </is>
      </c>
      <c r="AV94" s="34" t="inlineStr">
        <is>
          <t>No public code verified</t>
        </is>
      </c>
      <c r="AW94" s="34" t="inlineStr">
        <is>
          <t>Not published</t>
        </is>
      </c>
      <c r="AX94" s="34" t="inlineStr">
        <is>
          <t>https://clickup.com/startup-program</t>
        </is>
      </c>
      <c r="AY94" s="34" t="inlineStr">
        <is>
          <t>No provider-published coupon code found in the verified source; do not treat third-party codes as confirmed.</t>
        </is>
      </c>
      <c r="AZ94" s="34" t="inlineStr">
        <is>
          <t>No Excel match</t>
        </is>
      </c>
      <c r="BA94" s="34" t="inlineStr">
        <is>
          <t>No reliable community code confirmation recorded</t>
        </is>
      </c>
      <c r="BB94" s="34" t="inlineStr">
        <is>
          <t>clickup</t>
        </is>
      </c>
      <c r="BC94" s="34" t="inlineStr">
        <is>
          <t>clickupforstartups</t>
        </is>
      </c>
      <c r="BD94" s="34" t="inlineStr">
        <is>
          <t>clickup|clickupforstartups</t>
        </is>
      </c>
      <c r="BE94" s="34" t="n">
        <v>1</v>
      </c>
      <c r="BF94" s="34" t="inlineStr">
        <is>
          <t>No</t>
        </is>
      </c>
    </row>
    <row r="95">
      <c r="A95" s="34" t="inlineStr">
        <is>
          <t>REPO-002</t>
        </is>
      </c>
      <c r="B95" s="34" t="inlineStr">
        <is>
          <t>Anthropic</t>
        </is>
      </c>
      <c r="C95" s="34" t="inlineStr">
        <is>
          <t>Anthropic Startup Program</t>
        </is>
      </c>
      <c r="D95" s="34" t="inlineStr"/>
      <c r="E95" s="34" t="inlineStr">
        <is>
          <t>Cloud &amp; infrastructure credits</t>
        </is>
      </c>
      <c r="F95" s="34" t="inlineStr">
        <is>
          <t>Credits / ecosystem support; Global</t>
        </is>
      </c>
      <c r="G95" s="34" t="inlineStr">
        <is>
          <t>Credits / ecosystem support</t>
        </is>
      </c>
      <c r="H95" s="34" t="inlineStr">
        <is>
          <t>API credits, priority rate limits, and selected resources</t>
        </is>
      </c>
      <c r="I95" s="34" t="inlineStr"/>
      <c r="J95" s="34" t="inlineStr"/>
      <c r="K95" s="34" t="inlineStr"/>
      <c r="L95" s="34" t="inlineStr"/>
      <c r="M95" s="34" t="inlineStr"/>
      <c r="N95" s="34" t="inlineStr"/>
      <c r="O95" s="34" t="inlineStr">
        <is>
          <t>🔄 Rolling</t>
        </is>
      </c>
      <c r="P95" s="34" t="inlineStr">
        <is>
          <t>https://www.anthropic.com/startup-program-official-terms</t>
        </is>
      </c>
      <c r="Q95" s="34" t="inlineStr">
        <is>
          <t>https://www.anthropic.com/startup-program-official-terms</t>
        </is>
      </c>
      <c r="R95" s="34" t="inlineStr"/>
      <c r="S95" s="34" t="inlineStr">
        <is>
          <t>Complete applications evaluated on traction, investment/funding, and Claude integration/usage; eligibility is at Anthropic’s discretion.</t>
        </is>
      </c>
      <c r="T95" s="34" t="inlineStr">
        <is>
          <t>Startup stage is not fixed in the published terms.</t>
        </is>
      </c>
      <c r="U95" s="34" t="inlineStr"/>
      <c r="V95" s="34" t="inlineStr"/>
      <c r="W95" s="34" t="inlineStr">
        <is>
          <t>Not eligible if established/operating in or serving persons in Belarus, China, Cuba, Iran, Myanmar, North Korea, Russia, Sudan, Syria, Crimea, or the listed occupied regions; export controls also apply.</t>
        </is>
      </c>
      <c r="X95" s="34" t="inlineStr">
        <is>
          <t>Unverified</t>
        </is>
      </c>
      <c r="Y95" s="34" t="inlineStr">
        <is>
          <t>Unknown</t>
        </is>
      </c>
      <c r="Z95" s="34" t="inlineStr">
        <is>
          <t>Unknown</t>
        </is>
      </c>
      <c r="AA95" s="34" t="inlineStr">
        <is>
          <t>Unknown</t>
        </is>
      </c>
      <c r="AB95" s="34" t="inlineStr">
        <is>
          <t>Potential Claude integration/usage is an evaluation factor, not a guaranteed prerequisite.</t>
        </is>
      </c>
      <c r="AC95" s="34" t="inlineStr">
        <is>
          <t>Review the official terms and territory restrictions. | Prepare company, traction, funding, and Claude-use information. | Submit a complete application through the program channel. | Respond to validation or affidavit requests if selected. | Receive benefits on the company account if awarded.</t>
        </is>
      </c>
      <c r="AD95" s="34" t="inlineStr">
        <is>
          <t>Complete application; company and contact details; information supporting evaluation. Selected applicants may need an affidavit/release within 14 days of request.</t>
        </is>
      </c>
      <c r="AE95" s="34" t="inlineStr">
        <is>
          <t>No fixed funding or revenue limit stated.</t>
        </is>
      </c>
      <c r="AF95" s="34" t="inlineStr"/>
      <c r="AG95" s="34" t="inlineStr"/>
      <c r="AH95" s="34" t="inlineStr"/>
      <c r="AI95" s="34" t="inlineStr">
        <is>
          <t>No fixed funding or revenue limit stated.</t>
        </is>
      </c>
      <c r="AJ95" s="34" t="inlineStr">
        <is>
          <t>https://www.anthropic.com/startup-program-official-terms</t>
        </is>
      </c>
      <c r="AK95" s="34" t="inlineStr"/>
      <c r="AL95" s="34" t="inlineStr">
        <is>
          <t>Anthropic API credits. | Priority rate limits. | Access to selected Anthropic resources.</t>
        </is>
      </c>
      <c r="AM95" s="34" t="inlineStr">
        <is>
          <t>2026-10-12</t>
        </is>
      </c>
      <c r="AN95" s="34" t="inlineStr">
        <is>
          <t>Repo source; preserve original confidence context</t>
        </is>
      </c>
      <c r="AO95" s="34" t="inlineStr">
        <is>
          <t>GitHub repository</t>
        </is>
      </c>
      <c r="AP95" s="34" t="inlineStr">
        <is>
          <t>Global</t>
        </is>
      </c>
      <c r="AQ95" s="34" t="inlineStr">
        <is>
          <t>Global</t>
        </is>
      </c>
      <c r="AR95" s="34" t="inlineStr">
        <is>
          <t>Rolling selection; selected applicants may have 14 calendar days to return requested documents.</t>
        </is>
      </c>
      <c r="AS95" s="34" t="inlineStr"/>
      <c r="AT95" s="34" t="inlineStr">
        <is>
          <t>GitHub repo only</t>
        </is>
      </c>
      <c r="AU95" s="34" t="inlineStr">
        <is>
          <t>anthropic-startup</t>
        </is>
      </c>
      <c r="AV95" s="34" t="inlineStr">
        <is>
          <t>No public code verified</t>
        </is>
      </c>
      <c r="AW95" s="34" t="inlineStr">
        <is>
          <t>Not published</t>
        </is>
      </c>
      <c r="AX95" s="34" t="inlineStr">
        <is>
          <t>https://www.anthropic.com/startup-program-official-terms</t>
        </is>
      </c>
      <c r="AY95" s="34" t="inlineStr">
        <is>
          <t>No provider-published coupon code found in the verified source; do not treat third-party codes as confirmed.</t>
        </is>
      </c>
      <c r="AZ95" s="34" t="inlineStr">
        <is>
          <t>No Excel match</t>
        </is>
      </c>
      <c r="BA95" s="34" t="inlineStr">
        <is>
          <t>No reliable community code confirmation recorded</t>
        </is>
      </c>
      <c r="BB95" s="34" t="inlineStr">
        <is>
          <t>anthropic</t>
        </is>
      </c>
      <c r="BC95" s="34" t="inlineStr">
        <is>
          <t>anthropicstartupprogram</t>
        </is>
      </c>
      <c r="BD95" s="34" t="inlineStr">
        <is>
          <t>anthropic|anthropicstartupprogram</t>
        </is>
      </c>
      <c r="BE95" s="34" t="n">
        <v>1</v>
      </c>
      <c r="BF95" s="34" t="inlineStr">
        <is>
          <t>No</t>
        </is>
      </c>
    </row>
    <row r="96">
      <c r="A96" s="34" t="inlineStr">
        <is>
          <t>REPO-003</t>
        </is>
      </c>
      <c r="B96" s="34" t="inlineStr">
        <is>
          <t>Alibaba Cloud</t>
        </is>
      </c>
      <c r="C96" s="34" t="inlineStr">
        <is>
          <t>Alibaba Cloud AI Catalyst Program</t>
        </is>
      </c>
      <c r="D96" s="34" t="inlineStr"/>
      <c r="E96" s="34" t="inlineStr">
        <is>
          <t>Accelerators &amp; ecosystem</t>
        </is>
      </c>
      <c r="F96" s="34" t="inlineStr">
        <is>
          <t>Credits / accelerator; AI &amp; APIs; China</t>
        </is>
      </c>
      <c r="G96" s="34" t="inlineStr">
        <is>
          <t>Credits / accelerator</t>
        </is>
      </c>
      <c r="H96" s="34" t="inlineStr">
        <is>
          <t>2B Model Studio tokens and up to $120,000 cloud credits</t>
        </is>
      </c>
      <c r="I96" s="34" t="inlineStr"/>
      <c r="J96" s="34" t="inlineStr"/>
      <c r="K96" s="34" t="inlineStr"/>
      <c r="L96" s="34" t="inlineStr"/>
      <c r="M96" s="34" t="inlineStr"/>
      <c r="N96" s="34" t="inlineStr"/>
      <c r="O96" s="34" t="inlineStr">
        <is>
          <t>🔄 Rolling</t>
        </is>
      </c>
      <c r="P96" s="34" t="inlineStr">
        <is>
          <t>https://www.alibabacloud.com/en/startup/ai?_p_lc=1</t>
        </is>
      </c>
      <c r="Q96" s="34" t="inlineStr">
        <is>
          <t>https://www.alibabacloud.com/en/startup/ai?_p_lc=1</t>
        </is>
      </c>
      <c r="R96" s="34" t="inlineStr"/>
      <c r="S96" s="34" t="inlineStr">
        <is>
          <t>Online application; official page especially targets AI video/image creation, model aggregators, and content moderation. Further eligibility is assessed during review.</t>
        </is>
      </c>
      <c r="T96" s="34" t="inlineStr">
        <is>
          <t>AI startups and model/application builders.</t>
        </is>
      </c>
      <c r="U96" s="34" t="inlineStr"/>
      <c r="V96" s="34" t="inlineStr"/>
      <c r="W96" s="34" t="inlineStr">
        <is>
          <t>Global program page; China/region availability should be confirmed in the form.</t>
        </is>
      </c>
      <c r="X96" s="34" t="inlineStr">
        <is>
          <t>Unverified</t>
        </is>
      </c>
      <c r="Y96" s="34" t="inlineStr">
        <is>
          <t>Unknown</t>
        </is>
      </c>
      <c r="Z96" s="34" t="inlineStr">
        <is>
          <t>Unknown</t>
        </is>
      </c>
      <c r="AA96" s="34" t="inlineStr">
        <is>
          <t>Unknown</t>
        </is>
      </c>
      <c r="AB96" s="34" t="inlineStr">
        <is>
          <t>Relevant AI use case is favored; online application.</t>
        </is>
      </c>
      <c r="AC96" s="34" t="inlineStr">
        <is>
          <t>Check that the product fits the AI Catalyst focus areas. | Submit the official online application. | Provide additional information if requested. | Wait for the stated 4–5 business-day notification. | Join the program and activate credits/resources.</t>
        </is>
      </c>
      <c r="AD96" s="34" t="inlineStr">
        <is>
          <t>Online application and any additional information requested by Alibaba Cloud.</t>
        </is>
      </c>
      <c r="AE96" s="34" t="inlineStr">
        <is>
          <t>No fixed funding/revenue limit stated.</t>
        </is>
      </c>
      <c r="AF96" s="34" t="inlineStr"/>
      <c r="AG96" s="34" t="inlineStr"/>
      <c r="AH96" s="34" t="inlineStr"/>
      <c r="AI96" s="34" t="inlineStr">
        <is>
          <t>No fixed funding/revenue limit stated.</t>
        </is>
      </c>
      <c r="AJ96" s="34" t="inlineStr">
        <is>
          <t>https://www.alibabacloud.com/en/startup/ai?_p_lc=1</t>
        </is>
      </c>
      <c r="AK96" s="34" t="inlineStr"/>
      <c r="AL96" s="34" t="inlineStr">
        <is>
          <t>Up to 2B free Model Studio tokens. | Up to $120,000 cloud credits. | POC coupons and AI expert office hours. | Events/network access and 12 months of Academy access.</t>
        </is>
      </c>
      <c r="AM96" s="34" t="inlineStr">
        <is>
          <t>2026-10-12</t>
        </is>
      </c>
      <c r="AN96" s="34" t="inlineStr">
        <is>
          <t>Repo source; preserve original confidence context</t>
        </is>
      </c>
      <c r="AO96" s="34" t="inlineStr">
        <is>
          <t>GitHub repository</t>
        </is>
      </c>
      <c r="AP96" s="34" t="inlineStr">
        <is>
          <t>China</t>
        </is>
      </c>
      <c r="AQ96" s="34" t="inlineStr">
        <is>
          <t>AI &amp; APIs; China</t>
        </is>
      </c>
      <c r="AR96" s="34" t="inlineStr">
        <is>
          <t>Successful applicants are notified within 4–5 business days.</t>
        </is>
      </c>
      <c r="AS96" s="34" t="inlineStr"/>
      <c r="AT96" s="34" t="inlineStr">
        <is>
          <t>GitHub repo only</t>
        </is>
      </c>
      <c r="AU96" s="34" t="inlineStr">
        <is>
          <t>alibaba-ai-catalyst</t>
        </is>
      </c>
      <c r="AV96" s="34" t="inlineStr">
        <is>
          <t>No public code verified</t>
        </is>
      </c>
      <c r="AW96" s="34" t="inlineStr">
        <is>
          <t>Not published</t>
        </is>
      </c>
      <c r="AX96" s="34" t="inlineStr">
        <is>
          <t>https://www.alibabacloud.com/en/startup/ai?_p_lc=1</t>
        </is>
      </c>
      <c r="AY96" s="34" t="inlineStr">
        <is>
          <t>No provider-published coupon code found in the verified source; do not treat third-party codes as confirmed.</t>
        </is>
      </c>
      <c r="AZ96" s="34" t="inlineStr">
        <is>
          <t>No Excel match</t>
        </is>
      </c>
      <c r="BA96" s="34" t="inlineStr">
        <is>
          <t>No reliable community code confirmation recorded</t>
        </is>
      </c>
      <c r="BB96" s="34" t="inlineStr">
        <is>
          <t>alibabacloud</t>
        </is>
      </c>
      <c r="BC96" s="34" t="inlineStr">
        <is>
          <t>alibabacloudaicatalystprogram</t>
        </is>
      </c>
      <c r="BD96" s="34" t="inlineStr">
        <is>
          <t>alibabacloud|alibabacloudaicatalystprogram</t>
        </is>
      </c>
      <c r="BE96" s="34" t="n">
        <v>1</v>
      </c>
      <c r="BF96" s="34" t="inlineStr">
        <is>
          <t>No</t>
        </is>
      </c>
    </row>
    <row r="97">
      <c r="A97" s="34" t="inlineStr">
        <is>
          <t>REPO-004</t>
        </is>
      </c>
      <c r="B97" s="34" t="inlineStr">
        <is>
          <t>Alibaba Cloud</t>
        </is>
      </c>
      <c r="C97" s="34" t="inlineStr">
        <is>
          <t>Alibaba Cloud Startup Catalyst Program</t>
        </is>
      </c>
      <c r="D97" s="34" t="inlineStr"/>
      <c r="E97" s="34" t="inlineStr">
        <is>
          <t>Cloud &amp; infrastructure credits</t>
        </is>
      </c>
      <c r="F97" s="34" t="inlineStr">
        <is>
          <t>Credits; China</t>
        </is>
      </c>
      <c r="G97" s="34" t="inlineStr">
        <is>
          <t>Credits</t>
        </is>
      </c>
      <c r="H97" s="34" t="inlineStr">
        <is>
          <t>Cloud credits for funded startups</t>
        </is>
      </c>
      <c r="I97" s="34" t="inlineStr"/>
      <c r="J97" s="34" t="inlineStr"/>
      <c r="K97" s="34" t="inlineStr"/>
      <c r="L97" s="34" t="inlineStr"/>
      <c r="M97" s="34" t="inlineStr"/>
      <c r="N97" s="34" t="inlineStr"/>
      <c r="O97" s="34" t="inlineStr">
        <is>
          <t>🔄 Rolling</t>
        </is>
      </c>
      <c r="P97" s="34" t="inlineStr">
        <is>
          <t>https://www.alibabacloud.com/en/startup/cloudcreditredemption?_p_lc=1</t>
        </is>
      </c>
      <c r="Q97" s="34" t="inlineStr">
        <is>
          <t>https://www.alibabacloud.com/en/startup/cloudcreditredemption?_p_lc=1</t>
        </is>
      </c>
      <c r="R97" s="34" t="inlineStr"/>
      <c r="S97" s="34" t="inlineStr">
        <is>
          <t>Funded startup founded within the last 10 years; full current tier is confirmed in the application flow.</t>
        </is>
      </c>
      <c r="T97" s="34" t="inlineStr">
        <is>
          <t>Funded early-stage startups.</t>
        </is>
      </c>
      <c r="U97" s="34" t="inlineStr"/>
      <c r="V97" s="34" t="inlineStr"/>
      <c r="W97" s="34" t="inlineStr">
        <is>
          <t>China/Alibaba Cloud program page; confirm regional availability in the application.</t>
        </is>
      </c>
      <c r="X97" s="34" t="inlineStr">
        <is>
          <t>Unverified</t>
        </is>
      </c>
      <c r="Y97" s="34" t="inlineStr">
        <is>
          <t>Unknown</t>
        </is>
      </c>
      <c r="Z97" s="34" t="inlineStr">
        <is>
          <t>Unknown</t>
        </is>
      </c>
      <c r="AA97" s="34" t="inlineStr">
        <is>
          <t>Unknown</t>
        </is>
      </c>
      <c r="AB97" s="34" t="inlineStr">
        <is>
          <t>Funding status and Alibaba Cloud application.</t>
        </is>
      </c>
      <c r="AC97" s="34" t="inlineStr">
        <is>
          <t>Confirm funding and company age. | Open the official redemption/application page. | Submit funding and company information. | Complete review and account linkage. | Redeem the approved cloud credits.</t>
        </is>
      </c>
      <c r="AD97" s="34" t="inlineStr">
        <is>
          <t>Funding and company details requested in the application flow.</t>
        </is>
      </c>
      <c r="AE97" s="34" t="inlineStr">
        <is>
          <t>Founded within the last 10 years; funded; amount not fixed on the public page.</t>
        </is>
      </c>
      <c r="AF97" s="34" t="inlineStr"/>
      <c r="AG97" s="34" t="inlineStr"/>
      <c r="AH97" s="34" t="inlineStr"/>
      <c r="AI97" s="34" t="inlineStr">
        <is>
          <t>Founded within the last 10 years; funded; amount not fixed on the public page.</t>
        </is>
      </c>
      <c r="AJ97" s="34" t="inlineStr">
        <is>
          <t>https://www.alibabacloud.com/en/startup/cloudcreditredemption?_p_lc=1</t>
        </is>
      </c>
      <c r="AK97" s="34" t="inlineStr"/>
      <c r="AL97" s="34" t="inlineStr">
        <is>
          <t>Cloud credits. | Startup support through Alibaba Cloud. | Exact tier confirmed during application.</t>
        </is>
      </c>
      <c r="AM97" s="34" t="inlineStr">
        <is>
          <t>2026-10-12</t>
        </is>
      </c>
      <c r="AN97" s="34" t="inlineStr">
        <is>
          <t>Repo source; preserve original confidence context</t>
        </is>
      </c>
      <c r="AO97" s="34" t="inlineStr">
        <is>
          <t>GitHub repository</t>
        </is>
      </c>
      <c r="AP97" s="34" t="inlineStr">
        <is>
          <t>China</t>
        </is>
      </c>
      <c r="AQ97" s="34" t="inlineStr">
        <is>
          <t>China</t>
        </is>
      </c>
      <c r="AR97" s="34" t="inlineStr">
        <is>
          <t>Not published.</t>
        </is>
      </c>
      <c r="AS97" s="34" t="inlineStr"/>
      <c r="AT97" s="34" t="inlineStr">
        <is>
          <t>GitHub repo only</t>
        </is>
      </c>
      <c r="AU97" s="34" t="inlineStr">
        <is>
          <t>alibaba-startup-catalyst</t>
        </is>
      </c>
      <c r="AV97" s="34" t="inlineStr">
        <is>
          <t>No public code verified</t>
        </is>
      </c>
      <c r="AW97" s="34" t="inlineStr">
        <is>
          <t>Not published</t>
        </is>
      </c>
      <c r="AX97" s="34" t="inlineStr">
        <is>
          <t>https://www.alibabacloud.com/en/startup/cloudcreditredemption?_p_lc=1</t>
        </is>
      </c>
      <c r="AY97" s="34" t="inlineStr">
        <is>
          <t>No provider-published coupon code found in the verified source; do not treat third-party codes as confirmed.</t>
        </is>
      </c>
      <c r="AZ97" s="34" t="inlineStr">
        <is>
          <t>No Excel match</t>
        </is>
      </c>
      <c r="BA97" s="34" t="inlineStr">
        <is>
          <t>No reliable community code confirmation recorded</t>
        </is>
      </c>
      <c r="BB97" s="34" t="inlineStr">
        <is>
          <t>alibabacloud</t>
        </is>
      </c>
      <c r="BC97" s="34" t="inlineStr">
        <is>
          <t>alibabacloudstartupcatalystprogram</t>
        </is>
      </c>
      <c r="BD97" s="34" t="inlineStr">
        <is>
          <t>alibabacloud|alibabacloudstartupcatalystprogram</t>
        </is>
      </c>
      <c r="BE97" s="34" t="n">
        <v>1</v>
      </c>
      <c r="BF97" s="34" t="inlineStr">
        <is>
          <t>No</t>
        </is>
      </c>
    </row>
    <row r="98">
      <c r="A98" s="34" t="inlineStr">
        <is>
          <t>REPO-005</t>
        </is>
      </c>
      <c r="B98" s="34" t="inlineStr">
        <is>
          <t>Tencent Cloud</t>
        </is>
      </c>
      <c r="C98" s="34" t="inlineStr">
        <is>
          <t>Tencent Cloud Startup Program</t>
        </is>
      </c>
      <c r="D98" s="34" t="inlineStr"/>
      <c r="E98" s="34" t="inlineStr">
        <is>
          <t>Accelerators &amp; ecosystem</t>
        </is>
      </c>
      <c r="F98" s="34" t="inlineStr">
        <is>
          <t>Credits / discount / accelerator; China</t>
        </is>
      </c>
      <c r="G98" s="34" t="inlineStr">
        <is>
          <t>Credits / discount / accelerator</t>
        </is>
      </c>
      <c r="H98" s="34" t="inlineStr">
        <is>
          <t>Financial support, discounts, training, and marketing opportunities</t>
        </is>
      </c>
      <c r="I98" s="34" t="inlineStr"/>
      <c r="J98" s="34" t="inlineStr"/>
      <c r="K98" s="34" t="inlineStr"/>
      <c r="L98" s="34" t="inlineStr"/>
      <c r="M98" s="34" t="inlineStr"/>
      <c r="N98" s="34" t="inlineStr"/>
      <c r="O98" s="34" t="inlineStr">
        <is>
          <t>🔄 Rolling</t>
        </is>
      </c>
      <c r="P98" s="34" t="inlineStr">
        <is>
          <t>https://www.tencentcloud.com/campaign/startupprogram</t>
        </is>
      </c>
      <c r="Q98" s="34" t="inlineStr">
        <is>
          <t>https://www.tencentcloud.com/campaign/startupprogram</t>
        </is>
      </c>
      <c r="R98" s="34" t="inlineStr"/>
      <c r="S98" s="34" t="inlineStr">
        <is>
          <t>Designed for VC-backed startups; application requests incorporation, financing stage, VC document, historical cloud billing, product interest, and usage information.</t>
        </is>
      </c>
      <c r="T98" s="34" t="inlineStr">
        <is>
          <t>Seed through Series B are listed in the application form.</t>
        </is>
      </c>
      <c r="U98" s="34" t="inlineStr"/>
      <c r="V98" s="34" t="inlineStr"/>
      <c r="W98" s="34" t="inlineStr">
        <is>
          <t>Tencent Cloud application; regional availability and identity verification apply.</t>
        </is>
      </c>
      <c r="X98" s="34" t="inlineStr">
        <is>
          <t>Unverified</t>
        </is>
      </c>
      <c r="Y98" s="34" t="inlineStr">
        <is>
          <t>Unknown</t>
        </is>
      </c>
      <c r="Z98" s="34" t="inlineStr">
        <is>
          <t>Unknown</t>
        </is>
      </c>
      <c r="AA98" s="34" t="inlineStr">
        <is>
          <t>Unknown</t>
        </is>
      </c>
      <c r="AB98" s="34" t="inlineStr">
        <is>
          <t>Tencent Cloud account, identity verification, and VC backing/documentation.</t>
        </is>
      </c>
      <c r="AC98" s="34" t="inlineStr">
        <is>
          <t>Create and identity-verify a Tencent Cloud account. | Prepare VC and historical billing documents. | Complete the official application form. | Submit for approval. | Wait for the stated two-week processing window and activate offers.</t>
        </is>
      </c>
      <c r="AD98" s="34" t="inlineStr">
        <is>
          <t>Incorporation details, company website/address, business description, company size, user size, revenue/cloud budget, VC financing document, and historical cloud billing document.</t>
        </is>
      </c>
      <c r="AE98" s="34" t="inlineStr">
        <is>
          <t>Application form lists Seed, Series A, and Series B; no fixed revenue limit.</t>
        </is>
      </c>
      <c r="AF98" s="34" t="inlineStr"/>
      <c r="AG98" s="34" t="inlineStr"/>
      <c r="AH98" s="34" t="inlineStr"/>
      <c r="AI98" s="34" t="inlineStr">
        <is>
          <t>Application form lists Seed, Series A, and Series B; no fixed revenue limit.</t>
        </is>
      </c>
      <c r="AJ98" s="34" t="inlineStr">
        <is>
          <t>https://www.tencentcloud.com/campaign/startupprogram</t>
        </is>
      </c>
      <c r="AK98" s="34" t="inlineStr"/>
      <c r="AL98" s="34" t="inlineStr">
        <is>
          <t>Financial support. | Service discounts. | Training resources. | Marketing opportunities and Tencent Cloud ecosystem support.</t>
        </is>
      </c>
      <c r="AM98" s="34" t="inlineStr">
        <is>
          <t>2026-10-12</t>
        </is>
      </c>
      <c r="AN98" s="34" t="inlineStr">
        <is>
          <t>Repo source; preserve original confidence context</t>
        </is>
      </c>
      <c r="AO98" s="34" t="inlineStr">
        <is>
          <t>GitHub repository</t>
        </is>
      </c>
      <c r="AP98" s="34" t="inlineStr">
        <is>
          <t>China</t>
        </is>
      </c>
      <c r="AQ98" s="34" t="inlineStr">
        <is>
          <t>China</t>
        </is>
      </c>
      <c r="AR98" s="34" t="inlineStr">
        <is>
          <t>Applications processed within two weeks; no-response after two weeks may be unsuccessful.</t>
        </is>
      </c>
      <c r="AS98" s="34" t="inlineStr"/>
      <c r="AT98" s="34" t="inlineStr">
        <is>
          <t>GitHub repo only</t>
        </is>
      </c>
      <c r="AU98" s="34" t="inlineStr">
        <is>
          <t>tencent-cloud-startup</t>
        </is>
      </c>
      <c r="AV98" s="34" t="inlineStr">
        <is>
          <t>No public code verified</t>
        </is>
      </c>
      <c r="AW98" s="34" t="inlineStr">
        <is>
          <t>Not published</t>
        </is>
      </c>
      <c r="AX98" s="34" t="inlineStr">
        <is>
          <t>https://www.tencentcloud.com/campaign/startupprogram</t>
        </is>
      </c>
      <c r="AY98" s="34" t="inlineStr">
        <is>
          <t>No provider-published coupon code found in the verified source; do not treat third-party codes as confirmed.</t>
        </is>
      </c>
      <c r="AZ98" s="34" t="inlineStr">
        <is>
          <t>No Excel match</t>
        </is>
      </c>
      <c r="BA98" s="34" t="inlineStr">
        <is>
          <t>No reliable community code confirmation recorded</t>
        </is>
      </c>
      <c r="BB98" s="34" t="inlineStr">
        <is>
          <t>tencentcloud</t>
        </is>
      </c>
      <c r="BC98" s="34" t="inlineStr">
        <is>
          <t>tencentcloudstartupprogram</t>
        </is>
      </c>
      <c r="BD98" s="34" t="inlineStr">
        <is>
          <t>tencentcloud|tencentcloudstartupprogram</t>
        </is>
      </c>
      <c r="BE98" s="34" t="n">
        <v>1</v>
      </c>
      <c r="BF98" s="34" t="inlineStr">
        <is>
          <t>No</t>
        </is>
      </c>
    </row>
    <row r="99">
      <c r="A99" s="34" t="inlineStr">
        <is>
          <t>REPO-006</t>
        </is>
      </c>
      <c r="B99" s="34" t="inlineStr">
        <is>
          <t>Huawei Cloud</t>
        </is>
      </c>
      <c r="C99" s="34" t="inlineStr">
        <is>
          <t>Huawei Cloud Startup Program</t>
        </is>
      </c>
      <c r="D99" s="34" t="inlineStr"/>
      <c r="E99" s="34" t="inlineStr">
        <is>
          <t>Accelerators &amp; ecosystem</t>
        </is>
      </c>
      <c r="F99" s="34" t="inlineStr">
        <is>
          <t>Credits / accelerator; China</t>
        </is>
      </c>
      <c r="G99" s="34" t="inlineStr">
        <is>
          <t>Credits / accelerator</t>
        </is>
      </c>
      <c r="H99" s="34" t="inlineStr">
        <is>
          <t>$5,000 minimum voucher; possible application up to $150,000</t>
        </is>
      </c>
      <c r="I99" s="34" t="inlineStr"/>
      <c r="J99" s="34" t="inlineStr"/>
      <c r="K99" s="34" t="inlineStr"/>
      <c r="L99" s="34" t="inlineStr"/>
      <c r="M99" s="34" t="inlineStr"/>
      <c r="N99" s="34" t="inlineStr"/>
      <c r="O99" s="34" t="inlineStr">
        <is>
          <t>🔄 Rolling</t>
        </is>
      </c>
      <c r="P99" s="34" t="inlineStr">
        <is>
          <t>https://startup.huaweicloud.com/intl/en-us/index.html</t>
        </is>
      </c>
      <c r="Q99" s="34" t="inlineStr">
        <is>
          <t>https://startup.huaweicloud.com/intl/en-us/index.html</t>
        </is>
      </c>
      <c r="R99" s="34" t="inlineStr"/>
      <c r="S99" s="34" t="inlineStr">
        <is>
          <t>Enterprise established less than 5 years; not listed; no more than 50% of shares held by a listed company; enterprise real-name verification.</t>
        </is>
      </c>
      <c r="T99" s="34" t="inlineStr">
        <is>
          <t>Incorporated startups under 5 years old.</t>
        </is>
      </c>
      <c r="U99" s="34" t="inlineStr"/>
      <c r="V99" s="34" t="inlineStr"/>
      <c r="W99" s="34" t="inlineStr">
        <is>
          <t>Program targets startups globally and includes China; regional center determines availability.</t>
        </is>
      </c>
      <c r="X99" s="34" t="inlineStr">
        <is>
          <t>Unverified</t>
        </is>
      </c>
      <c r="Y99" s="34" t="inlineStr">
        <is>
          <t>Unknown</t>
        </is>
      </c>
      <c r="Z99" s="34" t="inlineStr">
        <is>
          <t>Unknown</t>
        </is>
      </c>
      <c r="AA99" s="34" t="inlineStr">
        <is>
          <t>Unknown</t>
        </is>
      </c>
      <c r="AB99" s="34" t="inlineStr">
        <is>
          <t>Huawei Cloud account and enterprise real-name verification.</t>
        </is>
      </c>
      <c r="AC99" s="34" t="inlineStr">
        <is>
          <t>Check company age, listing, and ownership rules. | Register a Huawei Cloud account. | Complete enterprise real-name verification. | Apply through the startup center and upload materials. | Wait for qualification review and claim approved benefits.</t>
        </is>
      </c>
      <c r="AD99" s="34" t="inlineStr">
        <is>
          <t>Enterprise registration and real-name verification materials; additional startup materials through the center.</t>
        </is>
      </c>
      <c r="AE99" s="34" t="inlineStr">
        <is>
          <t>Established &lt;5 years; ownership cap; no fixed revenue limit.</t>
        </is>
      </c>
      <c r="AF99" s="34" t="inlineStr"/>
      <c r="AG99" s="34" t="inlineStr"/>
      <c r="AH99" s="34" t="inlineStr"/>
      <c r="AI99" s="34" t="inlineStr">
        <is>
          <t>Established &lt;5 years; ownership cap; no fixed revenue limit.</t>
        </is>
      </c>
      <c r="AJ99" s="34" t="inlineStr">
        <is>
          <t>https://startup.huaweicloud.com/intl/en-us/index.html</t>
        </is>
      </c>
      <c r="AK99" s="34" t="inlineStr"/>
      <c r="AL99" s="34" t="inlineStr">
        <is>
          <t>Minimum $5,000 Huawei Cloud cash-credit voucher. | Possibility to apply for up to $150,000. | Cloud migration, enablement, business resources, and accelerator access.</t>
        </is>
      </c>
      <c r="AM99" s="34" t="inlineStr">
        <is>
          <t>2026-10-12</t>
        </is>
      </c>
      <c r="AN99" s="34" t="inlineStr">
        <is>
          <t>Repo source; preserve original confidence context</t>
        </is>
      </c>
      <c r="AO99" s="34" t="inlineStr">
        <is>
          <t>GitHub repository</t>
        </is>
      </c>
      <c r="AP99" s="34" t="inlineStr">
        <is>
          <t>China</t>
        </is>
      </c>
      <c r="AQ99" s="34" t="inlineStr">
        <is>
          <t>China</t>
        </is>
      </c>
      <c r="AR99" s="34" t="inlineStr">
        <is>
          <t>Review time not published.</t>
        </is>
      </c>
      <c r="AS99" s="34" t="inlineStr"/>
      <c r="AT99" s="34" t="inlineStr">
        <is>
          <t>GitHub repo only</t>
        </is>
      </c>
      <c r="AU99" s="34" t="inlineStr">
        <is>
          <t>huawei-cloud-startup</t>
        </is>
      </c>
      <c r="AV99" s="34" t="inlineStr">
        <is>
          <t>No public code verified</t>
        </is>
      </c>
      <c r="AW99" s="34" t="inlineStr">
        <is>
          <t>Not published</t>
        </is>
      </c>
      <c r="AX99" s="34" t="inlineStr">
        <is>
          <t>https://startup.huaweicloud.com/intl/en-us/index.html</t>
        </is>
      </c>
      <c r="AY99" s="34" t="inlineStr">
        <is>
          <t>No provider-published coupon code found in the verified source; do not treat third-party codes as confirmed.</t>
        </is>
      </c>
      <c r="AZ99" s="34" t="inlineStr">
        <is>
          <t>No Excel match</t>
        </is>
      </c>
      <c r="BA99" s="34" t="inlineStr">
        <is>
          <t>No reliable community code confirmation recorded</t>
        </is>
      </c>
      <c r="BB99" s="34" t="inlineStr">
        <is>
          <t>huaweicloud</t>
        </is>
      </c>
      <c r="BC99" s="34" t="inlineStr">
        <is>
          <t>huaweicloudstartupprogram</t>
        </is>
      </c>
      <c r="BD99" s="34" t="inlineStr">
        <is>
          <t>huaweicloud|huaweicloudstartupprogram</t>
        </is>
      </c>
      <c r="BE99" s="34" t="n">
        <v>1</v>
      </c>
      <c r="BF99" s="34" t="inlineStr">
        <is>
          <t>No</t>
        </is>
      </c>
    </row>
    <row r="100">
      <c r="A100" s="34" t="inlineStr">
        <is>
          <t>REPO-007</t>
        </is>
      </c>
      <c r="B100" s="34" t="inlineStr">
        <is>
          <t>Ukrainian Startup Fund</t>
        </is>
      </c>
      <c r="C100" s="34" t="inlineStr">
        <is>
          <t>Startup EDGE</t>
        </is>
      </c>
      <c r="D100" s="34" t="inlineStr"/>
      <c r="E100" s="34" t="inlineStr">
        <is>
          <t>Grants &amp; funding</t>
        </is>
      </c>
      <c r="F100" s="34" t="inlineStr">
        <is>
          <t>Grant; Ukraine</t>
        </is>
      </c>
      <c r="G100" s="34" t="inlineStr">
        <is>
          <t>Grant</t>
        </is>
      </c>
      <c r="H100" s="34" t="inlineStr">
        <is>
          <t>Up to €20,000 pre-seed; up to €40,000 seed</t>
        </is>
      </c>
      <c r="I100" s="34" t="inlineStr"/>
      <c r="J100" s="34" t="inlineStr"/>
      <c r="K100" s="34" t="inlineStr"/>
      <c r="L100" s="34" t="inlineStr"/>
      <c r="M100" s="34" t="inlineStr"/>
      <c r="N100" s="34" t="inlineStr"/>
      <c r="O100" s="34" t="inlineStr">
        <is>
          <t>⏳ Opens soon</t>
        </is>
      </c>
      <c r="P100" s="34" t="inlineStr">
        <is>
          <t>https://usf.com.ua/en/programs/startup-edge</t>
        </is>
      </c>
      <c r="Q100" s="34" t="inlineStr">
        <is>
          <t>https://usf.com.ua/en/programs/startup-edge</t>
        </is>
      </c>
      <c r="R100" s="34" t="inlineStr"/>
      <c r="S100" s="34" t="inlineStr">
        <is>
          <t>Innovative Ukrainian early-stage startups in Deep Tech, Green Tech, or EdTech; formal compliance, expert evaluation, pitching, committee, board, and agreement stages.</t>
        </is>
      </c>
      <c r="T100" s="34" t="inlineStr">
        <is>
          <t>Pre-seed and seed.</t>
        </is>
      </c>
      <c r="U100" s="34" t="inlineStr"/>
      <c r="V100" s="34" t="inlineStr"/>
      <c r="W100" s="34" t="inlineStr">
        <is>
          <t>Ukraine-focused program; official page describes strengthening Ukraine’s ecosystem.</t>
        </is>
      </c>
      <c r="X100" s="34" t="inlineStr">
        <is>
          <t>Unverified</t>
        </is>
      </c>
      <c r="Y100" s="34" t="inlineStr">
        <is>
          <t>Unknown</t>
        </is>
      </c>
      <c r="Z100" s="34" t="inlineStr">
        <is>
          <t>Unknown</t>
        </is>
      </c>
      <c r="AA100" s="34" t="inlineStr">
        <is>
          <t>Unknown</t>
        </is>
      </c>
      <c r="AB100" s="34" t="inlineStr">
        <is>
          <t>Fit one of the three focus sectors and pass staged review.</t>
        </is>
      </c>
      <c r="AC100" s="34" t="inlineStr">
        <is>
          <t>Join the official open-call notification list. | Check sector and stage fit when the call opens. | Prepare compliance and pitch materials. | Submit during the announced call window. | Complete expert evaluation, pitching, committee, board, and grant-agreement stages.</t>
        </is>
      </c>
      <c r="AD100" s="34" t="inlineStr">
        <is>
          <t>Eligibility/compliance materials, pitch materials, and grant-agreement information requested during the call.</t>
        </is>
      </c>
      <c r="AE100" s="34" t="inlineStr">
        <is>
          <t>Stage-based grant caps; no revenue limit stated.</t>
        </is>
      </c>
      <c r="AF100" s="34" t="inlineStr"/>
      <c r="AG100" s="34" t="inlineStr"/>
      <c r="AH100" s="34" t="inlineStr"/>
      <c r="AI100" s="34" t="inlineStr">
        <is>
          <t>Stage-based grant caps; no revenue limit stated.</t>
        </is>
      </c>
      <c r="AJ100" s="34" t="inlineStr">
        <is>
          <t>https://usf.com.ua/en/programs/startup-edge</t>
        </is>
      </c>
      <c r="AK100" s="34" t="inlineStr"/>
      <c r="AL100" s="34" t="inlineStr">
        <is>
          <t>Up to €20,000 pre-seed grant. | Up to €40,000 seed grant. | Focus on Deep Tech, Green Tech, and EdTech.</t>
        </is>
      </c>
      <c r="AM100" s="34" t="inlineStr">
        <is>
          <t>2026-10-12</t>
        </is>
      </c>
      <c r="AN100" s="34" t="inlineStr">
        <is>
          <t>Repo source; preserve original confidence context</t>
        </is>
      </c>
      <c r="AO100" s="34" t="inlineStr">
        <is>
          <t>GitHub repository</t>
        </is>
      </c>
      <c r="AP100" s="34" t="inlineStr">
        <is>
          <t>Ukraine</t>
        </is>
      </c>
      <c r="AQ100" s="34" t="inlineStr">
        <is>
          <t>Ukraine</t>
        </is>
      </c>
      <c r="AR100" s="34" t="inlineStr">
        <is>
          <t>Application deadline not yet published.</t>
        </is>
      </c>
      <c r="AS100" s="34" t="inlineStr"/>
      <c r="AT100" s="34" t="inlineStr">
        <is>
          <t>GitHub repo only</t>
        </is>
      </c>
      <c r="AU100" s="34" t="inlineStr">
        <is>
          <t>startup-edge</t>
        </is>
      </c>
      <c r="AV100" s="34" t="inlineStr">
        <is>
          <t>No public code verified</t>
        </is>
      </c>
      <c r="AW100" s="34" t="inlineStr">
        <is>
          <t>Not published</t>
        </is>
      </c>
      <c r="AX100" s="34" t="inlineStr">
        <is>
          <t>https://usf.com.ua/en/programs/startup-edge</t>
        </is>
      </c>
      <c r="AY100" s="34" t="inlineStr">
        <is>
          <t>No provider-published coupon code found in the verified source; do not treat third-party codes as confirmed.</t>
        </is>
      </c>
      <c r="AZ100" s="34" t="inlineStr">
        <is>
          <t>No Excel match</t>
        </is>
      </c>
      <c r="BA100" s="34" t="inlineStr">
        <is>
          <t>No reliable community code confirmation recorded</t>
        </is>
      </c>
      <c r="BB100" s="34" t="inlineStr">
        <is>
          <t>ukrainianstartupfund</t>
        </is>
      </c>
      <c r="BC100" s="34" t="inlineStr">
        <is>
          <t>startupedge</t>
        </is>
      </c>
      <c r="BD100" s="34" t="inlineStr">
        <is>
          <t>ukrainianstartupfund|startupedge</t>
        </is>
      </c>
      <c r="BE100" s="34" t="n">
        <v>1</v>
      </c>
      <c r="BF100" s="34" t="inlineStr">
        <is>
          <t>No</t>
        </is>
      </c>
    </row>
    <row r="101">
      <c r="A101" s="34" t="inlineStr">
        <is>
          <t>REPO-008</t>
        </is>
      </c>
      <c r="B101" s="34" t="inlineStr">
        <is>
          <t>Ukrainian Startup Fund</t>
        </is>
      </c>
      <c r="C101" s="34" t="inlineStr">
        <is>
          <t>Ukrainian Startup Fund — ecosystem programs</t>
        </is>
      </c>
      <c r="D101" s="34" t="inlineStr"/>
      <c r="E101" s="34" t="inlineStr">
        <is>
          <t>Accelerators &amp; ecosystem</t>
        </is>
      </c>
      <c r="F101" s="34" t="inlineStr">
        <is>
          <t>Grant / accelerator / ecosystem support; AI &amp; APIs; Ukraine</t>
        </is>
      </c>
      <c r="G101" s="34" t="inlineStr">
        <is>
          <t>Grant / accelerator / ecosystem support</t>
        </is>
      </c>
      <c r="H101" s="34" t="inlineStr">
        <is>
          <t>Startup EDGE, AI &amp; Blockchain Sandbox, schools, missions, and other programs</t>
        </is>
      </c>
      <c r="I101" s="34" t="inlineStr"/>
      <c r="J101" s="34" t="inlineStr"/>
      <c r="K101" s="34" t="inlineStr"/>
      <c r="L101" s="34" t="inlineStr"/>
      <c r="M101" s="34" t="inlineStr"/>
      <c r="N101" s="34" t="inlineStr"/>
      <c r="O101" s="34" t="inlineStr">
        <is>
          <t>🔄 Rolling</t>
        </is>
      </c>
      <c r="P101" s="34" t="inlineStr">
        <is>
          <t>https://usf.com.ua/en/</t>
        </is>
      </c>
      <c r="Q101" s="34" t="inlineStr">
        <is>
          <t>https://usf.com.ua/en/</t>
        </is>
      </c>
      <c r="R101" s="34" t="inlineStr"/>
      <c r="S101" s="34" t="inlineStr">
        <is>
          <t>Varies by program; each linked program page has its own rules, sectors, and call status.</t>
        </is>
      </c>
      <c r="T101" s="34" t="inlineStr">
        <is>
          <t>Varies by program.</t>
        </is>
      </c>
      <c r="U101" s="34" t="inlineStr"/>
      <c r="V101" s="34" t="inlineStr"/>
      <c r="W101" s="34" t="inlineStr">
        <is>
          <t>Ukraine-focused ecosystem; program pages specify any international component.</t>
        </is>
      </c>
      <c r="X101" s="34" t="inlineStr">
        <is>
          <t>Unverified</t>
        </is>
      </c>
      <c r="Y101" s="34" t="inlineStr">
        <is>
          <t>Unknown</t>
        </is>
      </c>
      <c r="Z101" s="34" t="inlineStr">
        <is>
          <t>Unknown</t>
        </is>
      </c>
      <c r="AA101" s="34" t="inlineStr">
        <is>
          <t>Unknown</t>
        </is>
      </c>
      <c r="AB101" s="34" t="inlineStr">
        <is>
          <t>Program-specific.</t>
        </is>
      </c>
      <c r="AC101" s="34" t="inlineStr">
        <is>
          <t>Open the USF programs directory. | Choose a specific program and read its official rules. | Prepare the program-specific application materials. | Submit through the linked official channel. | Complete the program-specific selection or participation process.</t>
        </is>
      </c>
      <c r="AD101" s="34" t="inlineStr">
        <is>
          <t>Varies by program; use the specific official program page.</t>
        </is>
      </c>
      <c r="AE101" s="34" t="inlineStr">
        <is>
          <t>Varies by program; no fund-wide limit.</t>
        </is>
      </c>
      <c r="AF101" s="34" t="inlineStr"/>
      <c r="AG101" s="34" t="inlineStr"/>
      <c r="AH101" s="34" t="inlineStr"/>
      <c r="AI101" s="34" t="inlineStr">
        <is>
          <t>Varies by program; no fund-wide limit.</t>
        </is>
      </c>
      <c r="AJ101" s="34" t="inlineStr">
        <is>
          <t>https://usf.com.ua/en/</t>
        </is>
      </c>
      <c r="AK101" s="34" t="inlineStr"/>
      <c r="AL101" s="34" t="inlineStr">
        <is>
          <t>Grant and non-financial support opportunities. | AI &amp; Blockchain Sandbox. | Tech missions and startup schools. | Seeds of Bravery and corporate innovation programs.</t>
        </is>
      </c>
      <c r="AM101" s="34" t="inlineStr">
        <is>
          <t>2026-10-12</t>
        </is>
      </c>
      <c r="AN101" s="34" t="inlineStr">
        <is>
          <t>Repo source; preserve original confidence context</t>
        </is>
      </c>
      <c r="AO101" s="34" t="inlineStr">
        <is>
          <t>GitHub repository</t>
        </is>
      </c>
      <c r="AP101" s="34" t="inlineStr">
        <is>
          <t>Ukraine</t>
        </is>
      </c>
      <c r="AQ101" s="34" t="inlineStr">
        <is>
          <t>AI &amp; APIs; Ukraine</t>
        </is>
      </c>
      <c r="AR101" s="34" t="inlineStr">
        <is>
          <t>Program-specific.</t>
        </is>
      </c>
      <c r="AS101" s="34" t="inlineStr"/>
      <c r="AT101" s="34" t="inlineStr">
        <is>
          <t>GitHub repo only</t>
        </is>
      </c>
      <c r="AU101" s="34" t="inlineStr">
        <is>
          <t>usf-ecosystem</t>
        </is>
      </c>
      <c r="AV101" s="34" t="inlineStr">
        <is>
          <t>No public code verified</t>
        </is>
      </c>
      <c r="AW101" s="34" t="inlineStr">
        <is>
          <t>Not published</t>
        </is>
      </c>
      <c r="AX101" s="34" t="inlineStr">
        <is>
          <t>https://usf.com.ua/en/</t>
        </is>
      </c>
      <c r="AY101" s="34" t="inlineStr">
        <is>
          <t>No provider-published coupon code found in the verified source; do not treat third-party codes as confirmed.</t>
        </is>
      </c>
      <c r="AZ101" s="34" t="inlineStr">
        <is>
          <t>No Excel match</t>
        </is>
      </c>
      <c r="BA101" s="34" t="inlineStr">
        <is>
          <t>No reliable community code confirmation recorded</t>
        </is>
      </c>
      <c r="BB101" s="34" t="inlineStr">
        <is>
          <t>ukrainianstartupfund</t>
        </is>
      </c>
      <c r="BC101" s="34" t="inlineStr">
        <is>
          <t>ukrainianstartupfundecosystemprograms</t>
        </is>
      </c>
      <c r="BD101" s="34" t="inlineStr">
        <is>
          <t>ukrainianstartupfund|ukrainianstartupfundecosystemprograms</t>
        </is>
      </c>
      <c r="BE101" s="34" t="n">
        <v>1</v>
      </c>
      <c r="BF101" s="34" t="inlineStr">
        <is>
          <t>No</t>
        </is>
      </c>
    </row>
    <row r="102">
      <c r="A102" s="34" t="inlineStr">
        <is>
          <t>REPO-009</t>
        </is>
      </c>
      <c r="B102" s="34" t="inlineStr">
        <is>
          <t>Ministry of Digital Transformation of Ukraine / Diia City</t>
        </is>
      </c>
      <c r="C102" s="34" t="inlineStr">
        <is>
          <t>Diia City residency</t>
        </is>
      </c>
      <c r="D102" s="34" t="inlineStr"/>
      <c r="E102" s="34" t="inlineStr">
        <is>
          <t>SaaS discounts &amp; perks</t>
        </is>
      </c>
      <c r="F102" s="34" t="inlineStr">
        <is>
          <t>Discount / legal and tax framework; Ukraine</t>
        </is>
      </c>
      <c r="G102" s="34" t="inlineStr">
        <is>
          <t>Discount / legal and tax framework</t>
        </is>
      </c>
      <c r="H102" s="34" t="inlineStr">
        <is>
          <t>Preferential tax, GIG contracts, IP protections, and investment tools</t>
        </is>
      </c>
      <c r="I102" s="34" t="inlineStr"/>
      <c r="J102" s="34" t="inlineStr"/>
      <c r="K102" s="34" t="inlineStr"/>
      <c r="L102" s="34" t="inlineStr"/>
      <c r="M102" s="34" t="inlineStr"/>
      <c r="N102" s="34" t="inlineStr"/>
      <c r="O102" s="34" t="inlineStr">
        <is>
          <t>🔄 Rolling</t>
        </is>
      </c>
      <c r="P102" s="34" t="inlineStr">
        <is>
          <t>https://city.diia.gov.ua/en/</t>
        </is>
      </c>
      <c r="Q102" s="34" t="inlineStr">
        <is>
          <t>https://city.diia.gov.ua/en/</t>
        </is>
      </c>
      <c r="R102" s="34" t="inlineStr"/>
      <c r="S102" s="34" t="inlineStr">
        <is>
          <t>Company registered under Ukrainian law; qualified IT/innovation activities; residency conditions and required documents must be met.</t>
        </is>
      </c>
      <c r="T102" s="34" t="inlineStr">
        <is>
          <t>Ukrainian technology and innovation companies.</t>
        </is>
      </c>
      <c r="U102" s="34" t="inlineStr"/>
      <c r="V102" s="34" t="inlineStr"/>
      <c r="W102" s="34" t="inlineStr">
        <is>
          <t>Ukraine-only: company must be registered under Ukrainian law.</t>
        </is>
      </c>
      <c r="X102" s="34" t="inlineStr">
        <is>
          <t>Unverified</t>
        </is>
      </c>
      <c r="Y102" s="34" t="inlineStr">
        <is>
          <t>Unknown</t>
        </is>
      </c>
      <c r="Z102" s="34" t="inlineStr">
        <is>
          <t>Unknown</t>
        </is>
      </c>
      <c r="AA102" s="34" t="inlineStr">
        <is>
          <t>Unknown</t>
        </is>
      </c>
      <c r="AB102" s="34" t="inlineStr">
        <is>
          <t>Ukrainian registration and qualified activity; online application.</t>
        </is>
      </c>
      <c r="AC102" s="34" t="inlineStr">
        <is>
          <t>Confirm Ukrainian registration and qualified activity. | Prepare the required documents. | Submit the online Diia City residency application. | Wait for review of up to 10 working days. | Maintain residency reporting and compliance requirements.</t>
        </is>
      </c>
      <c r="AD102" s="34" t="inlineStr">
        <is>
          <t>Required company documents and online residency application; compliance report and independent opinion are required for reporting.</t>
        </is>
      </c>
      <c r="AE102" s="34" t="inlineStr">
        <is>
          <t>Must satisfy Diia City residency conditions; no startup revenue cap stated on the public page.</t>
        </is>
      </c>
      <c r="AF102" s="34" t="inlineStr"/>
      <c r="AG102" s="34" t="inlineStr"/>
      <c r="AH102" s="34" t="inlineStr"/>
      <c r="AI102" s="34" t="inlineStr">
        <is>
          <t>Must satisfy Diia City residency conditions; no startup revenue cap stated on the public page.</t>
        </is>
      </c>
      <c r="AJ102" s="34" t="inlineStr">
        <is>
          <t>https://city.diia.gov.ua/en/</t>
        </is>
      </c>
      <c r="AK102" s="34" t="inlineStr"/>
      <c r="AL102" s="34" t="inlineStr">
        <is>
          <t>5% personal income tax, 22% minimum-wage social contribution, and 5% military levy for employment taxes. | 9% distributed-profit or 18% profit-tax model. | GIG contracts, IP protections, and venture-investment instruments.</t>
        </is>
      </c>
      <c r="AM102" s="34" t="inlineStr">
        <is>
          <t>2026-10-12</t>
        </is>
      </c>
      <c r="AN102" s="34" t="inlineStr">
        <is>
          <t>Repo source; preserve original confidence context</t>
        </is>
      </c>
      <c r="AO102" s="34" t="inlineStr">
        <is>
          <t>GitHub repository</t>
        </is>
      </c>
      <c r="AP102" s="34" t="inlineStr">
        <is>
          <t>Ukraine</t>
        </is>
      </c>
      <c r="AQ102" s="34" t="inlineStr">
        <is>
          <t>Ukraine</t>
        </is>
      </c>
      <c r="AR102" s="34" t="inlineStr">
        <is>
          <t>Official page says application review takes up to 10 working days.</t>
        </is>
      </c>
      <c r="AS102" s="34" t="inlineStr"/>
      <c r="AT102" s="34" t="inlineStr">
        <is>
          <t>GitHub repo only</t>
        </is>
      </c>
      <c r="AU102" s="34" t="inlineStr">
        <is>
          <t>diia-city</t>
        </is>
      </c>
      <c r="AV102" s="34" t="inlineStr">
        <is>
          <t>No public code verified</t>
        </is>
      </c>
      <c r="AW102" s="34" t="inlineStr">
        <is>
          <t>Not published</t>
        </is>
      </c>
      <c r="AX102" s="34" t="inlineStr">
        <is>
          <t>https://city.diia.gov.ua/en/</t>
        </is>
      </c>
      <c r="AY102" s="34" t="inlineStr">
        <is>
          <t>No provider-published coupon code found in the verified source; do not treat third-party codes as confirmed.</t>
        </is>
      </c>
      <c r="AZ102" s="34" t="inlineStr">
        <is>
          <t>No Excel match</t>
        </is>
      </c>
      <c r="BA102" s="34" t="inlineStr">
        <is>
          <t>No reliable community code confirmation recorded</t>
        </is>
      </c>
      <c r="BB102" s="34" t="inlineStr">
        <is>
          <t>ministryofdigitaltransformationofukrainediiacity</t>
        </is>
      </c>
      <c r="BC102" s="34" t="inlineStr">
        <is>
          <t>diiacityresidency</t>
        </is>
      </c>
      <c r="BD102" s="34" t="inlineStr">
        <is>
          <t>ministryofdigitaltransformationofukrainediiacity|diiacityresidency</t>
        </is>
      </c>
      <c r="BE102" s="34" t="n">
        <v>1</v>
      </c>
      <c r="BF102" s="34" t="inlineStr">
        <is>
          <t>No</t>
        </is>
      </c>
    </row>
    <row r="103">
      <c r="A103" s="34" t="inlineStr">
        <is>
          <t>REPO-010</t>
        </is>
      </c>
      <c r="B103" s="34" t="inlineStr">
        <is>
          <t>HubSpot</t>
        </is>
      </c>
      <c r="C103" s="34" t="inlineStr">
        <is>
          <t>HubSpot for Startups</t>
        </is>
      </c>
      <c r="D103" s="34" t="inlineStr"/>
      <c r="E103" s="34" t="inlineStr">
        <is>
          <t>SaaS discounts &amp; perks</t>
        </is>
      </c>
      <c r="F103" s="34" t="inlineStr">
        <is>
          <t>Discount; Global</t>
        </is>
      </c>
      <c r="G103" s="34" t="inlineStr">
        <is>
          <t>Discount</t>
        </is>
      </c>
      <c r="H103" s="34" t="inlineStr">
        <is>
          <t>Up to 90% off in year one for eligible funded startups</t>
        </is>
      </c>
      <c r="I103" s="34" t="inlineStr"/>
      <c r="J103" s="34" t="inlineStr"/>
      <c r="K103" s="34" t="inlineStr"/>
      <c r="L103" s="34" t="inlineStr"/>
      <c r="M103" s="34" t="inlineStr"/>
      <c r="N103" s="34" t="inlineStr"/>
      <c r="O103" s="34" t="inlineStr">
        <is>
          <t>🔄 Rolling</t>
        </is>
      </c>
      <c r="P103" s="34" t="inlineStr">
        <is>
          <t>https://app.hubspot.com/signup-hubspot/hubspot-for-startups</t>
        </is>
      </c>
      <c r="Q103" s="34" t="inlineStr">
        <is>
          <t>https://app.hubspot.com/signup-hubspot/hubspot-for-startups</t>
        </is>
      </c>
      <c r="R103" s="34" t="inlineStr"/>
      <c r="S103" s="34" t="inlineStr">
        <is>
          <t>Pre-seed, Seed, or Series A startups can qualify for 90% off year one when affiliated with an approved partner or with verified venture funding. Approved entrepreneurial organizations can qualify for 30% off year one.</t>
        </is>
      </c>
      <c r="T103" s="34" t="inlineStr">
        <is>
          <t>Pre-seed through Series A for the highest published discount; organization-based tier also exists.</t>
        </is>
      </c>
      <c r="U103" s="34" t="inlineStr"/>
      <c r="V103" s="34" t="inlineStr"/>
      <c r="W103" s="34" t="inlineStr">
        <is>
          <t>Global; eligibility is verified through HubSpot partners or funding databases.</t>
        </is>
      </c>
      <c r="X103" s="34" t="inlineStr">
        <is>
          <t>Unverified</t>
        </is>
      </c>
      <c r="Y103" s="34" t="inlineStr">
        <is>
          <t>Unknown</t>
        </is>
      </c>
      <c r="Z103" s="34" t="inlineStr">
        <is>
          <t>Unknown</t>
        </is>
      </c>
      <c r="AA103" s="34" t="inlineStr">
        <is>
          <t>Unknown</t>
        </is>
      </c>
      <c r="AB103" s="34" t="inlineStr">
        <is>
          <t>Approved partner, verified venture funding, or approved entrepreneurial organization; net-new eligible products.</t>
        </is>
      </c>
      <c r="AC103" s="34" t="inlineStr">
        <is>
          <t>Check funding stage and approved-partner or verification route. | Choose the net-new Professional or Enterprise products. | Open the official HubSpot application. | Submit partner/funding verification and company details. | Complete onboarding and review the annual commitment before purchase.</t>
        </is>
      </c>
      <c r="AD103" s="34" t="inlineStr">
        <is>
          <t>Partner affiliation or verifiable funding; new Professional/Enterprise product selection; business account details.</t>
        </is>
      </c>
      <c r="AE103" s="34" t="inlineStr">
        <is>
          <t>90% tier excludes Series B and later; discount applies to net-new Professional or Enterprise products; annual commitment required.</t>
        </is>
      </c>
      <c r="AF103" s="34" t="inlineStr"/>
      <c r="AG103" s="34" t="inlineStr"/>
      <c r="AH103" s="34" t="inlineStr"/>
      <c r="AI103" s="34" t="inlineStr">
        <is>
          <t>90% tier excludes Series B and later; discount applies to net-new Professional or Enterprise products; annual commitment required.</t>
        </is>
      </c>
      <c r="AJ103" s="34" t="inlineStr">
        <is>
          <t>https://app.hubspot.com/signup-hubspot/hubspot-for-startups</t>
        </is>
      </c>
      <c r="AK103" s="34" t="inlineStr"/>
      <c r="AL103" s="34" t="inlineStr">
        <is>
          <t>90% off year one for eligible pre-seed/Seed/Series A startups. | 50% off year two and 25% off year three for that tier. | 30% off year one for approved entrepreneurial-organization tier and 15% off year two. | Founder resources, training, and community.</t>
        </is>
      </c>
      <c r="AM103" s="34" t="inlineStr">
        <is>
          <t>2026-10-12</t>
        </is>
      </c>
      <c r="AN103" s="34" t="inlineStr">
        <is>
          <t>Repo source; preserve original confidence context</t>
        </is>
      </c>
      <c r="AO103" s="34" t="inlineStr">
        <is>
          <t>GitHub repository</t>
        </is>
      </c>
      <c r="AP103" s="34" t="inlineStr">
        <is>
          <t>Global</t>
        </is>
      </c>
      <c r="AQ103" s="34" t="inlineStr">
        <is>
          <t>Global</t>
        </is>
      </c>
      <c r="AR103" s="34" t="inlineStr">
        <is>
          <t>Not published; discount typically covers the initial two years before standard pricing.</t>
        </is>
      </c>
      <c r="AS103" s="34" t="inlineStr"/>
      <c r="AT103" s="34" t="inlineStr">
        <is>
          <t>GitHub repo only</t>
        </is>
      </c>
      <c r="AU103" s="34" t="inlineStr">
        <is>
          <t>hubspot-startups</t>
        </is>
      </c>
      <c r="AV103" s="34" t="inlineStr">
        <is>
          <t>No public code verified</t>
        </is>
      </c>
      <c r="AW103" s="34" t="inlineStr">
        <is>
          <t>Not published</t>
        </is>
      </c>
      <c r="AX103" s="34" t="inlineStr">
        <is>
          <t>https://app.hubspot.com/signup-hubspot/hubspot-for-startups</t>
        </is>
      </c>
      <c r="AY103" s="34" t="inlineStr">
        <is>
          <t>No provider-published coupon code found in the verified source; do not treat third-party codes as confirmed.</t>
        </is>
      </c>
      <c r="AZ103" s="34" t="inlineStr">
        <is>
          <t>No Excel match</t>
        </is>
      </c>
      <c r="BA103" s="34" t="inlineStr">
        <is>
          <t>No reliable community code confirmation recorded</t>
        </is>
      </c>
      <c r="BB103" s="34" t="inlineStr">
        <is>
          <t>hubspot</t>
        </is>
      </c>
      <c r="BC103" s="34" t="inlineStr">
        <is>
          <t>hubspotforstartups</t>
        </is>
      </c>
      <c r="BD103" s="34" t="inlineStr">
        <is>
          <t>hubspot|hubspotforstartups</t>
        </is>
      </c>
      <c r="BE103" s="34" t="n">
        <v>1</v>
      </c>
      <c r="BF103" s="34" t="inlineStr">
        <is>
          <t>No</t>
        </is>
      </c>
    </row>
    <row r="104">
      <c r="A104" s="34" t="inlineStr">
        <is>
          <t>REPO-011</t>
        </is>
      </c>
      <c r="B104" s="34" t="inlineStr">
        <is>
          <t>Enterprise Singapore</t>
        </is>
      </c>
      <c r="C104" s="34" t="inlineStr">
        <is>
          <t>Startup SG Founder</t>
        </is>
      </c>
      <c r="D104" s="34" t="inlineStr"/>
      <c r="E104" s="34" t="inlineStr">
        <is>
          <t>Grants &amp; funding</t>
        </is>
      </c>
      <c r="F104" s="34" t="inlineStr">
        <is>
          <t>Grant / mentorship; Singapore</t>
        </is>
      </c>
      <c r="G104" s="34" t="inlineStr">
        <is>
          <t>Grant / mentorship</t>
        </is>
      </c>
      <c r="H104" s="34" t="inlineStr">
        <is>
          <t>S$20,000–S$50,000 grant with 1:1 co-matching and mentorship</t>
        </is>
      </c>
      <c r="I104" s="34" t="inlineStr"/>
      <c r="J104" s="34" t="inlineStr"/>
      <c r="K104" s="34" t="inlineStr"/>
      <c r="L104" s="34" t="inlineStr"/>
      <c r="M104" s="34" t="inlineStr"/>
      <c r="N104" s="34" t="inlineStr"/>
      <c r="O104" s="34" t="inlineStr">
        <is>
          <t>🔄 Rolling</t>
        </is>
      </c>
      <c r="P104" s="34" t="inlineStr">
        <is>
          <t>https://www.startupsg.gov.sg/programmes/4894/startup-sg-founder/apply</t>
        </is>
      </c>
      <c r="Q104" s="34" t="inlineStr">
        <is>
          <t>https://www.startupsg.gov.sg/programmes/4894/startup-sg-founder/apply</t>
        </is>
      </c>
      <c r="R104" s="34" t="inlineStr"/>
      <c r="S104" s="34" t="inlineStr">
        <is>
          <t>First-time entrepreneurs with innovative businesses; must work with an Accredited Mentor Partner and obtain a Letter of Recommendation before applying to EnterpriseSG.</t>
        </is>
      </c>
      <c r="T104" s="34" t="inlineStr">
        <is>
          <t>First-time founders / early-stage innovative businesses.</t>
        </is>
      </c>
      <c r="U104" s="34" t="inlineStr"/>
      <c r="V104" s="34" t="inlineStr"/>
      <c r="W104" s="34" t="inlineStr">
        <is>
          <t>Singapore scheme; paid-up capital and Singapore/ACRA requirements apply under the current scheme.</t>
        </is>
      </c>
      <c r="X104" s="34" t="inlineStr">
        <is>
          <t>Unverified</t>
        </is>
      </c>
      <c r="Y104" s="34" t="inlineStr">
        <is>
          <t>Unknown</t>
        </is>
      </c>
      <c r="Z104" s="34" t="inlineStr">
        <is>
          <t>Unknown</t>
        </is>
      </c>
      <c r="AA104" s="34" t="inlineStr">
        <is>
          <t>Unknown</t>
        </is>
      </c>
      <c r="AB104" s="34" t="inlineStr">
        <is>
          <t>Accredited Mentor Partner relationship and Letter of Recommendation.</t>
        </is>
      </c>
      <c r="AC104" s="34" t="inlineStr">
        <is>
          <t>Find and engage an Accredited Mentor Partner. | Develop the innovative business proposal and pitch. | Obtain the AMP Letter of Recommendation. | Prepare the co-matching capital evidence and EnterpriseSG application. | Submit through the official application route and complete review.</t>
        </is>
      </c>
      <c r="AD104" s="34" t="inlineStr">
        <is>
          <t>Letter of Recommendation, application materials, and evidence of co-matching capital; at least 50% must be paid-up capital in ACRA Bizfile at submission.</t>
        </is>
      </c>
      <c r="AE104" s="34" t="inlineStr">
        <is>
          <t>Grant quantum S$20,000–S$50,000 with 1:1 co-matching; no revenue cap stated on the overview page.</t>
        </is>
      </c>
      <c r="AF104" s="34" t="inlineStr"/>
      <c r="AG104" s="34" t="inlineStr"/>
      <c r="AH104" s="34" t="inlineStr"/>
      <c r="AI104" s="34" t="inlineStr">
        <is>
          <t>Grant quantum S$20,000–S$50,000 with 1:1 co-matching; no revenue cap stated on the overview page.</t>
        </is>
      </c>
      <c r="AJ104" s="34" t="inlineStr">
        <is>
          <t>https://www.startupsg.gov.sg/programmes/4894/startup-sg-founder/apply</t>
        </is>
      </c>
      <c r="AK104" s="34" t="inlineStr"/>
      <c r="AL104" s="34" t="inlineStr">
        <is>
          <t>S$20,000–S$50,000 startup grant. | 1:1 mentorship and financial support. | Pitch training, networking, and investor/corporate connections. | Secretarial and accounting support.</t>
        </is>
      </c>
      <c r="AM104" s="34" t="inlineStr">
        <is>
          <t>2026-10-12</t>
        </is>
      </c>
      <c r="AN104" s="34" t="inlineStr">
        <is>
          <t>Repo source; preserve original confidence context</t>
        </is>
      </c>
      <c r="AO104" s="34" t="inlineStr">
        <is>
          <t>GitHub repository</t>
        </is>
      </c>
      <c r="AP104" s="34" t="inlineStr">
        <is>
          <t>Singapore</t>
        </is>
      </c>
      <c r="AQ104" s="34" t="inlineStr">
        <is>
          <t>Singapore</t>
        </is>
      </c>
      <c r="AR104" s="34" t="inlineStr">
        <is>
          <t>Not published; application must follow the AMP and EnterpriseSG process.</t>
        </is>
      </c>
      <c r="AS104" s="34" t="inlineStr"/>
      <c r="AT104" s="34" t="inlineStr">
        <is>
          <t>GitHub repo only</t>
        </is>
      </c>
      <c r="AU104" s="34" t="inlineStr">
        <is>
          <t>startup-sg-founder</t>
        </is>
      </c>
      <c r="AV104" s="34" t="inlineStr">
        <is>
          <t>No public code verified</t>
        </is>
      </c>
      <c r="AW104" s="34" t="inlineStr">
        <is>
          <t>Not published</t>
        </is>
      </c>
      <c r="AX104" s="34" t="inlineStr">
        <is>
          <t>https://www.startupsg.gov.sg/programmes/4894/startup-sg-founder/apply</t>
        </is>
      </c>
      <c r="AY104" s="34" t="inlineStr">
        <is>
          <t>No provider-published coupon code found in the verified source; do not treat third-party codes as confirmed.</t>
        </is>
      </c>
      <c r="AZ104" s="34" t="inlineStr">
        <is>
          <t>No Excel match</t>
        </is>
      </c>
      <c r="BA104" s="34" t="inlineStr">
        <is>
          <t>No reliable community code confirmation recorded</t>
        </is>
      </c>
      <c r="BB104" s="34" t="inlineStr">
        <is>
          <t>enterprisesingapore</t>
        </is>
      </c>
      <c r="BC104" s="34" t="inlineStr">
        <is>
          <t>startupsgfounder</t>
        </is>
      </c>
      <c r="BD104" s="34" t="inlineStr">
        <is>
          <t>enterprisesingapore|startupsgfounder</t>
        </is>
      </c>
      <c r="BE104" s="34" t="n">
        <v>1</v>
      </c>
      <c r="BF104" s="34" t="inlineStr">
        <is>
          <t>No</t>
        </is>
      </c>
    </row>
    <row r="105">
      <c r="A105" s="34" t="inlineStr">
        <is>
          <t>REPO-012</t>
        </is>
      </c>
      <c r="B105" s="34" t="inlineStr">
        <is>
          <t>CORFO / Start-Up Chile</t>
        </is>
      </c>
      <c r="C105" s="34" t="inlineStr">
        <is>
          <t>Start-Up Chile — Build / Ignite / Growth</t>
        </is>
      </c>
      <c r="D105" s="34" t="inlineStr"/>
      <c r="E105" s="34" t="inlineStr">
        <is>
          <t>Accelerators &amp; ecosystem</t>
        </is>
      </c>
      <c r="F105" s="34" t="inlineStr">
        <is>
          <t>Accelerator / grant; Chile / Global founders</t>
        </is>
      </c>
      <c r="G105" s="34" t="inlineStr">
        <is>
          <t>Accelerator / grant</t>
        </is>
      </c>
      <c r="H105" s="34" t="inlineStr">
        <is>
          <t>Equity-free funding, coworking, mentorship, discounts, and network</t>
        </is>
      </c>
      <c r="I105" s="34" t="inlineStr"/>
      <c r="J105" s="34" t="inlineStr"/>
      <c r="K105" s="34" t="inlineStr"/>
      <c r="L105" s="34" t="inlineStr"/>
      <c r="M105" s="34" t="inlineStr"/>
      <c r="N105" s="34" t="inlineStr"/>
      <c r="O105" s="34" t="inlineStr">
        <is>
          <t>⏳ Opens soon</t>
        </is>
      </c>
      <c r="P105" s="34" t="inlineStr">
        <is>
          <t>https://startupchile.org/en/apply/</t>
        </is>
      </c>
      <c r="Q105" s="34" t="inlineStr">
        <is>
          <t>https://startupchile.org/en/apply/</t>
        </is>
      </c>
      <c r="R105" s="34" t="inlineStr"/>
      <c r="S105" s="34" t="inlineStr">
        <is>
          <t>Technology-based, innovative, scalable, high-impact businesses; program-specific stage criteria apply. The official application page currently says applications open soon.</t>
        </is>
      </c>
      <c r="T105" s="34" t="inlineStr">
        <is>
          <t>Build: prototype to validated MVP; Ignite: growth-stage; Growth: expansion-stage, subject to current call rules.</t>
        </is>
      </c>
      <c r="U105" s="34" t="inlineStr"/>
      <c r="V105" s="34" t="inlineStr"/>
      <c r="W105" s="34" t="inlineStr">
        <is>
          <t>Global founders can apply; selected founders may receive support processing a Chile work visa.</t>
        </is>
      </c>
      <c r="X105" s="34" t="inlineStr">
        <is>
          <t>Unverified</t>
        </is>
      </c>
      <c r="Y105" s="34" t="inlineStr">
        <is>
          <t>Unknown</t>
        </is>
      </c>
      <c r="Z105" s="34" t="inlineStr">
        <is>
          <t>Unknown</t>
        </is>
      </c>
      <c r="AA105" s="34" t="inlineStr">
        <is>
          <t>Unknown</t>
        </is>
      </c>
      <c r="AB105" s="34" t="inlineStr">
        <is>
          <t>Technology-based and scalable product; submit when the next call opens.</t>
        </is>
      </c>
      <c r="AC105" s="34" t="inlineStr">
        <is>
          <t>Select the appropriate Build, Ignite, or Growth track. | Monitor the official page until the application opens. | Complete the official form with startup and product information. | Pass eligibility and expert/team evaluation; attend an interview if invited. | Await committee decision and onboarding.</t>
        </is>
      </c>
      <c r="AD105" s="34" t="inlineStr">
        <is>
          <t>Application form, startup/product information, eligibility materials, and interview/pitch information if requested.</t>
        </is>
      </c>
      <c r="AE105" s="34" t="inlineStr">
        <is>
          <t>Funding and detailed limits vary by Build, Ignite, or Growth call; current official page does not publish a fixed amount in the active notice.</t>
        </is>
      </c>
      <c r="AF105" s="34" t="inlineStr"/>
      <c r="AG105" s="34" t="inlineStr"/>
      <c r="AH105" s="34" t="inlineStr"/>
      <c r="AI105" s="34" t="inlineStr">
        <is>
          <t>Funding and detailed limits vary by Build, Ignite, or Growth call; current official page does not publish a fixed amount in the active notice.</t>
        </is>
      </c>
      <c r="AJ105" s="34" t="inlineStr">
        <is>
          <t>https://startupchile.org/en/apply/</t>
        </is>
      </c>
      <c r="AK105" s="34" t="inlineStr"/>
      <c r="AL105" s="34" t="inlineStr">
        <is>
          <t>Equity-free funding. | Free coworking space. | Mentors, experts, board sessions, and pitch sessions. | Investor/corporate/university network and Chile landing support.</t>
        </is>
      </c>
      <c r="AM105" s="34" t="inlineStr">
        <is>
          <t>2026-10-12</t>
        </is>
      </c>
      <c r="AN105" s="34" t="inlineStr">
        <is>
          <t>Repo source; preserve original confidence context</t>
        </is>
      </c>
      <c r="AO105" s="34" t="inlineStr">
        <is>
          <t>GitHub repository</t>
        </is>
      </c>
      <c r="AP105" s="34" t="inlineStr">
        <is>
          <t>Chile / Global founders</t>
        </is>
      </c>
      <c r="AQ105" s="34" t="inlineStr">
        <is>
          <t>Chile / Global founders</t>
        </is>
      </c>
      <c r="AR105" s="34" t="inlineStr">
        <is>
          <t>Application page says applications open soon; review includes eligibility, expert/team evaluation, possible interview, and committee decision.</t>
        </is>
      </c>
      <c r="AS105" s="34" t="inlineStr"/>
      <c r="AT105" s="34" t="inlineStr">
        <is>
          <t>GitHub repo only</t>
        </is>
      </c>
      <c r="AU105" s="34" t="inlineStr">
        <is>
          <t>startup-chile</t>
        </is>
      </c>
      <c r="AV105" s="34" t="inlineStr">
        <is>
          <t>No public code verified</t>
        </is>
      </c>
      <c r="AW105" s="34" t="inlineStr">
        <is>
          <t>Not published</t>
        </is>
      </c>
      <c r="AX105" s="34" t="inlineStr">
        <is>
          <t>https://startupchile.org/en/apply/</t>
        </is>
      </c>
      <c r="AY105" s="34" t="inlineStr">
        <is>
          <t>No provider-published coupon code found in the verified source; do not treat third-party codes as confirmed.</t>
        </is>
      </c>
      <c r="AZ105" s="34" t="inlineStr">
        <is>
          <t>No Excel match</t>
        </is>
      </c>
      <c r="BA105" s="34" t="inlineStr">
        <is>
          <t>No reliable community code confirmation recorded</t>
        </is>
      </c>
      <c r="BB105" s="34" t="inlineStr">
        <is>
          <t>corfostartupchile</t>
        </is>
      </c>
      <c r="BC105" s="34" t="inlineStr">
        <is>
          <t>startupchilebuildignitegrowth</t>
        </is>
      </c>
      <c r="BD105" s="34" t="inlineStr">
        <is>
          <t>corfostartupchile|startupchilebuildignitegrowth</t>
        </is>
      </c>
      <c r="BE105" s="34" t="n">
        <v>1</v>
      </c>
      <c r="BF105" s="34" t="inlineStr">
        <is>
          <t>No</t>
        </is>
      </c>
    </row>
    <row r="106">
      <c r="A106" s="34" t="inlineStr">
        <is>
          <t>REPO-013</t>
        </is>
      </c>
      <c r="B106" s="34" t="inlineStr">
        <is>
          <t>Akamai</t>
        </is>
      </c>
      <c r="C106" s="34" t="inlineStr">
        <is>
          <t>Akamai Cloud Rise</t>
        </is>
      </c>
      <c r="D106" s="34" t="inlineStr"/>
      <c r="E106" s="34" t="inlineStr">
        <is>
          <t>Cloud &amp; infrastructure credits</t>
        </is>
      </c>
      <c r="F106" s="34" t="inlineStr">
        <is>
          <t>Cloud credits; AI &amp; APIs</t>
        </is>
      </c>
      <c r="G106" s="34" t="inlineStr">
        <is>
          <t>Cloud credits</t>
        </is>
      </c>
      <c r="H106" s="34" t="inlineStr">
        <is>
          <t>US$500–$120,000 first-year credits; discounted years 2–3</t>
        </is>
      </c>
      <c r="I106" s="34" t="inlineStr"/>
      <c r="J106" s="34" t="inlineStr"/>
      <c r="K106" s="34" t="inlineStr"/>
      <c r="L106" s="34" t="inlineStr"/>
      <c r="M106" s="34" t="inlineStr"/>
      <c r="N106" s="34" t="inlineStr"/>
      <c r="O106" s="34" t="inlineStr">
        <is>
          <t>🔄 Rolling</t>
        </is>
      </c>
      <c r="P106" s="34" t="inlineStr">
        <is>
          <t>https://www.akamai.com/cloud/start-ups/rise</t>
        </is>
      </c>
      <c r="Q106" s="34" t="inlineStr">
        <is>
          <t>https://www.akamai.com/cloud/start-ups/rise</t>
        </is>
      </c>
      <c r="R106" s="34" t="inlineStr"/>
      <c r="S106" s="34" t="inlineStr">
        <is>
          <t>For-profit early-stage company under 7 years; qualifying traction, revenue, users, employees, or VC; scaling plan.</t>
        </is>
      </c>
      <c r="T106" s="34" t="inlineStr">
        <is>
          <t>Early stage</t>
        </is>
      </c>
      <c r="U106" s="34" t="inlineStr"/>
      <c r="V106" s="34" t="inlineStr"/>
      <c r="W106" s="34" t="inlineStr">
        <is>
          <t>Global; country selection available in the official form.</t>
        </is>
      </c>
      <c r="X106" s="34" t="inlineStr">
        <is>
          <t>Unverified</t>
        </is>
      </c>
      <c r="Y106" s="34" t="inlineStr">
        <is>
          <t>Unknown</t>
        </is>
      </c>
      <c r="Z106" s="34" t="inlineStr">
        <is>
          <t>Unknown</t>
        </is>
      </c>
      <c r="AA106" s="34" t="inlineStr">
        <is>
          <t>Unknown</t>
        </is>
      </c>
      <c r="AB106" s="34" t="inlineStr">
        <is>
          <t>New Akamai Cloud account, matching corporate email, valid card.</t>
        </is>
      </c>
      <c r="AC106" s="34" t="inlineStr">
        <is>
          <t>Create qualifying account. | Submit intake form. | Complete review. | Attend discovery call if invited. | Receive credits.</t>
        </is>
      </c>
      <c r="AD106" s="34" t="inlineStr">
        <is>
          <t>Corporate email and domain, working website, Crunchbase URL, company and infrastructure details.</t>
        </is>
      </c>
      <c r="AE106" s="34" t="inlineStr">
        <is>
          <t>Under 7 years; existing Akamai customers and resellers are excluded.</t>
        </is>
      </c>
      <c r="AF106" s="34" t="inlineStr"/>
      <c r="AG106" s="34" t="inlineStr"/>
      <c r="AH106" s="34" t="inlineStr"/>
      <c r="AI106" s="34" t="inlineStr">
        <is>
          <t>Under 7 years; existing Akamai customers and resellers are excluded.</t>
        </is>
      </c>
      <c r="AJ106" s="34" t="inlineStr">
        <is>
          <t>https://www.akamai.com/cloud/start-ups/rise</t>
        </is>
      </c>
      <c r="AK106" s="34" t="inlineStr"/>
      <c r="AL106" s="34" t="inlineStr">
        <is>
          <t>US$500–$120,000 first-year cloud credits. | Discounted services years 2–3. | Engineering guidance and support.</t>
        </is>
      </c>
      <c r="AM106" s="34" t="inlineStr">
        <is>
          <t>2026-10-14</t>
        </is>
      </c>
      <c r="AN106" s="34" t="inlineStr">
        <is>
          <t>Repo source; preserve original confidence context</t>
        </is>
      </c>
      <c r="AO106" s="34" t="inlineStr">
        <is>
          <t>GitHub repository</t>
        </is>
      </c>
      <c r="AP106" s="34" t="inlineStr">
        <is>
          <t>Global</t>
        </is>
      </c>
      <c r="AQ106" s="34" t="inlineStr">
        <is>
          <t>AI &amp; APIs</t>
        </is>
      </c>
      <c r="AR106" s="34" t="inlineStr">
        <is>
          <t>One to two weeks for most reviews.</t>
        </is>
      </c>
      <c r="AS106" s="34" t="inlineStr"/>
      <c r="AT106" s="34" t="inlineStr">
        <is>
          <t>GitHub repo only</t>
        </is>
      </c>
      <c r="AU106" s="34" t="inlineStr">
        <is>
          <t>akamai-rise</t>
        </is>
      </c>
      <c r="AV106" s="34" t="inlineStr">
        <is>
          <t>No public code verified</t>
        </is>
      </c>
      <c r="AW106" s="34" t="inlineStr">
        <is>
          <t>Not published</t>
        </is>
      </c>
      <c r="AX106" s="34" t="inlineStr">
        <is>
          <t>https://www.akamai.com/cloud/start-ups/rise</t>
        </is>
      </c>
      <c r="AY106" s="34" t="inlineStr">
        <is>
          <t>No provider-published coupon code found in the verified source; do not treat third-party codes as confirmed.</t>
        </is>
      </c>
      <c r="AZ106" s="34" t="inlineStr">
        <is>
          <t>No Excel match</t>
        </is>
      </c>
      <c r="BA106" s="34" t="inlineStr">
        <is>
          <t>No reliable community code confirmation recorded</t>
        </is>
      </c>
      <c r="BB106" s="34" t="inlineStr">
        <is>
          <t>akamai</t>
        </is>
      </c>
      <c r="BC106" s="34" t="inlineStr">
        <is>
          <t>akamaicloudrise</t>
        </is>
      </c>
      <c r="BD106" s="34" t="inlineStr">
        <is>
          <t>akamai|akamaicloudrise</t>
        </is>
      </c>
      <c r="BE106" s="34" t="n">
        <v>1</v>
      </c>
      <c r="BF106" s="34" t="inlineStr">
        <is>
          <t>No</t>
        </is>
      </c>
    </row>
    <row r="107">
      <c r="A107" s="34" t="inlineStr">
        <is>
          <t>REPO-014</t>
        </is>
      </c>
      <c r="B107" s="34" t="inlineStr">
        <is>
          <t>DPIIT / Startup India</t>
        </is>
      </c>
      <c r="C107" s="34" t="inlineStr">
        <is>
          <t>Startup India Seed Fund Scheme</t>
        </is>
      </c>
      <c r="D107" s="34" t="inlineStr"/>
      <c r="E107" s="34" t="inlineStr">
        <is>
          <t>Grants &amp; funding</t>
        </is>
      </c>
      <c r="F107" s="34" t="inlineStr">
        <is>
          <t>Grant / debt support; India</t>
        </is>
      </c>
      <c r="G107" s="34" t="inlineStr">
        <is>
          <t>Grant / debt support</t>
        </is>
      </c>
      <c r="H107" s="34" t="inlineStr">
        <is>
          <t>₹945 crore scheme outlay; grant and debt/convertible support under guidelines</t>
        </is>
      </c>
      <c r="I107" s="34" t="inlineStr"/>
      <c r="J107" s="34" t="inlineStr"/>
      <c r="K107" s="34" t="inlineStr"/>
      <c r="L107" s="34" t="inlineStr"/>
      <c r="M107" s="34" t="inlineStr"/>
      <c r="N107" s="34" t="inlineStr"/>
      <c r="O107" s="34" t="inlineStr">
        <is>
          <t>❌ Closed</t>
        </is>
      </c>
      <c r="P107" s="34" t="inlineStr">
        <is>
          <t>https://seedfund.startupindia.gov.in/</t>
        </is>
      </c>
      <c r="Q107" s="34" t="inlineStr">
        <is>
          <t>https://seedfund.startupindia.gov.in/</t>
        </is>
      </c>
      <c r="R107" s="34" t="inlineStr"/>
      <c r="S107" s="34" t="inlineStr">
        <is>
          <t>DPIIT-recognised startup incorporated ≤2 years; technology-led idea; Indian promoter shareholding ≥51%; prior government monetary support ≤₹10 lakh.</t>
        </is>
      </c>
      <c r="T107" s="34" t="inlineStr">
        <is>
          <t>Pre-seed / seed</t>
        </is>
      </c>
      <c r="U107" s="34" t="inlineStr"/>
      <c r="V107" s="34" t="inlineStr"/>
      <c r="W107" s="34" t="inlineStr">
        <is>
          <t>India</t>
        </is>
      </c>
      <c r="X107" s="34" t="inlineStr">
        <is>
          <t>Unverified</t>
        </is>
      </c>
      <c r="Y107" s="34" t="inlineStr">
        <is>
          <t>Unknown</t>
        </is>
      </c>
      <c r="Z107" s="34" t="inlineStr">
        <is>
          <t>Unknown</t>
        </is>
      </c>
      <c r="AA107" s="34" t="inlineStr">
        <is>
          <t>Unknown</t>
        </is>
      </c>
      <c r="AB107" s="34" t="inlineStr">
        <is>
          <t>DPIIT recognition and application through official portal/incubator.</t>
        </is>
      </c>
      <c r="AC107" s="34" t="inlineStr">
        <is>
          <t>Obtain DPIIT recognition. | Review guidelines. | Apply when call is open. | Select eligible incubators where permitted. | Complete evaluation.</t>
        </is>
      </c>
      <c r="AD107" s="34" t="inlineStr">
        <is>
          <t>DPIIT recognition, startup profile, product and technology details, incubator application information.</t>
        </is>
      </c>
      <c r="AE107" s="34" t="inlineStr">
        <is>
          <t>Startup age ≤2 years; prior central/state monetary support ≤₹10 lakh.</t>
        </is>
      </c>
      <c r="AF107" s="34" t="inlineStr"/>
      <c r="AG107" s="34" t="inlineStr"/>
      <c r="AH107" s="34" t="inlineStr"/>
      <c r="AI107" s="34" t="inlineStr">
        <is>
          <t>Startup age ≤2 years; prior central/state monetary support ≤₹10 lakh.</t>
        </is>
      </c>
      <c r="AJ107" s="34" t="inlineStr">
        <is>
          <t>https://seedfund.startupindia.gov.in/</t>
        </is>
      </c>
      <c r="AK107" s="34" t="inlineStr"/>
      <c r="AL107" s="34" t="inlineStr">
        <is>
          <t>₹945 crore official scheme outlay. | Seed support through eligible incubators. | Grant and debt/convertible support under guidelines.</t>
        </is>
      </c>
      <c r="AM107" s="34" t="inlineStr">
        <is>
          <t>2026-10-14</t>
        </is>
      </c>
      <c r="AN107" s="34" t="inlineStr">
        <is>
          <t>Repo source; preserve original confidence context</t>
        </is>
      </c>
      <c r="AO107" s="34" t="inlineStr">
        <is>
          <t>GitHub repository</t>
        </is>
      </c>
      <c r="AP107" s="34" t="inlineStr">
        <is>
          <t>India</t>
        </is>
      </c>
      <c r="AQ107" s="34" t="inlineStr">
        <is>
          <t>India</t>
        </is>
      </c>
      <c r="AR107" s="34" t="inlineStr">
        <is>
          <t>Deadline for 2026 startup applications: 31 May 2026.</t>
        </is>
      </c>
      <c r="AS107" s="34" t="inlineStr"/>
      <c r="AT107" s="34" t="inlineStr">
        <is>
          <t>GitHub repo only</t>
        </is>
      </c>
      <c r="AU107" s="34" t="inlineStr">
        <is>
          <t>startup-india-seed-fund</t>
        </is>
      </c>
      <c r="AV107" s="34" t="inlineStr">
        <is>
          <t>No public code verified</t>
        </is>
      </c>
      <c r="AW107" s="34" t="inlineStr">
        <is>
          <t>Not published</t>
        </is>
      </c>
      <c r="AX107" s="34" t="inlineStr">
        <is>
          <t>https://seedfund.startupindia.gov.in/</t>
        </is>
      </c>
      <c r="AY107" s="34" t="inlineStr">
        <is>
          <t>No provider-published coupon code found in the verified source; do not treat third-party codes as confirmed.</t>
        </is>
      </c>
      <c r="AZ107" s="34" t="inlineStr">
        <is>
          <t>No Excel match</t>
        </is>
      </c>
      <c r="BA107" s="34" t="inlineStr">
        <is>
          <t>No reliable community code confirmation recorded</t>
        </is>
      </c>
      <c r="BB107" s="34" t="inlineStr">
        <is>
          <t>dpiitstartupindia</t>
        </is>
      </c>
      <c r="BC107" s="34" t="inlineStr">
        <is>
          <t>startupindiaseedfundscheme</t>
        </is>
      </c>
      <c r="BD107" s="34" t="inlineStr">
        <is>
          <t>dpiitstartupindia|startupindiaseedfundscheme</t>
        </is>
      </c>
      <c r="BE107" s="34" t="n">
        <v>1</v>
      </c>
      <c r="BF107" s="34" t="inlineStr">
        <is>
          <t>No</t>
        </is>
      </c>
    </row>
    <row r="108">
      <c r="A108" s="34" t="inlineStr">
        <is>
          <t>REPO-015</t>
        </is>
      </c>
      <c r="B108" s="34" t="inlineStr">
        <is>
          <t>Government of India / DPIIT / NCGTC</t>
        </is>
      </c>
      <c r="C108" s="34" t="inlineStr">
        <is>
          <t>Credit Guarantee Scheme for Startups</t>
        </is>
      </c>
      <c r="D108" s="34" t="inlineStr"/>
      <c r="E108" s="34" t="inlineStr">
        <is>
          <t>Grants &amp; funding</t>
        </is>
      </c>
      <c r="F108" s="34" t="inlineStr">
        <is>
          <t>Credit guarantee; India</t>
        </is>
      </c>
      <c r="G108" s="34" t="inlineStr">
        <is>
          <t>Credit guarantee</t>
        </is>
      </c>
      <c r="H108" s="34" t="inlineStr">
        <is>
          <t>Guarantee cover up to ₹20 crore per eligible borrower</t>
        </is>
      </c>
      <c r="I108" s="34" t="inlineStr"/>
      <c r="J108" s="34" t="inlineStr"/>
      <c r="K108" s="34" t="inlineStr"/>
      <c r="L108" s="34" t="inlineStr"/>
      <c r="M108" s="34" t="inlineStr"/>
      <c r="N108" s="34" t="inlineStr"/>
      <c r="O108" s="34" t="inlineStr">
        <is>
          <t>🔄 Rolling</t>
        </is>
      </c>
      <c r="P108" s="34" t="inlineStr">
        <is>
          <t>https://www.startupindia.gov.in/content/sih/en/credit-guarantee-scheme-for-startups.html</t>
        </is>
      </c>
      <c r="Q108" s="34" t="inlineStr">
        <is>
          <t>https://www.startupindia.gov.in/content/sih/en/credit-guarantee-scheme-for-startups.html</t>
        </is>
      </c>
      <c r="R108" s="34" t="inlineStr"/>
      <c r="S108" s="34" t="inlineStr">
        <is>
          <t>DPIIT-recognised startup not in default or NPA; eligibility certified by a Member Institution.</t>
        </is>
      </c>
      <c r="T108" s="34" t="inlineStr">
        <is>
          <t>Early stage through growth</t>
        </is>
      </c>
      <c r="U108" s="34" t="inlineStr"/>
      <c r="V108" s="34" t="inlineStr"/>
      <c r="W108" s="34" t="inlineStr">
        <is>
          <t>India</t>
        </is>
      </c>
      <c r="X108" s="34" t="inlineStr">
        <is>
          <t>Unverified</t>
        </is>
      </c>
      <c r="Y108" s="34" t="inlineStr">
        <is>
          <t>Unknown</t>
        </is>
      </c>
      <c r="Z108" s="34" t="inlineStr">
        <is>
          <t>Unknown</t>
        </is>
      </c>
      <c r="AA108" s="34" t="inlineStr">
        <is>
          <t>Unknown</t>
        </is>
      </c>
      <c r="AB108" s="34" t="inlineStr">
        <is>
          <t>Apply through eligible bank, NBFC, venture debt fund, or Jan Samarth.</t>
        </is>
      </c>
      <c r="AC108" s="34" t="inlineStr">
        <is>
          <t>Confirm DPIIT recognition. | Check Jan Samarth or Member Institution eligibility. | Prepare borrowing documents. | Apply for debt. | Lender handles guarantee cover.</t>
        </is>
      </c>
      <c r="AD108" s="34" t="inlineStr">
        <is>
          <t>DPIIT recognition, lender application, business and borrowing documents.</t>
        </is>
      </c>
      <c r="AE108" s="34" t="inlineStr">
        <is>
          <t>Up to ₹20 crore debt; 85% cover up to ₹10 crore and 75% above ₹10 crore under transaction-based cover.</t>
        </is>
      </c>
      <c r="AF108" s="34" t="inlineStr"/>
      <c r="AG108" s="34" t="inlineStr"/>
      <c r="AH108" s="34" t="inlineStr"/>
      <c r="AI108" s="34" t="inlineStr">
        <is>
          <t>Up to ₹20 crore debt; 85% cover up to ₹10 crore and 75% above ₹10 crore under transaction-based cover.</t>
        </is>
      </c>
      <c r="AJ108" s="34" t="inlineStr">
        <is>
          <t>https://www.startupindia.gov.in/content/sih/en/credit-guarantee-scheme-for-startups.html</t>
        </is>
      </c>
      <c r="AK108" s="34" t="inlineStr"/>
      <c r="AL108" s="34" t="inlineStr">
        <is>
          <t>Guarantee cover up to ₹20 crore. | 85% cover up to ₹10 crore. | 75% cover above ₹10 crore, subject to scheme rules.</t>
        </is>
      </c>
      <c r="AM108" s="34" t="inlineStr">
        <is>
          <t>2026-10-14</t>
        </is>
      </c>
      <c r="AN108" s="34" t="inlineStr">
        <is>
          <t>Repo source; preserve original confidence context</t>
        </is>
      </c>
      <c r="AO108" s="34" t="inlineStr">
        <is>
          <t>GitHub repository</t>
        </is>
      </c>
      <c r="AP108" s="34" t="inlineStr">
        <is>
          <t>India</t>
        </is>
      </c>
      <c r="AQ108" s="34" t="inlineStr">
        <is>
          <t>India</t>
        </is>
      </c>
      <c r="AR108" s="34" t="inlineStr">
        <is>
          <t>Lender assessment timeline is not published.</t>
        </is>
      </c>
      <c r="AS108" s="34" t="inlineStr"/>
      <c r="AT108" s="34" t="inlineStr">
        <is>
          <t>GitHub repo only</t>
        </is>
      </c>
      <c r="AU108" s="34" t="inlineStr">
        <is>
          <t>india-credit-guarantee</t>
        </is>
      </c>
      <c r="AV108" s="34" t="inlineStr">
        <is>
          <t>No public code verified</t>
        </is>
      </c>
      <c r="AW108" s="34" t="inlineStr">
        <is>
          <t>Not published</t>
        </is>
      </c>
      <c r="AX108" s="34" t="inlineStr">
        <is>
          <t>https://www.startupindia.gov.in/content/sih/en/credit-guarantee-scheme-for-startups.html</t>
        </is>
      </c>
      <c r="AY108" s="34" t="inlineStr">
        <is>
          <t>No provider-published coupon code found in the verified source; do not treat third-party codes as confirmed.</t>
        </is>
      </c>
      <c r="AZ108" s="34" t="inlineStr">
        <is>
          <t>No Excel match</t>
        </is>
      </c>
      <c r="BA108" s="34" t="inlineStr">
        <is>
          <t>No reliable community code confirmation recorded</t>
        </is>
      </c>
      <c r="BB108" s="34" t="inlineStr">
        <is>
          <t>governmentofindiadpiitncgtc</t>
        </is>
      </c>
      <c r="BC108" s="34" t="inlineStr">
        <is>
          <t>creditguaranteeschemeforstartups</t>
        </is>
      </c>
      <c r="BD108" s="34" t="inlineStr">
        <is>
          <t>governmentofindiadpiitncgtc|creditguaranteeschemeforstartups</t>
        </is>
      </c>
      <c r="BE108" s="34" t="n">
        <v>1</v>
      </c>
      <c r="BF108" s="34" t="inlineStr">
        <is>
          <t>No</t>
        </is>
      </c>
    </row>
    <row r="109">
      <c r="A109" s="34" t="inlineStr">
        <is>
          <t>REPO-016</t>
        </is>
      </c>
      <c r="B109" s="34" t="inlineStr">
        <is>
          <t>Government of Ontario / MaRS</t>
        </is>
      </c>
      <c r="C109" s="34" t="inlineStr">
        <is>
          <t>Investment Accelerator Fund</t>
        </is>
      </c>
      <c r="D109" s="34" t="inlineStr"/>
      <c r="E109" s="34" t="inlineStr">
        <is>
          <t>Grants &amp; funding</t>
        </is>
      </c>
      <c r="F109" s="34" t="inlineStr">
        <is>
          <t>Investment / seed funding; Ontario, Canada</t>
        </is>
      </c>
      <c r="G109" s="34" t="inlineStr">
        <is>
          <t>Investment / seed funding</t>
        </is>
      </c>
      <c r="H109" s="34" t="inlineStr">
        <is>
          <t>Up to C$500,000 may be available</t>
        </is>
      </c>
      <c r="I109" s="34" t="inlineStr"/>
      <c r="J109" s="34" t="inlineStr"/>
      <c r="K109" s="34" t="inlineStr"/>
      <c r="L109" s="34" t="inlineStr"/>
      <c r="M109" s="34" t="inlineStr"/>
      <c r="N109" s="34" t="inlineStr"/>
      <c r="O109" s="34" t="inlineStr">
        <is>
          <t>🔄 Rolling</t>
        </is>
      </c>
      <c r="P109" s="34" t="inlineStr">
        <is>
          <t>https://sbs-spe.feddevontario.canada.ca/en/technology-and-innovation-financial-support</t>
        </is>
      </c>
      <c r="Q109" s="34" t="inlineStr">
        <is>
          <t>https://sbs-spe.feddevontario.canada.ca/en/technology-and-innovation-financial-support</t>
        </is>
      </c>
      <c r="R109" s="34" t="inlineStr"/>
      <c r="S109" s="34" t="inlineStr">
        <is>
          <t>Emerging Ontario technology companies, especially IT, health, and cleantech; current intake assessment applies.</t>
        </is>
      </c>
      <c r="T109" s="34" t="inlineStr">
        <is>
          <t>Seed / early growth</t>
        </is>
      </c>
      <c r="U109" s="34" t="inlineStr"/>
      <c r="V109" s="34" t="inlineStr"/>
      <c r="W109" s="34" t="inlineStr">
        <is>
          <t>Ontario, Canada</t>
        </is>
      </c>
      <c r="X109" s="34" t="inlineStr">
        <is>
          <t>Unverified</t>
        </is>
      </c>
      <c r="Y109" s="34" t="inlineStr">
        <is>
          <t>Unknown</t>
        </is>
      </c>
      <c r="Z109" s="34" t="inlineStr">
        <is>
          <t>Unknown</t>
        </is>
      </c>
      <c r="AA109" s="34" t="inlineStr">
        <is>
          <t>Unknown</t>
        </is>
      </c>
      <c r="AB109" s="34" t="inlineStr">
        <is>
          <t>Ontario technology-company eligibility and program assessment.</t>
        </is>
      </c>
      <c r="AC109" s="34" t="inlineStr">
        <is>
          <t>Confirm Ontario eligibility. | Review MaRS IAF route. | Prepare company and financing details. | Submit or contact program. | Complete assessment.</t>
        </is>
      </c>
      <c r="AD109" s="34" t="inlineStr">
        <is>
          <t>Company, product, traction, and financing information.</t>
        </is>
      </c>
      <c r="AE109" s="34" t="inlineStr">
        <is>
          <t>Up to C$500,000 published in the official government listing.</t>
        </is>
      </c>
      <c r="AF109" s="34" t="inlineStr"/>
      <c r="AG109" s="34" t="inlineStr"/>
      <c r="AH109" s="34" t="inlineStr"/>
      <c r="AI109" s="34" t="inlineStr">
        <is>
          <t>Up to C$500,000 published in the official government listing.</t>
        </is>
      </c>
      <c r="AJ109" s="34" t="inlineStr">
        <is>
          <t>https://sbs-spe.feddevontario.canada.ca/en/technology-and-innovation-financial-support</t>
        </is>
      </c>
      <c r="AK109" s="34" t="inlineStr"/>
      <c r="AL109" s="34" t="inlineStr">
        <is>
          <t>Potential investment funding up to C$500,000. | Focus on IT, health, and cleantech.</t>
        </is>
      </c>
      <c r="AM109" s="34" t="inlineStr">
        <is>
          <t>2026-10-14</t>
        </is>
      </c>
      <c r="AN109" s="34" t="inlineStr">
        <is>
          <t>Repo source; preserve original confidence context</t>
        </is>
      </c>
      <c r="AO109" s="34" t="inlineStr">
        <is>
          <t>GitHub repository</t>
        </is>
      </c>
      <c r="AP109" s="34" t="inlineStr">
        <is>
          <t>Ontario, Canada</t>
        </is>
      </c>
      <c r="AQ109" s="34" t="inlineStr">
        <is>
          <t>Ontario, Canada</t>
        </is>
      </c>
      <c r="AR109" s="34" t="inlineStr">
        <is>
          <t>Not published.</t>
        </is>
      </c>
      <c r="AS109" s="34" t="inlineStr"/>
      <c r="AT109" s="34" t="inlineStr">
        <is>
          <t>GitHub repo only</t>
        </is>
      </c>
      <c r="AU109" s="34" t="inlineStr">
        <is>
          <t>canada-iaf</t>
        </is>
      </c>
      <c r="AV109" s="34" t="inlineStr">
        <is>
          <t>No public code verified</t>
        </is>
      </c>
      <c r="AW109" s="34" t="inlineStr">
        <is>
          <t>Not published</t>
        </is>
      </c>
      <c r="AX109" s="34" t="inlineStr">
        <is>
          <t>https://sbs-spe.feddevontario.canada.ca/en/technology-and-innovation-financial-support</t>
        </is>
      </c>
      <c r="AY109" s="34" t="inlineStr">
        <is>
          <t>No provider-published coupon code found in the verified source; do not treat third-party codes as confirmed.</t>
        </is>
      </c>
      <c r="AZ109" s="34" t="inlineStr">
        <is>
          <t>No Excel match</t>
        </is>
      </c>
      <c r="BA109" s="34" t="inlineStr">
        <is>
          <t>No reliable community code confirmation recorded</t>
        </is>
      </c>
      <c r="BB109" s="34" t="inlineStr">
        <is>
          <t>governmentofontariomars</t>
        </is>
      </c>
      <c r="BC109" s="34" t="inlineStr">
        <is>
          <t>investmentacceleratorfund</t>
        </is>
      </c>
      <c r="BD109" s="34" t="inlineStr">
        <is>
          <t>governmentofontariomars|investmentacceleratorfund</t>
        </is>
      </c>
      <c r="BE109" s="34" t="n">
        <v>1</v>
      </c>
      <c r="BF109" s="34" t="inlineStr">
        <is>
          <t>No</t>
        </is>
      </c>
    </row>
    <row r="110">
      <c r="A110" s="34" t="inlineStr">
        <is>
          <t>REPO-017</t>
        </is>
      </c>
      <c r="B110" s="34" t="inlineStr">
        <is>
          <t>Trade Commissioner Service, Government of Canada</t>
        </is>
      </c>
      <c r="C110" s="34" t="inlineStr">
        <is>
          <t>CanExport Innovation</t>
        </is>
      </c>
      <c r="D110" s="34" t="inlineStr"/>
      <c r="E110" s="34" t="inlineStr">
        <is>
          <t>Grants &amp; funding</t>
        </is>
      </c>
      <c r="F110" s="34" t="inlineStr">
        <is>
          <t>Grant / cost share; Canada</t>
        </is>
      </c>
      <c r="G110" s="34" t="inlineStr">
        <is>
          <t>Grant / cost share</t>
        </is>
      </c>
      <c r="H110" s="34" t="inlineStr">
        <is>
          <t>Up to 75% of eligible costs up to C$75,000</t>
        </is>
      </c>
      <c r="I110" s="34" t="inlineStr"/>
      <c r="J110" s="34" t="inlineStr"/>
      <c r="K110" s="34" t="inlineStr"/>
      <c r="L110" s="34" t="inlineStr"/>
      <c r="M110" s="34" t="inlineStr"/>
      <c r="N110" s="34" t="inlineStr"/>
      <c r="O110" s="34" t="inlineStr">
        <is>
          <t>🔄 Rolling</t>
        </is>
      </c>
      <c r="P110" s="34" t="inlineStr">
        <is>
          <t>https://www.tradecommissioner.gc.ca/en/our-solutions/funding-financing-international-business/canexport-innovation.html</t>
        </is>
      </c>
      <c r="Q110" s="34" t="inlineStr">
        <is>
          <t>https://www.tradecommissioner.gc.ca/en/our-solutions/funding-financing-international-business/canexport-innovation.html</t>
        </is>
      </c>
      <c r="R110" s="34" t="inlineStr"/>
      <c r="S110" s="34" t="inlineStr">
        <is>
          <t>Canadian SME, university, or non-government research centre developing technology with an international partner.</t>
        </is>
      </c>
      <c r="T110" s="34" t="inlineStr">
        <is>
          <t>R&amp;D / commercialization</t>
        </is>
      </c>
      <c r="U110" s="34" t="inlineStr"/>
      <c r="V110" s="34" t="inlineStr"/>
      <c r="W110" s="34" t="inlineStr">
        <is>
          <t>Canada with international partner</t>
        </is>
      </c>
      <c r="X110" s="34" t="inlineStr">
        <is>
          <t>Unverified</t>
        </is>
      </c>
      <c r="Y110" s="34" t="inlineStr">
        <is>
          <t>Unknown</t>
        </is>
      </c>
      <c r="Z110" s="34" t="inlineStr">
        <is>
          <t>Unknown</t>
        </is>
      </c>
      <c r="AA110" s="34" t="inlineStr">
        <is>
          <t>Unknown</t>
        </is>
      </c>
      <c r="AB110" s="34" t="inlineStr">
        <is>
          <t>Eligible Canadian applicant and international technology partner.</t>
        </is>
      </c>
      <c r="AC110" s="34" t="inlineStr">
        <is>
          <t>Check applicant and partner requirements. | Define project. | Prepare eligible costs. | Apply through official route. | Complete assessment.</t>
        </is>
      </c>
      <c r="AD110" s="34" t="inlineStr">
        <is>
          <t>Partnership plan, technology/commercialization case, and eligible cost plan.</t>
        </is>
      </c>
      <c r="AE110" s="34" t="inlineStr">
        <is>
          <t>Up to 75% and C$75,000.</t>
        </is>
      </c>
      <c r="AF110" s="34" t="inlineStr"/>
      <c r="AG110" s="34" t="inlineStr"/>
      <c r="AH110" s="34" t="inlineStr"/>
      <c r="AI110" s="34" t="inlineStr">
        <is>
          <t>Up to 75% and C$75,000.</t>
        </is>
      </c>
      <c r="AJ110" s="34" t="inlineStr">
        <is>
          <t>https://www.tradecommissioner.gc.ca/en/our-solutions/funding-financing-international-business/canexport-innovation.html</t>
        </is>
      </c>
      <c r="AK110" s="34" t="inlineStr"/>
      <c r="AL110" s="34" t="inlineStr">
        <is>
          <t>Up to 75% partnership-development cost share. | Maximum C$75,000.</t>
        </is>
      </c>
      <c r="AM110" s="34" t="inlineStr">
        <is>
          <t>2026-10-14</t>
        </is>
      </c>
      <c r="AN110" s="34" t="inlineStr">
        <is>
          <t>Repo source; preserve original confidence context</t>
        </is>
      </c>
      <c r="AO110" s="34" t="inlineStr">
        <is>
          <t>GitHub repository</t>
        </is>
      </c>
      <c r="AP110" s="34" t="inlineStr">
        <is>
          <t>Canada</t>
        </is>
      </c>
      <c r="AQ110" s="34" t="inlineStr">
        <is>
          <t>Canada</t>
        </is>
      </c>
      <c r="AR110" s="34" t="inlineStr">
        <is>
          <t>Program timing varies.</t>
        </is>
      </c>
      <c r="AS110" s="34" t="inlineStr"/>
      <c r="AT110" s="34" t="inlineStr">
        <is>
          <t>GitHub repo only</t>
        </is>
      </c>
      <c r="AU110" s="34" t="inlineStr">
        <is>
          <t>canexport-innovation</t>
        </is>
      </c>
      <c r="AV110" s="34" t="inlineStr">
        <is>
          <t>No public code verified</t>
        </is>
      </c>
      <c r="AW110" s="34" t="inlineStr">
        <is>
          <t>Not published</t>
        </is>
      </c>
      <c r="AX110" s="34" t="inlineStr">
        <is>
          <t>https://www.tradecommissioner.gc.ca/en/our-solutions/funding-financing-international-business/canexport-innovation.html</t>
        </is>
      </c>
      <c r="AY110" s="34" t="inlineStr">
        <is>
          <t>No provider-published coupon code found in the verified source; do not treat third-party codes as confirmed.</t>
        </is>
      </c>
      <c r="AZ110" s="34" t="inlineStr">
        <is>
          <t>No Excel match</t>
        </is>
      </c>
      <c r="BA110" s="34" t="inlineStr">
        <is>
          <t>No reliable community code confirmation recorded</t>
        </is>
      </c>
      <c r="BB110" s="34" t="inlineStr">
        <is>
          <t>tradecommissionerservicegovernmentofcanada</t>
        </is>
      </c>
      <c r="BC110" s="34" t="inlineStr">
        <is>
          <t>canexportinnovation</t>
        </is>
      </c>
      <c r="BD110" s="34" t="inlineStr">
        <is>
          <t>tradecommissionerservicegovernmentofcanada|canexportinnovation</t>
        </is>
      </c>
      <c r="BE110" s="34" t="n">
        <v>1</v>
      </c>
      <c r="BF110" s="34" t="inlineStr">
        <is>
          <t>No</t>
        </is>
      </c>
    </row>
    <row r="111">
      <c r="A111" s="34" t="inlineStr">
        <is>
          <t>REPO-018</t>
        </is>
      </c>
      <c r="B111" s="34" t="inlineStr">
        <is>
          <t>Australian Government / DISR / ATO</t>
        </is>
      </c>
      <c r="C111" s="34" t="inlineStr">
        <is>
          <t>Australian R&amp;D Tax Incentive</t>
        </is>
      </c>
      <c r="D111" s="34" t="inlineStr"/>
      <c r="E111" s="34" t="inlineStr">
        <is>
          <t>Grants &amp; funding</t>
        </is>
      </c>
      <c r="F111" s="34" t="inlineStr">
        <is>
          <t>R&amp;D tax offset; Australia</t>
        </is>
      </c>
      <c r="G111" s="34" t="inlineStr">
        <is>
          <t>R&amp;D tax offset</t>
        </is>
      </c>
      <c r="H111" s="34" t="inlineStr">
        <is>
          <t>Refundable offset for eligible R&amp;D; corporate tax rate plus 18.5% premium under A$20m turnover</t>
        </is>
      </c>
      <c r="I111" s="34" t="inlineStr"/>
      <c r="J111" s="34" t="inlineStr"/>
      <c r="K111" s="34" t="inlineStr"/>
      <c r="L111" s="34" t="inlineStr"/>
      <c r="M111" s="34" t="inlineStr"/>
      <c r="N111" s="34" t="inlineStr"/>
      <c r="O111" s="34" t="inlineStr">
        <is>
          <t>🔄 Rolling</t>
        </is>
      </c>
      <c r="P111" s="34" t="inlineStr">
        <is>
          <t>https://business.gov.au/grants-and-programs/research-and-development-tax-incentive/overview-of-rd-tax-incentive</t>
        </is>
      </c>
      <c r="Q111" s="34" t="inlineStr">
        <is>
          <t>https://business.gov.au/grants-and-programs/research-and-development-tax-incentive/overview-of-rd-tax-incentive</t>
        </is>
      </c>
      <c r="R111" s="34" t="inlineStr"/>
      <c r="S111" s="34" t="inlineStr">
        <is>
          <t>Eligible Australian R&amp;D entity conducting eligible R&amp;D and maintaining records.</t>
        </is>
      </c>
      <c r="T111" s="34" t="inlineStr">
        <is>
          <t>Any eligible company stage</t>
        </is>
      </c>
      <c r="U111" s="34" t="inlineStr"/>
      <c r="V111" s="34" t="inlineStr"/>
      <c r="W111" s="34" t="inlineStr">
        <is>
          <t>Australia</t>
        </is>
      </c>
      <c r="X111" s="34" t="inlineStr">
        <is>
          <t>Unverified</t>
        </is>
      </c>
      <c r="Y111" s="34" t="inlineStr">
        <is>
          <t>Unknown</t>
        </is>
      </c>
      <c r="Z111" s="34" t="inlineStr">
        <is>
          <t>Unknown</t>
        </is>
      </c>
      <c r="AA111" s="34" t="inlineStr">
        <is>
          <t>Unknown</t>
        </is>
      </c>
      <c r="AB111" s="34" t="inlineStr">
        <is>
          <t>Eligible R&amp;D entity and activities; overseas R&amp;D needs an overseas finding.</t>
        </is>
      </c>
      <c r="AC111" s="34" t="inlineStr">
        <is>
          <t>Self-assess. | Conduct and record R&amp;D. | Register activities. | Lodge tax schedule. | Claim offset.</t>
        </is>
      </c>
      <c r="AD111" s="34" t="inlineStr">
        <is>
          <t>R&amp;D activity registration, expenditure records, and tax return schedule.</t>
        </is>
      </c>
      <c r="AE111" s="34" t="inlineStr">
        <is>
          <t>Eligible R&amp;D expenditure capped at A$150 million; under A$20m turnover uses refundable formula.</t>
        </is>
      </c>
      <c r="AF111" s="34" t="inlineStr"/>
      <c r="AG111" s="34" t="inlineStr"/>
      <c r="AH111" s="34" t="inlineStr"/>
      <c r="AI111" s="34" t="inlineStr">
        <is>
          <t>Eligible R&amp;D expenditure capped at A$150 million; under A$20m turnover uses refundable formula.</t>
        </is>
      </c>
      <c r="AJ111" s="34" t="inlineStr">
        <is>
          <t>https://business.gov.au/grants-and-programs/research-and-development-tax-incentive/overview-of-rd-tax-incentive</t>
        </is>
      </c>
      <c r="AK111" s="34" t="inlineStr"/>
      <c r="AL111" s="34" t="inlineStr">
        <is>
          <t>Refundable tax offset for qualifying smaller companies. | Corporate tax rate plus 18.5% premium under A$20m turnover.</t>
        </is>
      </c>
      <c r="AM111" s="34" t="inlineStr">
        <is>
          <t>2026-10-14</t>
        </is>
      </c>
      <c r="AN111" s="34" t="inlineStr">
        <is>
          <t>Repo source; preserve original confidence context</t>
        </is>
      </c>
      <c r="AO111" s="34" t="inlineStr">
        <is>
          <t>GitHub repository</t>
        </is>
      </c>
      <c r="AP111" s="34" t="inlineStr">
        <is>
          <t>Australia</t>
        </is>
      </c>
      <c r="AQ111" s="34" t="inlineStr">
        <is>
          <t>Australia</t>
        </is>
      </c>
      <c r="AR111" s="34" t="inlineStr">
        <is>
          <t>Apply within 10 months after the relevant income year.</t>
        </is>
      </c>
      <c r="AS111" s="34" t="inlineStr"/>
      <c r="AT111" s="34" t="inlineStr">
        <is>
          <t>GitHub repo only</t>
        </is>
      </c>
      <c r="AU111" s="34" t="inlineStr">
        <is>
          <t>australia-rdti</t>
        </is>
      </c>
      <c r="AV111" s="34" t="inlineStr">
        <is>
          <t>No public code verified</t>
        </is>
      </c>
      <c r="AW111" s="34" t="inlineStr">
        <is>
          <t>Not published</t>
        </is>
      </c>
      <c r="AX111" s="34" t="inlineStr">
        <is>
          <t>https://business.gov.au/grants-and-programs/research-and-development-tax-incentive/overview-of-rd-tax-incentive</t>
        </is>
      </c>
      <c r="AY111" s="34" t="inlineStr">
        <is>
          <t>No provider-published coupon code found in the verified source; do not treat third-party codes as confirmed.</t>
        </is>
      </c>
      <c r="AZ111" s="34" t="inlineStr">
        <is>
          <t>No Excel match</t>
        </is>
      </c>
      <c r="BA111" s="34" t="inlineStr">
        <is>
          <t>No reliable community code confirmation recorded</t>
        </is>
      </c>
      <c r="BB111" s="34" t="inlineStr">
        <is>
          <t>australiangovernmentdisrato</t>
        </is>
      </c>
      <c r="BC111" s="34" t="inlineStr">
        <is>
          <t>australianrdtaxincentive</t>
        </is>
      </c>
      <c r="BD111" s="34" t="inlineStr">
        <is>
          <t>australiangovernmentdisrato|australianrdtaxincentive</t>
        </is>
      </c>
      <c r="BE111" s="34" t="n">
        <v>1</v>
      </c>
      <c r="BF111" s="34" t="inlineStr">
        <is>
          <t>No</t>
        </is>
      </c>
    </row>
    <row r="112">
      <c r="A112" s="34" t="inlineStr">
        <is>
          <t>REPO-019</t>
        </is>
      </c>
      <c r="B112" s="34" t="inlineStr">
        <is>
          <t>BIC Innovation / UK Government business finance directory</t>
        </is>
      </c>
      <c r="C112" s="34" t="inlineStr">
        <is>
          <t>BIC Innovation Grant Sunderland</t>
        </is>
      </c>
      <c r="D112" s="34" t="inlineStr"/>
      <c r="E112" s="34" t="inlineStr">
        <is>
          <t>Grants &amp; funding</t>
        </is>
      </c>
      <c r="F112" s="34" t="inlineStr">
        <is>
          <t>Grant; Sunderland, United Kingdom</t>
        </is>
      </c>
      <c r="G112" s="34" t="inlineStr">
        <is>
          <t>Grant</t>
        </is>
      </c>
      <c r="H112" s="34" t="inlineStr">
        <is>
          <t>40% contribution for innovative projects valued £5,000–£25,000</t>
        </is>
      </c>
      <c r="I112" s="34" t="inlineStr"/>
      <c r="J112" s="34" t="inlineStr"/>
      <c r="K112" s="34" t="inlineStr"/>
      <c r="L112" s="34" t="inlineStr"/>
      <c r="M112" s="34" t="inlineStr"/>
      <c r="N112" s="34" t="inlineStr"/>
      <c r="O112" s="34" t="inlineStr">
        <is>
          <t>🔄 Rolling</t>
        </is>
      </c>
      <c r="P112" s="34" t="inlineStr">
        <is>
          <t>https://www.gov.uk/business-finance-support/bic-innovation-grant-sunderland</t>
        </is>
      </c>
      <c r="Q112" s="34" t="inlineStr">
        <is>
          <t>https://www.gov.uk/business-finance-support/bic-innovation-grant-sunderland</t>
        </is>
      </c>
      <c r="R112" s="34" t="inlineStr"/>
      <c r="S112" s="34" t="inlineStr">
        <is>
          <t>Local Sunderland and current-call requirements apply.</t>
        </is>
      </c>
      <c r="T112" s="34" t="inlineStr">
        <is>
          <t>Startup / SME</t>
        </is>
      </c>
      <c r="U112" s="34" t="inlineStr"/>
      <c r="V112" s="34" t="inlineStr"/>
      <c r="W112" s="34" t="inlineStr">
        <is>
          <t>Sunderland, United Kingdom</t>
        </is>
      </c>
      <c r="X112" s="34" t="inlineStr">
        <is>
          <t>Unverified</t>
        </is>
      </c>
      <c r="Y112" s="34" t="inlineStr">
        <is>
          <t>Unknown</t>
        </is>
      </c>
      <c r="Z112" s="34" t="inlineStr">
        <is>
          <t>Unknown</t>
        </is>
      </c>
      <c r="AA112" s="34" t="inlineStr">
        <is>
          <t>Unknown</t>
        </is>
      </c>
      <c r="AB112" s="34" t="inlineStr">
        <is>
          <t>Local eligibility and current call confirmation.</t>
        </is>
      </c>
      <c r="AC112" s="34" t="inlineStr">
        <is>
          <t>Confirm local eligibility. | Open official listing. | Prepare project costs. | Submit locally. | Complete assessment.</t>
        </is>
      </c>
      <c r="AD112" s="34" t="inlineStr">
        <is>
          <t>Project innovation case and eligible cost plan.</t>
        </is>
      </c>
      <c r="AE112" s="34" t="inlineStr">
        <is>
          <t>Project value £5,000–£25,000; 40% contribution.</t>
        </is>
      </c>
      <c r="AF112" s="34" t="inlineStr"/>
      <c r="AG112" s="34" t="inlineStr"/>
      <c r="AH112" s="34" t="inlineStr"/>
      <c r="AI112" s="34" t="inlineStr">
        <is>
          <t>Project value £5,000–£25,000; 40% contribution.</t>
        </is>
      </c>
      <c r="AJ112" s="34" t="inlineStr">
        <is>
          <t>https://www.gov.uk/business-finance-support/bic-innovation-grant-sunderland</t>
        </is>
      </c>
      <c r="AK112" s="34" t="inlineStr"/>
      <c r="AL112" s="34" t="inlineStr">
        <is>
          <t>40% grant contribution. | Innovative project support.</t>
        </is>
      </c>
      <c r="AM112" s="34" t="inlineStr">
        <is>
          <t>2026-10-14</t>
        </is>
      </c>
      <c r="AN112" s="34" t="inlineStr">
        <is>
          <t>Repo source; preserve original confidence context</t>
        </is>
      </c>
      <c r="AO112" s="34" t="inlineStr">
        <is>
          <t>GitHub repository</t>
        </is>
      </c>
      <c r="AP112" s="34" t="inlineStr">
        <is>
          <t>Sunderland, United Kingdom</t>
        </is>
      </c>
      <c r="AQ112" s="34" t="inlineStr">
        <is>
          <t>Sunderland, United Kingdom</t>
        </is>
      </c>
      <c r="AR112" s="34" t="inlineStr">
        <is>
          <t>Not published.</t>
        </is>
      </c>
      <c r="AS112" s="34" t="inlineStr"/>
      <c r="AT112" s="34" t="inlineStr">
        <is>
          <t>GitHub repo only</t>
        </is>
      </c>
      <c r="AU112" s="34" t="inlineStr">
        <is>
          <t>uk-bic-innovation</t>
        </is>
      </c>
      <c r="AV112" s="34" t="inlineStr">
        <is>
          <t>No public code verified</t>
        </is>
      </c>
      <c r="AW112" s="34" t="inlineStr">
        <is>
          <t>Not published</t>
        </is>
      </c>
      <c r="AX112" s="34" t="inlineStr">
        <is>
          <t>https://www.gov.uk/business-finance-support/bic-innovation-grant-sunderland</t>
        </is>
      </c>
      <c r="AY112" s="34" t="inlineStr">
        <is>
          <t>No provider-published coupon code found in the verified source; do not treat third-party codes as confirmed.</t>
        </is>
      </c>
      <c r="AZ112" s="34" t="inlineStr">
        <is>
          <t>No Excel match</t>
        </is>
      </c>
      <c r="BA112" s="34" t="inlineStr">
        <is>
          <t>No reliable community code confirmation recorded</t>
        </is>
      </c>
      <c r="BB112" s="34" t="inlineStr">
        <is>
          <t>bicinnovationukgovernmentbusinessfinancedirectory</t>
        </is>
      </c>
      <c r="BC112" s="34" t="inlineStr">
        <is>
          <t>bicinnovationgrantsunderland</t>
        </is>
      </c>
      <c r="BD112" s="34" t="inlineStr">
        <is>
          <t>bicinnovationukgovernmentbusinessfinancedirectory|bicinnovationgrantsunderland</t>
        </is>
      </c>
      <c r="BE112" s="34" t="n">
        <v>1</v>
      </c>
      <c r="BF112" s="34" t="inlineStr">
        <is>
          <t>No</t>
        </is>
      </c>
    </row>
    <row r="113">
      <c r="A113" s="34" t="inlineStr">
        <is>
          <t>REPO-020</t>
        </is>
      </c>
      <c r="B113" s="34" t="inlineStr">
        <is>
          <t>Bpifrance</t>
        </is>
      </c>
      <c r="C113" s="34" t="inlineStr">
        <is>
          <t>Bourse French Tech</t>
        </is>
      </c>
      <c r="D113" s="34" t="inlineStr"/>
      <c r="E113" s="34" t="inlineStr">
        <is>
          <t>Grants &amp; funding</t>
        </is>
      </c>
      <c r="F113" s="34" t="inlineStr">
        <is>
          <t>Grant; France</t>
        </is>
      </c>
      <c r="G113" s="34" t="inlineStr">
        <is>
          <t>Grant</t>
        </is>
      </c>
      <c r="H113" s="34" t="inlineStr">
        <is>
          <t>Up to 70% of eligible costs, capped at €30,000</t>
        </is>
      </c>
      <c r="I113" s="34" t="inlineStr"/>
      <c r="J113" s="34" t="inlineStr"/>
      <c r="K113" s="34" t="inlineStr"/>
      <c r="L113" s="34" t="inlineStr"/>
      <c r="M113" s="34" t="inlineStr"/>
      <c r="N113" s="34" t="inlineStr"/>
      <c r="O113" s="34" t="inlineStr">
        <is>
          <t>🔄 Rolling</t>
        </is>
      </c>
      <c r="P113" s="34" t="inlineStr">
        <is>
          <t>https://www.bpifrance.fr/catalogue-offres/bourse-french-tech</t>
        </is>
      </c>
      <c r="Q113" s="34" t="inlineStr">
        <is>
          <t>https://www.bpifrance.fr/catalogue-offres/bourse-french-tech</t>
        </is>
      </c>
      <c r="R113" s="34" t="inlineStr"/>
      <c r="S113" s="34" t="inlineStr">
        <is>
          <t>Innovative company-creation project with eligible internal or external R&amp;D expenditure.</t>
        </is>
      </c>
      <c r="T113" s="34" t="inlineStr">
        <is>
          <t>Pre-seed / company creation</t>
        </is>
      </c>
      <c r="U113" s="34" t="inlineStr"/>
      <c r="V113" s="34" t="inlineStr"/>
      <c r="W113" s="34" t="inlineStr">
        <is>
          <t>France</t>
        </is>
      </c>
      <c r="X113" s="34" t="inlineStr">
        <is>
          <t>Unverified</t>
        </is>
      </c>
      <c r="Y113" s="34" t="inlineStr">
        <is>
          <t>Unknown</t>
        </is>
      </c>
      <c r="Z113" s="34" t="inlineStr">
        <is>
          <t>Unknown</t>
        </is>
      </c>
      <c r="AA113" s="34" t="inlineStr">
        <is>
          <t>Unknown</t>
        </is>
      </c>
      <c r="AB113" s="34" t="inlineStr">
        <is>
          <t>Bpifrance eligibility assessment.</t>
        </is>
      </c>
      <c r="AC113" s="34" t="inlineStr">
        <is>
          <t>Confirm eligibility. | Prepare R&amp;D plan. | Apply through Bpifrance. | Complete review. | Contract and claim.</t>
        </is>
      </c>
      <c r="AD113" s="34" t="inlineStr">
        <is>
          <t>Technical and financial innovation plan.</t>
        </is>
      </c>
      <c r="AE113" s="34" t="inlineStr">
        <is>
          <t>Up to 70%; maximum €30,000.</t>
        </is>
      </c>
      <c r="AF113" s="34" t="inlineStr"/>
      <c r="AG113" s="34" t="inlineStr"/>
      <c r="AH113" s="34" t="inlineStr"/>
      <c r="AI113" s="34" t="inlineStr">
        <is>
          <t>Up to 70%; maximum €30,000.</t>
        </is>
      </c>
      <c r="AJ113" s="34" t="inlineStr">
        <is>
          <t>https://www.bpifrance.fr/catalogue-offres/bourse-french-tech</t>
        </is>
      </c>
      <c r="AK113" s="34" t="inlineStr"/>
      <c r="AL113" s="34" t="inlineStr">
        <is>
          <t>Up to 70% eligible R&amp;D expenses. | Maximum €30,000 grant.</t>
        </is>
      </c>
      <c r="AM113" s="34" t="inlineStr">
        <is>
          <t>2026-10-14</t>
        </is>
      </c>
      <c r="AN113" s="34" t="inlineStr">
        <is>
          <t>Repo source; preserve original confidence context</t>
        </is>
      </c>
      <c r="AO113" s="34" t="inlineStr">
        <is>
          <t>GitHub repository</t>
        </is>
      </c>
      <c r="AP113" s="34" t="inlineStr">
        <is>
          <t>France</t>
        </is>
      </c>
      <c r="AQ113" s="34" t="inlineStr">
        <is>
          <t>France</t>
        </is>
      </c>
      <c r="AR113" s="34" t="inlineStr">
        <is>
          <t>Not published.</t>
        </is>
      </c>
      <c r="AS113" s="34" t="inlineStr"/>
      <c r="AT113" s="34" t="inlineStr">
        <is>
          <t>GitHub repo only</t>
        </is>
      </c>
      <c r="AU113" s="34" t="inlineStr">
        <is>
          <t>france-bourse-french-tech</t>
        </is>
      </c>
      <c r="AV113" s="34" t="inlineStr">
        <is>
          <t>No public code verified</t>
        </is>
      </c>
      <c r="AW113" s="34" t="inlineStr">
        <is>
          <t>Not published</t>
        </is>
      </c>
      <c r="AX113" s="34" t="inlineStr">
        <is>
          <t>https://www.bpifrance.fr/catalogue-offres/bourse-french-tech</t>
        </is>
      </c>
      <c r="AY113" s="34" t="inlineStr">
        <is>
          <t>No provider-published coupon code found in the verified source; do not treat third-party codes as confirmed.</t>
        </is>
      </c>
      <c r="AZ113" s="34" t="inlineStr">
        <is>
          <t>No Excel match</t>
        </is>
      </c>
      <c r="BA113" s="34" t="inlineStr">
        <is>
          <t>No reliable community code confirmation recorded</t>
        </is>
      </c>
      <c r="BB113" s="34" t="inlineStr">
        <is>
          <t>bpifrance</t>
        </is>
      </c>
      <c r="BC113" s="34" t="inlineStr">
        <is>
          <t>boursefrenchtech</t>
        </is>
      </c>
      <c r="BD113" s="34" t="inlineStr">
        <is>
          <t>bpifrance|boursefrenchtech</t>
        </is>
      </c>
      <c r="BE113" s="34" t="n">
        <v>1</v>
      </c>
      <c r="BF113" s="34" t="inlineStr">
        <is>
          <t>No</t>
        </is>
      </c>
    </row>
    <row r="114">
      <c r="A114" s="34" t="inlineStr">
        <is>
          <t>REPO-021</t>
        </is>
      </c>
      <c r="B114" s="34" t="inlineStr">
        <is>
          <t>Bpifrance</t>
        </is>
      </c>
      <c r="C114" s="34" t="inlineStr">
        <is>
          <t>French Tech Emergence</t>
        </is>
      </c>
      <c r="D114" s="34" t="inlineStr"/>
      <c r="E114" s="34" t="inlineStr">
        <is>
          <t>Grants &amp; funding</t>
        </is>
      </c>
      <c r="F114" s="34" t="inlineStr">
        <is>
          <t>Deep-tech grant; France</t>
        </is>
      </c>
      <c r="G114" s="34" t="inlineStr">
        <is>
          <t>Deep-tech grant</t>
        </is>
      </c>
      <c r="H114" s="34" t="inlineStr">
        <is>
          <t>Up to 70% of eligible costs, capped at €90,000</t>
        </is>
      </c>
      <c r="I114" s="34" t="inlineStr"/>
      <c r="J114" s="34" t="inlineStr"/>
      <c r="K114" s="34" t="inlineStr"/>
      <c r="L114" s="34" t="inlineStr"/>
      <c r="M114" s="34" t="inlineStr"/>
      <c r="N114" s="34" t="inlineStr"/>
      <c r="O114" s="34" t="inlineStr">
        <is>
          <t>🔄 Rolling</t>
        </is>
      </c>
      <c r="P114" s="34" t="inlineStr">
        <is>
          <t>https://www.bpifrance.fr/catalogue-offres/bourse-french-tech-emergence</t>
        </is>
      </c>
      <c r="Q114" s="34" t="inlineStr">
        <is>
          <t>https://www.bpifrance.fr/catalogue-offres/bourse-french-tech-emergence</t>
        </is>
      </c>
      <c r="R114" s="34" t="inlineStr"/>
      <c r="S114" s="34" t="inlineStr">
        <is>
          <t>Company-creation project based on breakthrough, high-technology deep-tech innovation.</t>
        </is>
      </c>
      <c r="T114" s="34" t="inlineStr">
        <is>
          <t>Pre-seed / deep-tech</t>
        </is>
      </c>
      <c r="U114" s="34" t="inlineStr"/>
      <c r="V114" s="34" t="inlineStr"/>
      <c r="W114" s="34" t="inlineStr">
        <is>
          <t>France</t>
        </is>
      </c>
      <c r="X114" s="34" t="inlineStr">
        <is>
          <t>Unverified</t>
        </is>
      </c>
      <c r="Y114" s="34" t="inlineStr">
        <is>
          <t>Unknown</t>
        </is>
      </c>
      <c r="Z114" s="34" t="inlineStr">
        <is>
          <t>Unknown</t>
        </is>
      </c>
      <c r="AA114" s="34" t="inlineStr">
        <is>
          <t>Unknown</t>
        </is>
      </c>
      <c r="AB114" s="34" t="inlineStr">
        <is>
          <t>Bpifrance eligibility assessment.</t>
        </is>
      </c>
      <c r="AC114" s="34" t="inlineStr">
        <is>
          <t>Confirm deep-tech eligibility. | Prepare innovation plan. | Apply through Bpifrance. | Complete evaluation. | Contract and claim.</t>
        </is>
      </c>
      <c r="AD114" s="34" t="inlineStr">
        <is>
          <t>Deep-tech innovation and R&amp;D plan.</t>
        </is>
      </c>
      <c r="AE114" s="34" t="inlineStr">
        <is>
          <t>Up to 70%; maximum €90,000.</t>
        </is>
      </c>
      <c r="AF114" s="34" t="inlineStr"/>
      <c r="AG114" s="34" t="inlineStr"/>
      <c r="AH114" s="34" t="inlineStr"/>
      <c r="AI114" s="34" t="inlineStr">
        <is>
          <t>Up to 70%; maximum €90,000.</t>
        </is>
      </c>
      <c r="AJ114" s="34" t="inlineStr">
        <is>
          <t>https://www.bpifrance.fr/catalogue-offres/bourse-french-tech-emergence</t>
        </is>
      </c>
      <c r="AK114" s="34" t="inlineStr"/>
      <c r="AL114" s="34" t="inlineStr">
        <is>
          <t>Up to 70% eligible forecast expenses. | Maximum €90,000 grant.</t>
        </is>
      </c>
      <c r="AM114" s="34" t="inlineStr">
        <is>
          <t>2026-10-14</t>
        </is>
      </c>
      <c r="AN114" s="34" t="inlineStr">
        <is>
          <t>Repo source; preserve original confidence context</t>
        </is>
      </c>
      <c r="AO114" s="34" t="inlineStr">
        <is>
          <t>GitHub repository</t>
        </is>
      </c>
      <c r="AP114" s="34" t="inlineStr">
        <is>
          <t>France</t>
        </is>
      </c>
      <c r="AQ114" s="34" t="inlineStr">
        <is>
          <t>France</t>
        </is>
      </c>
      <c r="AR114" s="34" t="inlineStr">
        <is>
          <t>Not published.</t>
        </is>
      </c>
      <c r="AS114" s="34" t="inlineStr"/>
      <c r="AT114" s="34" t="inlineStr">
        <is>
          <t>GitHub repo only</t>
        </is>
      </c>
      <c r="AU114" s="34" t="inlineStr">
        <is>
          <t>france-tech-emergence</t>
        </is>
      </c>
      <c r="AV114" s="34" t="inlineStr">
        <is>
          <t>No public code verified</t>
        </is>
      </c>
      <c r="AW114" s="34" t="inlineStr">
        <is>
          <t>Not published</t>
        </is>
      </c>
      <c r="AX114" s="34" t="inlineStr">
        <is>
          <t>https://www.bpifrance.fr/catalogue-offres/bourse-french-tech-emergence</t>
        </is>
      </c>
      <c r="AY114" s="34" t="inlineStr">
        <is>
          <t>No provider-published coupon code found in the verified source; do not treat third-party codes as confirmed.</t>
        </is>
      </c>
      <c r="AZ114" s="34" t="inlineStr">
        <is>
          <t>No Excel match</t>
        </is>
      </c>
      <c r="BA114" s="34" t="inlineStr">
        <is>
          <t>No reliable community code confirmation recorded</t>
        </is>
      </c>
      <c r="BB114" s="34" t="inlineStr">
        <is>
          <t>bpifrance</t>
        </is>
      </c>
      <c r="BC114" s="34" t="inlineStr">
        <is>
          <t>frenchtechemergence</t>
        </is>
      </c>
      <c r="BD114" s="34" t="inlineStr">
        <is>
          <t>bpifrance|frenchtechemergence</t>
        </is>
      </c>
      <c r="BE114" s="34" t="n">
        <v>1</v>
      </c>
      <c r="BF114" s="34" t="inlineStr">
        <is>
          <t>No</t>
        </is>
      </c>
    </row>
    <row r="115">
      <c r="A115" s="34" t="inlineStr">
        <is>
          <t>REPO-022</t>
        </is>
      </c>
      <c r="B115" s="34" t="inlineStr">
        <is>
          <t>NEDO</t>
        </is>
      </c>
      <c r="C115" s="34" t="inlineStr">
        <is>
          <t>NEDO Deep-Tech Startups Support — International Joint R&amp;D</t>
        </is>
      </c>
      <c r="D115" s="34" t="inlineStr"/>
      <c r="E115" s="34" t="inlineStr">
        <is>
          <t>Grants &amp; funding</t>
        </is>
      </c>
      <c r="F115" s="34" t="inlineStr">
        <is>
          <t>Subsidy; Japan + partner countries</t>
        </is>
      </c>
      <c r="G115" s="34" t="inlineStr">
        <is>
          <t>Subsidy</t>
        </is>
      </c>
      <c r="H115" s="34" t="inlineStr">
        <is>
          <t>Up to ¥100 million per project; maximum two-thirds of total cost</t>
        </is>
      </c>
      <c r="I115" s="34" t="inlineStr"/>
      <c r="J115" s="34" t="inlineStr"/>
      <c r="K115" s="34" t="inlineStr"/>
      <c r="L115" s="34" t="inlineStr"/>
      <c r="M115" s="34" t="inlineStr"/>
      <c r="N115" s="34" t="inlineStr"/>
      <c r="O115" s="34" t="inlineStr">
        <is>
          <t>🔄 Rolling</t>
        </is>
      </c>
      <c r="P115" s="34" t="inlineStr">
        <is>
          <t>https://www.nedo.go.jp/english/activities/activities_ZZJP_100262.html</t>
        </is>
      </c>
      <c r="Q115" s="34" t="inlineStr">
        <is>
          <t>https://www.nedo.go.jp/english/activities/activities_ZZJP_100262.html</t>
        </is>
      </c>
      <c r="R115" s="34" t="inlineStr"/>
      <c r="S115" s="34" t="inlineStr">
        <is>
          <t>Unlisted Japanese SME with main R&amp;D base in Japan; generally ≤10 years or within 5 years of first qualifying startup investment; international partner required.</t>
        </is>
      </c>
      <c r="T115" s="34" t="inlineStr">
        <is>
          <t>Deep-tech R&amp;D</t>
        </is>
      </c>
      <c r="U115" s="34" t="inlineStr"/>
      <c r="V115" s="34" t="inlineStr"/>
      <c r="W115" s="34" t="inlineStr">
        <is>
          <t>Japan with listed partner-country business</t>
        </is>
      </c>
      <c r="X115" s="34" t="inlineStr">
        <is>
          <t>Unverified</t>
        </is>
      </c>
      <c r="Y115" s="34" t="inlineStr">
        <is>
          <t>Unknown</t>
        </is>
      </c>
      <c r="Z115" s="34" t="inlineStr">
        <is>
          <t>Unknown</t>
        </is>
      </c>
      <c r="AA115" s="34" t="inlineStr">
        <is>
          <t>Unknown</t>
        </is>
      </c>
      <c r="AB115" s="34" t="inlineStr">
        <is>
          <t>Japanese lead applicant and partner-country joint R&amp;D project.</t>
        </is>
      </c>
      <c r="AC115" s="34" t="inlineStr">
        <is>
          <t>Confirm Japanese and partner eligibility. | Define joint deep-tech R&amp;D. | Watch NEDO call. | Submit. | Complete evaluation and contracting.</t>
        </is>
      </c>
      <c r="AD115" s="34" t="inlineStr">
        <is>
          <t>Joint R&amp;D plan, Japanese applicant information, partner and cost documents.</t>
        </is>
      </c>
      <c r="AE115" s="34" t="inlineStr">
        <is>
          <t>Up to ¥100m; up to two-thirds of total cost; project support about 2–3 years.</t>
        </is>
      </c>
      <c r="AF115" s="34" t="inlineStr"/>
      <c r="AG115" s="34" t="inlineStr"/>
      <c r="AH115" s="34" t="inlineStr"/>
      <c r="AI115" s="34" t="inlineStr">
        <is>
          <t>Up to ¥100m; up to two-thirds of total cost; project support about 2–3 years.</t>
        </is>
      </c>
      <c r="AJ115" s="34" t="inlineStr">
        <is>
          <t>https://www.nedo.go.jp/english/activities/activities_ZZJP_100262.html</t>
        </is>
      </c>
      <c r="AK115" s="34" t="inlineStr"/>
      <c r="AL115" s="34" t="inlineStr">
        <is>
          <t>Up to ¥100 million subsidy. | International joint R&amp;D. | About 2–3 year supported project.</t>
        </is>
      </c>
      <c r="AM115" s="34" t="inlineStr">
        <is>
          <t>2026-10-14</t>
        </is>
      </c>
      <c r="AN115" s="34" t="inlineStr">
        <is>
          <t>Repo source; preserve original confidence context</t>
        </is>
      </c>
      <c r="AO115" s="34" t="inlineStr">
        <is>
          <t>GitHub repository</t>
        </is>
      </c>
      <c r="AP115" s="34" t="inlineStr">
        <is>
          <t>Japan + partner countries</t>
        </is>
      </c>
      <c r="AQ115" s="34" t="inlineStr">
        <is>
          <t>Japan + partner countries</t>
        </is>
      </c>
      <c r="AR115" s="34" t="inlineStr">
        <is>
          <t>Program period FY2023–FY2031; call-specific.</t>
        </is>
      </c>
      <c r="AS115" s="34" t="inlineStr"/>
      <c r="AT115" s="34" t="inlineStr">
        <is>
          <t>GitHub repo only</t>
        </is>
      </c>
      <c r="AU115" s="34" t="inlineStr">
        <is>
          <t>nedo-deep-tech</t>
        </is>
      </c>
      <c r="AV115" s="34" t="inlineStr">
        <is>
          <t>No public code verified</t>
        </is>
      </c>
      <c r="AW115" s="34" t="inlineStr">
        <is>
          <t>Not published</t>
        </is>
      </c>
      <c r="AX115" s="34" t="inlineStr">
        <is>
          <t>https://www.nedo.go.jp/english/activities/activities_ZZJP_100262.html</t>
        </is>
      </c>
      <c r="AY115" s="34" t="inlineStr">
        <is>
          <t>No provider-published coupon code found in the verified source; do not treat third-party codes as confirmed.</t>
        </is>
      </c>
      <c r="AZ115" s="34" t="inlineStr">
        <is>
          <t>No Excel match</t>
        </is>
      </c>
      <c r="BA115" s="34" t="inlineStr">
        <is>
          <t>No reliable community code confirmation recorded</t>
        </is>
      </c>
      <c r="BB115" s="34" t="inlineStr">
        <is>
          <t>nedo</t>
        </is>
      </c>
      <c r="BC115" s="34" t="inlineStr">
        <is>
          <t>nedodeeptechstartupssupportinternationaljointrd</t>
        </is>
      </c>
      <c r="BD115" s="34" t="inlineStr">
        <is>
          <t>nedo|nedodeeptechstartupssupportinternationaljointrd</t>
        </is>
      </c>
      <c r="BE115" s="34" t="n">
        <v>1</v>
      </c>
      <c r="BF115" s="34" t="inlineStr">
        <is>
          <t>No</t>
        </is>
      </c>
    </row>
    <row r="116">
      <c r="A116" s="34" t="inlineStr">
        <is>
          <t>REPO-023</t>
        </is>
      </c>
      <c r="B116" s="34" t="inlineStr">
        <is>
          <t>Miro</t>
        </is>
      </c>
      <c r="C116" s="34" t="inlineStr">
        <is>
          <t>Miro Startup Program</t>
        </is>
      </c>
      <c r="D116" s="34" t="inlineStr"/>
      <c r="E116" s="34" t="inlineStr">
        <is>
          <t>Cloud &amp; infrastructure credits</t>
        </is>
      </c>
      <c r="F116" s="34" t="inlineStr">
        <is>
          <t>Startup credits; Global</t>
        </is>
      </c>
      <c r="G116" s="34" t="inlineStr">
        <is>
          <t>Startup credits</t>
        </is>
      </c>
      <c r="H116" s="34" t="inlineStr">
        <is>
          <t>$1,000 via a Miro partner or $500 independent application</t>
        </is>
      </c>
      <c r="I116" s="34" t="inlineStr"/>
      <c r="J116" s="34" t="inlineStr"/>
      <c r="K116" s="34" t="inlineStr"/>
      <c r="L116" s="34" t="inlineStr"/>
      <c r="M116" s="34" t="inlineStr"/>
      <c r="N116" s="34" t="inlineStr"/>
      <c r="O116" s="34" t="inlineStr">
        <is>
          <t>🔄 Rolling</t>
        </is>
      </c>
      <c r="P116" s="34" t="inlineStr">
        <is>
          <t>https://miro.com/startups/apply/</t>
        </is>
      </c>
      <c r="Q116" s="34" t="inlineStr">
        <is>
          <t>https://miro.com/startups/apply/</t>
        </is>
      </c>
      <c r="R116" s="34" t="inlineStr"/>
      <c r="S116" s="34" t="inlineStr">
        <is>
          <t>Free Miro account; partner route or independent verification; work email; partner tier generally fewer than 30 employees</t>
        </is>
      </c>
      <c r="T116" s="34" t="inlineStr">
        <is>
          <t>Pre-seed to Series A</t>
        </is>
      </c>
      <c r="U116" s="34" t="inlineStr"/>
      <c r="V116" s="34" t="inlineStr"/>
      <c r="W116" s="34" t="inlineStr">
        <is>
          <t>Global</t>
        </is>
      </c>
      <c r="X116" s="34" t="inlineStr">
        <is>
          <t>Unverified</t>
        </is>
      </c>
      <c r="Y116" s="34" t="inlineStr">
        <is>
          <t>Unknown</t>
        </is>
      </c>
      <c r="Z116" s="34" t="inlineStr">
        <is>
          <t>Unknown</t>
        </is>
      </c>
      <c r="AA116" s="34" t="inlineStr">
        <is>
          <t>Unknown</t>
        </is>
      </c>
      <c r="AB116" s="34" t="inlineStr">
        <is>
          <t>Free Miro account and official application</t>
        </is>
      </c>
      <c r="AC116" s="34" t="inlineStr">
        <is>
          <t>Create free account. | Use partner link or official form. | Submit eligibility. | Remain on free plan. | Apply credit after approval.</t>
        </is>
      </c>
      <c r="AD116" s="34" t="inlineStr">
        <is>
          <t>Miro account, work email, eligibility information</t>
        </is>
      </c>
      <c r="AE116" s="34" t="inlineStr">
        <is>
          <t>One credit per startup; $1,000 partner or $500 independent</t>
        </is>
      </c>
      <c r="AF116" s="34" t="inlineStr"/>
      <c r="AG116" s="34" t="inlineStr"/>
      <c r="AH116" s="34" t="inlineStr"/>
      <c r="AI116" s="34" t="inlineStr">
        <is>
          <t>One credit per startup; $1,000 partner or $500 independent</t>
        </is>
      </c>
      <c r="AJ116" s="34" t="inlineStr">
        <is>
          <t>https://miro.com/startups/apply/</t>
        </is>
      </c>
      <c r="AK116" s="34" t="inlineStr"/>
      <c r="AL116" s="34" t="inlineStr">
        <is>
          <t>$1,000 partner credit. | $500 independent credit. | Startup collaboration workspace.</t>
        </is>
      </c>
      <c r="AM116" s="34" t="inlineStr">
        <is>
          <t>2026-10-14</t>
        </is>
      </c>
      <c r="AN116" s="34" t="inlineStr">
        <is>
          <t>Repo source; preserve original confidence context</t>
        </is>
      </c>
      <c r="AO116" s="34" t="inlineStr">
        <is>
          <t>GitHub repository</t>
        </is>
      </c>
      <c r="AP116" s="34" t="inlineStr">
        <is>
          <t>Global</t>
        </is>
      </c>
      <c r="AQ116" s="34" t="inlineStr">
        <is>
          <t>Global</t>
        </is>
      </c>
      <c r="AR116" s="34" t="inlineStr">
        <is>
          <t>Up to 15 days for independent review</t>
        </is>
      </c>
      <c r="AS116" s="34" t="inlineStr"/>
      <c r="AT116" s="34" t="inlineStr">
        <is>
          <t>GitHub repo only</t>
        </is>
      </c>
      <c r="AU116" s="34" t="inlineStr">
        <is>
          <t>miro-startup-program</t>
        </is>
      </c>
      <c r="AV116" s="34" t="inlineStr">
        <is>
          <t>No public code verified</t>
        </is>
      </c>
      <c r="AW116" s="34" t="inlineStr">
        <is>
          <t>Not published</t>
        </is>
      </c>
      <c r="AX116" s="34" t="inlineStr">
        <is>
          <t>https://miro.com/startups/apply/</t>
        </is>
      </c>
      <c r="AY116" s="34" t="inlineStr">
        <is>
          <t>Partner link or official application is required.</t>
        </is>
      </c>
      <c r="AZ116" s="34" t="inlineStr">
        <is>
          <t>No Excel match</t>
        </is>
      </c>
      <c r="BA116" s="34" t="inlineStr">
        <is>
          <t>No reliable public code confirmed</t>
        </is>
      </c>
      <c r="BB116" s="34" t="inlineStr">
        <is>
          <t>miro</t>
        </is>
      </c>
      <c r="BC116" s="34" t="inlineStr">
        <is>
          <t>mirostartupprogram</t>
        </is>
      </c>
      <c r="BD116" s="34" t="inlineStr">
        <is>
          <t>miro|mirostartupprogram</t>
        </is>
      </c>
      <c r="BE116" s="34" t="n">
        <v>1</v>
      </c>
      <c r="BF116" s="34" t="inlineStr">
        <is>
          <t>No</t>
        </is>
      </c>
    </row>
    <row r="117">
      <c r="A117" s="34" t="inlineStr">
        <is>
          <t>REPO-024</t>
        </is>
      </c>
      <c r="B117" s="34" t="inlineStr">
        <is>
          <t>Airtable</t>
        </is>
      </c>
      <c r="C117" s="34" t="inlineStr">
        <is>
          <t>Airtable for Startups</t>
        </is>
      </c>
      <c r="D117" s="34" t="inlineStr"/>
      <c r="E117" s="34" t="inlineStr">
        <is>
          <t>Cloud &amp; infrastructure credits</t>
        </is>
      </c>
      <c r="F117" s="34" t="inlineStr">
        <is>
          <t>Startup credits; AI &amp; APIs</t>
        </is>
      </c>
      <c r="G117" s="34" t="inlineStr">
        <is>
          <t>Startup credits</t>
        </is>
      </c>
      <c r="H117" s="34" t="inlineStr">
        <is>
          <t>$500 free workspace credit</t>
        </is>
      </c>
      <c r="I117" s="34" t="inlineStr"/>
      <c r="J117" s="34" t="inlineStr"/>
      <c r="K117" s="34" t="inlineStr"/>
      <c r="L117" s="34" t="inlineStr"/>
      <c r="M117" s="34" t="inlineStr"/>
      <c r="N117" s="34" t="inlineStr"/>
      <c r="O117" s="34" t="inlineStr">
        <is>
          <t>🔄 Rolling</t>
        </is>
      </c>
      <c r="P117" s="34" t="inlineStr">
        <is>
          <t>https://www.airtable.com/startups</t>
        </is>
      </c>
      <c r="Q117" s="34" t="inlineStr">
        <is>
          <t>https://www.airtable.com/startups</t>
        </is>
      </c>
      <c r="R117" s="34" t="inlineStr"/>
      <c r="S117" s="34" t="inlineStr">
        <is>
          <t>Airtable account; name, work email, LinkedIn, workspace ID, and company information</t>
        </is>
      </c>
      <c r="T117" s="34" t="inlineStr">
        <is>
          <t>Startup</t>
        </is>
      </c>
      <c r="U117" s="34" t="inlineStr"/>
      <c r="V117" s="34" t="inlineStr"/>
      <c r="W117" s="34" t="inlineStr">
        <is>
          <t>Global</t>
        </is>
      </c>
      <c r="X117" s="34" t="inlineStr">
        <is>
          <t>Unverified</t>
        </is>
      </c>
      <c r="Y117" s="34" t="inlineStr">
        <is>
          <t>Unknown</t>
        </is>
      </c>
      <c r="Z117" s="34" t="inlineStr">
        <is>
          <t>Unknown</t>
        </is>
      </c>
      <c r="AA117" s="34" t="inlineStr">
        <is>
          <t>Unknown</t>
        </is>
      </c>
      <c r="AB117" s="34" t="inlineStr">
        <is>
          <t>Create Airtable account before applying</t>
        </is>
      </c>
      <c r="AC117" s="34" t="inlineStr">
        <is>
          <t>Create account. | Find workspace ID. | Complete official form. | Wait for review. | Use credit if approved.</t>
        </is>
      </c>
      <c r="AD117" s="34" t="inlineStr">
        <is>
          <t>Account email, LinkedIn, workspace ID, company details</t>
        </is>
      </c>
      <c r="AE117" s="34" t="inlineStr">
        <is>
          <t>$500 workspace credit</t>
        </is>
      </c>
      <c r="AF117" s="34" t="inlineStr"/>
      <c r="AG117" s="34" t="inlineStr"/>
      <c r="AH117" s="34" t="inlineStr"/>
      <c r="AI117" s="34" t="inlineStr">
        <is>
          <t>$500 workspace credit</t>
        </is>
      </c>
      <c r="AJ117" s="34" t="inlineStr">
        <is>
          <t>https://www.airtable.com/startups</t>
        </is>
      </c>
      <c r="AK117" s="34" t="inlineStr"/>
      <c r="AL117" s="34" t="inlineStr">
        <is>
          <t>$500 Airtable credit. | Startup content and educational materials.</t>
        </is>
      </c>
      <c r="AM117" s="34" t="inlineStr">
        <is>
          <t>2026-10-14</t>
        </is>
      </c>
      <c r="AN117" s="34" t="inlineStr">
        <is>
          <t>Repo source; preserve original confidence context</t>
        </is>
      </c>
      <c r="AO117" s="34" t="inlineStr">
        <is>
          <t>GitHub repository</t>
        </is>
      </c>
      <c r="AP117" s="34" t="inlineStr">
        <is>
          <t>Global</t>
        </is>
      </c>
      <c r="AQ117" s="34" t="inlineStr">
        <is>
          <t>AI &amp; APIs</t>
        </is>
      </c>
      <c r="AR117" s="34" t="inlineStr">
        <is>
          <t>3–5 days stated review window</t>
        </is>
      </c>
      <c r="AS117" s="34" t="inlineStr"/>
      <c r="AT117" s="34" t="inlineStr">
        <is>
          <t>GitHub repo only</t>
        </is>
      </c>
      <c r="AU117" s="34" t="inlineStr">
        <is>
          <t>airtable-startups</t>
        </is>
      </c>
      <c r="AV117" s="34" t="inlineStr">
        <is>
          <t>No public code verified</t>
        </is>
      </c>
      <c r="AW117" s="34" t="inlineStr">
        <is>
          <t>Not published</t>
        </is>
      </c>
      <c r="AX117" s="34" t="inlineStr">
        <is>
          <t>https://www.airtable.com/startups</t>
        </is>
      </c>
      <c r="AY117" s="34" t="inlineStr">
        <is>
          <t>Official startup form; no public coupon code.</t>
        </is>
      </c>
      <c r="AZ117" s="34" t="inlineStr">
        <is>
          <t>No Excel match</t>
        </is>
      </c>
      <c r="BA117" s="34" t="inlineStr">
        <is>
          <t>Partner offers can differ; check official partner dashboard</t>
        </is>
      </c>
      <c r="BB117" s="34" t="inlineStr">
        <is>
          <t>airtable</t>
        </is>
      </c>
      <c r="BC117" s="34" t="inlineStr">
        <is>
          <t>airtableforstartups</t>
        </is>
      </c>
      <c r="BD117" s="34" t="inlineStr">
        <is>
          <t>airtable|airtableforstartups</t>
        </is>
      </c>
      <c r="BE117" s="34" t="n">
        <v>1</v>
      </c>
      <c r="BF117" s="34" t="inlineStr">
        <is>
          <t>No</t>
        </is>
      </c>
    </row>
    <row r="118">
      <c r="A118" s="34" t="inlineStr">
        <is>
          <t>REPO-025</t>
        </is>
      </c>
      <c r="B118" s="34" t="inlineStr">
        <is>
          <t>Deepgram</t>
        </is>
      </c>
      <c r="C118" s="34" t="inlineStr">
        <is>
          <t>Deepgram for Startups</t>
        </is>
      </c>
      <c r="D118" s="34" t="inlineStr"/>
      <c r="E118" s="34" t="inlineStr">
        <is>
          <t>Cloud &amp; infrastructure credits</t>
        </is>
      </c>
      <c r="F118" s="34" t="inlineStr">
        <is>
          <t>Startup credits; Global</t>
        </is>
      </c>
      <c r="G118" s="34" t="inlineStr">
        <is>
          <t>Startup credits</t>
        </is>
      </c>
      <c r="H118" s="34" t="inlineStr">
        <is>
          <t>Up to $100,000 API credits for 12 months</t>
        </is>
      </c>
      <c r="I118" s="34" t="inlineStr"/>
      <c r="J118" s="34" t="inlineStr"/>
      <c r="K118" s="34" t="inlineStr"/>
      <c r="L118" s="34" t="inlineStr"/>
      <c r="M118" s="34" t="inlineStr"/>
      <c r="N118" s="34" t="inlineStr"/>
      <c r="O118" s="34" t="inlineStr">
        <is>
          <t>🔄 Rolling</t>
        </is>
      </c>
      <c r="P118" s="34" t="inlineStr">
        <is>
          <t>https://deepgram.com/startup-program</t>
        </is>
      </c>
      <c r="Q118" s="34" t="inlineStr">
        <is>
          <t>https://deepgram.com/startup-program</t>
        </is>
      </c>
      <c r="R118" s="34" t="inlineStr"/>
      <c r="S118" s="34" t="inlineStr">
        <is>
          <t>AI builder or early-stage startup; in production or launching within 6 months; active building and community engagement</t>
        </is>
      </c>
      <c r="T118" s="34" t="inlineStr">
        <is>
          <t>Early stage</t>
        </is>
      </c>
      <c r="U118" s="34" t="inlineStr"/>
      <c r="V118" s="34" t="inlineStr"/>
      <c r="W118" s="34" t="inlineStr">
        <is>
          <t>Global</t>
        </is>
      </c>
      <c r="X118" s="34" t="inlineStr">
        <is>
          <t>Unverified</t>
        </is>
      </c>
      <c r="Y118" s="34" t="inlineStr">
        <is>
          <t>Unknown</t>
        </is>
      </c>
      <c r="Z118" s="34" t="inlineStr">
        <is>
          <t>Unknown</t>
        </is>
      </c>
      <c r="AA118" s="34" t="inlineStr">
        <is>
          <t>Unknown</t>
        </is>
      </c>
      <c r="AB118" s="34" t="inlineStr">
        <is>
          <t>Create Deepgram account and keep Project ID</t>
        </is>
      </c>
      <c r="AC118" s="34" t="inlineStr">
        <is>
          <t>Create account. | Get Project ID. | Apply. | Await review. | Use credits after acceptance.</t>
        </is>
      </c>
      <c r="AD118" s="34" t="inlineStr">
        <is>
          <t>Deepgram account and Project ID; startup description</t>
        </is>
      </c>
      <c r="AE118" s="34" t="inlineStr">
        <is>
          <t>Up to $100,000; 12 months</t>
        </is>
      </c>
      <c r="AF118" s="34" t="inlineStr"/>
      <c r="AG118" s="34" t="inlineStr"/>
      <c r="AH118" s="34" t="inlineStr"/>
      <c r="AI118" s="34" t="inlineStr">
        <is>
          <t>Up to $100,000; 12 months</t>
        </is>
      </c>
      <c r="AJ118" s="34" t="inlineStr">
        <is>
          <t>https://deepgram.com/startup-program</t>
        </is>
      </c>
      <c r="AK118" s="34" t="inlineStr"/>
      <c r="AL118" s="34" t="inlineStr">
        <is>
          <t>$100,000 API credits. | Startup community. | Engineering support.</t>
        </is>
      </c>
      <c r="AM118" s="34" t="inlineStr">
        <is>
          <t>2026-10-14</t>
        </is>
      </c>
      <c r="AN118" s="34" t="inlineStr">
        <is>
          <t>Repo source; preserve original confidence context</t>
        </is>
      </c>
      <c r="AO118" s="34" t="inlineStr">
        <is>
          <t>GitHub repository</t>
        </is>
      </c>
      <c r="AP118" s="34" t="inlineStr">
        <is>
          <t>Global</t>
        </is>
      </c>
      <c r="AQ118" s="34" t="inlineStr">
        <is>
          <t>Global</t>
        </is>
      </c>
      <c r="AR118" s="34" t="inlineStr">
        <is>
          <t>Credits usually deposited 24–48 hours after acceptance</t>
        </is>
      </c>
      <c r="AS118" s="34" t="inlineStr"/>
      <c r="AT118" s="34" t="inlineStr">
        <is>
          <t>GitHub repo only</t>
        </is>
      </c>
      <c r="AU118" s="34" t="inlineStr">
        <is>
          <t>deepgram-startups</t>
        </is>
      </c>
      <c r="AV118" s="34" t="inlineStr">
        <is>
          <t>No public code verified</t>
        </is>
      </c>
      <c r="AW118" s="34" t="inlineStr">
        <is>
          <t>Not published</t>
        </is>
      </c>
      <c r="AX118" s="34" t="inlineStr">
        <is>
          <t>https://deepgram.com/startup-program</t>
        </is>
      </c>
      <c r="AY118" s="34" t="inlineStr">
        <is>
          <t>Application and Project ID required; no public coupon code.</t>
        </is>
      </c>
      <c r="AZ118" s="34" t="inlineStr">
        <is>
          <t>No Excel match</t>
        </is>
      </c>
      <c r="BA118" s="34" t="inlineStr">
        <is>
          <t>Community posts may mention signup credits; verify in console</t>
        </is>
      </c>
      <c r="BB118" s="34" t="inlineStr">
        <is>
          <t>deepgram</t>
        </is>
      </c>
      <c r="BC118" s="34" t="inlineStr">
        <is>
          <t>deepgramforstartups</t>
        </is>
      </c>
      <c r="BD118" s="34" t="inlineStr">
        <is>
          <t>deepgram|deepgramforstartups</t>
        </is>
      </c>
      <c r="BE118" s="34" t="n">
        <v>1</v>
      </c>
      <c r="BF118" s="34" t="inlineStr">
        <is>
          <t>No</t>
        </is>
      </c>
    </row>
    <row r="119">
      <c r="A119" s="34" t="inlineStr">
        <is>
          <t>REPO-026</t>
        </is>
      </c>
      <c r="B119" s="34" t="inlineStr">
        <is>
          <t>Vultr</t>
        </is>
      </c>
      <c r="C119" s="34" t="inlineStr">
        <is>
          <t>Vultr Promotional Credits</t>
        </is>
      </c>
      <c r="D119" s="34" t="inlineStr"/>
      <c r="E119" s="34" t="inlineStr">
        <is>
          <t>Cloud &amp; infrastructure credits</t>
        </is>
      </c>
      <c r="F119" s="34" t="inlineStr">
        <is>
          <t>Cloud promotional credits; Global</t>
        </is>
      </c>
      <c r="G119" s="34" t="inlineStr">
        <is>
          <t>Cloud promotional credits</t>
        </is>
      </c>
      <c r="H119" s="34" t="inlineStr">
        <is>
          <t>$100 match or $200/$250/$300 promotional credit depending on official code</t>
        </is>
      </c>
      <c r="I119" s="34" t="inlineStr"/>
      <c r="J119" s="34" t="inlineStr"/>
      <c r="K119" s="34" t="inlineStr"/>
      <c r="L119" s="34" t="inlineStr"/>
      <c r="M119" s="34" t="inlineStr"/>
      <c r="N119" s="34" t="inlineStr"/>
      <c r="O119" s="34" t="inlineStr">
        <is>
          <t>🔄 Rolling</t>
        </is>
      </c>
      <c r="P119" s="34" t="inlineStr">
        <is>
          <t>https://www.vultr.com/coupons/</t>
        </is>
      </c>
      <c r="Q119" s="34" t="inlineStr">
        <is>
          <t>https://www.vultr.com/coupons/</t>
        </is>
      </c>
      <c r="R119" s="34" t="inlineStr"/>
      <c r="S119" s="34" t="inlineStr">
        <is>
          <t>New customers; selected products only; offers cannot be combined</t>
        </is>
      </c>
      <c r="T119" s="34" t="inlineStr">
        <is>
          <t>Any new customer</t>
        </is>
      </c>
      <c r="U119" s="34" t="inlineStr"/>
      <c r="V119" s="34" t="inlineStr"/>
      <c r="W119" s="34" t="inlineStr">
        <is>
          <t>Global</t>
        </is>
      </c>
      <c r="X119" s="34" t="inlineStr">
        <is>
          <t>Unverified</t>
        </is>
      </c>
      <c r="Y119" s="34" t="inlineStr">
        <is>
          <t>Unknown</t>
        </is>
      </c>
      <c r="Z119" s="34" t="inlineStr">
        <is>
          <t>Unknown</t>
        </is>
      </c>
      <c r="AA119" s="34" t="inlineStr">
        <is>
          <t>Unknown</t>
        </is>
      </c>
      <c r="AB119" s="34" t="inlineStr">
        <is>
          <t>New customer and selected-product restrictions</t>
        </is>
      </c>
      <c r="AC119" s="34" t="inlineStr">
        <is>
          <t>Open official coupon page. | Choose one offer. | Create account. | Enter code. | Review terms before provisioning.</t>
        </is>
      </c>
      <c r="AD119" s="34" t="inlineStr">
        <is>
          <t>New Vultr account and payment/deposit where required</t>
        </is>
      </c>
      <c r="AE119" s="34" t="inlineStr">
        <is>
          <t>VULTRMATCH up to $100; FLYTWOHUNDRED $200; FLY300VULTR $300; 250VULTRFLY $250</t>
        </is>
      </c>
      <c r="AF119" s="34" t="inlineStr"/>
      <c r="AG119" s="34" t="inlineStr"/>
      <c r="AH119" s="34" t="inlineStr"/>
      <c r="AI119" s="34" t="inlineStr">
        <is>
          <t>VULTRMATCH up to $100; FLYTWOHUNDRED $200; FLY300VULTR $300; 250VULTRFLY $250</t>
        </is>
      </c>
      <c r="AJ119" s="34" t="inlineStr">
        <is>
          <t>https://www.vultr.com/coupons/</t>
        </is>
      </c>
      <c r="AK119" s="34" t="inlineStr"/>
      <c r="AL119" s="34" t="inlineStr">
        <is>
          <t>$100 deposit match. | $200, $250, or $300 promotional credit. | Cloud trial access.</t>
        </is>
      </c>
      <c r="AM119" s="34" t="inlineStr">
        <is>
          <t>2026-10-14</t>
        </is>
      </c>
      <c r="AN119" s="34" t="inlineStr">
        <is>
          <t>Repo source; preserve original confidence context</t>
        </is>
      </c>
      <c r="AO119" s="34" t="inlineStr">
        <is>
          <t>GitHub repository</t>
        </is>
      </c>
      <c r="AP119" s="34" t="inlineStr">
        <is>
          <t>Global</t>
        </is>
      </c>
      <c r="AQ119" s="34" t="inlineStr">
        <is>
          <t>Global</t>
        </is>
      </c>
      <c r="AR119" s="34" t="inlineStr">
        <is>
          <t>Verify terms at checkout</t>
        </is>
      </c>
      <c r="AS119" s="34" t="inlineStr"/>
      <c r="AT119" s="34" t="inlineStr">
        <is>
          <t>GitHub repo only</t>
        </is>
      </c>
      <c r="AU119" s="34" t="inlineStr">
        <is>
          <t>vultr-promotional-credits</t>
        </is>
      </c>
      <c r="AV119" s="34" t="inlineStr">
        <is>
          <t>Official code available</t>
        </is>
      </c>
      <c r="AW119" s="34" t="inlineStr">
        <is>
          <t>VULTRMATCH; FLYTWOHUNDRED; FLY300VULTR; 250VULTRFLY</t>
        </is>
      </c>
      <c r="AX119" s="34" t="inlineStr">
        <is>
          <t>https://www.vultr.com/coupons/</t>
        </is>
      </c>
      <c r="AY119" s="34" t="inlineStr">
        <is>
          <t>Codes published on Vultr coupon page; new customers and selected products.</t>
        </is>
      </c>
      <c r="AZ119" s="34" t="inlineStr">
        <is>
          <t>No Excel match</t>
        </is>
      </c>
      <c r="BA119" s="34" t="inlineStr">
        <is>
          <t>Community mentions exist; verify at checkout</t>
        </is>
      </c>
      <c r="BB119" s="34" t="inlineStr">
        <is>
          <t>vultr</t>
        </is>
      </c>
      <c r="BC119" s="34" t="inlineStr">
        <is>
          <t>vultrpromotionalcredits</t>
        </is>
      </c>
      <c r="BD119" s="34" t="inlineStr">
        <is>
          <t>vultr|vultrpromotionalcredits</t>
        </is>
      </c>
      <c r="BE119" s="34" t="n">
        <v>1</v>
      </c>
      <c r="BF119" s="34" t="inlineStr">
        <is>
          <t>No</t>
        </is>
      </c>
    </row>
  </sheetData>
  <autoFilter ref="A1:BF1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C65911"/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26" customWidth="1" style="17" min="2" max="2"/>
    <col width="45" customWidth="1" style="17" min="3" max="3"/>
    <col width="25" customWidth="1" style="17" min="4" max="4"/>
    <col width="21" customWidth="1" style="17" min="5" max="5"/>
    <col width="40" customWidth="1" style="17" min="6" max="6"/>
    <col width="45" customWidth="1" style="17" min="7" max="7"/>
    <col width="19" customWidth="1" style="17" min="8" max="8"/>
    <col width="13" customWidth="1" style="17" min="9" max="9"/>
    <col width="45" customWidth="1" style="17" min="10" max="10"/>
  </cols>
  <sheetData>
    <row r="1">
      <c r="A1" s="35" t="inlineStr">
        <is>
          <t>Unified ID</t>
        </is>
      </c>
      <c r="B1" s="35" t="inlineStr">
        <is>
          <t>Provider</t>
        </is>
      </c>
      <c r="C1" s="35" t="inlineStr">
        <is>
          <t>Program</t>
        </is>
      </c>
      <c r="D1" s="35" t="inlineStr">
        <is>
          <t>Promo / Referral Status</t>
        </is>
      </c>
      <c r="E1" s="35" t="inlineStr">
        <is>
          <t>Promo / Referral Code</t>
        </is>
      </c>
      <c r="F1" s="35" t="inlineStr">
        <is>
          <t>Promo / Referral URL</t>
        </is>
      </c>
      <c r="G1" s="35" t="inlineStr">
        <is>
          <t>Application / Redemption URL</t>
        </is>
      </c>
      <c r="H1" s="35" t="inlineStr">
        <is>
          <t>Source Presence</t>
        </is>
      </c>
      <c r="I1" s="35" t="inlineStr">
        <is>
          <t>Last Verified</t>
        </is>
      </c>
      <c r="J1" s="35" t="inlineStr">
        <is>
          <t>Notes</t>
        </is>
      </c>
    </row>
    <row r="2">
      <c r="A2" s="34" t="inlineStr">
        <is>
          <t>SB-001</t>
        </is>
      </c>
      <c r="B2" s="34" t="inlineStr">
        <is>
          <t>Amazon Web Services</t>
        </is>
      </c>
      <c r="C2" s="34" t="inlineStr">
        <is>
          <t>AWS Activate Founders</t>
        </is>
      </c>
      <c r="D2" s="34" t="inlineStr">
        <is>
          <t>No public code verified</t>
        </is>
      </c>
      <c r="E2" s="34" t="inlineStr">
        <is>
          <t>Not published</t>
        </is>
      </c>
      <c r="F2" s="34" t="inlineStr">
        <is>
          <t>https://aws.amazon.com/startups/credits/</t>
        </is>
      </c>
      <c r="G2" s="34" t="inlineStr">
        <is>
          <t>https://aws.amazon.com/startups/join?destination=/credits/apply</t>
        </is>
      </c>
      <c r="H2" s="34" t="inlineStr">
        <is>
          <t>Excel + GitHub repo</t>
        </is>
      </c>
      <c r="I2" s="34" t="inlineStr">
        <is>
          <t>2026-10-24</t>
        </is>
      </c>
      <c r="J2" s="34" t="inlineStr">
        <is>
          <t>No provider-published coupon code found in the verified source; do not treat third-party codes as confirmed.</t>
        </is>
      </c>
    </row>
    <row r="3">
      <c r="A3" s="34" t="inlineStr">
        <is>
          <t>SB-002</t>
        </is>
      </c>
      <c r="B3" s="34" t="inlineStr">
        <is>
          <t>Amazon Web Services</t>
        </is>
      </c>
      <c r="C3" s="34" t="inlineStr">
        <is>
          <t>AWS Activate Portfolio</t>
        </is>
      </c>
      <c r="D3" s="34" t="inlineStr">
        <is>
          <t>No public code verified</t>
        </is>
      </c>
      <c r="E3" s="34" t="inlineStr">
        <is>
          <t>Not published</t>
        </is>
      </c>
      <c r="F3" s="34" t="inlineStr">
        <is>
          <t>https://aws.amazon.com/startups/credits/</t>
        </is>
      </c>
      <c r="G3" s="34" t="inlineStr">
        <is>
          <t>https://aws.amazon.com/startups/join?destination=/credits/apply</t>
        </is>
      </c>
      <c r="H3" s="34" t="inlineStr">
        <is>
          <t>Excel + GitHub repo</t>
        </is>
      </c>
      <c r="I3" s="34" t="inlineStr">
        <is>
          <t>2026-10-24</t>
        </is>
      </c>
      <c r="J3" s="34" t="inlineStr">
        <is>
          <t>No provider-published coupon code found in the verified source; do not treat third-party codes as confirmed.</t>
        </is>
      </c>
    </row>
    <row r="4">
      <c r="A4" s="34" t="inlineStr">
        <is>
          <t>SB-003</t>
        </is>
      </c>
      <c r="B4" s="34" t="inlineStr">
        <is>
          <t>Amazon Web Services</t>
        </is>
      </c>
      <c r="C4" s="34" t="inlineStr">
        <is>
          <t>AWS Credits for AI Startups</t>
        </is>
      </c>
      <c r="D4" s="34" t="inlineStr">
        <is>
          <t>No public code verified</t>
        </is>
      </c>
      <c r="E4" s="34" t="inlineStr">
        <is>
          <t>Not published</t>
        </is>
      </c>
      <c r="F4" s="34" t="inlineStr">
        <is>
          <t>https://aws.amazon.com/startups/credits/</t>
        </is>
      </c>
      <c r="G4" s="34" t="inlineStr">
        <is>
          <t>Not verified this session</t>
        </is>
      </c>
      <c r="H4" s="34" t="inlineStr">
        <is>
          <t>Excel + GitHub repo</t>
        </is>
      </c>
      <c r="I4" s="34" t="inlineStr">
        <is>
          <t>2026-10-24</t>
        </is>
      </c>
      <c r="J4" s="34" t="inlineStr">
        <is>
          <t>No provider-published coupon code found in the verified source; do not treat third-party codes as confirmed.</t>
        </is>
      </c>
    </row>
    <row r="5">
      <c r="A5" s="34" t="inlineStr">
        <is>
          <t>SB-004</t>
        </is>
      </c>
      <c r="B5" s="34" t="inlineStr">
        <is>
          <t>Amazon Web Services (Kiro)</t>
        </is>
      </c>
      <c r="C5" s="34" t="inlineStr">
        <is>
          <t>Kiro Startup Credits</t>
        </is>
      </c>
      <c r="D5" s="34" t="inlineStr">
        <is>
          <t>No code captured in Excel</t>
        </is>
      </c>
      <c r="E5" s="34" t="inlineStr"/>
      <c r="F5" s="34" t="inlineStr"/>
      <c r="G5" s="34" t="inlineStr">
        <is>
          <t>https://kiro.dev/startups/</t>
        </is>
      </c>
      <c r="H5" s="34" t="inlineStr">
        <is>
          <t>Excel only</t>
        </is>
      </c>
      <c r="I5" s="34" t="inlineStr">
        <is>
          <t>2026-10-24</t>
        </is>
      </c>
      <c r="J5" s="34" t="inlineStr">
        <is>
          <t>No code recorded; application or partner referral may be required.</t>
        </is>
      </c>
    </row>
    <row r="6">
      <c r="A6" s="34" t="inlineStr">
        <is>
          <t>SB-005</t>
        </is>
      </c>
      <c r="B6" s="34" t="inlineStr">
        <is>
          <t>Google Cloud</t>
        </is>
      </c>
      <c r="C6" s="34" t="inlineStr">
        <is>
          <t>Google for Startups Cloud Program - Start tier</t>
        </is>
      </c>
      <c r="D6" s="34" t="inlineStr">
        <is>
          <t>No public code verified</t>
        </is>
      </c>
      <c r="E6" s="34" t="inlineStr">
        <is>
          <t>Not published</t>
        </is>
      </c>
      <c r="F6" s="34" t="inlineStr">
        <is>
          <t>https://cloud.google.com/startup</t>
        </is>
      </c>
      <c r="G6" s="34" t="inlineStr">
        <is>
          <t>Not verified this session</t>
        </is>
      </c>
      <c r="H6" s="34" t="inlineStr">
        <is>
          <t>Excel + GitHub repo</t>
        </is>
      </c>
      <c r="I6" s="34" t="inlineStr">
        <is>
          <t>2026-10-24</t>
        </is>
      </c>
      <c r="J6" s="34" t="inlineStr">
        <is>
          <t>No provider-published coupon code found in the verified source; do not treat third-party codes as confirmed.</t>
        </is>
      </c>
    </row>
    <row r="7">
      <c r="A7" s="34" t="inlineStr">
        <is>
          <t>SB-006</t>
        </is>
      </c>
      <c r="B7" s="34" t="inlineStr">
        <is>
          <t>Google Cloud</t>
        </is>
      </c>
      <c r="C7" s="34" t="inlineStr">
        <is>
          <t>Google for Startups Cloud Program - Scale / Scale AI</t>
        </is>
      </c>
      <c r="D7" s="34" t="inlineStr">
        <is>
          <t>No public code verified</t>
        </is>
      </c>
      <c r="E7" s="34" t="inlineStr">
        <is>
          <t>Not published</t>
        </is>
      </c>
      <c r="F7" s="34" t="inlineStr">
        <is>
          <t>https://cloud.google.com/startup</t>
        </is>
      </c>
      <c r="G7" s="34" t="inlineStr">
        <is>
          <t>Not verified this session</t>
        </is>
      </c>
      <c r="H7" s="34" t="inlineStr">
        <is>
          <t>Excel + GitHub repo</t>
        </is>
      </c>
      <c r="I7" s="34" t="inlineStr">
        <is>
          <t>2026-10-24</t>
        </is>
      </c>
      <c r="J7" s="34" t="inlineStr">
        <is>
          <t>No provider-published coupon code found in the verified source; do not treat third-party codes as confirmed.</t>
        </is>
      </c>
    </row>
    <row r="8">
      <c r="A8" s="34" t="inlineStr">
        <is>
          <t>SB-007</t>
        </is>
      </c>
      <c r="B8" s="34" t="inlineStr">
        <is>
          <t>Microsoft</t>
        </is>
      </c>
      <c r="C8" s="34" t="inlineStr">
        <is>
          <t>Microsoft for Startups Founders Hub</t>
        </is>
      </c>
      <c r="D8" s="34" t="inlineStr">
        <is>
          <t>No public code verified</t>
        </is>
      </c>
      <c r="E8" s="34" t="inlineStr">
        <is>
          <t>Not published</t>
        </is>
      </c>
      <c r="F8" s="34" t="inlineStr">
        <is>
          <t>https://www.microsoft.com/en/startups</t>
        </is>
      </c>
      <c r="G8" s="34" t="inlineStr">
        <is>
          <t>https://www.microsoft.com/en-us/startups</t>
        </is>
      </c>
      <c r="H8" s="34" t="inlineStr">
        <is>
          <t>Excel + GitHub repo</t>
        </is>
      </c>
      <c r="I8" s="34" t="inlineStr">
        <is>
          <t>2026-10-24</t>
        </is>
      </c>
      <c r="J8" s="34" t="inlineStr">
        <is>
          <t>No provider-published coupon code found in the verified source; do not treat third-party codes as confirmed.</t>
        </is>
      </c>
    </row>
    <row r="9">
      <c r="A9" s="34" t="inlineStr">
        <is>
          <t>SB-008</t>
        </is>
      </c>
      <c r="B9" s="34" t="inlineStr">
        <is>
          <t>ElevenLabs</t>
        </is>
      </c>
      <c r="C9" s="34" t="inlineStr">
        <is>
          <t>ElevenLabs Startup Grants</t>
        </is>
      </c>
      <c r="D9" s="34" t="inlineStr">
        <is>
          <t>No public code verified</t>
        </is>
      </c>
      <c r="E9" s="34" t="inlineStr">
        <is>
          <t>Not published</t>
        </is>
      </c>
      <c r="F9" s="34" t="inlineStr">
        <is>
          <t>https://elevenlabs.io/grants-application</t>
        </is>
      </c>
      <c r="G9" s="34" t="inlineStr">
        <is>
          <t>https://elevenlabs.io/grants-application</t>
        </is>
      </c>
      <c r="H9" s="34" t="inlineStr">
        <is>
          <t>Excel + GitHub repo</t>
        </is>
      </c>
      <c r="I9" s="34" t="inlineStr">
        <is>
          <t>2026-10-24</t>
        </is>
      </c>
      <c r="J9" s="34" t="inlineStr">
        <is>
          <t>Grant is application-based; no public coupon code.</t>
        </is>
      </c>
    </row>
    <row r="10">
      <c r="A10" s="34" t="inlineStr">
        <is>
          <t>SB-009</t>
        </is>
      </c>
      <c r="B10" s="34" t="inlineStr">
        <is>
          <t>SendPulse</t>
        </is>
      </c>
      <c r="C10" s="34" t="inlineStr">
        <is>
          <t>SendPulse Startup Grant</t>
        </is>
      </c>
      <c r="D10" s="34" t="inlineStr">
        <is>
          <t>No public code verified</t>
        </is>
      </c>
      <c r="E10" s="34" t="inlineStr">
        <is>
          <t>Not published</t>
        </is>
      </c>
      <c r="F10" s="34" t="inlineStr">
        <is>
          <t>https://sendpulse.com/startup</t>
        </is>
      </c>
      <c r="G10" s="34" t="inlineStr">
        <is>
          <t>https://sendpulse.com/startup#request-form</t>
        </is>
      </c>
      <c r="H10" s="34" t="inlineStr">
        <is>
          <t>Excel + GitHub repo</t>
        </is>
      </c>
      <c r="I10" s="34" t="inlineStr">
        <is>
          <t>2026-10-24</t>
        </is>
      </c>
      <c r="J10" s="34" t="inlineStr">
        <is>
          <t>No provider-published coupon code found in the verified source; do not treat third-party codes as confirmed.</t>
        </is>
      </c>
    </row>
    <row r="11">
      <c r="A11" s="34" t="inlineStr">
        <is>
          <t>SB-010</t>
        </is>
      </c>
      <c r="B11" s="34" t="inlineStr">
        <is>
          <t>UniOne</t>
        </is>
      </c>
      <c r="C11" s="34" t="inlineStr">
        <is>
          <t>UniOne email trial for startups</t>
        </is>
      </c>
      <c r="D11" s="34" t="inlineStr">
        <is>
          <t>No code captured in Excel</t>
        </is>
      </c>
      <c r="E11" s="34" t="inlineStr"/>
      <c r="F11" s="34" t="inlineStr"/>
      <c r="G11" s="34" t="inlineStr">
        <is>
          <t>https://cp.unione.io/en/user/registration/</t>
        </is>
      </c>
      <c r="H11" s="34" t="inlineStr">
        <is>
          <t>Excel only</t>
        </is>
      </c>
      <c r="I11" s="34" t="inlineStr">
        <is>
          <t>2026-10-24</t>
        </is>
      </c>
      <c r="J11" s="34" t="inlineStr">
        <is>
          <t>No code recorded; application or partner referral may be required.</t>
        </is>
      </c>
    </row>
    <row r="12">
      <c r="A12" s="34" t="inlineStr">
        <is>
          <t>SB-011</t>
        </is>
      </c>
      <c r="B12" s="34" t="inlineStr">
        <is>
          <t>TIEC (ITIDA)</t>
        </is>
      </c>
      <c r="C12" s="34" t="inlineStr">
        <is>
          <t>Start IT incubation program (TIEC)</t>
        </is>
      </c>
      <c r="D12" s="34" t="inlineStr">
        <is>
          <t>No code captured in Excel</t>
        </is>
      </c>
      <c r="E12" s="34" t="inlineStr"/>
      <c r="F12" s="34" t="inlineStr"/>
      <c r="G12" s="34" t="inlineStr">
        <is>
          <t>Not verified this session</t>
        </is>
      </c>
      <c r="H12" s="34" t="inlineStr">
        <is>
          <t>Excel only</t>
        </is>
      </c>
      <c r="I12" s="34" t="inlineStr">
        <is>
          <t>2026-10-24</t>
        </is>
      </c>
      <c r="J12" s="34" t="inlineStr">
        <is>
          <t>No code recorded; application or partner referral may be required.</t>
        </is>
      </c>
    </row>
    <row r="13">
      <c r="A13" s="34" t="inlineStr">
        <is>
          <t>SB-012</t>
        </is>
      </c>
      <c r="B13" s="34" t="inlineStr">
        <is>
          <t>ITIDA / TIEC / Flat6Labs</t>
        </is>
      </c>
      <c r="C13" s="34" t="inlineStr">
        <is>
          <t>Invest-IT investment readiness program</t>
        </is>
      </c>
      <c r="D13" s="34" t="inlineStr">
        <is>
          <t>No code captured in Excel</t>
        </is>
      </c>
      <c r="E13" s="34" t="inlineStr"/>
      <c r="F13" s="34" t="inlineStr"/>
      <c r="G13" s="34" t="inlineStr">
        <is>
          <t>Not verified this session</t>
        </is>
      </c>
      <c r="H13" s="34" t="inlineStr">
        <is>
          <t>Excel only</t>
        </is>
      </c>
      <c r="I13" s="34" t="inlineStr">
        <is>
          <t>2026-10-24</t>
        </is>
      </c>
      <c r="J13" s="34" t="inlineStr">
        <is>
          <t>No code recorded; application or partner referral may be required.</t>
        </is>
      </c>
    </row>
    <row r="14">
      <c r="A14" s="34" t="inlineStr">
        <is>
          <t>SB-013</t>
        </is>
      </c>
      <c r="B14" s="34" t="inlineStr">
        <is>
          <t>ITIDA x Plug and Play</t>
        </is>
      </c>
      <c r="C14" s="34" t="inlineStr">
        <is>
          <t>ITIDA x Plug and Play Cairo Program - Cohort 8</t>
        </is>
      </c>
      <c r="D14" s="34" t="inlineStr">
        <is>
          <t>No code captured in Excel</t>
        </is>
      </c>
      <c r="E14" s="34" t="inlineStr"/>
      <c r="F14" s="34" t="inlineStr"/>
      <c r="G14" s="34" t="inlineStr">
        <is>
          <t>Not verified this session</t>
        </is>
      </c>
      <c r="H14" s="34" t="inlineStr">
        <is>
          <t>Excel only</t>
        </is>
      </c>
      <c r="I14" s="34" t="inlineStr">
        <is>
          <t>2026-10-24</t>
        </is>
      </c>
      <c r="J14" s="34" t="inlineStr">
        <is>
          <t>No code recorded; application or partner referral may be required.</t>
        </is>
      </c>
    </row>
    <row r="15">
      <c r="A15" s="34" t="inlineStr">
        <is>
          <t>SB-014</t>
        </is>
      </c>
      <c r="B15" s="34" t="inlineStr">
        <is>
          <t>Flat6Labs</t>
        </is>
      </c>
      <c r="C15" s="34" t="inlineStr">
        <is>
          <t>Flat6Labs seed accelerator (Egypt)</t>
        </is>
      </c>
      <c r="D15" s="34" t="inlineStr">
        <is>
          <t>No code captured in Excel</t>
        </is>
      </c>
      <c r="E15" s="34" t="inlineStr"/>
      <c r="F15" s="34" t="inlineStr"/>
      <c r="G15" s="34" t="inlineStr">
        <is>
          <t>Not verified this session</t>
        </is>
      </c>
      <c r="H15" s="34" t="inlineStr">
        <is>
          <t>Excel only</t>
        </is>
      </c>
      <c r="I15" s="34" t="inlineStr">
        <is>
          <t>2026-10-24</t>
        </is>
      </c>
      <c r="J15" s="34" t="inlineStr">
        <is>
          <t>No code recorded; application or partner referral may be required.</t>
        </is>
      </c>
    </row>
    <row r="16">
      <c r="A16" s="34" t="inlineStr">
        <is>
          <t>SB-015</t>
        </is>
      </c>
      <c r="B16" s="34" t="inlineStr">
        <is>
          <t>Together AI</t>
        </is>
      </c>
      <c r="C16" s="34" t="inlineStr">
        <is>
          <t>Together AI Startup Accelerator</t>
        </is>
      </c>
      <c r="D16" s="34" t="inlineStr">
        <is>
          <t>No code captured in Excel</t>
        </is>
      </c>
      <c r="E16" s="34" t="inlineStr"/>
      <c r="F16" s="34" t="inlineStr"/>
      <c r="G16" s="34" t="inlineStr">
        <is>
          <t>Not verified this session</t>
        </is>
      </c>
      <c r="H16" s="34" t="inlineStr">
        <is>
          <t>Excel only</t>
        </is>
      </c>
      <c r="I16" s="34" t="inlineStr">
        <is>
          <t>2026-10-24</t>
        </is>
      </c>
      <c r="J16" s="34" t="inlineStr">
        <is>
          <t>No code recorded; application or partner referral may be required.</t>
        </is>
      </c>
    </row>
    <row r="17">
      <c r="A17" s="34" t="inlineStr">
        <is>
          <t>SB-016</t>
        </is>
      </c>
      <c r="B17" s="34" t="inlineStr">
        <is>
          <t>Cognition (Devin)</t>
        </is>
      </c>
      <c r="C17" s="34" t="inlineStr">
        <is>
          <t>Devin for Startups</t>
        </is>
      </c>
      <c r="D17" s="34" t="inlineStr">
        <is>
          <t>No code captured in Excel</t>
        </is>
      </c>
      <c r="E17" s="34" t="inlineStr"/>
      <c r="F17" s="34" t="inlineStr"/>
      <c r="G17" s="34" t="inlineStr">
        <is>
          <t>Not verified this session</t>
        </is>
      </c>
      <c r="H17" s="34" t="inlineStr">
        <is>
          <t>Excel only</t>
        </is>
      </c>
      <c r="I17" s="34" t="inlineStr">
        <is>
          <t>2026-10-24</t>
        </is>
      </c>
      <c r="J17" s="34" t="inlineStr">
        <is>
          <t>No code recorded; application or partner referral may be required.</t>
        </is>
      </c>
    </row>
    <row r="18">
      <c r="A18" s="34" t="inlineStr">
        <is>
          <t>SB-017</t>
        </is>
      </c>
      <c r="B18" s="34" t="inlineStr">
        <is>
          <t>Antler</t>
        </is>
      </c>
      <c r="C18" s="34" t="inlineStr">
        <is>
          <t>Antler Disrupt AI Credits and Perks</t>
        </is>
      </c>
      <c r="D18" s="34" t="inlineStr">
        <is>
          <t>No code captured in Excel</t>
        </is>
      </c>
      <c r="E18" s="34" t="inlineStr"/>
      <c r="F18" s="34" t="inlineStr"/>
      <c r="G18" s="34" t="inlineStr">
        <is>
          <t>Not verified this session</t>
        </is>
      </c>
      <c r="H18" s="34" t="inlineStr">
        <is>
          <t>Excel only</t>
        </is>
      </c>
      <c r="I18" s="34" t="inlineStr">
        <is>
          <t>2026-10-24</t>
        </is>
      </c>
      <c r="J18" s="34" t="inlineStr">
        <is>
          <t>No code recorded; application or partner referral may be required.</t>
        </is>
      </c>
    </row>
    <row r="19">
      <c r="A19" s="34" t="inlineStr">
        <is>
          <t>SB-018</t>
        </is>
      </c>
      <c r="B19" s="34" t="inlineStr">
        <is>
          <t>Cloudflare</t>
        </is>
      </c>
      <c r="C19" s="34" t="inlineStr">
        <is>
          <t>Cloudflare for Startups</t>
        </is>
      </c>
      <c r="D19" s="34" t="inlineStr">
        <is>
          <t>No public code verified</t>
        </is>
      </c>
      <c r="E19" s="34" t="inlineStr">
        <is>
          <t>Not published</t>
        </is>
      </c>
      <c r="F19" s="34" t="inlineStr">
        <is>
          <t>https://www.cloudflare.com/startups/</t>
        </is>
      </c>
      <c r="G19" s="34" t="inlineStr">
        <is>
          <t>https://www.cloudflare.com/forstartups/</t>
        </is>
      </c>
      <c r="H19" s="34" t="inlineStr">
        <is>
          <t>Excel + GitHub repo</t>
        </is>
      </c>
      <c r="I19" s="34" t="inlineStr">
        <is>
          <t>2026-10-24</t>
        </is>
      </c>
      <c r="J19" s="34" t="inlineStr">
        <is>
          <t>No provider-published coupon code found in the verified source; do not treat third-party codes as confirmed.</t>
        </is>
      </c>
    </row>
    <row r="20">
      <c r="A20" s="34" t="inlineStr">
        <is>
          <t>SB-019</t>
        </is>
      </c>
      <c r="B20" s="34" t="inlineStr">
        <is>
          <t>Databricks</t>
        </is>
      </c>
      <c r="C20" s="34" t="inlineStr">
        <is>
          <t>Databricks for Startups</t>
        </is>
      </c>
      <c r="D20" s="34" t="inlineStr">
        <is>
          <t>No code captured in Excel</t>
        </is>
      </c>
      <c r="E20" s="34" t="inlineStr"/>
      <c r="F20" s="34" t="inlineStr"/>
      <c r="G20" s="34" t="inlineStr">
        <is>
          <t>Not verified this session</t>
        </is>
      </c>
      <c r="H20" s="34" t="inlineStr">
        <is>
          <t>Excel only</t>
        </is>
      </c>
      <c r="I20" s="34" t="inlineStr">
        <is>
          <t>2026-10-24</t>
        </is>
      </c>
      <c r="J20" s="34" t="inlineStr">
        <is>
          <t>No code recorded; application or partner referral may be required.</t>
        </is>
      </c>
    </row>
    <row r="21">
      <c r="A21" s="34" t="inlineStr">
        <is>
          <t>SB-020</t>
        </is>
      </c>
      <c r="B21" s="34" t="inlineStr">
        <is>
          <t>Neon (Databricks)</t>
        </is>
      </c>
      <c r="C21" s="34" t="inlineStr">
        <is>
          <t>Neon Startup Program</t>
        </is>
      </c>
      <c r="D21" s="34" t="inlineStr">
        <is>
          <t>No code captured in Excel</t>
        </is>
      </c>
      <c r="E21" s="34" t="inlineStr"/>
      <c r="F21" s="34" t="inlineStr"/>
      <c r="G21" s="34" t="inlineStr">
        <is>
          <t>Not verified this session</t>
        </is>
      </c>
      <c r="H21" s="34" t="inlineStr">
        <is>
          <t>Excel only</t>
        </is>
      </c>
      <c r="I21" s="34" t="inlineStr">
        <is>
          <t>2026-10-24</t>
        </is>
      </c>
      <c r="J21" s="34" t="inlineStr">
        <is>
          <t>No code recorded; application or partner referral may be required.</t>
        </is>
      </c>
    </row>
    <row r="22">
      <c r="A22" s="34" t="inlineStr">
        <is>
          <t>SB-021</t>
        </is>
      </c>
      <c r="B22" s="34" t="inlineStr">
        <is>
          <t>Datadog</t>
        </is>
      </c>
      <c r="C22" s="34" t="inlineStr">
        <is>
          <t>Datadog for Startups</t>
        </is>
      </c>
      <c r="D22" s="34" t="inlineStr">
        <is>
          <t>No code captured in Excel</t>
        </is>
      </c>
      <c r="E22" s="34" t="inlineStr"/>
      <c r="F22" s="34" t="inlineStr"/>
      <c r="G22" s="34" t="inlineStr">
        <is>
          <t>Not verified this session</t>
        </is>
      </c>
      <c r="H22" s="34" t="inlineStr">
        <is>
          <t>Excel only</t>
        </is>
      </c>
      <c r="I22" s="34" t="inlineStr">
        <is>
          <t>2026-10-24</t>
        </is>
      </c>
      <c r="J22" s="34" t="inlineStr">
        <is>
          <t>No code recorded; application or partner referral may be required.</t>
        </is>
      </c>
    </row>
    <row r="23">
      <c r="A23" s="34" t="inlineStr">
        <is>
          <t>SB-022</t>
        </is>
      </c>
      <c r="B23" s="34" t="inlineStr">
        <is>
          <t>Grafana Labs</t>
        </is>
      </c>
      <c r="C23" s="34" t="inlineStr">
        <is>
          <t>Grafana for Startups</t>
        </is>
      </c>
      <c r="D23" s="34" t="inlineStr">
        <is>
          <t>No code captured in Excel</t>
        </is>
      </c>
      <c r="E23" s="34" t="inlineStr"/>
      <c r="F23" s="34" t="inlineStr"/>
      <c r="G23" s="34" t="inlineStr">
        <is>
          <t>Not verified this session</t>
        </is>
      </c>
      <c r="H23" s="34" t="inlineStr">
        <is>
          <t>Excel only</t>
        </is>
      </c>
      <c r="I23" s="34" t="inlineStr">
        <is>
          <t>2026-10-24</t>
        </is>
      </c>
      <c r="J23" s="34" t="inlineStr">
        <is>
          <t>No code recorded; application or partner referral may be required.</t>
        </is>
      </c>
    </row>
    <row r="24">
      <c r="A24" s="34" t="inlineStr">
        <is>
          <t>SB-023</t>
        </is>
      </c>
      <c r="B24" s="34" t="inlineStr">
        <is>
          <t>Render</t>
        </is>
      </c>
      <c r="C24" s="34" t="inlineStr">
        <is>
          <t>Render Startup Program</t>
        </is>
      </c>
      <c r="D24" s="34" t="inlineStr">
        <is>
          <t>No code captured in Excel</t>
        </is>
      </c>
      <c r="E24" s="34" t="inlineStr"/>
      <c r="F24" s="34" t="inlineStr"/>
      <c r="G24" s="34" t="inlineStr">
        <is>
          <t>Not verified this session</t>
        </is>
      </c>
      <c r="H24" s="34" t="inlineStr">
        <is>
          <t>Excel only</t>
        </is>
      </c>
      <c r="I24" s="34" t="inlineStr">
        <is>
          <t>2026-10-24</t>
        </is>
      </c>
      <c r="J24" s="34" t="inlineStr">
        <is>
          <t>No code recorded; application or partner referral may be required.</t>
        </is>
      </c>
    </row>
    <row r="25">
      <c r="A25" s="34" t="inlineStr">
        <is>
          <t>SB-024</t>
        </is>
      </c>
      <c r="B25" s="34" t="inlineStr">
        <is>
          <t>PostHog</t>
        </is>
      </c>
      <c r="C25" s="34" t="inlineStr">
        <is>
          <t>PostHog Startup Program</t>
        </is>
      </c>
      <c r="D25" s="34" t="inlineStr">
        <is>
          <t>No code captured in Excel</t>
        </is>
      </c>
      <c r="E25" s="34" t="inlineStr"/>
      <c r="F25" s="34" t="inlineStr"/>
      <c r="G25" s="34" t="inlineStr">
        <is>
          <t>Not verified this session</t>
        </is>
      </c>
      <c r="H25" s="34" t="inlineStr">
        <is>
          <t>Excel only</t>
        </is>
      </c>
      <c r="I25" s="34" t="inlineStr">
        <is>
          <t>2026-10-24</t>
        </is>
      </c>
      <c r="J25" s="34" t="inlineStr">
        <is>
          <t>No code recorded; application or partner referral may be required.</t>
        </is>
      </c>
    </row>
    <row r="26">
      <c r="A26" s="34" t="inlineStr">
        <is>
          <t>SB-025</t>
        </is>
      </c>
      <c r="B26" s="34" t="inlineStr">
        <is>
          <t>Vercel</t>
        </is>
      </c>
      <c r="C26" s="34" t="inlineStr">
        <is>
          <t>Vercel for Startups</t>
        </is>
      </c>
      <c r="D26" s="34" t="inlineStr">
        <is>
          <t>No public code verified</t>
        </is>
      </c>
      <c r="E26" s="34" t="inlineStr">
        <is>
          <t>Not published</t>
        </is>
      </c>
      <c r="F26" s="34" t="inlineStr">
        <is>
          <t>https://vercel.com/startups/credits</t>
        </is>
      </c>
      <c r="G26" s="34" t="inlineStr">
        <is>
          <t>Not verified this session</t>
        </is>
      </c>
      <c r="H26" s="34" t="inlineStr">
        <is>
          <t>Excel + GitHub repo</t>
        </is>
      </c>
      <c r="I26" s="34" t="inlineStr">
        <is>
          <t>2026-10-24</t>
        </is>
      </c>
      <c r="J26" s="34" t="inlineStr">
        <is>
          <t>Partner approval is required; no general coupon code published.</t>
        </is>
      </c>
    </row>
    <row r="27">
      <c r="A27" s="34" t="inlineStr">
        <is>
          <t>SB-026</t>
        </is>
      </c>
      <c r="B27" s="34" t="inlineStr">
        <is>
          <t>Baseten</t>
        </is>
      </c>
      <c r="C27" s="34" t="inlineStr">
        <is>
          <t>Baseten AI Startup Program</t>
        </is>
      </c>
      <c r="D27" s="34" t="inlineStr">
        <is>
          <t>No code captured in Excel</t>
        </is>
      </c>
      <c r="E27" s="34" t="inlineStr"/>
      <c r="F27" s="34" t="inlineStr"/>
      <c r="G27" s="34" t="inlineStr">
        <is>
          <t>Not verified this session</t>
        </is>
      </c>
      <c r="H27" s="34" t="inlineStr">
        <is>
          <t>Excel only</t>
        </is>
      </c>
      <c r="I27" s="34" t="inlineStr">
        <is>
          <t>2026-10-24</t>
        </is>
      </c>
      <c r="J27" s="34" t="inlineStr">
        <is>
          <t>No code recorded; application or partner referral may be required.</t>
        </is>
      </c>
    </row>
    <row r="28">
      <c r="A28" s="34" t="inlineStr">
        <is>
          <t>SB-027</t>
        </is>
      </c>
      <c r="B28" s="34" t="inlineStr">
        <is>
          <t>Yandex Cloud</t>
        </is>
      </c>
      <c r="C28" s="34" t="inlineStr">
        <is>
          <t>Yandex Cloud Startup Credits</t>
        </is>
      </c>
      <c r="D28" s="34" t="inlineStr">
        <is>
          <t>No code captured in Excel</t>
        </is>
      </c>
      <c r="E28" s="34" t="inlineStr"/>
      <c r="F28" s="34" t="inlineStr"/>
      <c r="G28" s="34" t="inlineStr">
        <is>
          <t>Not verified this session</t>
        </is>
      </c>
      <c r="H28" s="34" t="inlineStr">
        <is>
          <t>Excel only</t>
        </is>
      </c>
      <c r="I28" s="34" t="inlineStr">
        <is>
          <t>2026-10-24</t>
        </is>
      </c>
      <c r="J28" s="34" t="inlineStr">
        <is>
          <t>No code recorded; application or partner referral may be required.</t>
        </is>
      </c>
    </row>
    <row r="29">
      <c r="A29" s="34" t="inlineStr">
        <is>
          <t>SB-028</t>
        </is>
      </c>
      <c r="B29" s="34" t="inlineStr">
        <is>
          <t>Neo4j</t>
        </is>
      </c>
      <c r="C29" s="34" t="inlineStr">
        <is>
          <t>Neo4j Startup Program</t>
        </is>
      </c>
      <c r="D29" s="34" t="inlineStr">
        <is>
          <t>No code captured in Excel</t>
        </is>
      </c>
      <c r="E29" s="34" t="inlineStr"/>
      <c r="F29" s="34" t="inlineStr"/>
      <c r="G29" s="34" t="inlineStr">
        <is>
          <t>Not verified this session</t>
        </is>
      </c>
      <c r="H29" s="34" t="inlineStr">
        <is>
          <t>Excel only</t>
        </is>
      </c>
      <c r="I29" s="34" t="inlineStr">
        <is>
          <t>2026-10-24</t>
        </is>
      </c>
      <c r="J29" s="34" t="inlineStr">
        <is>
          <t>No code recorded; application or partner referral may be required.</t>
        </is>
      </c>
    </row>
    <row r="30">
      <c r="A30" s="34" t="inlineStr">
        <is>
          <t>SB-029</t>
        </is>
      </c>
      <c r="B30" s="34" t="inlineStr">
        <is>
          <t>Notion</t>
        </is>
      </c>
      <c r="C30" s="34" t="inlineStr">
        <is>
          <t>Notion for Startups</t>
        </is>
      </c>
      <c r="D30" s="34" t="inlineStr">
        <is>
          <t>No code captured in Excel</t>
        </is>
      </c>
      <c r="E30" s="34" t="inlineStr"/>
      <c r="F30" s="34" t="inlineStr"/>
      <c r="G30" s="34" t="inlineStr">
        <is>
          <t>Not verified this session</t>
        </is>
      </c>
      <c r="H30" s="34" t="inlineStr">
        <is>
          <t>Excel only</t>
        </is>
      </c>
      <c r="I30" s="34" t="inlineStr">
        <is>
          <t>2026-10-24</t>
        </is>
      </c>
      <c r="J30" s="34" t="inlineStr">
        <is>
          <t>No code recorded; application or partner referral may be required.</t>
        </is>
      </c>
    </row>
    <row r="31">
      <c r="A31" s="34" t="inlineStr">
        <is>
          <t>SB-030</t>
        </is>
      </c>
      <c r="B31" s="34" t="inlineStr">
        <is>
          <t>Algolia</t>
        </is>
      </c>
      <c r="C31" s="34" t="inlineStr">
        <is>
          <t>Algolia Startup Program</t>
        </is>
      </c>
      <c r="D31" s="34" t="inlineStr">
        <is>
          <t>No code captured in Excel</t>
        </is>
      </c>
      <c r="E31" s="34" t="inlineStr"/>
      <c r="F31" s="34" t="inlineStr"/>
      <c r="G31" s="34" t="inlineStr">
        <is>
          <t>Not verified this session</t>
        </is>
      </c>
      <c r="H31" s="34" t="inlineStr">
        <is>
          <t>Excel only</t>
        </is>
      </c>
      <c r="I31" s="34" t="inlineStr">
        <is>
          <t>2026-10-24</t>
        </is>
      </c>
      <c r="J31" s="34" t="inlineStr">
        <is>
          <t>No code recorded; application or partner referral may be required.</t>
        </is>
      </c>
    </row>
    <row r="32">
      <c r="A32" s="34" t="inlineStr">
        <is>
          <t>SB-031</t>
        </is>
      </c>
      <c r="B32" s="34" t="inlineStr">
        <is>
          <t>ClickHouse</t>
        </is>
      </c>
      <c r="C32" s="34" t="inlineStr">
        <is>
          <t>ClickHouse Cloud for Y Combinator</t>
        </is>
      </c>
      <c r="D32" s="34" t="inlineStr">
        <is>
          <t>No code captured in Excel</t>
        </is>
      </c>
      <c r="E32" s="34" t="inlineStr"/>
      <c r="F32" s="34" t="inlineStr"/>
      <c r="G32" s="34" t="inlineStr">
        <is>
          <t>Not verified this session</t>
        </is>
      </c>
      <c r="H32" s="34" t="inlineStr">
        <is>
          <t>Excel only</t>
        </is>
      </c>
      <c r="I32" s="34" t="inlineStr">
        <is>
          <t>2026-10-24</t>
        </is>
      </c>
      <c r="J32" s="34" t="inlineStr">
        <is>
          <t>No code recorded; application or partner referral may be required.</t>
        </is>
      </c>
    </row>
    <row r="33">
      <c r="A33" s="34" t="inlineStr">
        <is>
          <t>SB-032</t>
        </is>
      </c>
      <c r="B33" s="34" t="inlineStr">
        <is>
          <t>Daytona</t>
        </is>
      </c>
      <c r="C33" s="34" t="inlineStr">
        <is>
          <t>Daytona Startup Grid</t>
        </is>
      </c>
      <c r="D33" s="34" t="inlineStr">
        <is>
          <t>No code captured in Excel</t>
        </is>
      </c>
      <c r="E33" s="34" t="inlineStr"/>
      <c r="F33" s="34" t="inlineStr"/>
      <c r="G33" s="34" t="inlineStr">
        <is>
          <t>Not verified this session</t>
        </is>
      </c>
      <c r="H33" s="34" t="inlineStr">
        <is>
          <t>Excel only</t>
        </is>
      </c>
      <c r="I33" s="34" t="inlineStr">
        <is>
          <t>2026-10-24</t>
        </is>
      </c>
      <c r="J33" s="34" t="inlineStr">
        <is>
          <t>No code recorded; application or partner referral may be required.</t>
        </is>
      </c>
    </row>
    <row r="34">
      <c r="A34" s="34" t="inlineStr">
        <is>
          <t>SB-033</t>
        </is>
      </c>
      <c r="B34" s="34" t="inlineStr">
        <is>
          <t>Daytona</t>
        </is>
      </c>
      <c r="C34" s="34" t="inlineStr">
        <is>
          <t>Daytona Startup Program</t>
        </is>
      </c>
      <c r="D34" s="34" t="inlineStr">
        <is>
          <t>No code captured in Excel</t>
        </is>
      </c>
      <c r="E34" s="34" t="inlineStr"/>
      <c r="F34" s="34" t="inlineStr"/>
      <c r="G34" s="34" t="inlineStr">
        <is>
          <t>Not verified this session</t>
        </is>
      </c>
      <c r="H34" s="34" t="inlineStr">
        <is>
          <t>Excel only</t>
        </is>
      </c>
      <c r="I34" s="34" t="inlineStr">
        <is>
          <t>2026-10-24</t>
        </is>
      </c>
      <c r="J34" s="34" t="inlineStr">
        <is>
          <t>No code recorded; application or partner referral may be required.</t>
        </is>
      </c>
    </row>
    <row r="35">
      <c r="A35" s="34" t="inlineStr">
        <is>
          <t>SB-034</t>
        </is>
      </c>
      <c r="B35" s="34" t="inlineStr">
        <is>
          <t>GitHub (Microsoft)</t>
        </is>
      </c>
      <c r="C35" s="34" t="inlineStr">
        <is>
          <t>GitHub for Startups</t>
        </is>
      </c>
      <c r="D35" s="34" t="inlineStr">
        <is>
          <t>No public code verified</t>
        </is>
      </c>
      <c r="E35" s="34" t="inlineStr">
        <is>
          <t>Not published</t>
        </is>
      </c>
      <c r="F35" s="34" t="inlineStr">
        <is>
          <t>https://github.com/enterprise/startups</t>
        </is>
      </c>
      <c r="G35" s="34" t="inlineStr">
        <is>
          <t>Not verified this session</t>
        </is>
      </c>
      <c r="H35" s="34" t="inlineStr">
        <is>
          <t>Excel + GitHub repo</t>
        </is>
      </c>
      <c r="I35" s="34" t="inlineStr">
        <is>
          <t>2026-10-24</t>
        </is>
      </c>
      <c r="J35" s="34" t="inlineStr">
        <is>
          <t>No provider-published coupon code found in the verified source; do not treat third-party codes as confirmed.</t>
        </is>
      </c>
    </row>
    <row r="36">
      <c r="A36" s="34" t="inlineStr">
        <is>
          <t>SB-035</t>
        </is>
      </c>
      <c r="B36" s="34" t="inlineStr">
        <is>
          <t>Indent</t>
        </is>
      </c>
      <c r="C36" s="34" t="inlineStr">
        <is>
          <t>Indent for Startups</t>
        </is>
      </c>
      <c r="D36" s="34" t="inlineStr">
        <is>
          <t>No code captured in Excel</t>
        </is>
      </c>
      <c r="E36" s="34" t="inlineStr"/>
      <c r="F36" s="34" t="inlineStr"/>
      <c r="G36" s="34" t="inlineStr">
        <is>
          <t>Not verified this session</t>
        </is>
      </c>
      <c r="H36" s="34" t="inlineStr">
        <is>
          <t>Excel only</t>
        </is>
      </c>
      <c r="I36" s="34" t="inlineStr">
        <is>
          <t>2026-10-24</t>
        </is>
      </c>
      <c r="J36" s="34" t="inlineStr">
        <is>
          <t>No code recorded; application or partner referral may be required.</t>
        </is>
      </c>
    </row>
    <row r="37">
      <c r="A37" s="34" t="inlineStr">
        <is>
          <t>SB-036</t>
        </is>
      </c>
      <c r="B37" s="34" t="inlineStr">
        <is>
          <t>LangChain (LangSmith)</t>
        </is>
      </c>
      <c r="C37" s="34" t="inlineStr">
        <is>
          <t>LangSmith for Startups</t>
        </is>
      </c>
      <c r="D37" s="34" t="inlineStr">
        <is>
          <t>No code captured in Excel</t>
        </is>
      </c>
      <c r="E37" s="34" t="inlineStr"/>
      <c r="F37" s="34" t="inlineStr"/>
      <c r="G37" s="34" t="inlineStr">
        <is>
          <t>Not verified this session</t>
        </is>
      </c>
      <c r="H37" s="34" t="inlineStr">
        <is>
          <t>Excel only</t>
        </is>
      </c>
      <c r="I37" s="34" t="inlineStr">
        <is>
          <t>2026-10-24</t>
        </is>
      </c>
      <c r="J37" s="34" t="inlineStr">
        <is>
          <t>No code recorded; application or partner referral may be required.</t>
        </is>
      </c>
    </row>
    <row r="38">
      <c r="A38" s="34" t="inlineStr">
        <is>
          <t>SB-037</t>
        </is>
      </c>
      <c r="B38" s="34" t="inlineStr">
        <is>
          <t>Sanity</t>
        </is>
      </c>
      <c r="C38" s="34" t="inlineStr">
        <is>
          <t>Sanity Startup Program</t>
        </is>
      </c>
      <c r="D38" s="34" t="inlineStr">
        <is>
          <t>No code captured in Excel</t>
        </is>
      </c>
      <c r="E38" s="34" t="inlineStr"/>
      <c r="F38" s="34" t="inlineStr"/>
      <c r="G38" s="34" t="inlineStr">
        <is>
          <t>Not verified this session</t>
        </is>
      </c>
      <c r="H38" s="34" t="inlineStr">
        <is>
          <t>Excel only</t>
        </is>
      </c>
      <c r="I38" s="34" t="inlineStr">
        <is>
          <t>2026-10-24</t>
        </is>
      </c>
      <c r="J38" s="34" t="inlineStr">
        <is>
          <t>No code recorded; application or partner referral may be required.</t>
        </is>
      </c>
    </row>
    <row r="39">
      <c r="A39" s="34" t="inlineStr">
        <is>
          <t>SB-038</t>
        </is>
      </c>
      <c r="B39" s="34" t="inlineStr">
        <is>
          <t>Sentry</t>
        </is>
      </c>
      <c r="C39" s="34" t="inlineStr">
        <is>
          <t>Sentry for Startups</t>
        </is>
      </c>
      <c r="D39" s="34" t="inlineStr">
        <is>
          <t>No code captured in Excel</t>
        </is>
      </c>
      <c r="E39" s="34" t="inlineStr"/>
      <c r="F39" s="34" t="inlineStr"/>
      <c r="G39" s="34" t="inlineStr">
        <is>
          <t>Not verified this session</t>
        </is>
      </c>
      <c r="H39" s="34" t="inlineStr">
        <is>
          <t>Excel only</t>
        </is>
      </c>
      <c r="I39" s="34" t="inlineStr">
        <is>
          <t>2026-10-24</t>
        </is>
      </c>
      <c r="J39" s="34" t="inlineStr">
        <is>
          <t>No code recorded; application or partner referral may be required.</t>
        </is>
      </c>
    </row>
    <row r="40">
      <c r="A40" s="34" t="inlineStr">
        <is>
          <t>SB-039</t>
        </is>
      </c>
      <c r="B40" s="34" t="inlineStr">
        <is>
          <t>fal</t>
        </is>
      </c>
      <c r="C40" s="34" t="inlineStr">
        <is>
          <t>fal Startup Program</t>
        </is>
      </c>
      <c r="D40" s="34" t="inlineStr">
        <is>
          <t>No code captured in Excel</t>
        </is>
      </c>
      <c r="E40" s="34" t="inlineStr"/>
      <c r="F40" s="34" t="inlineStr"/>
      <c r="G40" s="34" t="inlineStr">
        <is>
          <t>Not verified this session</t>
        </is>
      </c>
      <c r="H40" s="34" t="inlineStr">
        <is>
          <t>Excel only</t>
        </is>
      </c>
      <c r="I40" s="34" t="inlineStr">
        <is>
          <t>2026-10-24</t>
        </is>
      </c>
      <c r="J40" s="34" t="inlineStr">
        <is>
          <t>No code recorded; application or partner referral may be required.</t>
        </is>
      </c>
    </row>
    <row r="41">
      <c r="A41" s="34" t="inlineStr">
        <is>
          <t>SB-040</t>
        </is>
      </c>
      <c r="B41" s="34" t="inlineStr">
        <is>
          <t>RunPod</t>
        </is>
      </c>
      <c r="C41" s="34" t="inlineStr">
        <is>
          <t>RunPod Startup Program</t>
        </is>
      </c>
      <c r="D41" s="34" t="inlineStr">
        <is>
          <t>No code captured in Excel</t>
        </is>
      </c>
      <c r="E41" s="34" t="inlineStr"/>
      <c r="F41" s="34" t="inlineStr"/>
      <c r="G41" s="34" t="inlineStr">
        <is>
          <t>Not verified this session</t>
        </is>
      </c>
      <c r="H41" s="34" t="inlineStr">
        <is>
          <t>Excel only</t>
        </is>
      </c>
      <c r="I41" s="34" t="inlineStr">
        <is>
          <t>2026-10-24</t>
        </is>
      </c>
      <c r="J41" s="34" t="inlineStr">
        <is>
          <t>No code recorded; application or partner referral may be required.</t>
        </is>
      </c>
    </row>
    <row r="42">
      <c r="A42" s="34" t="inlineStr">
        <is>
          <t>SB-041</t>
        </is>
      </c>
      <c r="B42" s="34" t="inlineStr">
        <is>
          <t>Runware</t>
        </is>
      </c>
      <c r="C42" s="34" t="inlineStr">
        <is>
          <t>Runware Startup Program</t>
        </is>
      </c>
      <c r="D42" s="34" t="inlineStr">
        <is>
          <t>No code captured in Excel</t>
        </is>
      </c>
      <c r="E42" s="34" t="inlineStr"/>
      <c r="F42" s="34" t="inlineStr"/>
      <c r="G42" s="34" t="inlineStr">
        <is>
          <t>Not verified this session</t>
        </is>
      </c>
      <c r="H42" s="34" t="inlineStr">
        <is>
          <t>Excel only</t>
        </is>
      </c>
      <c r="I42" s="34" t="inlineStr">
        <is>
          <t>2026-10-24</t>
        </is>
      </c>
      <c r="J42" s="34" t="inlineStr">
        <is>
          <t>No code recorded; application or partner referral may be required.</t>
        </is>
      </c>
    </row>
    <row r="43">
      <c r="A43" s="34" t="inlineStr">
        <is>
          <t>SB-042</t>
        </is>
      </c>
      <c r="B43" s="34" t="inlineStr">
        <is>
          <t>UpCloud</t>
        </is>
      </c>
      <c r="C43" s="34" t="inlineStr">
        <is>
          <t>UpCloud free trial credits</t>
        </is>
      </c>
      <c r="D43" s="34" t="inlineStr">
        <is>
          <t>No code captured in Excel</t>
        </is>
      </c>
      <c r="E43" s="34" t="inlineStr"/>
      <c r="F43" s="34" t="inlineStr"/>
      <c r="G43" s="34" t="inlineStr">
        <is>
          <t>Not verified this session</t>
        </is>
      </c>
      <c r="H43" s="34" t="inlineStr">
        <is>
          <t>Excel only</t>
        </is>
      </c>
      <c r="I43" s="34" t="inlineStr">
        <is>
          <t>2026-10-24</t>
        </is>
      </c>
      <c r="J43" s="34" t="inlineStr">
        <is>
          <t>No code recorded; application or partner referral may be required.</t>
        </is>
      </c>
    </row>
    <row r="44">
      <c r="A44" s="34" t="inlineStr">
        <is>
          <t>SB-043</t>
        </is>
      </c>
      <c r="B44" s="34" t="inlineStr">
        <is>
          <t>Google Cloud</t>
        </is>
      </c>
      <c r="C44" s="34" t="inlineStr">
        <is>
          <t>Google Cloud Free Program ($300)</t>
        </is>
      </c>
      <c r="D44" s="34" t="inlineStr">
        <is>
          <t>No code captured in Excel</t>
        </is>
      </c>
      <c r="E44" s="34" t="inlineStr"/>
      <c r="F44" s="34" t="inlineStr"/>
      <c r="G44" s="34" t="inlineStr">
        <is>
          <t>Not verified this session</t>
        </is>
      </c>
      <c r="H44" s="34" t="inlineStr">
        <is>
          <t>Excel only</t>
        </is>
      </c>
      <c r="I44" s="34" t="inlineStr">
        <is>
          <t>2026-10-24</t>
        </is>
      </c>
      <c r="J44" s="34" t="inlineStr">
        <is>
          <t>No code recorded; application or partner referral may be required.</t>
        </is>
      </c>
    </row>
    <row r="45">
      <c r="A45" s="34" t="inlineStr">
        <is>
          <t>SB-044</t>
        </is>
      </c>
      <c r="B45" s="34" t="inlineStr">
        <is>
          <t>Oracle</t>
        </is>
      </c>
      <c r="C45" s="34" t="inlineStr">
        <is>
          <t>Oracle Cloud Free Tier</t>
        </is>
      </c>
      <c r="D45" s="34" t="inlineStr">
        <is>
          <t>No code captured in Excel</t>
        </is>
      </c>
      <c r="E45" s="34" t="inlineStr"/>
      <c r="F45" s="34" t="inlineStr"/>
      <c r="G45" s="34" t="inlineStr">
        <is>
          <t>Not verified this session</t>
        </is>
      </c>
      <c r="H45" s="34" t="inlineStr">
        <is>
          <t>Excel only</t>
        </is>
      </c>
      <c r="I45" s="34" t="inlineStr">
        <is>
          <t>2026-10-24</t>
        </is>
      </c>
      <c r="J45" s="34" t="inlineStr">
        <is>
          <t>No code recorded; application or partner referral may be required.</t>
        </is>
      </c>
    </row>
    <row r="46">
      <c r="A46" s="34" t="inlineStr">
        <is>
          <t>SB-045</t>
        </is>
      </c>
      <c r="B46" s="34" t="inlineStr">
        <is>
          <t>Vultr</t>
        </is>
      </c>
      <c r="C46" s="34" t="inlineStr">
        <is>
          <t>Vultr free trial credits</t>
        </is>
      </c>
      <c r="D46" s="34" t="inlineStr">
        <is>
          <t>No code captured in Excel</t>
        </is>
      </c>
      <c r="E46" s="34" t="inlineStr"/>
      <c r="F46" s="34" t="inlineStr"/>
      <c r="G46" s="34" t="inlineStr">
        <is>
          <t>Not verified this session</t>
        </is>
      </c>
      <c r="H46" s="34" t="inlineStr">
        <is>
          <t>Excel only</t>
        </is>
      </c>
      <c r="I46" s="34" t="inlineStr">
        <is>
          <t>2026-10-24</t>
        </is>
      </c>
      <c r="J46" s="34" t="inlineStr">
        <is>
          <t>No code recorded; application or partner referral may be required.</t>
        </is>
      </c>
    </row>
    <row r="47">
      <c r="A47" s="34" t="inlineStr">
        <is>
          <t>SB-046</t>
        </is>
      </c>
      <c r="B47" s="34" t="inlineStr">
        <is>
          <t>Civo</t>
        </is>
      </c>
      <c r="C47" s="34" t="inlineStr">
        <is>
          <t>Civo $250 free trial credit</t>
        </is>
      </c>
      <c r="D47" s="34" t="inlineStr">
        <is>
          <t>No code captured in Excel</t>
        </is>
      </c>
      <c r="E47" s="34" t="inlineStr"/>
      <c r="F47" s="34" t="inlineStr"/>
      <c r="G47" s="34" t="inlineStr">
        <is>
          <t>Not verified this session</t>
        </is>
      </c>
      <c r="H47" s="34" t="inlineStr">
        <is>
          <t>Excel only</t>
        </is>
      </c>
      <c r="I47" s="34" t="inlineStr">
        <is>
          <t>2026-10-24</t>
        </is>
      </c>
      <c r="J47" s="34" t="inlineStr">
        <is>
          <t>No code recorded; application or partner referral may be required.</t>
        </is>
      </c>
    </row>
    <row r="48">
      <c r="A48" s="34" t="inlineStr">
        <is>
          <t>SB-047</t>
        </is>
      </c>
      <c r="B48" s="34" t="inlineStr">
        <is>
          <t>IBM</t>
        </is>
      </c>
      <c r="C48" s="34" t="inlineStr">
        <is>
          <t>IBM Cloud free tier</t>
        </is>
      </c>
      <c r="D48" s="34" t="inlineStr">
        <is>
          <t>No code captured in Excel</t>
        </is>
      </c>
      <c r="E48" s="34" t="inlineStr"/>
      <c r="F48" s="34" t="inlineStr"/>
      <c r="G48" s="34" t="inlineStr">
        <is>
          <t>Not verified this session</t>
        </is>
      </c>
      <c r="H48" s="34" t="inlineStr">
        <is>
          <t>Excel only</t>
        </is>
      </c>
      <c r="I48" s="34" t="inlineStr">
        <is>
          <t>2026-10-24</t>
        </is>
      </c>
      <c r="J48" s="34" t="inlineStr">
        <is>
          <t>No code recorded; application or partner referral may be required.</t>
        </is>
      </c>
    </row>
    <row r="49">
      <c r="A49" s="34" t="inlineStr">
        <is>
          <t>SB-048</t>
        </is>
      </c>
      <c r="B49" s="34" t="inlineStr">
        <is>
          <t>Daytona</t>
        </is>
      </c>
      <c r="C49" s="34" t="inlineStr">
        <is>
          <t>Daytona free compute credits</t>
        </is>
      </c>
      <c r="D49" s="34" t="inlineStr">
        <is>
          <t>No code captured in Excel</t>
        </is>
      </c>
      <c r="E49" s="34" t="inlineStr"/>
      <c r="F49" s="34" t="inlineStr"/>
      <c r="G49" s="34" t="inlineStr">
        <is>
          <t>Not verified this session</t>
        </is>
      </c>
      <c r="H49" s="34" t="inlineStr">
        <is>
          <t>Excel only</t>
        </is>
      </c>
      <c r="I49" s="34" t="inlineStr">
        <is>
          <t>2026-10-24</t>
        </is>
      </c>
      <c r="J49" s="34" t="inlineStr">
        <is>
          <t>No code recorded; application or partner referral may be required.</t>
        </is>
      </c>
    </row>
    <row r="50">
      <c r="A50" s="34" t="inlineStr">
        <is>
          <t>SB-049</t>
        </is>
      </c>
      <c r="B50" s="34" t="inlineStr">
        <is>
          <t>IONOS</t>
        </is>
      </c>
      <c r="C50" s="34" t="inlineStr">
        <is>
          <t>IONOS Cloud free trial credit</t>
        </is>
      </c>
      <c r="D50" s="34" t="inlineStr">
        <is>
          <t>No code captured in Excel</t>
        </is>
      </c>
      <c r="E50" s="34" t="inlineStr"/>
      <c r="F50" s="34" t="inlineStr"/>
      <c r="G50" s="34" t="inlineStr">
        <is>
          <t>Not verified this session</t>
        </is>
      </c>
      <c r="H50" s="34" t="inlineStr">
        <is>
          <t>Excel only</t>
        </is>
      </c>
      <c r="I50" s="34" t="inlineStr">
        <is>
          <t>2026-10-24</t>
        </is>
      </c>
      <c r="J50" s="34" t="inlineStr">
        <is>
          <t>No code recorded; application or partner referral may be required.</t>
        </is>
      </c>
    </row>
    <row r="51">
      <c r="A51" s="34" t="inlineStr">
        <is>
          <t>SB-050</t>
        </is>
      </c>
      <c r="B51" s="34" t="inlineStr">
        <is>
          <t>Akamai (Linode)</t>
        </is>
      </c>
      <c r="C51" s="34" t="inlineStr">
        <is>
          <t>Akamai Cloud $100 credit</t>
        </is>
      </c>
      <c r="D51" s="34" t="inlineStr">
        <is>
          <t>No code captured in Excel</t>
        </is>
      </c>
      <c r="E51" s="34" t="inlineStr"/>
      <c r="F51" s="34" t="inlineStr"/>
      <c r="G51" s="34" t="inlineStr">
        <is>
          <t>Not verified this session</t>
        </is>
      </c>
      <c r="H51" s="34" t="inlineStr">
        <is>
          <t>Excel only</t>
        </is>
      </c>
      <c r="I51" s="34" t="inlineStr">
        <is>
          <t>2026-10-24</t>
        </is>
      </c>
      <c r="J51" s="34" t="inlineStr">
        <is>
          <t>No code recorded; application or partner referral may be required.</t>
        </is>
      </c>
    </row>
    <row r="52">
      <c r="A52" s="34" t="inlineStr">
        <is>
          <t>SB-051</t>
        </is>
      </c>
      <c r="B52" s="34" t="inlineStr">
        <is>
          <t>AkashML</t>
        </is>
      </c>
      <c r="C52" s="34" t="inlineStr">
        <is>
          <t>AkashML $100 free AI token credits</t>
        </is>
      </c>
      <c r="D52" s="34" t="inlineStr">
        <is>
          <t>No code captured in Excel</t>
        </is>
      </c>
      <c r="E52" s="34" t="inlineStr"/>
      <c r="F52" s="34" t="inlineStr"/>
      <c r="G52" s="34" t="inlineStr">
        <is>
          <t>Not verified this session</t>
        </is>
      </c>
      <c r="H52" s="34" t="inlineStr">
        <is>
          <t>Excel only</t>
        </is>
      </c>
      <c r="I52" s="34" t="inlineStr">
        <is>
          <t>2026-10-24</t>
        </is>
      </c>
      <c r="J52" s="34" t="inlineStr">
        <is>
          <t>No code recorded; application or partner referral may be required.</t>
        </is>
      </c>
    </row>
    <row r="53">
      <c r="A53" s="34" t="inlineStr">
        <is>
          <t>SB-052</t>
        </is>
      </c>
      <c r="B53" s="34" t="inlineStr">
        <is>
          <t>AMD</t>
        </is>
      </c>
      <c r="C53" s="34" t="inlineStr">
        <is>
          <t>AMD AI Developer Program</t>
        </is>
      </c>
      <c r="D53" s="34" t="inlineStr">
        <is>
          <t>No code captured in Excel</t>
        </is>
      </c>
      <c r="E53" s="34" t="inlineStr"/>
      <c r="F53" s="34" t="inlineStr"/>
      <c r="G53" s="34" t="inlineStr">
        <is>
          <t>Not verified this session</t>
        </is>
      </c>
      <c r="H53" s="34" t="inlineStr">
        <is>
          <t>Excel only</t>
        </is>
      </c>
      <c r="I53" s="34" t="inlineStr">
        <is>
          <t>2026-10-24</t>
        </is>
      </c>
      <c r="J53" s="34" t="inlineStr">
        <is>
          <t>No code recorded; application or partner referral may be required.</t>
        </is>
      </c>
    </row>
    <row r="54">
      <c r="A54" s="34" t="inlineStr">
        <is>
          <t>SB-053</t>
        </is>
      </c>
      <c r="B54" s="34" t="inlineStr">
        <is>
          <t>Anyscale</t>
        </is>
      </c>
      <c r="C54" s="34" t="inlineStr">
        <is>
          <t>Anyscale $100 signup credit</t>
        </is>
      </c>
      <c r="D54" s="34" t="inlineStr">
        <is>
          <t>No code captured in Excel</t>
        </is>
      </c>
      <c r="E54" s="34" t="inlineStr"/>
      <c r="F54" s="34" t="inlineStr"/>
      <c r="G54" s="34" t="inlineStr">
        <is>
          <t>Not verified this session</t>
        </is>
      </c>
      <c r="H54" s="34" t="inlineStr">
        <is>
          <t>Excel only</t>
        </is>
      </c>
      <c r="I54" s="34" t="inlineStr">
        <is>
          <t>2026-10-24</t>
        </is>
      </c>
      <c r="J54" s="34" t="inlineStr">
        <is>
          <t>No code recorded; application or partner referral may be required.</t>
        </is>
      </c>
    </row>
    <row r="55">
      <c r="A55" s="34" t="inlineStr">
        <is>
          <t>SB-054</t>
        </is>
      </c>
      <c r="B55" s="34" t="inlineStr">
        <is>
          <t>E2B</t>
        </is>
      </c>
      <c r="C55" s="34" t="inlineStr">
        <is>
          <t>E2B free hobby tier and $100 credits</t>
        </is>
      </c>
      <c r="D55" s="34" t="inlineStr">
        <is>
          <t>No code captured in Excel</t>
        </is>
      </c>
      <c r="E55" s="34" t="inlineStr"/>
      <c r="F55" s="34" t="inlineStr"/>
      <c r="G55" s="34" t="inlineStr">
        <is>
          <t>Not verified this session</t>
        </is>
      </c>
      <c r="H55" s="34" t="inlineStr">
        <is>
          <t>Excel only</t>
        </is>
      </c>
      <c r="I55" s="34" t="inlineStr">
        <is>
          <t>2026-10-24</t>
        </is>
      </c>
      <c r="J55" s="34" t="inlineStr">
        <is>
          <t>No code recorded; application or partner referral may be required.</t>
        </is>
      </c>
    </row>
    <row r="56">
      <c r="A56" s="34" t="inlineStr">
        <is>
          <t>SB-055</t>
        </is>
      </c>
      <c r="B56" s="34" t="inlineStr">
        <is>
          <t>EmberCloud</t>
        </is>
      </c>
      <c r="C56" s="34" t="inlineStr">
        <is>
          <t>EmberCloud for Startups</t>
        </is>
      </c>
      <c r="D56" s="34" t="inlineStr">
        <is>
          <t>No code captured in Excel</t>
        </is>
      </c>
      <c r="E56" s="34" t="inlineStr"/>
      <c r="F56" s="34" t="inlineStr"/>
      <c r="G56" s="34" t="inlineStr">
        <is>
          <t>Not verified this session</t>
        </is>
      </c>
      <c r="H56" s="34" t="inlineStr">
        <is>
          <t>Excel only</t>
        </is>
      </c>
      <c r="I56" s="34" t="inlineStr">
        <is>
          <t>2026-10-24</t>
        </is>
      </c>
      <c r="J56" s="34" t="inlineStr">
        <is>
          <t>No code recorded; application or partner referral may be required.</t>
        </is>
      </c>
    </row>
    <row r="57">
      <c r="A57" s="34" t="inlineStr">
        <is>
          <t>SB-056</t>
        </is>
      </c>
      <c r="B57" s="34" t="inlineStr">
        <is>
          <t>Novita</t>
        </is>
      </c>
      <c r="C57" s="34" t="inlineStr">
        <is>
          <t>Novita Sandbox $100 free credits</t>
        </is>
      </c>
      <c r="D57" s="34" t="inlineStr">
        <is>
          <t>No code captured in Excel</t>
        </is>
      </c>
      <c r="E57" s="34" t="inlineStr"/>
      <c r="F57" s="34" t="inlineStr"/>
      <c r="G57" s="34" t="inlineStr">
        <is>
          <t>Not verified this session</t>
        </is>
      </c>
      <c r="H57" s="34" t="inlineStr">
        <is>
          <t>Excel only</t>
        </is>
      </c>
      <c r="I57" s="34" t="inlineStr">
        <is>
          <t>2026-10-24</t>
        </is>
      </c>
      <c r="J57" s="34" t="inlineStr">
        <is>
          <t>No code recorded; application or partner referral may be required.</t>
        </is>
      </c>
    </row>
    <row r="58">
      <c r="A58" s="34" t="inlineStr">
        <is>
          <t>SB-057</t>
        </is>
      </c>
      <c r="B58" s="34" t="inlineStr">
        <is>
          <t>Alibaba Cloud</t>
        </is>
      </c>
      <c r="C58" s="34" t="inlineStr">
        <is>
          <t>Alibaba Cloud free trial</t>
        </is>
      </c>
      <c r="D58" s="34" t="inlineStr">
        <is>
          <t>No code captured in Excel</t>
        </is>
      </c>
      <c r="E58" s="34" t="inlineStr"/>
      <c r="F58" s="34" t="inlineStr"/>
      <c r="G58" s="34" t="inlineStr">
        <is>
          <t>Not verified this session</t>
        </is>
      </c>
      <c r="H58" s="34" t="inlineStr">
        <is>
          <t>Excel only</t>
        </is>
      </c>
      <c r="I58" s="34" t="inlineStr">
        <is>
          <t>2026-10-24</t>
        </is>
      </c>
      <c r="J58" s="34" t="inlineStr">
        <is>
          <t>No code recorded; application or partner referral may be required.</t>
        </is>
      </c>
    </row>
    <row r="59">
      <c r="A59" s="34" t="inlineStr">
        <is>
          <t>SB-058</t>
        </is>
      </c>
      <c r="B59" s="34" t="inlineStr">
        <is>
          <t>Railway</t>
        </is>
      </c>
      <c r="C59" s="34" t="inlineStr">
        <is>
          <t>Railway free plan and trial credit</t>
        </is>
      </c>
      <c r="D59" s="34" t="inlineStr">
        <is>
          <t>No code captured in Excel</t>
        </is>
      </c>
      <c r="E59" s="34" t="inlineStr"/>
      <c r="F59" s="34" t="inlineStr"/>
      <c r="G59" s="34" t="inlineStr">
        <is>
          <t>Not verified this session</t>
        </is>
      </c>
      <c r="H59" s="34" t="inlineStr">
        <is>
          <t>Excel only</t>
        </is>
      </c>
      <c r="I59" s="34" t="inlineStr">
        <is>
          <t>2026-10-24</t>
        </is>
      </c>
      <c r="J59" s="34" t="inlineStr">
        <is>
          <t>No code recorded; application or partner referral may be required.</t>
        </is>
      </c>
    </row>
    <row r="60">
      <c r="A60" s="34" t="inlineStr">
        <is>
          <t>SB-059</t>
        </is>
      </c>
      <c r="B60" s="34" t="inlineStr">
        <is>
          <t>DeepInfra</t>
        </is>
      </c>
      <c r="C60" s="34" t="inlineStr">
        <is>
          <t>DeepInfra DeepStart free inference tokens</t>
        </is>
      </c>
      <c r="D60" s="34" t="inlineStr">
        <is>
          <t>No code captured in Excel</t>
        </is>
      </c>
      <c r="E60" s="34" t="inlineStr"/>
      <c r="F60" s="34" t="inlineStr"/>
      <c r="G60" s="34" t="inlineStr">
        <is>
          <t>Not verified this session</t>
        </is>
      </c>
      <c r="H60" s="34" t="inlineStr">
        <is>
          <t>Excel only</t>
        </is>
      </c>
      <c r="I60" s="34" t="inlineStr">
        <is>
          <t>2026-10-24</t>
        </is>
      </c>
      <c r="J60" s="34" t="inlineStr">
        <is>
          <t>No code recorded; application or partner referral may be required.</t>
        </is>
      </c>
    </row>
    <row r="61">
      <c r="A61" s="34" t="inlineStr">
        <is>
          <t>SB-060</t>
        </is>
      </c>
      <c r="B61" s="34" t="inlineStr">
        <is>
          <t>Free.ai</t>
        </is>
      </c>
      <c r="C61" s="34" t="inlineStr">
        <is>
          <t>Free.ai Startup Grant</t>
        </is>
      </c>
      <c r="D61" s="34" t="inlineStr">
        <is>
          <t>No code captured in Excel</t>
        </is>
      </c>
      <c r="E61" s="34" t="inlineStr"/>
      <c r="F61" s="34" t="inlineStr"/>
      <c r="G61" s="34" t="inlineStr">
        <is>
          <t>Not verified this session</t>
        </is>
      </c>
      <c r="H61" s="34" t="inlineStr">
        <is>
          <t>Excel only</t>
        </is>
      </c>
      <c r="I61" s="34" t="inlineStr">
        <is>
          <t>2026-10-24</t>
        </is>
      </c>
      <c r="J61" s="34" t="inlineStr">
        <is>
          <t>No code recorded; application or partner referral may be required.</t>
        </is>
      </c>
    </row>
    <row r="62">
      <c r="A62" s="34" t="inlineStr">
        <is>
          <t>SB-061</t>
        </is>
      </c>
      <c r="B62" s="34" t="inlineStr">
        <is>
          <t>Netlify</t>
        </is>
      </c>
      <c r="C62" s="34" t="inlineStr">
        <is>
          <t>Netlify free plan</t>
        </is>
      </c>
      <c r="D62" s="34" t="inlineStr">
        <is>
          <t>No code captured in Excel</t>
        </is>
      </c>
      <c r="E62" s="34" t="inlineStr"/>
      <c r="F62" s="34" t="inlineStr"/>
      <c r="G62" s="34" t="inlineStr">
        <is>
          <t>Not verified this session</t>
        </is>
      </c>
      <c r="H62" s="34" t="inlineStr">
        <is>
          <t>Excel only</t>
        </is>
      </c>
      <c r="I62" s="34" t="inlineStr">
        <is>
          <t>2026-10-24</t>
        </is>
      </c>
      <c r="J62" s="34" t="inlineStr">
        <is>
          <t>No code recorded; application or partner referral may be required.</t>
        </is>
      </c>
    </row>
    <row r="63">
      <c r="A63" s="34" t="inlineStr">
        <is>
          <t>SB-062</t>
        </is>
      </c>
      <c r="B63" s="34" t="inlineStr">
        <is>
          <t>Kaggle (Google)</t>
        </is>
      </c>
      <c r="C63" s="34" t="inlineStr">
        <is>
          <t>Kaggle free GPU/TPU notebooks</t>
        </is>
      </c>
      <c r="D63" s="34" t="inlineStr">
        <is>
          <t>No code captured in Excel</t>
        </is>
      </c>
      <c r="E63" s="34" t="inlineStr"/>
      <c r="F63" s="34" t="inlineStr"/>
      <c r="G63" s="34" t="inlineStr">
        <is>
          <t>Not verified this session</t>
        </is>
      </c>
      <c r="H63" s="34" t="inlineStr">
        <is>
          <t>Excel only</t>
        </is>
      </c>
      <c r="I63" s="34" t="inlineStr">
        <is>
          <t>2026-10-24</t>
        </is>
      </c>
      <c r="J63" s="34" t="inlineStr">
        <is>
          <t>No code recorded; application or partner referral may be required.</t>
        </is>
      </c>
    </row>
    <row r="64">
      <c r="A64" s="34" t="inlineStr">
        <is>
          <t>SB-063</t>
        </is>
      </c>
      <c r="B64" s="34" t="inlineStr">
        <is>
          <t>Lightning AI</t>
        </is>
      </c>
      <c r="C64" s="34" t="inlineStr">
        <is>
          <t>Lightning AI free plan</t>
        </is>
      </c>
      <c r="D64" s="34" t="inlineStr">
        <is>
          <t>No code captured in Excel</t>
        </is>
      </c>
      <c r="E64" s="34" t="inlineStr"/>
      <c r="F64" s="34" t="inlineStr"/>
      <c r="G64" s="34" t="inlineStr">
        <is>
          <t>Not verified this session</t>
        </is>
      </c>
      <c r="H64" s="34" t="inlineStr">
        <is>
          <t>Excel only</t>
        </is>
      </c>
      <c r="I64" s="34" t="inlineStr">
        <is>
          <t>2026-10-24</t>
        </is>
      </c>
      <c r="J64" s="34" t="inlineStr">
        <is>
          <t>No code recorded; application or partner referral may be required.</t>
        </is>
      </c>
    </row>
    <row r="65">
      <c r="A65" s="34" t="inlineStr">
        <is>
          <t>SB-064</t>
        </is>
      </c>
      <c r="B65" s="34" t="inlineStr">
        <is>
          <t>Hugging Face</t>
        </is>
      </c>
      <c r="C65" s="34" t="inlineStr">
        <is>
          <t>Hugging Face ZeroGPU on Spaces</t>
        </is>
      </c>
      <c r="D65" s="34" t="inlineStr">
        <is>
          <t>No code captured in Excel</t>
        </is>
      </c>
      <c r="E65" s="34" t="inlineStr"/>
      <c r="F65" s="34" t="inlineStr"/>
      <c r="G65" s="34" t="inlineStr">
        <is>
          <t>Not verified this session</t>
        </is>
      </c>
      <c r="H65" s="34" t="inlineStr">
        <is>
          <t>Excel only</t>
        </is>
      </c>
      <c r="I65" s="34" t="inlineStr">
        <is>
          <t>2026-10-24</t>
        </is>
      </c>
      <c r="J65" s="34" t="inlineStr">
        <is>
          <t>No code recorded; application or partner referral may be required.</t>
        </is>
      </c>
    </row>
    <row r="66">
      <c r="A66" s="34" t="inlineStr">
        <is>
          <t>SB-065</t>
        </is>
      </c>
      <c r="B66" s="34" t="inlineStr">
        <is>
          <t>Atlassian</t>
        </is>
      </c>
      <c r="C66" s="34" t="inlineStr">
        <is>
          <t>Atlassian for Startups</t>
        </is>
      </c>
      <c r="D66" s="34" t="inlineStr">
        <is>
          <t>No code captured in Excel</t>
        </is>
      </c>
      <c r="E66" s="34" t="inlineStr"/>
      <c r="F66" s="34" t="inlineStr"/>
      <c r="G66" s="34" t="inlineStr">
        <is>
          <t>Not verified this session</t>
        </is>
      </c>
      <c r="H66" s="34" t="inlineStr">
        <is>
          <t>Excel only</t>
        </is>
      </c>
      <c r="I66" s="34" t="inlineStr">
        <is>
          <t>2026-10-24</t>
        </is>
      </c>
      <c r="J66" s="34" t="inlineStr">
        <is>
          <t>No code recorded; application or partner referral may be required.</t>
        </is>
      </c>
    </row>
    <row r="67">
      <c r="A67" s="34" t="inlineStr">
        <is>
          <t>SB-066</t>
        </is>
      </c>
      <c r="B67" s="34" t="inlineStr">
        <is>
          <t>Auth0 (Okta)</t>
        </is>
      </c>
      <c r="C67" s="34" t="inlineStr">
        <is>
          <t>Auth0 for Startups</t>
        </is>
      </c>
      <c r="D67" s="34" t="inlineStr">
        <is>
          <t>No code captured in Excel</t>
        </is>
      </c>
      <c r="E67" s="34" t="inlineStr"/>
      <c r="F67" s="34" t="inlineStr"/>
      <c r="G67" s="34" t="inlineStr">
        <is>
          <t>Not verified this session</t>
        </is>
      </c>
      <c r="H67" s="34" t="inlineStr">
        <is>
          <t>Excel only</t>
        </is>
      </c>
      <c r="I67" s="34" t="inlineStr">
        <is>
          <t>2026-10-24</t>
        </is>
      </c>
      <c r="J67" s="34" t="inlineStr">
        <is>
          <t>No code recorded; application or partner referral may be required.</t>
        </is>
      </c>
    </row>
    <row r="68">
      <c r="A68" s="34" t="inlineStr">
        <is>
          <t>SB-067</t>
        </is>
      </c>
      <c r="B68" s="34" t="inlineStr">
        <is>
          <t>Convex</t>
        </is>
      </c>
      <c r="C68" s="34" t="inlineStr">
        <is>
          <t>Convex for Startups</t>
        </is>
      </c>
      <c r="D68" s="34" t="inlineStr">
        <is>
          <t>No code captured in Excel</t>
        </is>
      </c>
      <c r="E68" s="34" t="inlineStr"/>
      <c r="F68" s="34" t="inlineStr"/>
      <c r="G68" s="34" t="inlineStr">
        <is>
          <t>Not verified this session</t>
        </is>
      </c>
      <c r="H68" s="34" t="inlineStr">
        <is>
          <t>Excel only</t>
        </is>
      </c>
      <c r="I68" s="34" t="inlineStr">
        <is>
          <t>2026-10-24</t>
        </is>
      </c>
      <c r="J68" s="34" t="inlineStr">
        <is>
          <t>No code recorded; application or partner referral may be required.</t>
        </is>
      </c>
    </row>
    <row r="69">
      <c r="A69" s="34" t="inlineStr">
        <is>
          <t>SB-068</t>
        </is>
      </c>
      <c r="B69" s="34" t="inlineStr">
        <is>
          <t>Customer.io</t>
        </is>
      </c>
      <c r="C69" s="34" t="inlineStr">
        <is>
          <t>Customer.io Startup Program</t>
        </is>
      </c>
      <c r="D69" s="34" t="inlineStr">
        <is>
          <t>No code captured in Excel</t>
        </is>
      </c>
      <c r="E69" s="34" t="inlineStr"/>
      <c r="F69" s="34" t="inlineStr"/>
      <c r="G69" s="34" t="inlineStr">
        <is>
          <t>Not verified this session</t>
        </is>
      </c>
      <c r="H69" s="34" t="inlineStr">
        <is>
          <t>Excel only</t>
        </is>
      </c>
      <c r="I69" s="34" t="inlineStr">
        <is>
          <t>2026-10-24</t>
        </is>
      </c>
      <c r="J69" s="34" t="inlineStr">
        <is>
          <t>No code recorded; application or partner referral may be required.</t>
        </is>
      </c>
    </row>
    <row r="70">
      <c r="A70" s="34" t="inlineStr">
        <is>
          <t>SB-069</t>
        </is>
      </c>
      <c r="B70" s="34" t="inlineStr">
        <is>
          <t>DigitalOcean</t>
        </is>
      </c>
      <c r="C70" s="34" t="inlineStr">
        <is>
          <t>DigitalOcean Hatch</t>
        </is>
      </c>
      <c r="D70" s="34" t="inlineStr">
        <is>
          <t>No public code verified</t>
        </is>
      </c>
      <c r="E70" s="34" t="inlineStr">
        <is>
          <t>Not published</t>
        </is>
      </c>
      <c r="F70" s="34" t="inlineStr">
        <is>
          <t>https://sammydigitalocean.typeform.com/hatch</t>
        </is>
      </c>
      <c r="G70" s="34" t="inlineStr">
        <is>
          <t>Not verified this session</t>
        </is>
      </c>
      <c r="H70" s="34" t="inlineStr">
        <is>
          <t>Excel + GitHub repo</t>
        </is>
      </c>
      <c r="I70" s="34" t="inlineStr">
        <is>
          <t>2026-10-24</t>
        </is>
      </c>
      <c r="J70" s="34" t="inlineStr">
        <is>
          <t>No provider-published coupon code found in the verified source; do not treat third-party codes as confirmed.</t>
        </is>
      </c>
    </row>
    <row r="71">
      <c r="A71" s="34" t="inlineStr">
        <is>
          <t>SB-070</t>
        </is>
      </c>
      <c r="B71" s="34" t="inlineStr">
        <is>
          <t>Exoscale</t>
        </is>
      </c>
      <c r="C71" s="34" t="inlineStr">
        <is>
          <t>Exoscale trial credit</t>
        </is>
      </c>
      <c r="D71" s="34" t="inlineStr">
        <is>
          <t>No code captured in Excel</t>
        </is>
      </c>
      <c r="E71" s="34" t="inlineStr"/>
      <c r="F71" s="34" t="inlineStr"/>
      <c r="G71" s="34" t="inlineStr">
        <is>
          <t>Not verified this session</t>
        </is>
      </c>
      <c r="H71" s="34" t="inlineStr">
        <is>
          <t>Excel only</t>
        </is>
      </c>
      <c r="I71" s="34" t="inlineStr">
        <is>
          <t>2026-10-24</t>
        </is>
      </c>
      <c r="J71" s="34" t="inlineStr">
        <is>
          <t>No code recorded; application or partner referral may be required.</t>
        </is>
      </c>
    </row>
    <row r="72">
      <c r="A72" s="34" t="inlineStr">
        <is>
          <t>SB-071</t>
        </is>
      </c>
      <c r="B72" s="34" t="inlineStr">
        <is>
          <t>Fireworks AI</t>
        </is>
      </c>
      <c r="C72" s="34" t="inlineStr">
        <is>
          <t>Fireworks for Startups</t>
        </is>
      </c>
      <c r="D72" s="34" t="inlineStr">
        <is>
          <t>No code captured in Excel</t>
        </is>
      </c>
      <c r="E72" s="34" t="inlineStr"/>
      <c r="F72" s="34" t="inlineStr"/>
      <c r="G72" s="34" t="inlineStr">
        <is>
          <t>Not verified this session</t>
        </is>
      </c>
      <c r="H72" s="34" t="inlineStr">
        <is>
          <t>Excel only</t>
        </is>
      </c>
      <c r="I72" s="34" t="inlineStr">
        <is>
          <t>2026-10-24</t>
        </is>
      </c>
      <c r="J72" s="34" t="inlineStr">
        <is>
          <t>No code recorded; application or partner referral may be required.</t>
        </is>
      </c>
    </row>
    <row r="73">
      <c r="A73" s="34" t="inlineStr">
        <is>
          <t>SB-072</t>
        </is>
      </c>
      <c r="B73" s="34" t="inlineStr">
        <is>
          <t>Koyeb</t>
        </is>
      </c>
      <c r="C73" s="34" t="inlineStr">
        <is>
          <t>Koyeb free web service and Postgres</t>
        </is>
      </c>
      <c r="D73" s="34" t="inlineStr">
        <is>
          <t>No code captured in Excel</t>
        </is>
      </c>
      <c r="E73" s="34" t="inlineStr"/>
      <c r="F73" s="34" t="inlineStr"/>
      <c r="G73" s="34" t="inlineStr">
        <is>
          <t>Not verified this session</t>
        </is>
      </c>
      <c r="H73" s="34" t="inlineStr">
        <is>
          <t>Excel only</t>
        </is>
      </c>
      <c r="I73" s="34" t="inlineStr">
        <is>
          <t>2026-10-24</t>
        </is>
      </c>
      <c r="J73" s="34" t="inlineStr">
        <is>
          <t>No code recorded; application or partner referral may be required.</t>
        </is>
      </c>
    </row>
    <row r="74">
      <c r="A74" s="34" t="inlineStr">
        <is>
          <t>SB-073</t>
        </is>
      </c>
      <c r="B74" s="34" t="inlineStr">
        <is>
          <t>Linear</t>
        </is>
      </c>
      <c r="C74" s="34" t="inlineStr">
        <is>
          <t>Linear Startup Program</t>
        </is>
      </c>
      <c r="D74" s="34" t="inlineStr">
        <is>
          <t>No code captured in Excel</t>
        </is>
      </c>
      <c r="E74" s="34" t="inlineStr"/>
      <c r="F74" s="34" t="inlineStr"/>
      <c r="G74" s="34" t="inlineStr">
        <is>
          <t>Not verified this session</t>
        </is>
      </c>
      <c r="H74" s="34" t="inlineStr">
        <is>
          <t>Excel only</t>
        </is>
      </c>
      <c r="I74" s="34" t="inlineStr">
        <is>
          <t>2026-10-24</t>
        </is>
      </c>
      <c r="J74" s="34" t="inlineStr">
        <is>
          <t>No code recorded; application or partner referral may be required.</t>
        </is>
      </c>
    </row>
    <row r="75">
      <c r="A75" s="34" t="inlineStr">
        <is>
          <t>SB-074</t>
        </is>
      </c>
      <c r="B75" s="34" t="inlineStr">
        <is>
          <t>Mintlify</t>
        </is>
      </c>
      <c r="C75" s="34" t="inlineStr">
        <is>
          <t>Mintlify Startup Program</t>
        </is>
      </c>
      <c r="D75" s="34" t="inlineStr">
        <is>
          <t>No code captured in Excel</t>
        </is>
      </c>
      <c r="E75" s="34" t="inlineStr"/>
      <c r="F75" s="34" t="inlineStr"/>
      <c r="G75" s="34" t="inlineStr">
        <is>
          <t>Not verified this session</t>
        </is>
      </c>
      <c r="H75" s="34" t="inlineStr">
        <is>
          <t>Excel only</t>
        </is>
      </c>
      <c r="I75" s="34" t="inlineStr">
        <is>
          <t>2026-10-24</t>
        </is>
      </c>
      <c r="J75" s="34" t="inlineStr">
        <is>
          <t>No code recorded; application or partner referral may be required.</t>
        </is>
      </c>
    </row>
    <row r="76">
      <c r="A76" s="34" t="inlineStr">
        <is>
          <t>SB-075</t>
        </is>
      </c>
      <c r="B76" s="34" t="inlineStr">
        <is>
          <t>Modal</t>
        </is>
      </c>
      <c r="C76" s="34" t="inlineStr">
        <is>
          <t>Modal for Startups</t>
        </is>
      </c>
      <c r="D76" s="34" t="inlineStr">
        <is>
          <t>No code captured in Excel</t>
        </is>
      </c>
      <c r="E76" s="34" t="inlineStr"/>
      <c r="F76" s="34" t="inlineStr"/>
      <c r="G76" s="34" t="inlineStr">
        <is>
          <t>Not verified this session</t>
        </is>
      </c>
      <c r="H76" s="34" t="inlineStr">
        <is>
          <t>Excel only</t>
        </is>
      </c>
      <c r="I76" s="34" t="inlineStr">
        <is>
          <t>2026-10-24</t>
        </is>
      </c>
      <c r="J76" s="34" t="inlineStr">
        <is>
          <t>No code recorded; application or partner referral may be required.</t>
        </is>
      </c>
    </row>
    <row r="77">
      <c r="A77" s="34" t="inlineStr">
        <is>
          <t>SB-076</t>
        </is>
      </c>
      <c r="B77" s="34" t="inlineStr">
        <is>
          <t>MongoDB</t>
        </is>
      </c>
      <c r="C77" s="34" t="inlineStr">
        <is>
          <t>MongoDB for Startups</t>
        </is>
      </c>
      <c r="D77" s="34" t="inlineStr">
        <is>
          <t>No public code verified</t>
        </is>
      </c>
      <c r="E77" s="34" t="inlineStr">
        <is>
          <t>Not published</t>
        </is>
      </c>
      <c r="F77" s="34" t="inlineStr">
        <is>
          <t>https://www.mongodb.com/solutions/startups</t>
        </is>
      </c>
      <c r="G77" s="34" t="inlineStr">
        <is>
          <t>Not verified this session</t>
        </is>
      </c>
      <c r="H77" s="34" t="inlineStr">
        <is>
          <t>Excel + GitHub repo</t>
        </is>
      </c>
      <c r="I77" s="34" t="inlineStr">
        <is>
          <t>2026-10-24</t>
        </is>
      </c>
      <c r="J77" s="34" t="inlineStr">
        <is>
          <t>No provider-published coupon code found in the verified source; do not treat third-party codes as confirmed.</t>
        </is>
      </c>
    </row>
    <row r="78">
      <c r="A78" s="34" t="inlineStr">
        <is>
          <t>SB-077</t>
        </is>
      </c>
      <c r="B78" s="34" t="inlineStr">
        <is>
          <t>Northflank</t>
        </is>
      </c>
      <c r="C78" s="34" t="inlineStr">
        <is>
          <t>Northflank Developer Sandbox</t>
        </is>
      </c>
      <c r="D78" s="34" t="inlineStr">
        <is>
          <t>No code captured in Excel</t>
        </is>
      </c>
      <c r="E78" s="34" t="inlineStr"/>
      <c r="F78" s="34" t="inlineStr"/>
      <c r="G78" s="34" t="inlineStr">
        <is>
          <t>Not verified this session</t>
        </is>
      </c>
      <c r="H78" s="34" t="inlineStr">
        <is>
          <t>Excel only</t>
        </is>
      </c>
      <c r="I78" s="34" t="inlineStr">
        <is>
          <t>2026-10-24</t>
        </is>
      </c>
      <c r="J78" s="34" t="inlineStr">
        <is>
          <t>No code recorded; application or partner referral may be required.</t>
        </is>
      </c>
    </row>
    <row r="79">
      <c r="A79" s="34" t="inlineStr">
        <is>
          <t>SB-078</t>
        </is>
      </c>
      <c r="B79" s="34" t="inlineStr">
        <is>
          <t>NVIDIA</t>
        </is>
      </c>
      <c r="C79" s="34" t="inlineStr">
        <is>
          <t>NVIDIA Inception</t>
        </is>
      </c>
      <c r="D79" s="34" t="inlineStr">
        <is>
          <t>No public code verified</t>
        </is>
      </c>
      <c r="E79" s="34" t="inlineStr">
        <is>
          <t>Not published</t>
        </is>
      </c>
      <c r="F79" s="34" t="inlineStr">
        <is>
          <t>https://www.nvidia.com/en-us/startups/</t>
        </is>
      </c>
      <c r="G79" s="34" t="inlineStr">
        <is>
          <t>Not verified this session</t>
        </is>
      </c>
      <c r="H79" s="34" t="inlineStr">
        <is>
          <t>Excel + GitHub repo</t>
        </is>
      </c>
      <c r="I79" s="34" t="inlineStr">
        <is>
          <t>2026-10-24</t>
        </is>
      </c>
      <c r="J79" s="34" t="inlineStr">
        <is>
          <t>No provider-published coupon code found in the verified source; do not treat third-party codes as confirmed.</t>
        </is>
      </c>
    </row>
    <row r="80">
      <c r="A80" s="34" t="inlineStr">
        <is>
          <t>SB-079</t>
        </is>
      </c>
      <c r="B80" s="34" t="inlineStr">
        <is>
          <t>OpenAI</t>
        </is>
      </c>
      <c r="C80" s="34" t="inlineStr">
        <is>
          <t>OpenAI for Startups</t>
        </is>
      </c>
      <c r="D80" s="34" t="inlineStr">
        <is>
          <t>No code captured in Excel</t>
        </is>
      </c>
      <c r="E80" s="34" t="inlineStr"/>
      <c r="F80" s="34" t="inlineStr"/>
      <c r="G80" s="34" t="inlineStr">
        <is>
          <t>Not verified this session</t>
        </is>
      </c>
      <c r="H80" s="34" t="inlineStr">
        <is>
          <t>Excel only</t>
        </is>
      </c>
      <c r="I80" s="34" t="inlineStr">
        <is>
          <t>2026-10-24</t>
        </is>
      </c>
      <c r="J80" s="34" t="inlineStr">
        <is>
          <t>No code recorded; application or partner referral may be required.</t>
        </is>
      </c>
    </row>
    <row r="81">
      <c r="A81" s="34" t="inlineStr">
        <is>
          <t>SB-080</t>
        </is>
      </c>
      <c r="B81" s="34" t="inlineStr">
        <is>
          <t>OVHcloud</t>
        </is>
      </c>
      <c r="C81" s="34" t="inlineStr">
        <is>
          <t>OVHcloud Startup Program</t>
        </is>
      </c>
      <c r="D81" s="34" t="inlineStr">
        <is>
          <t>No public code verified</t>
        </is>
      </c>
      <c r="E81" s="34" t="inlineStr">
        <is>
          <t>Not published</t>
        </is>
      </c>
      <c r="F81" s="34" t="inlineStr">
        <is>
          <t>https://startup.ovhcloud.com/en/login/</t>
        </is>
      </c>
      <c r="G81" s="34" t="inlineStr">
        <is>
          <t>Not verified this session</t>
        </is>
      </c>
      <c r="H81" s="34" t="inlineStr">
        <is>
          <t>Excel + GitHub repo</t>
        </is>
      </c>
      <c r="I81" s="34" t="inlineStr">
        <is>
          <t>2026-10-24</t>
        </is>
      </c>
      <c r="J81" s="34" t="inlineStr">
        <is>
          <t>No provider-published coupon code found in the verified source; do not treat third-party codes as confirmed.</t>
        </is>
      </c>
    </row>
    <row r="82">
      <c r="A82" s="34" t="inlineStr">
        <is>
          <t>SB-081</t>
        </is>
      </c>
      <c r="B82" s="34" t="inlineStr">
        <is>
          <t>Paperspace (DigitalOcean)</t>
        </is>
      </c>
      <c r="C82" s="34" t="inlineStr">
        <is>
          <t>Paperspace Gradient free GPU notebooks</t>
        </is>
      </c>
      <c r="D82" s="34" t="inlineStr">
        <is>
          <t>No code captured in Excel</t>
        </is>
      </c>
      <c r="E82" s="34" t="inlineStr"/>
      <c r="F82" s="34" t="inlineStr"/>
      <c r="G82" s="34" t="inlineStr">
        <is>
          <t>Not verified this session</t>
        </is>
      </c>
      <c r="H82" s="34" t="inlineStr">
        <is>
          <t>Excel only</t>
        </is>
      </c>
      <c r="I82" s="34" t="inlineStr">
        <is>
          <t>2026-10-24</t>
        </is>
      </c>
      <c r="J82" s="34" t="inlineStr">
        <is>
          <t>No code recorded; application or partner referral may be required.</t>
        </is>
      </c>
    </row>
    <row r="83">
      <c r="A83" s="34" t="inlineStr">
        <is>
          <t>SB-082</t>
        </is>
      </c>
      <c r="B83" s="34" t="inlineStr">
        <is>
          <t>Pinecone</t>
        </is>
      </c>
      <c r="C83" s="34" t="inlineStr">
        <is>
          <t>Pinecone for Startups</t>
        </is>
      </c>
      <c r="D83" s="34" t="inlineStr">
        <is>
          <t>No code captured in Excel</t>
        </is>
      </c>
      <c r="E83" s="34" t="inlineStr"/>
      <c r="F83" s="34" t="inlineStr"/>
      <c r="G83" s="34" t="inlineStr">
        <is>
          <t>Not verified this session</t>
        </is>
      </c>
      <c r="H83" s="34" t="inlineStr">
        <is>
          <t>Excel only</t>
        </is>
      </c>
      <c r="I83" s="34" t="inlineStr">
        <is>
          <t>2026-10-24</t>
        </is>
      </c>
      <c r="J83" s="34" t="inlineStr">
        <is>
          <t>No code recorded; application or partner referral may be required.</t>
        </is>
      </c>
    </row>
    <row r="84">
      <c r="A84" s="34" t="inlineStr">
        <is>
          <t>SB-083</t>
        </is>
      </c>
      <c r="B84" s="34" t="inlineStr">
        <is>
          <t>RunPod</t>
        </is>
      </c>
      <c r="C84" s="34" t="inlineStr">
        <is>
          <t>RunPod referral bonus credits</t>
        </is>
      </c>
      <c r="D84" s="34" t="inlineStr">
        <is>
          <t>No code captured in Excel</t>
        </is>
      </c>
      <c r="E84" s="34" t="inlineStr"/>
      <c r="F84" s="34" t="inlineStr"/>
      <c r="G84" s="34" t="inlineStr">
        <is>
          <t>Not verified this session</t>
        </is>
      </c>
      <c r="H84" s="34" t="inlineStr">
        <is>
          <t>Excel only</t>
        </is>
      </c>
      <c r="I84" s="34" t="inlineStr">
        <is>
          <t>2026-10-24</t>
        </is>
      </c>
      <c r="J84" s="34" t="inlineStr">
        <is>
          <t>No code recorded; application or partner referral may be required.</t>
        </is>
      </c>
    </row>
    <row r="85">
      <c r="A85" s="34" t="inlineStr">
        <is>
          <t>SB-084</t>
        </is>
      </c>
      <c r="B85" s="34" t="inlineStr">
        <is>
          <t>Sarvam AI</t>
        </is>
      </c>
      <c r="C85" s="34" t="inlineStr">
        <is>
          <t>Sarvam AI Startup Program</t>
        </is>
      </c>
      <c r="D85" s="34" t="inlineStr">
        <is>
          <t>No code captured in Excel</t>
        </is>
      </c>
      <c r="E85" s="34" t="inlineStr"/>
      <c r="F85" s="34" t="inlineStr"/>
      <c r="G85" s="34" t="inlineStr">
        <is>
          <t>Not verified this session</t>
        </is>
      </c>
      <c r="H85" s="34" t="inlineStr">
        <is>
          <t>Excel only</t>
        </is>
      </c>
      <c r="I85" s="34" t="inlineStr">
        <is>
          <t>2026-10-24</t>
        </is>
      </c>
      <c r="J85" s="34" t="inlineStr">
        <is>
          <t>No code recorded; application or partner referral may be required.</t>
        </is>
      </c>
    </row>
    <row r="86">
      <c r="A86" s="34" t="inlineStr">
        <is>
          <t>SB-085</t>
        </is>
      </c>
      <c r="B86" s="34" t="inlineStr">
        <is>
          <t>Shortcut</t>
        </is>
      </c>
      <c r="C86" s="34" t="inlineStr">
        <is>
          <t>Shortcut for Startups</t>
        </is>
      </c>
      <c r="D86" s="34" t="inlineStr">
        <is>
          <t>No code captured in Excel</t>
        </is>
      </c>
      <c r="E86" s="34" t="inlineStr"/>
      <c r="F86" s="34" t="inlineStr"/>
      <c r="G86" s="34" t="inlineStr">
        <is>
          <t>Not verified this session</t>
        </is>
      </c>
      <c r="H86" s="34" t="inlineStr">
        <is>
          <t>Excel only</t>
        </is>
      </c>
      <c r="I86" s="34" t="inlineStr">
        <is>
          <t>2026-10-24</t>
        </is>
      </c>
      <c r="J86" s="34" t="inlineStr">
        <is>
          <t>No code recorded; application or partner referral may be required.</t>
        </is>
      </c>
    </row>
    <row r="87">
      <c r="A87" s="34" t="inlineStr">
        <is>
          <t>SB-086</t>
        </is>
      </c>
      <c r="B87" s="34" t="inlineStr">
        <is>
          <t>Snowflake</t>
        </is>
      </c>
      <c r="C87" s="34" t="inlineStr">
        <is>
          <t>Snowflake for Startups</t>
        </is>
      </c>
      <c r="D87" s="34" t="inlineStr">
        <is>
          <t>No code captured in Excel</t>
        </is>
      </c>
      <c r="E87" s="34" t="inlineStr"/>
      <c r="F87" s="34" t="inlineStr"/>
      <c r="G87" s="34" t="inlineStr">
        <is>
          <t>Not verified this session</t>
        </is>
      </c>
      <c r="H87" s="34" t="inlineStr">
        <is>
          <t>Excel only</t>
        </is>
      </c>
      <c r="I87" s="34" t="inlineStr">
        <is>
          <t>2026-10-24</t>
        </is>
      </c>
      <c r="J87" s="34" t="inlineStr">
        <is>
          <t>No code recorded; application or partner referral may be required.</t>
        </is>
      </c>
    </row>
    <row r="88">
      <c r="A88" s="34" t="inlineStr">
        <is>
          <t>SB-087</t>
        </is>
      </c>
      <c r="B88" s="34" t="inlineStr">
        <is>
          <t>Stripe</t>
        </is>
      </c>
      <c r="C88" s="34" t="inlineStr">
        <is>
          <t>Stripe for Startups</t>
        </is>
      </c>
      <c r="D88" s="34" t="inlineStr">
        <is>
          <t>No code captured in Excel</t>
        </is>
      </c>
      <c r="E88" s="34" t="inlineStr"/>
      <c r="F88" s="34" t="inlineStr"/>
      <c r="G88" s="34" t="inlineStr">
        <is>
          <t>Not verified this session</t>
        </is>
      </c>
      <c r="H88" s="34" t="inlineStr">
        <is>
          <t>Excel only</t>
        </is>
      </c>
      <c r="I88" s="34" t="inlineStr">
        <is>
          <t>2026-10-24</t>
        </is>
      </c>
      <c r="J88" s="34" t="inlineStr">
        <is>
          <t>No code recorded; application or partner referral may be required.</t>
        </is>
      </c>
    </row>
    <row r="89">
      <c r="A89" s="34" t="inlineStr">
        <is>
          <t>SB-088</t>
        </is>
      </c>
      <c r="B89" s="34" t="inlineStr">
        <is>
          <t>T-Systems (T Cloud Public)</t>
        </is>
      </c>
      <c r="C89" s="34" t="inlineStr">
        <is>
          <t>T Cloud Public EUR 250 starter credit</t>
        </is>
      </c>
      <c r="D89" s="34" t="inlineStr">
        <is>
          <t>No code captured in Excel</t>
        </is>
      </c>
      <c r="E89" s="34" t="inlineStr"/>
      <c r="F89" s="34" t="inlineStr"/>
      <c r="G89" s="34" t="inlineStr">
        <is>
          <t>Not verified this session</t>
        </is>
      </c>
      <c r="H89" s="34" t="inlineStr">
        <is>
          <t>Excel only</t>
        </is>
      </c>
      <c r="I89" s="34" t="inlineStr">
        <is>
          <t>2026-10-24</t>
        </is>
      </c>
      <c r="J89" s="34" t="inlineStr">
        <is>
          <t>No code recorded; application or partner referral may be required.</t>
        </is>
      </c>
    </row>
    <row r="90">
      <c r="A90" s="34" t="inlineStr">
        <is>
          <t>SB-089</t>
        </is>
      </c>
      <c r="B90" s="34" t="inlineStr">
        <is>
          <t>Tencent Cloud</t>
        </is>
      </c>
      <c r="C90" s="34" t="inlineStr">
        <is>
          <t>Tencent Cloud free tier</t>
        </is>
      </c>
      <c r="D90" s="34" t="inlineStr">
        <is>
          <t>No code captured in Excel</t>
        </is>
      </c>
      <c r="E90" s="34" t="inlineStr"/>
      <c r="F90" s="34" t="inlineStr"/>
      <c r="G90" s="34" t="inlineStr">
        <is>
          <t>Not verified this session</t>
        </is>
      </c>
      <c r="H90" s="34" t="inlineStr">
        <is>
          <t>Excel only</t>
        </is>
      </c>
      <c r="I90" s="34" t="inlineStr">
        <is>
          <t>2026-10-24</t>
        </is>
      </c>
      <c r="J90" s="34" t="inlineStr">
        <is>
          <t>No code recorded; application or partner referral may be required.</t>
        </is>
      </c>
    </row>
    <row r="91">
      <c r="A91" s="34" t="inlineStr">
        <is>
          <t>SB-090</t>
        </is>
      </c>
      <c r="B91" s="34" t="inlineStr">
        <is>
          <t>Vultr</t>
        </is>
      </c>
      <c r="C91" s="34" t="inlineStr">
        <is>
          <t>Vultr Free Tier Program</t>
        </is>
      </c>
      <c r="D91" s="34" t="inlineStr">
        <is>
          <t>No code captured in Excel</t>
        </is>
      </c>
      <c r="E91" s="34" t="inlineStr"/>
      <c r="F91" s="34" t="inlineStr"/>
      <c r="G91" s="34" t="inlineStr">
        <is>
          <t>Not verified this session</t>
        </is>
      </c>
      <c r="H91" s="34" t="inlineStr">
        <is>
          <t>Excel only</t>
        </is>
      </c>
      <c r="I91" s="34" t="inlineStr">
        <is>
          <t>2026-10-24</t>
        </is>
      </c>
      <c r="J91" s="34" t="inlineStr">
        <is>
          <t>No code recorded; application or partner referral may be required.</t>
        </is>
      </c>
    </row>
    <row r="92">
      <c r="A92" s="34" t="inlineStr">
        <is>
          <t>SB-091</t>
        </is>
      </c>
      <c r="B92" s="34" t="inlineStr">
        <is>
          <t>Anthropic</t>
        </is>
      </c>
      <c r="C92" s="34" t="inlineStr">
        <is>
          <t>Claude for Startups</t>
        </is>
      </c>
      <c r="D92" s="34" t="inlineStr">
        <is>
          <t>No code captured in Excel</t>
        </is>
      </c>
      <c r="E92" s="34" t="inlineStr"/>
      <c r="F92" s="34" t="inlineStr"/>
      <c r="G92" s="34" t="inlineStr">
        <is>
          <t>Not verified this session</t>
        </is>
      </c>
      <c r="H92" s="34" t="inlineStr">
        <is>
          <t>Excel only</t>
        </is>
      </c>
      <c r="I92" s="34" t="inlineStr">
        <is>
          <t>2026-10-24</t>
        </is>
      </c>
      <c r="J92" s="34" t="inlineStr">
        <is>
          <t>No code recorded; application or partner referral may be required.</t>
        </is>
      </c>
    </row>
    <row r="93">
      <c r="A93" s="34" t="inlineStr">
        <is>
          <t>SB-092</t>
        </is>
      </c>
      <c r="B93" s="34" t="inlineStr">
        <is>
          <t>Huawei Cloud</t>
        </is>
      </c>
      <c r="C93" s="34" t="inlineStr">
        <is>
          <t>Huawei Cloud free packages for new users</t>
        </is>
      </c>
      <c r="D93" s="34" t="inlineStr">
        <is>
          <t>No code captured in Excel</t>
        </is>
      </c>
      <c r="E93" s="34" t="inlineStr"/>
      <c r="F93" s="34" t="inlineStr"/>
      <c r="G93" s="34" t="inlineStr">
        <is>
          <t>Not verified this session</t>
        </is>
      </c>
      <c r="H93" s="34" t="inlineStr">
        <is>
          <t>Excel only</t>
        </is>
      </c>
      <c r="I93" s="34" t="inlineStr">
        <is>
          <t>2026-10-24</t>
        </is>
      </c>
      <c r="J93" s="34" t="inlineStr">
        <is>
          <t>No code recorded; application or partner referral may be required.</t>
        </is>
      </c>
    </row>
    <row r="94">
      <c r="A94" s="34" t="inlineStr">
        <is>
          <t>REPO-001</t>
        </is>
      </c>
      <c r="B94" s="34" t="inlineStr">
        <is>
          <t>ClickUp</t>
        </is>
      </c>
      <c r="C94" s="34" t="inlineStr">
        <is>
          <t>ClickUp for Startups</t>
        </is>
      </c>
      <c r="D94" s="34" t="inlineStr">
        <is>
          <t>No public code verified</t>
        </is>
      </c>
      <c r="E94" s="34" t="inlineStr">
        <is>
          <t>Not published</t>
        </is>
      </c>
      <c r="F94" s="34" t="inlineStr">
        <is>
          <t>https://clickup.com/startup-program</t>
        </is>
      </c>
      <c r="G94" s="34" t="inlineStr">
        <is>
          <t>https://clickup.com/startup-program</t>
        </is>
      </c>
      <c r="H94" s="34" t="inlineStr">
        <is>
          <t>GitHub repo only</t>
        </is>
      </c>
      <c r="I94" s="34" t="inlineStr">
        <is>
          <t>2026-10-12</t>
        </is>
      </c>
      <c r="J94" s="34" t="inlineStr">
        <is>
          <t>No provider-published coupon code found in the verified source; do not treat third-party codes as confirmed.</t>
        </is>
      </c>
    </row>
    <row r="95">
      <c r="A95" s="34" t="inlineStr">
        <is>
          <t>REPO-002</t>
        </is>
      </c>
      <c r="B95" s="34" t="inlineStr">
        <is>
          <t>Anthropic</t>
        </is>
      </c>
      <c r="C95" s="34" t="inlineStr">
        <is>
          <t>Anthropic Startup Program</t>
        </is>
      </c>
      <c r="D95" s="34" t="inlineStr">
        <is>
          <t>No public code verified</t>
        </is>
      </c>
      <c r="E95" s="34" t="inlineStr">
        <is>
          <t>Not published</t>
        </is>
      </c>
      <c r="F95" s="34" t="inlineStr">
        <is>
          <t>https://www.anthropic.com/startup-program-official-terms</t>
        </is>
      </c>
      <c r="G95" s="34" t="inlineStr">
        <is>
          <t>https://www.anthropic.com/startup-program-official-terms</t>
        </is>
      </c>
      <c r="H95" s="34" t="inlineStr">
        <is>
          <t>GitHub repo only</t>
        </is>
      </c>
      <c r="I95" s="34" t="inlineStr">
        <is>
          <t>2026-10-12</t>
        </is>
      </c>
      <c r="J95" s="34" t="inlineStr">
        <is>
          <t>No provider-published coupon code found in the verified source; do not treat third-party codes as confirmed.</t>
        </is>
      </c>
    </row>
    <row r="96">
      <c r="A96" s="34" t="inlineStr">
        <is>
          <t>REPO-003</t>
        </is>
      </c>
      <c r="B96" s="34" t="inlineStr">
        <is>
          <t>Alibaba Cloud</t>
        </is>
      </c>
      <c r="C96" s="34" t="inlineStr">
        <is>
          <t>Alibaba Cloud AI Catalyst Program</t>
        </is>
      </c>
      <c r="D96" s="34" t="inlineStr">
        <is>
          <t>No public code verified</t>
        </is>
      </c>
      <c r="E96" s="34" t="inlineStr">
        <is>
          <t>Not published</t>
        </is>
      </c>
      <c r="F96" s="34" t="inlineStr">
        <is>
          <t>https://www.alibabacloud.com/en/startup/ai?_p_lc=1</t>
        </is>
      </c>
      <c r="G96" s="34" t="inlineStr">
        <is>
          <t>https://www.alibabacloud.com/en/startup/ai?_p_lc=1</t>
        </is>
      </c>
      <c r="H96" s="34" t="inlineStr">
        <is>
          <t>GitHub repo only</t>
        </is>
      </c>
      <c r="I96" s="34" t="inlineStr">
        <is>
          <t>2026-10-12</t>
        </is>
      </c>
      <c r="J96" s="34" t="inlineStr">
        <is>
          <t>No provider-published coupon code found in the verified source; do not treat third-party codes as confirmed.</t>
        </is>
      </c>
    </row>
    <row r="97">
      <c r="A97" s="34" t="inlineStr">
        <is>
          <t>REPO-004</t>
        </is>
      </c>
      <c r="B97" s="34" t="inlineStr">
        <is>
          <t>Alibaba Cloud</t>
        </is>
      </c>
      <c r="C97" s="34" t="inlineStr">
        <is>
          <t>Alibaba Cloud Startup Catalyst Program</t>
        </is>
      </c>
      <c r="D97" s="34" t="inlineStr">
        <is>
          <t>No public code verified</t>
        </is>
      </c>
      <c r="E97" s="34" t="inlineStr">
        <is>
          <t>Not published</t>
        </is>
      </c>
      <c r="F97" s="34" t="inlineStr">
        <is>
          <t>https://www.alibabacloud.com/en/startup/cloudcreditredemption?_p_lc=1</t>
        </is>
      </c>
      <c r="G97" s="34" t="inlineStr">
        <is>
          <t>https://www.alibabacloud.com/en/startup/cloudcreditredemption?_p_lc=1</t>
        </is>
      </c>
      <c r="H97" s="34" t="inlineStr">
        <is>
          <t>GitHub repo only</t>
        </is>
      </c>
      <c r="I97" s="34" t="inlineStr">
        <is>
          <t>2026-10-12</t>
        </is>
      </c>
      <c r="J97" s="34" t="inlineStr">
        <is>
          <t>No provider-published coupon code found in the verified source; do not treat third-party codes as confirmed.</t>
        </is>
      </c>
    </row>
    <row r="98">
      <c r="A98" s="34" t="inlineStr">
        <is>
          <t>REPO-005</t>
        </is>
      </c>
      <c r="B98" s="34" t="inlineStr">
        <is>
          <t>Tencent Cloud</t>
        </is>
      </c>
      <c r="C98" s="34" t="inlineStr">
        <is>
          <t>Tencent Cloud Startup Program</t>
        </is>
      </c>
      <c r="D98" s="34" t="inlineStr">
        <is>
          <t>No public code verified</t>
        </is>
      </c>
      <c r="E98" s="34" t="inlineStr">
        <is>
          <t>Not published</t>
        </is>
      </c>
      <c r="F98" s="34" t="inlineStr">
        <is>
          <t>https://www.tencentcloud.com/campaign/startupprogram</t>
        </is>
      </c>
      <c r="G98" s="34" t="inlineStr">
        <is>
          <t>https://www.tencentcloud.com/campaign/startupprogram</t>
        </is>
      </c>
      <c r="H98" s="34" t="inlineStr">
        <is>
          <t>GitHub repo only</t>
        </is>
      </c>
      <c r="I98" s="34" t="inlineStr">
        <is>
          <t>2026-10-12</t>
        </is>
      </c>
      <c r="J98" s="34" t="inlineStr">
        <is>
          <t>No provider-published coupon code found in the verified source; do not treat third-party codes as confirmed.</t>
        </is>
      </c>
    </row>
    <row r="99">
      <c r="A99" s="34" t="inlineStr">
        <is>
          <t>REPO-006</t>
        </is>
      </c>
      <c r="B99" s="34" t="inlineStr">
        <is>
          <t>Huawei Cloud</t>
        </is>
      </c>
      <c r="C99" s="34" t="inlineStr">
        <is>
          <t>Huawei Cloud Startup Program</t>
        </is>
      </c>
      <c r="D99" s="34" t="inlineStr">
        <is>
          <t>No public code verified</t>
        </is>
      </c>
      <c r="E99" s="34" t="inlineStr">
        <is>
          <t>Not published</t>
        </is>
      </c>
      <c r="F99" s="34" t="inlineStr">
        <is>
          <t>https://startup.huaweicloud.com/intl/en-us/index.html</t>
        </is>
      </c>
      <c r="G99" s="34" t="inlineStr">
        <is>
          <t>https://startup.huaweicloud.com/intl/en-us/index.html</t>
        </is>
      </c>
      <c r="H99" s="34" t="inlineStr">
        <is>
          <t>GitHub repo only</t>
        </is>
      </c>
      <c r="I99" s="34" t="inlineStr">
        <is>
          <t>2026-10-12</t>
        </is>
      </c>
      <c r="J99" s="34" t="inlineStr">
        <is>
          <t>No provider-published coupon code found in the verified source; do not treat third-party codes as confirmed.</t>
        </is>
      </c>
    </row>
    <row r="100">
      <c r="A100" s="34" t="inlineStr">
        <is>
          <t>REPO-007</t>
        </is>
      </c>
      <c r="B100" s="34" t="inlineStr">
        <is>
          <t>Ukrainian Startup Fund</t>
        </is>
      </c>
      <c r="C100" s="34" t="inlineStr">
        <is>
          <t>Startup EDGE</t>
        </is>
      </c>
      <c r="D100" s="34" t="inlineStr">
        <is>
          <t>No public code verified</t>
        </is>
      </c>
      <c r="E100" s="34" t="inlineStr">
        <is>
          <t>Not published</t>
        </is>
      </c>
      <c r="F100" s="34" t="inlineStr">
        <is>
          <t>https://usf.com.ua/en/programs/startup-edge</t>
        </is>
      </c>
      <c r="G100" s="34" t="inlineStr">
        <is>
          <t>https://usf.com.ua/en/programs/startup-edge</t>
        </is>
      </c>
      <c r="H100" s="34" t="inlineStr">
        <is>
          <t>GitHub repo only</t>
        </is>
      </c>
      <c r="I100" s="34" t="inlineStr">
        <is>
          <t>2026-10-12</t>
        </is>
      </c>
      <c r="J100" s="34" t="inlineStr">
        <is>
          <t>No provider-published coupon code found in the verified source; do not treat third-party codes as confirmed.</t>
        </is>
      </c>
    </row>
    <row r="101">
      <c r="A101" s="34" t="inlineStr">
        <is>
          <t>REPO-008</t>
        </is>
      </c>
      <c r="B101" s="34" t="inlineStr">
        <is>
          <t>Ukrainian Startup Fund</t>
        </is>
      </c>
      <c r="C101" s="34" t="inlineStr">
        <is>
          <t>Ukrainian Startup Fund — ecosystem programs</t>
        </is>
      </c>
      <c r="D101" s="34" t="inlineStr">
        <is>
          <t>No public code verified</t>
        </is>
      </c>
      <c r="E101" s="34" t="inlineStr">
        <is>
          <t>Not published</t>
        </is>
      </c>
      <c r="F101" s="34" t="inlineStr">
        <is>
          <t>https://usf.com.ua/en/</t>
        </is>
      </c>
      <c r="G101" s="34" t="inlineStr">
        <is>
          <t>https://usf.com.ua/en/</t>
        </is>
      </c>
      <c r="H101" s="34" t="inlineStr">
        <is>
          <t>GitHub repo only</t>
        </is>
      </c>
      <c r="I101" s="34" t="inlineStr">
        <is>
          <t>2026-10-12</t>
        </is>
      </c>
      <c r="J101" s="34" t="inlineStr">
        <is>
          <t>No provider-published coupon code found in the verified source; do not treat third-party codes as confirmed.</t>
        </is>
      </c>
    </row>
    <row r="102">
      <c r="A102" s="34" t="inlineStr">
        <is>
          <t>REPO-009</t>
        </is>
      </c>
      <c r="B102" s="34" t="inlineStr">
        <is>
          <t>Ministry of Digital Transformation of Ukraine / Diia City</t>
        </is>
      </c>
      <c r="C102" s="34" t="inlineStr">
        <is>
          <t>Diia City residency</t>
        </is>
      </c>
      <c r="D102" s="34" t="inlineStr">
        <is>
          <t>No public code verified</t>
        </is>
      </c>
      <c r="E102" s="34" t="inlineStr">
        <is>
          <t>Not published</t>
        </is>
      </c>
      <c r="F102" s="34" t="inlineStr">
        <is>
          <t>https://city.diia.gov.ua/en/</t>
        </is>
      </c>
      <c r="G102" s="34" t="inlineStr">
        <is>
          <t>https://city.diia.gov.ua/en/</t>
        </is>
      </c>
      <c r="H102" s="34" t="inlineStr">
        <is>
          <t>GitHub repo only</t>
        </is>
      </c>
      <c r="I102" s="34" t="inlineStr">
        <is>
          <t>2026-10-12</t>
        </is>
      </c>
      <c r="J102" s="34" t="inlineStr">
        <is>
          <t>No provider-published coupon code found in the verified source; do not treat third-party codes as confirmed.</t>
        </is>
      </c>
    </row>
    <row r="103">
      <c r="A103" s="34" t="inlineStr">
        <is>
          <t>REPO-010</t>
        </is>
      </c>
      <c r="B103" s="34" t="inlineStr">
        <is>
          <t>HubSpot</t>
        </is>
      </c>
      <c r="C103" s="34" t="inlineStr">
        <is>
          <t>HubSpot for Startups</t>
        </is>
      </c>
      <c r="D103" s="34" t="inlineStr">
        <is>
          <t>No public code verified</t>
        </is>
      </c>
      <c r="E103" s="34" t="inlineStr">
        <is>
          <t>Not published</t>
        </is>
      </c>
      <c r="F103" s="34" t="inlineStr">
        <is>
          <t>https://app.hubspot.com/signup-hubspot/hubspot-for-startups</t>
        </is>
      </c>
      <c r="G103" s="34" t="inlineStr">
        <is>
          <t>https://app.hubspot.com/signup-hubspot/hubspot-for-startups</t>
        </is>
      </c>
      <c r="H103" s="34" t="inlineStr">
        <is>
          <t>GitHub repo only</t>
        </is>
      </c>
      <c r="I103" s="34" t="inlineStr">
        <is>
          <t>2026-10-12</t>
        </is>
      </c>
      <c r="J103" s="34" t="inlineStr">
        <is>
          <t>No provider-published coupon code found in the verified source; do not treat third-party codes as confirmed.</t>
        </is>
      </c>
    </row>
    <row r="104">
      <c r="A104" s="34" t="inlineStr">
        <is>
          <t>REPO-011</t>
        </is>
      </c>
      <c r="B104" s="34" t="inlineStr">
        <is>
          <t>Enterprise Singapore</t>
        </is>
      </c>
      <c r="C104" s="34" t="inlineStr">
        <is>
          <t>Startup SG Founder</t>
        </is>
      </c>
      <c r="D104" s="34" t="inlineStr">
        <is>
          <t>No public code verified</t>
        </is>
      </c>
      <c r="E104" s="34" t="inlineStr">
        <is>
          <t>Not published</t>
        </is>
      </c>
      <c r="F104" s="34" t="inlineStr">
        <is>
          <t>https://www.startupsg.gov.sg/programmes/4894/startup-sg-founder/apply</t>
        </is>
      </c>
      <c r="G104" s="34" t="inlineStr">
        <is>
          <t>https://www.startupsg.gov.sg/programmes/4894/startup-sg-founder/apply</t>
        </is>
      </c>
      <c r="H104" s="34" t="inlineStr">
        <is>
          <t>GitHub repo only</t>
        </is>
      </c>
      <c r="I104" s="34" t="inlineStr">
        <is>
          <t>2026-10-12</t>
        </is>
      </c>
      <c r="J104" s="34" t="inlineStr">
        <is>
          <t>No provider-published coupon code found in the verified source; do not treat third-party codes as confirmed.</t>
        </is>
      </c>
    </row>
    <row r="105">
      <c r="A105" s="34" t="inlineStr">
        <is>
          <t>REPO-012</t>
        </is>
      </c>
      <c r="B105" s="34" t="inlineStr">
        <is>
          <t>CORFO / Start-Up Chile</t>
        </is>
      </c>
      <c r="C105" s="34" t="inlineStr">
        <is>
          <t>Start-Up Chile — Build / Ignite / Growth</t>
        </is>
      </c>
      <c r="D105" s="34" t="inlineStr">
        <is>
          <t>No public code verified</t>
        </is>
      </c>
      <c r="E105" s="34" t="inlineStr">
        <is>
          <t>Not published</t>
        </is>
      </c>
      <c r="F105" s="34" t="inlineStr">
        <is>
          <t>https://startupchile.org/en/apply/</t>
        </is>
      </c>
      <c r="G105" s="34" t="inlineStr">
        <is>
          <t>https://startupchile.org/en/apply/</t>
        </is>
      </c>
      <c r="H105" s="34" t="inlineStr">
        <is>
          <t>GitHub repo only</t>
        </is>
      </c>
      <c r="I105" s="34" t="inlineStr">
        <is>
          <t>2026-10-12</t>
        </is>
      </c>
      <c r="J105" s="34" t="inlineStr">
        <is>
          <t>No provider-published coupon code found in the verified source; do not treat third-party codes as confirmed.</t>
        </is>
      </c>
    </row>
    <row r="106">
      <c r="A106" s="34" t="inlineStr">
        <is>
          <t>REPO-013</t>
        </is>
      </c>
      <c r="B106" s="34" t="inlineStr">
        <is>
          <t>Akamai</t>
        </is>
      </c>
      <c r="C106" s="34" t="inlineStr">
        <is>
          <t>Akamai Cloud Rise</t>
        </is>
      </c>
      <c r="D106" s="34" t="inlineStr">
        <is>
          <t>No public code verified</t>
        </is>
      </c>
      <c r="E106" s="34" t="inlineStr">
        <is>
          <t>Not published</t>
        </is>
      </c>
      <c r="F106" s="34" t="inlineStr">
        <is>
          <t>https://www.akamai.com/cloud/start-ups/rise</t>
        </is>
      </c>
      <c r="G106" s="34" t="inlineStr">
        <is>
          <t>https://www.akamai.com/cloud/start-ups/rise</t>
        </is>
      </c>
      <c r="H106" s="34" t="inlineStr">
        <is>
          <t>GitHub repo only</t>
        </is>
      </c>
      <c r="I106" s="34" t="inlineStr">
        <is>
          <t>2026-10-14</t>
        </is>
      </c>
      <c r="J106" s="34" t="inlineStr">
        <is>
          <t>No provider-published coupon code found in the verified source; do not treat third-party codes as confirmed.</t>
        </is>
      </c>
    </row>
    <row r="107">
      <c r="A107" s="34" t="inlineStr">
        <is>
          <t>REPO-014</t>
        </is>
      </c>
      <c r="B107" s="34" t="inlineStr">
        <is>
          <t>DPIIT / Startup India</t>
        </is>
      </c>
      <c r="C107" s="34" t="inlineStr">
        <is>
          <t>Startup India Seed Fund Scheme</t>
        </is>
      </c>
      <c r="D107" s="34" t="inlineStr">
        <is>
          <t>No public code verified</t>
        </is>
      </c>
      <c r="E107" s="34" t="inlineStr">
        <is>
          <t>Not published</t>
        </is>
      </c>
      <c r="F107" s="34" t="inlineStr">
        <is>
          <t>https://seedfund.startupindia.gov.in/</t>
        </is>
      </c>
      <c r="G107" s="34" t="inlineStr">
        <is>
          <t>https://seedfund.startupindia.gov.in/</t>
        </is>
      </c>
      <c r="H107" s="34" t="inlineStr">
        <is>
          <t>GitHub repo only</t>
        </is>
      </c>
      <c r="I107" s="34" t="inlineStr">
        <is>
          <t>2026-10-14</t>
        </is>
      </c>
      <c r="J107" s="34" t="inlineStr">
        <is>
          <t>No provider-published coupon code found in the verified source; do not treat third-party codes as confirmed.</t>
        </is>
      </c>
    </row>
    <row r="108">
      <c r="A108" s="34" t="inlineStr">
        <is>
          <t>REPO-015</t>
        </is>
      </c>
      <c r="B108" s="34" t="inlineStr">
        <is>
          <t>Government of India / DPIIT / NCGTC</t>
        </is>
      </c>
      <c r="C108" s="34" t="inlineStr">
        <is>
          <t>Credit Guarantee Scheme for Startups</t>
        </is>
      </c>
      <c r="D108" s="34" t="inlineStr">
        <is>
          <t>No public code verified</t>
        </is>
      </c>
      <c r="E108" s="34" t="inlineStr">
        <is>
          <t>Not published</t>
        </is>
      </c>
      <c r="F108" s="34" t="inlineStr">
        <is>
          <t>https://www.startupindia.gov.in/content/sih/en/credit-guarantee-scheme-for-startups.html</t>
        </is>
      </c>
      <c r="G108" s="34" t="inlineStr">
        <is>
          <t>https://www.startupindia.gov.in/content/sih/en/credit-guarantee-scheme-for-startups.html</t>
        </is>
      </c>
      <c r="H108" s="34" t="inlineStr">
        <is>
          <t>GitHub repo only</t>
        </is>
      </c>
      <c r="I108" s="34" t="inlineStr">
        <is>
          <t>2026-10-14</t>
        </is>
      </c>
      <c r="J108" s="34" t="inlineStr">
        <is>
          <t>No provider-published coupon code found in the verified source; do not treat third-party codes as confirmed.</t>
        </is>
      </c>
    </row>
    <row r="109">
      <c r="A109" s="34" t="inlineStr">
        <is>
          <t>REPO-016</t>
        </is>
      </c>
      <c r="B109" s="34" t="inlineStr">
        <is>
          <t>Government of Ontario / MaRS</t>
        </is>
      </c>
      <c r="C109" s="34" t="inlineStr">
        <is>
          <t>Investment Accelerator Fund</t>
        </is>
      </c>
      <c r="D109" s="34" t="inlineStr">
        <is>
          <t>No public code verified</t>
        </is>
      </c>
      <c r="E109" s="34" t="inlineStr">
        <is>
          <t>Not published</t>
        </is>
      </c>
      <c r="F109" s="34" t="inlineStr">
        <is>
          <t>https://sbs-spe.feddevontario.canada.ca/en/technology-and-innovation-financial-support</t>
        </is>
      </c>
      <c r="G109" s="34" t="inlineStr">
        <is>
          <t>https://sbs-spe.feddevontario.canada.ca/en/technology-and-innovation-financial-support</t>
        </is>
      </c>
      <c r="H109" s="34" t="inlineStr">
        <is>
          <t>GitHub repo only</t>
        </is>
      </c>
      <c r="I109" s="34" t="inlineStr">
        <is>
          <t>2026-10-14</t>
        </is>
      </c>
      <c r="J109" s="34" t="inlineStr">
        <is>
          <t>No provider-published coupon code found in the verified source; do not treat third-party codes as confirmed.</t>
        </is>
      </c>
    </row>
    <row r="110">
      <c r="A110" s="34" t="inlineStr">
        <is>
          <t>REPO-017</t>
        </is>
      </c>
      <c r="B110" s="34" t="inlineStr">
        <is>
          <t>Trade Commissioner Service, Government of Canada</t>
        </is>
      </c>
      <c r="C110" s="34" t="inlineStr">
        <is>
          <t>CanExport Innovation</t>
        </is>
      </c>
      <c r="D110" s="34" t="inlineStr">
        <is>
          <t>No public code verified</t>
        </is>
      </c>
      <c r="E110" s="34" t="inlineStr">
        <is>
          <t>Not published</t>
        </is>
      </c>
      <c r="F110" s="34" t="inlineStr">
        <is>
          <t>https://www.tradecommissioner.gc.ca/en/our-solutions/funding-financing-international-business/canexport-innovation.html</t>
        </is>
      </c>
      <c r="G110" s="34" t="inlineStr">
        <is>
          <t>https://www.tradecommissioner.gc.ca/en/our-solutions/funding-financing-international-business/canexport-innovation.html</t>
        </is>
      </c>
      <c r="H110" s="34" t="inlineStr">
        <is>
          <t>GitHub repo only</t>
        </is>
      </c>
      <c r="I110" s="34" t="inlineStr">
        <is>
          <t>2026-10-14</t>
        </is>
      </c>
      <c r="J110" s="34" t="inlineStr">
        <is>
          <t>No provider-published coupon code found in the verified source; do not treat third-party codes as confirmed.</t>
        </is>
      </c>
    </row>
    <row r="111">
      <c r="A111" s="34" t="inlineStr">
        <is>
          <t>REPO-018</t>
        </is>
      </c>
      <c r="B111" s="34" t="inlineStr">
        <is>
          <t>Australian Government / DISR / ATO</t>
        </is>
      </c>
      <c r="C111" s="34" t="inlineStr">
        <is>
          <t>Australian R&amp;D Tax Incentive</t>
        </is>
      </c>
      <c r="D111" s="34" t="inlineStr">
        <is>
          <t>No public code verified</t>
        </is>
      </c>
      <c r="E111" s="34" t="inlineStr">
        <is>
          <t>Not published</t>
        </is>
      </c>
      <c r="F111" s="34" t="inlineStr">
        <is>
          <t>https://business.gov.au/grants-and-programs/research-and-development-tax-incentive/overview-of-rd-tax-incentive</t>
        </is>
      </c>
      <c r="G111" s="34" t="inlineStr">
        <is>
          <t>https://business.gov.au/grants-and-programs/research-and-development-tax-incentive/overview-of-rd-tax-incentive</t>
        </is>
      </c>
      <c r="H111" s="34" t="inlineStr">
        <is>
          <t>GitHub repo only</t>
        </is>
      </c>
      <c r="I111" s="34" t="inlineStr">
        <is>
          <t>2026-10-14</t>
        </is>
      </c>
      <c r="J111" s="34" t="inlineStr">
        <is>
          <t>No provider-published coupon code found in the verified source; do not treat third-party codes as confirmed.</t>
        </is>
      </c>
    </row>
    <row r="112">
      <c r="A112" s="34" t="inlineStr">
        <is>
          <t>REPO-019</t>
        </is>
      </c>
      <c r="B112" s="34" t="inlineStr">
        <is>
          <t>BIC Innovation / UK Government business finance directory</t>
        </is>
      </c>
      <c r="C112" s="34" t="inlineStr">
        <is>
          <t>BIC Innovation Grant Sunderland</t>
        </is>
      </c>
      <c r="D112" s="34" t="inlineStr">
        <is>
          <t>No public code verified</t>
        </is>
      </c>
      <c r="E112" s="34" t="inlineStr">
        <is>
          <t>Not published</t>
        </is>
      </c>
      <c r="F112" s="34" t="inlineStr">
        <is>
          <t>https://www.gov.uk/business-finance-support/bic-innovation-grant-sunderland</t>
        </is>
      </c>
      <c r="G112" s="34" t="inlineStr">
        <is>
          <t>https://www.gov.uk/business-finance-support/bic-innovation-grant-sunderland</t>
        </is>
      </c>
      <c r="H112" s="34" t="inlineStr">
        <is>
          <t>GitHub repo only</t>
        </is>
      </c>
      <c r="I112" s="34" t="inlineStr">
        <is>
          <t>2026-10-14</t>
        </is>
      </c>
      <c r="J112" s="34" t="inlineStr">
        <is>
          <t>No provider-published coupon code found in the verified source; do not treat third-party codes as confirmed.</t>
        </is>
      </c>
    </row>
    <row r="113">
      <c r="A113" s="34" t="inlineStr">
        <is>
          <t>REPO-020</t>
        </is>
      </c>
      <c r="B113" s="34" t="inlineStr">
        <is>
          <t>Bpifrance</t>
        </is>
      </c>
      <c r="C113" s="34" t="inlineStr">
        <is>
          <t>Bourse French Tech</t>
        </is>
      </c>
      <c r="D113" s="34" t="inlineStr">
        <is>
          <t>No public code verified</t>
        </is>
      </c>
      <c r="E113" s="34" t="inlineStr">
        <is>
          <t>Not published</t>
        </is>
      </c>
      <c r="F113" s="34" t="inlineStr">
        <is>
          <t>https://www.bpifrance.fr/catalogue-offres/bourse-french-tech</t>
        </is>
      </c>
      <c r="G113" s="34" t="inlineStr">
        <is>
          <t>https://www.bpifrance.fr/catalogue-offres/bourse-french-tech</t>
        </is>
      </c>
      <c r="H113" s="34" t="inlineStr">
        <is>
          <t>GitHub repo only</t>
        </is>
      </c>
      <c r="I113" s="34" t="inlineStr">
        <is>
          <t>2026-10-14</t>
        </is>
      </c>
      <c r="J113" s="34" t="inlineStr">
        <is>
          <t>No provider-published coupon code found in the verified source; do not treat third-party codes as confirmed.</t>
        </is>
      </c>
    </row>
    <row r="114">
      <c r="A114" s="34" t="inlineStr">
        <is>
          <t>REPO-021</t>
        </is>
      </c>
      <c r="B114" s="34" t="inlineStr">
        <is>
          <t>Bpifrance</t>
        </is>
      </c>
      <c r="C114" s="34" t="inlineStr">
        <is>
          <t>French Tech Emergence</t>
        </is>
      </c>
      <c r="D114" s="34" t="inlineStr">
        <is>
          <t>No public code verified</t>
        </is>
      </c>
      <c r="E114" s="34" t="inlineStr">
        <is>
          <t>Not published</t>
        </is>
      </c>
      <c r="F114" s="34" t="inlineStr">
        <is>
          <t>https://www.bpifrance.fr/catalogue-offres/bourse-french-tech-emergence</t>
        </is>
      </c>
      <c r="G114" s="34" t="inlineStr">
        <is>
          <t>https://www.bpifrance.fr/catalogue-offres/bourse-french-tech-emergence</t>
        </is>
      </c>
      <c r="H114" s="34" t="inlineStr">
        <is>
          <t>GitHub repo only</t>
        </is>
      </c>
      <c r="I114" s="34" t="inlineStr">
        <is>
          <t>2026-10-14</t>
        </is>
      </c>
      <c r="J114" s="34" t="inlineStr">
        <is>
          <t>No provider-published coupon code found in the verified source; do not treat third-party codes as confirmed.</t>
        </is>
      </c>
    </row>
    <row r="115">
      <c r="A115" s="34" t="inlineStr">
        <is>
          <t>REPO-022</t>
        </is>
      </c>
      <c r="B115" s="34" t="inlineStr">
        <is>
          <t>NEDO</t>
        </is>
      </c>
      <c r="C115" s="34" t="inlineStr">
        <is>
          <t>NEDO Deep-Tech Startups Support — International Joint R&amp;D</t>
        </is>
      </c>
      <c r="D115" s="34" t="inlineStr">
        <is>
          <t>No public code verified</t>
        </is>
      </c>
      <c r="E115" s="34" t="inlineStr">
        <is>
          <t>Not published</t>
        </is>
      </c>
      <c r="F115" s="34" t="inlineStr">
        <is>
          <t>https://www.nedo.go.jp/english/activities/activities_ZZJP_100262.html</t>
        </is>
      </c>
      <c r="G115" s="34" t="inlineStr">
        <is>
          <t>https://www.nedo.go.jp/english/activities/activities_ZZJP_100262.html</t>
        </is>
      </c>
      <c r="H115" s="34" t="inlineStr">
        <is>
          <t>GitHub repo only</t>
        </is>
      </c>
      <c r="I115" s="34" t="inlineStr">
        <is>
          <t>2026-10-14</t>
        </is>
      </c>
      <c r="J115" s="34" t="inlineStr">
        <is>
          <t>No provider-published coupon code found in the verified source; do not treat third-party codes as confirmed.</t>
        </is>
      </c>
    </row>
    <row r="116">
      <c r="A116" s="34" t="inlineStr">
        <is>
          <t>REPO-023</t>
        </is>
      </c>
      <c r="B116" s="34" t="inlineStr">
        <is>
          <t>Miro</t>
        </is>
      </c>
      <c r="C116" s="34" t="inlineStr">
        <is>
          <t>Miro Startup Program</t>
        </is>
      </c>
      <c r="D116" s="34" t="inlineStr">
        <is>
          <t>No public code verified</t>
        </is>
      </c>
      <c r="E116" s="34" t="inlineStr">
        <is>
          <t>Not published</t>
        </is>
      </c>
      <c r="F116" s="34" t="inlineStr">
        <is>
          <t>https://miro.com/startups/apply/</t>
        </is>
      </c>
      <c r="G116" s="34" t="inlineStr">
        <is>
          <t>https://miro.com/startups/apply/</t>
        </is>
      </c>
      <c r="H116" s="34" t="inlineStr">
        <is>
          <t>GitHub repo only</t>
        </is>
      </c>
      <c r="I116" s="34" t="inlineStr">
        <is>
          <t>2026-10-14</t>
        </is>
      </c>
      <c r="J116" s="34" t="inlineStr">
        <is>
          <t>Partner link or official application is required.</t>
        </is>
      </c>
    </row>
    <row r="117">
      <c r="A117" s="34" t="inlineStr">
        <is>
          <t>REPO-024</t>
        </is>
      </c>
      <c r="B117" s="34" t="inlineStr">
        <is>
          <t>Airtable</t>
        </is>
      </c>
      <c r="C117" s="34" t="inlineStr">
        <is>
          <t>Airtable for Startups</t>
        </is>
      </c>
      <c r="D117" s="34" t="inlineStr">
        <is>
          <t>No public code verified</t>
        </is>
      </c>
      <c r="E117" s="34" t="inlineStr">
        <is>
          <t>Not published</t>
        </is>
      </c>
      <c r="F117" s="34" t="inlineStr">
        <is>
          <t>https://www.airtable.com/startups</t>
        </is>
      </c>
      <c r="G117" s="34" t="inlineStr">
        <is>
          <t>https://www.airtable.com/startups</t>
        </is>
      </c>
      <c r="H117" s="34" t="inlineStr">
        <is>
          <t>GitHub repo only</t>
        </is>
      </c>
      <c r="I117" s="34" t="inlineStr">
        <is>
          <t>2026-10-14</t>
        </is>
      </c>
      <c r="J117" s="34" t="inlineStr">
        <is>
          <t>Official startup form; no public coupon code.</t>
        </is>
      </c>
    </row>
    <row r="118">
      <c r="A118" s="34" t="inlineStr">
        <is>
          <t>REPO-025</t>
        </is>
      </c>
      <c r="B118" s="34" t="inlineStr">
        <is>
          <t>Deepgram</t>
        </is>
      </c>
      <c r="C118" s="34" t="inlineStr">
        <is>
          <t>Deepgram for Startups</t>
        </is>
      </c>
      <c r="D118" s="34" t="inlineStr">
        <is>
          <t>No public code verified</t>
        </is>
      </c>
      <c r="E118" s="34" t="inlineStr">
        <is>
          <t>Not published</t>
        </is>
      </c>
      <c r="F118" s="34" t="inlineStr">
        <is>
          <t>https://deepgram.com/startup-program</t>
        </is>
      </c>
      <c r="G118" s="34" t="inlineStr">
        <is>
          <t>https://deepgram.com/startup-program</t>
        </is>
      </c>
      <c r="H118" s="34" t="inlineStr">
        <is>
          <t>GitHub repo only</t>
        </is>
      </c>
      <c r="I118" s="34" t="inlineStr">
        <is>
          <t>2026-10-14</t>
        </is>
      </c>
      <c r="J118" s="34" t="inlineStr">
        <is>
          <t>Application and Project ID required; no public coupon code.</t>
        </is>
      </c>
    </row>
    <row r="119">
      <c r="A119" s="34" t="inlineStr">
        <is>
          <t>REPO-026</t>
        </is>
      </c>
      <c r="B119" s="34" t="inlineStr">
        <is>
          <t>Vultr</t>
        </is>
      </c>
      <c r="C119" s="34" t="inlineStr">
        <is>
          <t>Vultr Promotional Credits</t>
        </is>
      </c>
      <c r="D119" s="34" t="inlineStr">
        <is>
          <t>Official code available</t>
        </is>
      </c>
      <c r="E119" s="34" t="inlineStr">
        <is>
          <t>VULTRMATCH; FLYTWOHUNDRED; FLY300VULTR; 250VULTRFLY</t>
        </is>
      </c>
      <c r="F119" s="34" t="inlineStr">
        <is>
          <t>https://www.vultr.com/coupons/</t>
        </is>
      </c>
      <c r="G119" s="34" t="inlineStr">
        <is>
          <t>https://www.vultr.com/coupons/</t>
        </is>
      </c>
      <c r="H119" s="34" t="inlineStr">
        <is>
          <t>GitHub repo only</t>
        </is>
      </c>
      <c r="I119" s="34" t="inlineStr">
        <is>
          <t>2026-10-14</t>
        </is>
      </c>
      <c r="J119" s="34" t="inlineStr">
        <is>
          <t>Codes published on Vultr coupon page; new customers and selected products.</t>
        </is>
      </c>
    </row>
  </sheetData>
  <autoFilter ref="A1:J1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8064A2"/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45" customWidth="1" style="17" min="2" max="2"/>
    <col width="19" customWidth="1" style="17" min="3" max="3"/>
    <col width="12" customWidth="1" style="17" min="4" max="4"/>
    <col width="45" customWidth="1" style="17" min="5" max="5"/>
    <col width="19" customWidth="1" style="17" min="6" max="6"/>
    <col width="16" customWidth="1" style="17" min="7" max="7"/>
    <col width="17" customWidth="1" style="17" min="8" max="8"/>
    <col width="15" customWidth="1" style="17" min="9" max="9"/>
  </cols>
  <sheetData>
    <row r="1">
      <c r="A1" s="36" t="inlineStr">
        <is>
          <t>Record A</t>
        </is>
      </c>
      <c r="B1" s="36" t="inlineStr">
        <is>
          <t>Program A</t>
        </is>
      </c>
      <c r="C1" s="36" t="inlineStr">
        <is>
          <t>Provider A</t>
        </is>
      </c>
      <c r="D1" s="36" t="inlineStr">
        <is>
          <t>Record B</t>
        </is>
      </c>
      <c r="E1" s="36" t="inlineStr">
        <is>
          <t>Program B</t>
        </is>
      </c>
      <c r="F1" s="36" t="inlineStr">
        <is>
          <t>Provider B</t>
        </is>
      </c>
      <c r="G1" s="36" t="inlineStr">
        <is>
          <t>Similarity Score</t>
        </is>
      </c>
      <c r="H1" s="36" t="inlineStr">
        <is>
          <t>Reason</t>
        </is>
      </c>
      <c r="I1" s="36" t="inlineStr">
        <is>
          <t>Review Decision</t>
        </is>
      </c>
    </row>
    <row r="2">
      <c r="A2" s="34" t="inlineStr">
        <is>
          <t>SB-001</t>
        </is>
      </c>
      <c r="B2" s="34" t="inlineStr">
        <is>
          <t>AWS Activate Founders</t>
        </is>
      </c>
      <c r="C2" s="34" t="inlineStr">
        <is>
          <t>Amazon Web Services</t>
        </is>
      </c>
      <c r="D2" s="34" t="inlineStr">
        <is>
          <t>SB-002</t>
        </is>
      </c>
      <c r="E2" s="34" t="inlineStr">
        <is>
          <t>AWS Activate Portfolio</t>
        </is>
      </c>
      <c r="F2" s="34" t="inlineStr">
        <is>
          <t>Amazon Web Services</t>
        </is>
      </c>
      <c r="G2" s="34" t="n">
        <v>0.5</v>
      </c>
      <c r="H2" s="34" t="inlineStr">
        <is>
          <t>Same official URL</t>
        </is>
      </c>
      <c r="I2" s="34" t="inlineStr">
        <is>
          <t>Pending</t>
        </is>
      </c>
    </row>
    <row r="3">
      <c r="A3" s="34" t="inlineStr">
        <is>
          <t>SB-001</t>
        </is>
      </c>
      <c r="B3" s="34" t="inlineStr">
        <is>
          <t>AWS Activate Founders</t>
        </is>
      </c>
      <c r="C3" s="34" t="inlineStr">
        <is>
          <t>Amazon Web Services</t>
        </is>
      </c>
      <c r="D3" s="34" t="inlineStr">
        <is>
          <t>SB-003</t>
        </is>
      </c>
      <c r="E3" s="34" t="inlineStr">
        <is>
          <t>AWS Credits for AI Startups</t>
        </is>
      </c>
      <c r="F3" s="34" t="inlineStr">
        <is>
          <t>Amazon Web Services</t>
        </is>
      </c>
      <c r="G3" s="34" t="n">
        <v>0.143</v>
      </c>
      <c r="H3" s="34" t="inlineStr">
        <is>
          <t>Same official URL</t>
        </is>
      </c>
      <c r="I3" s="34" t="inlineStr">
        <is>
          <t>Pending</t>
        </is>
      </c>
    </row>
    <row r="4">
      <c r="A4" s="34" t="inlineStr">
        <is>
          <t>SB-002</t>
        </is>
      </c>
      <c r="B4" s="34" t="inlineStr">
        <is>
          <t>AWS Activate Portfolio</t>
        </is>
      </c>
      <c r="C4" s="34" t="inlineStr">
        <is>
          <t>Amazon Web Services</t>
        </is>
      </c>
      <c r="D4" s="34" t="inlineStr">
        <is>
          <t>SB-003</t>
        </is>
      </c>
      <c r="E4" s="34" t="inlineStr">
        <is>
          <t>AWS Credits for AI Startups</t>
        </is>
      </c>
      <c r="F4" s="34" t="inlineStr">
        <is>
          <t>Amazon Web Services</t>
        </is>
      </c>
      <c r="G4" s="34" t="n">
        <v>0.143</v>
      </c>
      <c r="H4" s="34" t="inlineStr">
        <is>
          <t>Same official URL</t>
        </is>
      </c>
      <c r="I4" s="34" t="inlineStr">
        <is>
          <t>Pending</t>
        </is>
      </c>
    </row>
    <row r="5">
      <c r="A5" s="34" t="inlineStr">
        <is>
          <t>SB-005</t>
        </is>
      </c>
      <c r="B5" s="34" t="inlineStr">
        <is>
          <t>Google for Startups Cloud Program - Start tier</t>
        </is>
      </c>
      <c r="C5" s="34" t="inlineStr">
        <is>
          <t>Google Cloud</t>
        </is>
      </c>
      <c r="D5" s="34" t="inlineStr">
        <is>
          <t>SB-006</t>
        </is>
      </c>
      <c r="E5" s="34" t="inlineStr">
        <is>
          <t>Google for Startups Cloud Program - Scale / Scale AI</t>
        </is>
      </c>
      <c r="F5" s="34" t="inlineStr">
        <is>
          <t>Google Cloud</t>
        </is>
      </c>
      <c r="G5" s="34" t="n">
        <v>0.556</v>
      </c>
      <c r="H5" s="34" t="inlineStr">
        <is>
          <t>Same official URL</t>
        </is>
      </c>
      <c r="I5" s="34" t="inlineStr">
        <is>
          <t>Pending</t>
        </is>
      </c>
    </row>
  </sheetData>
  <autoFilter ref="A1:I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17" min="1" max="1"/>
    <col width="45" customWidth="1" style="17" min="2" max="2"/>
    <col width="21" customWidth="1" style="17" min="3" max="3"/>
    <col width="45" customWidth="1" style="17" min="4" max="4"/>
  </cols>
  <sheetData>
    <row r="1">
      <c r="A1" s="37" t="inlineStr">
        <is>
          <t>Source Type</t>
        </is>
      </c>
      <c r="B1" s="37" t="inlineStr">
        <is>
          <t>Path</t>
        </is>
      </c>
      <c r="C1" s="37" t="inlineStr">
        <is>
          <t>Rows Included</t>
        </is>
      </c>
      <c r="D1" s="37" t="inlineStr">
        <is>
          <t>Role</t>
        </is>
      </c>
    </row>
    <row r="2">
      <c r="A2" s="34" t="inlineStr">
        <is>
          <t>Excel attachment</t>
        </is>
      </c>
      <c r="B2" s="34" t="inlineStr">
        <is>
          <t>/home/ubuntu/upload/Global_Startup_Grants_AI_Credits_SaaS_Benefits.xlsx</t>
        </is>
      </c>
      <c r="C2" s="34" t="n">
        <v>92</v>
      </c>
      <c r="D2" s="34" t="inlineStr">
        <is>
          <t>Master Database and supporting sheets</t>
        </is>
      </c>
    </row>
    <row r="3">
      <c r="A3" s="34" t="inlineStr">
        <is>
          <t>GitHub repository</t>
        </is>
      </c>
      <c r="B3" s="34" t="inlineStr">
        <is>
          <t>programs.csv</t>
        </is>
      </c>
      <c r="C3" s="34" t="n">
        <v>38</v>
      </c>
      <c r="D3" s="34" t="inlineStr">
        <is>
          <t>Canonical repo program catalog</t>
        </is>
      </c>
    </row>
    <row r="4">
      <c r="A4" s="34" t="inlineStr">
        <is>
          <t>GitHub repository</t>
        </is>
      </c>
      <c r="B4" s="34" t="inlineStr">
        <is>
          <t>data/catalog.csv</t>
        </is>
      </c>
      <c r="C4" s="34" t="inlineStr">
        <is>
          <t>same catalog snapshot</t>
        </is>
      </c>
      <c r="D4" s="34" t="inlineStr">
        <is>
          <t>Generated/duplicate catalog source</t>
        </is>
      </c>
    </row>
    <row r="5">
      <c r="A5" s="34" t="inlineStr">
        <is>
          <t>GitHub repository</t>
        </is>
      </c>
      <c r="B5" s="34" t="inlineStr">
        <is>
          <t>data/coupons.md</t>
        </is>
      </c>
      <c r="C5" s="34" t="inlineStr">
        <is>
          <t>coupon registry</t>
        </is>
      </c>
      <c r="D5" s="34" t="inlineStr">
        <is>
          <t>Provider code and referral-source notes</t>
        </is>
      </c>
    </row>
    <row r="6">
      <c r="A6" s="34" t="inlineStr">
        <is>
          <t>GitHub repository</t>
        </is>
      </c>
      <c r="B6" s="34" t="inlineStr">
        <is>
          <t>global/*.md; categories/*.md; china/**/*.md; ukraine/*.md</t>
        </is>
      </c>
      <c r="C6" s="34" t="inlineStr">
        <is>
          <t>supporting docs</t>
        </is>
      </c>
      <c r="D6" s="34" t="inlineStr">
        <is>
          <t>Context and evidence documents not flattened into program rows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A5A5A5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17" min="1" max="1"/>
    <col width="45" customWidth="1" style="17" min="2" max="2"/>
  </cols>
  <sheetData>
    <row r="1">
      <c r="A1" s="38" t="inlineStr">
        <is>
          <t>Field</t>
        </is>
      </c>
      <c r="B1" s="38" t="inlineStr">
        <is>
          <t>Meaning</t>
        </is>
      </c>
    </row>
    <row r="2">
      <c r="A2" s="34" t="inlineStr">
        <is>
          <t>Source Presence</t>
        </is>
      </c>
      <c r="B2" s="34" t="inlineStr">
        <is>
          <t>Excel only, GitHub repo only, or both sources matched.</t>
        </is>
      </c>
    </row>
    <row r="3">
      <c r="A3" s="34" t="inlineStr">
        <is>
          <t>Needs Duplicate Review</t>
        </is>
      </c>
      <c r="B3" s="34" t="inlineStr">
        <is>
          <t>Yes when normalized provider + program key is shared by more than one row.</t>
        </is>
      </c>
    </row>
    <row r="4">
      <c r="A4" s="34" t="inlineStr">
        <is>
          <t>Promo / Referral Code</t>
        </is>
      </c>
      <c r="B4" s="34" t="inlineStr">
        <is>
          <t>Provider-published code captured in the repo. Blank means no code captured; do not infer a private code.</t>
        </is>
      </c>
    </row>
    <row r="5">
      <c r="A5" s="34" t="inlineStr">
        <is>
          <t>Repo Coupon Status</t>
        </is>
      </c>
      <c r="B5" s="34" t="inlineStr">
        <is>
          <t>The repo registry status. "No public code verified" is not proof that private partner codes do not exist.</t>
        </is>
      </c>
    </row>
    <row r="6">
      <c r="A6" s="34" t="inlineStr">
        <is>
          <t>Duplicate Review</t>
        </is>
      </c>
      <c r="B6" s="34" t="inlineStr">
        <is>
          <t>Potential exact or conservative fuzzy duplicates; review before deleting or merging.</t>
        </is>
      </c>
    </row>
    <row r="7">
      <c r="A7" s="34" t="inlineStr">
        <is>
          <t>Verification Confidence</t>
        </is>
      </c>
      <c r="B7" s="34" t="inlineStr">
        <is>
          <t>Preserved from Excel where available; repo-only rows are labeled as GitHub repository source.</t>
        </is>
      </c>
    </row>
    <row r="8">
      <c r="A8" s="34" t="inlineStr">
        <is>
          <t>Filtering tip</t>
        </is>
      </c>
      <c r="B8" s="34" t="inlineStr">
        <is>
          <t>Use Excel table filters on Source Presence, Program Status, Available to Egypt-Based Startups?, Benefit Type, Verification Confidence, Promo / Referral Code, and Needs Duplicate Review.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2026-10-24T16:05:06Z</dcterms:created>
  <dcterms:modified xmlns:dcterms="http://purl.org/dc/terms/" xmlns:xsi="http://www.w3.org/2001/XMLSchema-instance" xsi:type="dcterms:W3CDTF">2026-10-24T17:19:33Z</dcterms:modified>
  <cp:revision>1</cp:revision>
</cp:coreProperties>
</file>