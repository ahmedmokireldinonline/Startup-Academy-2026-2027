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s" sheetId="1" r:id="rId4"/>
    <sheet state="visible" name="Calcs 1" sheetId="2" r:id="rId5"/>
    <sheet state="visible" name="Calcs 2" sheetId="3" r:id="rId6"/>
    <sheet state="visible" name="Calcs 3" sheetId="4" r:id="rId7"/>
  </sheets>
  <definedNames/>
  <calcPr/>
</workbook>
</file>

<file path=xl/sharedStrings.xml><?xml version="1.0" encoding="utf-8"?>
<sst xmlns="http://schemas.openxmlformats.org/spreadsheetml/2006/main" count="25" uniqueCount="14">
  <si>
    <t>RETENTION CURVE</t>
  </si>
  <si>
    <t>Leaky Bucket</t>
  </si>
  <si>
    <t>Net Negative</t>
  </si>
  <si>
    <t>COHORT SIZE</t>
  </si>
  <si>
    <t>Leaky Bucket + Steady Cohort</t>
  </si>
  <si>
    <t>COHORT</t>
  </si>
  <si>
    <t>Total</t>
  </si>
  <si>
    <t>Net Negative + Steady Cohort</t>
  </si>
  <si>
    <t>Leaky Bucket + Growing Cohort</t>
  </si>
  <si>
    <t>CMGR</t>
  </si>
  <si>
    <t>SIZE</t>
  </si>
  <si>
    <t>Net Negative + Growing Cohort</t>
  </si>
  <si>
    <t>Growing Cohort</t>
  </si>
  <si>
    <t>Steady 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</si>
</sst>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Month&quot;\ 0"/>
    <numFmt numFmtId="165" formatCode="&quot;$&quot;#,##0_);[Red]\(&quot;$&quot;#,##0\)"/>
    <numFmt numFmtId="166" formatCode="&quot;$&quot;#,##0.00_);[Red]\(&quot;$&quot;#,##0.00\)"/>
  </numFmts>
  <fonts count="5">
    <font>
      <sz val="11.0"/>
      <color theme="1"/>
      <name val="Arial"/>
    </font>
    <font>
      <b/>
      <i/>
      <sz val="15.0"/>
      <color theme="1"/>
      <name val="Avenir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164" xfId="0" applyFont="1" applyNumberFormat="1"/>
    <xf borderId="0" fillId="0" fontId="2" numFmtId="0" xfId="0" applyFont="1"/>
    <xf borderId="0" fillId="0" fontId="4" numFmtId="9" xfId="0" applyFont="1" applyNumberFormat="1"/>
    <xf borderId="0" fillId="0" fontId="4" numFmtId="165" xfId="0" applyFont="1" applyNumberFormat="1"/>
    <xf borderId="0" fillId="0" fontId="3" numFmtId="0" xfId="0" applyAlignment="1" applyFont="1">
      <alignment horizontal="right"/>
    </xf>
    <xf borderId="0" fillId="0" fontId="4" numFmtId="166" xfId="0" applyFont="1" applyNumberFormat="1"/>
    <xf borderId="0" fillId="0" fontId="4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4" numFmtId="10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Net Dollar Retention Curve</a:t>
            </a:r>
          </a:p>
        </c:rich>
      </c:tx>
      <c:overlay val="0"/>
    </c:title>
    <c:plotArea>
      <c:layout/>
      <c:lineChart>
        <c:ser>
          <c:idx val="0"/>
          <c:order val="0"/>
          <c:tx>
            <c:v>Company ABC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'Calcs 1'!$C$2:$Z$2</c:f>
            </c:strRef>
          </c:cat>
          <c:val>
            <c:numRef>
              <c:f>'Calcs 1'!$C$3:$Z$3</c:f>
              <c:numCache/>
            </c:numRef>
          </c:val>
          <c:smooth val="0"/>
        </c:ser>
        <c:ser>
          <c:idx val="1"/>
          <c:order val="1"/>
          <c:tx>
            <c:v>Company XYZ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'Calcs 1'!$C$2:$Z$2</c:f>
            </c:strRef>
          </c:cat>
          <c:val>
            <c:numRef>
              <c:f>'Calcs 1'!$C$4:$Z$4</c:f>
              <c:numCache/>
            </c:numRef>
          </c:val>
          <c:smooth val="0"/>
        </c:ser>
        <c:axId val="1941615980"/>
        <c:axId val="1890448574"/>
      </c:lineChart>
      <c:catAx>
        <c:axId val="1941615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448574"/>
      </c:catAx>
      <c:valAx>
        <c:axId val="189044857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61598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Total CMRR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Company ABC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'Calcs 2'!$D$33:$AA$33</c:f>
              <c:numCache/>
            </c:numRef>
          </c:val>
          <c:smooth val="0"/>
        </c:ser>
        <c:ser>
          <c:idx val="1"/>
          <c:order val="1"/>
          <c:tx>
            <c:v>Company XYZ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val>
            <c:numRef>
              <c:f>'Calcs 2'!$D$62:$AA$62</c:f>
              <c:numCache/>
            </c:numRef>
          </c:val>
          <c:smooth val="0"/>
        </c:ser>
        <c:axId val="1590670320"/>
        <c:axId val="201910668"/>
      </c:lineChart>
      <c:catAx>
        <c:axId val="1590670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910668"/>
      </c:catAx>
      <c:valAx>
        <c:axId val="2019106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67032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New Customer MRR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Company ABC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'Calcs 3'!$B$3:$B$26</c:f>
            </c:strRef>
          </c:cat>
          <c:val>
            <c:numRef>
              <c:f>'Calcs 3'!$C$3:$C$26</c:f>
              <c:numCache/>
            </c:numRef>
          </c:val>
        </c:ser>
        <c:ser>
          <c:idx val="1"/>
          <c:order val="1"/>
          <c:tx>
            <c:v>Company XYZ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'Calcs 3'!$B$3:$B$26</c:f>
            </c:strRef>
          </c:cat>
          <c:val>
            <c:numRef>
              <c:f>'Calcs 3'!$D$3:$D$26</c:f>
              <c:numCache/>
            </c:numRef>
          </c:val>
        </c:ser>
        <c:axId val="664037457"/>
        <c:axId val="205277458"/>
      </c:barChart>
      <c:catAx>
        <c:axId val="664037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77458"/>
      </c:catAx>
      <c:valAx>
        <c:axId val="20527745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66403745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Total CMRR Over Time</a:t>
            </a:r>
          </a:p>
        </c:rich>
      </c:tx>
      <c:overlay val="0"/>
    </c:title>
    <c:plotArea>
      <c:layout>
        <c:manualLayout>
          <c:xMode val="edge"/>
          <c:yMode val="edge"/>
          <c:x val="0.119167512967762"/>
          <c:y val="0.2318407960199"/>
          <c:w val="0.839189919073881"/>
          <c:h val="0.366968699808046"/>
        </c:manualLayout>
      </c:layout>
      <c:lineChart>
        <c:ser>
          <c:idx val="0"/>
          <c:order val="0"/>
          <c:tx>
            <c:v>Company ABC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'Calcs 2'!$D$33:$AA$33</c:f>
              <c:numCache/>
            </c:numRef>
          </c:val>
          <c:smooth val="0"/>
        </c:ser>
        <c:ser>
          <c:idx val="1"/>
          <c:order val="1"/>
          <c:tx>
            <c:v>Company XYZ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val>
            <c:numRef>
              <c:f>'Calcs 1'!$C$61:$Z$61</c:f>
              <c:numCache/>
            </c:numRef>
          </c:val>
          <c:smooth val="0"/>
        </c:ser>
        <c:axId val="1994611003"/>
        <c:axId val="316521233"/>
      </c:lineChart>
      <c:catAx>
        <c:axId val="1994611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521233"/>
      </c:catAx>
      <c:valAx>
        <c:axId val="31652123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61100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16</xdr:row>
      <xdr:rowOff>28575</xdr:rowOff>
    </xdr:from>
    <xdr:ext cx="4819650" cy="2476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457200</xdr:colOff>
      <xdr:row>16</xdr:row>
      <xdr:rowOff>28575</xdr:rowOff>
    </xdr:from>
    <xdr:ext cx="4810125" cy="2476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466725</xdr:colOff>
      <xdr:row>0</xdr:row>
      <xdr:rowOff>142875</xdr:rowOff>
    </xdr:from>
    <xdr:ext cx="4829175" cy="2476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228600</xdr:colOff>
      <xdr:row>0</xdr:row>
      <xdr:rowOff>142875</xdr:rowOff>
    </xdr:from>
    <xdr:ext cx="4829175" cy="24574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7.75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3.88"/>
    <col customWidth="1" min="2" max="2" width="7.38"/>
    <col customWidth="1" min="3" max="11" width="9.13"/>
    <col customWidth="1" min="12" max="12" width="9.5"/>
    <col customWidth="1" min="13" max="13" width="9.63"/>
    <col customWidth="1" min="14" max="14" width="9.75"/>
    <col customWidth="1" min="15" max="26" width="9.88"/>
    <col customWidth="1" min="27" max="46" width="7.75"/>
  </cols>
  <sheetData>
    <row r="1" ht="27.75" customHeight="1">
      <c r="A1" s="1"/>
      <c r="O1" s="2"/>
    </row>
    <row r="2" ht="13.5" customHeight="1">
      <c r="A2" s="3" t="s">
        <v>0</v>
      </c>
      <c r="B2" s="3"/>
      <c r="C2" s="4">
        <v>1.0</v>
      </c>
      <c r="D2" s="4">
        <f t="shared" ref="D2:Z2" si="1">C2+1</f>
        <v>2</v>
      </c>
      <c r="E2" s="4">
        <f t="shared" si="1"/>
        <v>3</v>
      </c>
      <c r="F2" s="4">
        <f t="shared" si="1"/>
        <v>4</v>
      </c>
      <c r="G2" s="4">
        <f t="shared" si="1"/>
        <v>5</v>
      </c>
      <c r="H2" s="4">
        <f t="shared" si="1"/>
        <v>6</v>
      </c>
      <c r="I2" s="4">
        <f t="shared" si="1"/>
        <v>7</v>
      </c>
      <c r="J2" s="4">
        <f t="shared" si="1"/>
        <v>8</v>
      </c>
      <c r="K2" s="4">
        <f t="shared" si="1"/>
        <v>9</v>
      </c>
      <c r="L2" s="4">
        <f t="shared" si="1"/>
        <v>10</v>
      </c>
      <c r="M2" s="4">
        <f t="shared" si="1"/>
        <v>11</v>
      </c>
      <c r="N2" s="4">
        <f t="shared" si="1"/>
        <v>12</v>
      </c>
      <c r="O2" s="4">
        <f t="shared" si="1"/>
        <v>13</v>
      </c>
      <c r="P2" s="4">
        <f t="shared" si="1"/>
        <v>14</v>
      </c>
      <c r="Q2" s="4">
        <f t="shared" si="1"/>
        <v>15</v>
      </c>
      <c r="R2" s="4">
        <f t="shared" si="1"/>
        <v>16</v>
      </c>
      <c r="S2" s="4">
        <f t="shared" si="1"/>
        <v>17</v>
      </c>
      <c r="T2" s="4">
        <f t="shared" si="1"/>
        <v>18</v>
      </c>
      <c r="U2" s="4">
        <f t="shared" si="1"/>
        <v>19</v>
      </c>
      <c r="V2" s="4">
        <f t="shared" si="1"/>
        <v>20</v>
      </c>
      <c r="W2" s="4">
        <f t="shared" si="1"/>
        <v>21</v>
      </c>
      <c r="X2" s="4">
        <f t="shared" si="1"/>
        <v>22</v>
      </c>
      <c r="Y2" s="4">
        <f t="shared" si="1"/>
        <v>23</v>
      </c>
      <c r="Z2" s="4">
        <f t="shared" si="1"/>
        <v>24</v>
      </c>
    </row>
    <row r="3" ht="13.5" customHeight="1">
      <c r="A3" s="5" t="s">
        <v>1</v>
      </c>
      <c r="C3" s="6">
        <v>1.0</v>
      </c>
      <c r="D3" s="6">
        <v>0.9546230837869346</v>
      </c>
      <c r="E3" s="6">
        <v>0.9113052320988768</v>
      </c>
      <c r="F3" s="6">
        <v>0.869953010937398</v>
      </c>
      <c r="G3" s="6">
        <v>0.8304772260507877</v>
      </c>
      <c r="H3" s="6">
        <v>0.792792730547422</v>
      </c>
      <c r="I3" s="6">
        <v>0.7568182412390444</v>
      </c>
      <c r="J3" s="6">
        <v>0.7224761633178207</v>
      </c>
      <c r="K3" s="6">
        <v>0.689692422989011</v>
      </c>
      <c r="L3" s="6">
        <v>0.6583963076982526</v>
      </c>
      <c r="M3" s="6">
        <v>0.6285203136088374</v>
      </c>
      <c r="N3" s="6">
        <v>0.5999999999999996</v>
      </c>
      <c r="O3" s="6">
        <v>0.5857869454664356</v>
      </c>
      <c r="P3" s="6">
        <v>0.5719105757981617</v>
      </c>
      <c r="Q3" s="6">
        <v>0.5583629154612596</v>
      </c>
      <c r="R3" s="6">
        <v>0.5451361778496417</v>
      </c>
      <c r="S3" s="6">
        <v>0.532222760809649</v>
      </c>
      <c r="T3" s="6">
        <v>0.5196152422706631</v>
      </c>
      <c r="U3" s="6">
        <v>0.5073063759792231</v>
      </c>
      <c r="V3" s="6">
        <v>0.495289087334194</v>
      </c>
      <c r="W3" s="6">
        <v>0.48355646932059393</v>
      </c>
      <c r="X3" s="6">
        <v>0.4721017785397418</v>
      </c>
      <c r="Y3" s="6">
        <v>0.46091843133344523</v>
      </c>
      <c r="Z3" s="6">
        <v>0.4500000000000001</v>
      </c>
    </row>
    <row r="4" ht="13.5" customHeight="1">
      <c r="A4" s="5" t="s">
        <v>2</v>
      </c>
      <c r="C4" s="6">
        <v>1.0</v>
      </c>
      <c r="D4" s="6">
        <v>1.0087022077660357</v>
      </c>
      <c r="E4" s="6">
        <v>1.0174801439520746</v>
      </c>
      <c r="F4" s="6">
        <v>1.0263344675625614</v>
      </c>
      <c r="G4" s="6">
        <v>1.0352658433367345</v>
      </c>
      <c r="H4" s="6">
        <v>1.0442749417985309</v>
      </c>
      <c r="I4" s="6">
        <v>1.0533624393069265</v>
      </c>
      <c r="J4" s="6">
        <v>1.0625290181067135</v>
      </c>
      <c r="K4" s="6">
        <v>1.07177536637972</v>
      </c>
      <c r="L4" s="6">
        <v>1.0811021782964754</v>
      </c>
      <c r="M4" s="6">
        <v>1.090510154068325</v>
      </c>
      <c r="N4" s="6">
        <v>1.0999999999999992</v>
      </c>
      <c r="O4" s="6">
        <v>1.1080050298457815</v>
      </c>
      <c r="P4" s="6">
        <v>1.1160683146941381</v>
      </c>
      <c r="Q4" s="6">
        <v>1.1241902784841913</v>
      </c>
      <c r="R4" s="6">
        <v>1.1323713482401951</v>
      </c>
      <c r="S4" s="6">
        <v>1.1406119540939874</v>
      </c>
      <c r="T4" s="6">
        <v>1.1489125293076041</v>
      </c>
      <c r="U4" s="6">
        <v>1.1572735102960592</v>
      </c>
      <c r="V4" s="6">
        <v>1.1656953366502893</v>
      </c>
      <c r="W4" s="6">
        <v>1.1741784511602664</v>
      </c>
      <c r="X4" s="6">
        <v>1.1827232998382777</v>
      </c>
      <c r="Y4" s="6">
        <v>1.1913303319423756</v>
      </c>
      <c r="Z4" s="6">
        <v>1.1999999999999977</v>
      </c>
    </row>
    <row r="5" ht="13.5" customHeight="1"/>
    <row r="6" ht="13.5" customHeight="1">
      <c r="A6" s="3" t="s">
        <v>3</v>
      </c>
      <c r="B6" s="3"/>
      <c r="C6" s="7">
        <v>10000.0</v>
      </c>
    </row>
    <row r="7" ht="13.5" customHeight="1"/>
    <row r="8" ht="13.5" customHeight="1">
      <c r="A8" s="3" t="s">
        <v>4</v>
      </c>
    </row>
    <row r="9" ht="13.5" customHeight="1">
      <c r="B9" s="8" t="s">
        <v>5</v>
      </c>
      <c r="C9" s="4">
        <v>1.0</v>
      </c>
      <c r="D9" s="4">
        <f t="shared" ref="D9:Z9" si="2">C9+1</f>
        <v>2</v>
      </c>
      <c r="E9" s="4">
        <f t="shared" si="2"/>
        <v>3</v>
      </c>
      <c r="F9" s="4">
        <f t="shared" si="2"/>
        <v>4</v>
      </c>
      <c r="G9" s="4">
        <f t="shared" si="2"/>
        <v>5</v>
      </c>
      <c r="H9" s="4">
        <f t="shared" si="2"/>
        <v>6</v>
      </c>
      <c r="I9" s="4">
        <f t="shared" si="2"/>
        <v>7</v>
      </c>
      <c r="J9" s="4">
        <f t="shared" si="2"/>
        <v>8</v>
      </c>
      <c r="K9" s="4">
        <f t="shared" si="2"/>
        <v>9</v>
      </c>
      <c r="L9" s="4">
        <f t="shared" si="2"/>
        <v>10</v>
      </c>
      <c r="M9" s="4">
        <f t="shared" si="2"/>
        <v>11</v>
      </c>
      <c r="N9" s="4">
        <f t="shared" si="2"/>
        <v>12</v>
      </c>
      <c r="O9" s="4">
        <f t="shared" si="2"/>
        <v>13</v>
      </c>
      <c r="P9" s="4">
        <f t="shared" si="2"/>
        <v>14</v>
      </c>
      <c r="Q9" s="4">
        <f t="shared" si="2"/>
        <v>15</v>
      </c>
      <c r="R9" s="4">
        <f t="shared" si="2"/>
        <v>16</v>
      </c>
      <c r="S9" s="4">
        <f t="shared" si="2"/>
        <v>17</v>
      </c>
      <c r="T9" s="4">
        <f t="shared" si="2"/>
        <v>18</v>
      </c>
      <c r="U9" s="4">
        <f t="shared" si="2"/>
        <v>19</v>
      </c>
      <c r="V9" s="4">
        <f t="shared" si="2"/>
        <v>20</v>
      </c>
      <c r="W9" s="4">
        <f t="shared" si="2"/>
        <v>21</v>
      </c>
      <c r="X9" s="4">
        <f t="shared" si="2"/>
        <v>22</v>
      </c>
      <c r="Y9" s="4">
        <f t="shared" si="2"/>
        <v>23</v>
      </c>
      <c r="Z9" s="4">
        <f t="shared" si="2"/>
        <v>24</v>
      </c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</row>
    <row r="10" ht="13.5" customHeight="1">
      <c r="B10" s="5">
        <v>1.0</v>
      </c>
      <c r="C10" s="7">
        <f t="shared" ref="C10:Z10" si="3">$C$6*C$3</f>
        <v>10000</v>
      </c>
      <c r="D10" s="7">
        <f t="shared" si="3"/>
        <v>9546.230838</v>
      </c>
      <c r="E10" s="7">
        <f t="shared" si="3"/>
        <v>9113.052321</v>
      </c>
      <c r="F10" s="7">
        <f t="shared" si="3"/>
        <v>8699.530109</v>
      </c>
      <c r="G10" s="7">
        <f t="shared" si="3"/>
        <v>8304.772261</v>
      </c>
      <c r="H10" s="7">
        <f t="shared" si="3"/>
        <v>7927.927305</v>
      </c>
      <c r="I10" s="7">
        <f t="shared" si="3"/>
        <v>7568.182412</v>
      </c>
      <c r="J10" s="7">
        <f t="shared" si="3"/>
        <v>7224.761633</v>
      </c>
      <c r="K10" s="7">
        <f t="shared" si="3"/>
        <v>6896.92423</v>
      </c>
      <c r="L10" s="7">
        <f t="shared" si="3"/>
        <v>6583.963077</v>
      </c>
      <c r="M10" s="7">
        <f t="shared" si="3"/>
        <v>6285.203136</v>
      </c>
      <c r="N10" s="7">
        <f t="shared" si="3"/>
        <v>6000</v>
      </c>
      <c r="O10" s="7">
        <f t="shared" si="3"/>
        <v>5857.869455</v>
      </c>
      <c r="P10" s="7">
        <f t="shared" si="3"/>
        <v>5719.105758</v>
      </c>
      <c r="Q10" s="7">
        <f t="shared" si="3"/>
        <v>5583.629155</v>
      </c>
      <c r="R10" s="7">
        <f t="shared" si="3"/>
        <v>5451.361778</v>
      </c>
      <c r="S10" s="7">
        <f t="shared" si="3"/>
        <v>5322.227608</v>
      </c>
      <c r="T10" s="7">
        <f t="shared" si="3"/>
        <v>5196.152423</v>
      </c>
      <c r="U10" s="7">
        <f t="shared" si="3"/>
        <v>5073.06376</v>
      </c>
      <c r="V10" s="7">
        <f t="shared" si="3"/>
        <v>4952.890873</v>
      </c>
      <c r="W10" s="7">
        <f t="shared" si="3"/>
        <v>4835.564693</v>
      </c>
      <c r="X10" s="7">
        <f t="shared" si="3"/>
        <v>4721.017785</v>
      </c>
      <c r="Y10" s="7">
        <f t="shared" si="3"/>
        <v>4609.184313</v>
      </c>
      <c r="Z10" s="7">
        <f t="shared" si="3"/>
        <v>4500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ht="13.5" customHeight="1">
      <c r="B11" s="5">
        <f t="shared" ref="B11:B33" si="5">B10+1</f>
        <v>2</v>
      </c>
      <c r="C11" s="7"/>
      <c r="D11" s="7">
        <f t="shared" ref="D11:Z11" si="4">$C$6*C$3</f>
        <v>10000</v>
      </c>
      <c r="E11" s="7">
        <f t="shared" si="4"/>
        <v>9546.230838</v>
      </c>
      <c r="F11" s="7">
        <f t="shared" si="4"/>
        <v>9113.052321</v>
      </c>
      <c r="G11" s="7">
        <f t="shared" si="4"/>
        <v>8699.530109</v>
      </c>
      <c r="H11" s="7">
        <f t="shared" si="4"/>
        <v>8304.772261</v>
      </c>
      <c r="I11" s="7">
        <f t="shared" si="4"/>
        <v>7927.927305</v>
      </c>
      <c r="J11" s="7">
        <f t="shared" si="4"/>
        <v>7568.182412</v>
      </c>
      <c r="K11" s="7">
        <f t="shared" si="4"/>
        <v>7224.761633</v>
      </c>
      <c r="L11" s="7">
        <f t="shared" si="4"/>
        <v>6896.92423</v>
      </c>
      <c r="M11" s="7">
        <f t="shared" si="4"/>
        <v>6583.963077</v>
      </c>
      <c r="N11" s="7">
        <f t="shared" si="4"/>
        <v>6285.203136</v>
      </c>
      <c r="O11" s="7">
        <f t="shared" si="4"/>
        <v>6000</v>
      </c>
      <c r="P11" s="7">
        <f t="shared" si="4"/>
        <v>5857.869455</v>
      </c>
      <c r="Q11" s="7">
        <f t="shared" si="4"/>
        <v>5719.105758</v>
      </c>
      <c r="R11" s="7">
        <f t="shared" si="4"/>
        <v>5583.629155</v>
      </c>
      <c r="S11" s="7">
        <f t="shared" si="4"/>
        <v>5451.361778</v>
      </c>
      <c r="T11" s="7">
        <f t="shared" si="4"/>
        <v>5322.227608</v>
      </c>
      <c r="U11" s="7">
        <f t="shared" si="4"/>
        <v>5196.152423</v>
      </c>
      <c r="V11" s="7">
        <f t="shared" si="4"/>
        <v>5073.06376</v>
      </c>
      <c r="W11" s="7">
        <f t="shared" si="4"/>
        <v>4952.890873</v>
      </c>
      <c r="X11" s="7">
        <f t="shared" si="4"/>
        <v>4835.564693</v>
      </c>
      <c r="Y11" s="7">
        <f t="shared" si="4"/>
        <v>4721.017785</v>
      </c>
      <c r="Z11" s="7">
        <f t="shared" si="4"/>
        <v>4609.184313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</row>
    <row r="12" ht="13.5" customHeight="1">
      <c r="B12" s="5">
        <f t="shared" si="5"/>
        <v>3</v>
      </c>
      <c r="C12" s="7"/>
      <c r="D12" s="7"/>
      <c r="E12" s="7">
        <f t="shared" ref="E12:Z12" si="6">$C$6*C$3</f>
        <v>10000</v>
      </c>
      <c r="F12" s="7">
        <f t="shared" si="6"/>
        <v>9546.230838</v>
      </c>
      <c r="G12" s="7">
        <f t="shared" si="6"/>
        <v>9113.052321</v>
      </c>
      <c r="H12" s="7">
        <f t="shared" si="6"/>
        <v>8699.530109</v>
      </c>
      <c r="I12" s="7">
        <f t="shared" si="6"/>
        <v>8304.772261</v>
      </c>
      <c r="J12" s="7">
        <f t="shared" si="6"/>
        <v>7927.927305</v>
      </c>
      <c r="K12" s="7">
        <f t="shared" si="6"/>
        <v>7568.182412</v>
      </c>
      <c r="L12" s="7">
        <f t="shared" si="6"/>
        <v>7224.761633</v>
      </c>
      <c r="M12" s="7">
        <f t="shared" si="6"/>
        <v>6896.92423</v>
      </c>
      <c r="N12" s="7">
        <f t="shared" si="6"/>
        <v>6583.963077</v>
      </c>
      <c r="O12" s="7">
        <f t="shared" si="6"/>
        <v>6285.203136</v>
      </c>
      <c r="P12" s="7">
        <f t="shared" si="6"/>
        <v>6000</v>
      </c>
      <c r="Q12" s="7">
        <f t="shared" si="6"/>
        <v>5857.869455</v>
      </c>
      <c r="R12" s="7">
        <f t="shared" si="6"/>
        <v>5719.105758</v>
      </c>
      <c r="S12" s="7">
        <f t="shared" si="6"/>
        <v>5583.629155</v>
      </c>
      <c r="T12" s="7">
        <f t="shared" si="6"/>
        <v>5451.361778</v>
      </c>
      <c r="U12" s="7">
        <f t="shared" si="6"/>
        <v>5322.227608</v>
      </c>
      <c r="V12" s="7">
        <f t="shared" si="6"/>
        <v>5196.152423</v>
      </c>
      <c r="W12" s="7">
        <f t="shared" si="6"/>
        <v>5073.06376</v>
      </c>
      <c r="X12" s="7">
        <f t="shared" si="6"/>
        <v>4952.890873</v>
      </c>
      <c r="Y12" s="7">
        <f t="shared" si="6"/>
        <v>4835.564693</v>
      </c>
      <c r="Z12" s="7">
        <f t="shared" si="6"/>
        <v>4721.017785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</row>
    <row r="13" ht="13.5" customHeight="1">
      <c r="B13" s="5">
        <f t="shared" si="5"/>
        <v>4</v>
      </c>
      <c r="C13" s="7"/>
      <c r="D13" s="7"/>
      <c r="E13" s="7"/>
      <c r="F13" s="7">
        <f t="shared" ref="F13:Z13" si="7">$C$6*C$3</f>
        <v>10000</v>
      </c>
      <c r="G13" s="7">
        <f t="shared" si="7"/>
        <v>9546.230838</v>
      </c>
      <c r="H13" s="7">
        <f t="shared" si="7"/>
        <v>9113.052321</v>
      </c>
      <c r="I13" s="7">
        <f t="shared" si="7"/>
        <v>8699.530109</v>
      </c>
      <c r="J13" s="7">
        <f t="shared" si="7"/>
        <v>8304.772261</v>
      </c>
      <c r="K13" s="7">
        <f t="shared" si="7"/>
        <v>7927.927305</v>
      </c>
      <c r="L13" s="7">
        <f t="shared" si="7"/>
        <v>7568.182412</v>
      </c>
      <c r="M13" s="7">
        <f t="shared" si="7"/>
        <v>7224.761633</v>
      </c>
      <c r="N13" s="7">
        <f t="shared" si="7"/>
        <v>6896.92423</v>
      </c>
      <c r="O13" s="7">
        <f t="shared" si="7"/>
        <v>6583.963077</v>
      </c>
      <c r="P13" s="7">
        <f t="shared" si="7"/>
        <v>6285.203136</v>
      </c>
      <c r="Q13" s="7">
        <f t="shared" si="7"/>
        <v>6000</v>
      </c>
      <c r="R13" s="7">
        <f t="shared" si="7"/>
        <v>5857.869455</v>
      </c>
      <c r="S13" s="7">
        <f t="shared" si="7"/>
        <v>5719.105758</v>
      </c>
      <c r="T13" s="7">
        <f t="shared" si="7"/>
        <v>5583.629155</v>
      </c>
      <c r="U13" s="7">
        <f t="shared" si="7"/>
        <v>5451.361778</v>
      </c>
      <c r="V13" s="7">
        <f t="shared" si="7"/>
        <v>5322.227608</v>
      </c>
      <c r="W13" s="7">
        <f t="shared" si="7"/>
        <v>5196.152423</v>
      </c>
      <c r="X13" s="7">
        <f t="shared" si="7"/>
        <v>5073.06376</v>
      </c>
      <c r="Y13" s="7">
        <f t="shared" si="7"/>
        <v>4952.890873</v>
      </c>
      <c r="Z13" s="7">
        <f t="shared" si="7"/>
        <v>4835.564693</v>
      </c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</row>
    <row r="14" ht="13.5" customHeight="1">
      <c r="B14" s="5">
        <f t="shared" si="5"/>
        <v>5</v>
      </c>
      <c r="C14" s="7"/>
      <c r="D14" s="7"/>
      <c r="E14" s="7"/>
      <c r="F14" s="7"/>
      <c r="G14" s="7">
        <f t="shared" ref="G14:Z14" si="8">$C$6*C$3</f>
        <v>10000</v>
      </c>
      <c r="H14" s="7">
        <f t="shared" si="8"/>
        <v>9546.230838</v>
      </c>
      <c r="I14" s="7">
        <f t="shared" si="8"/>
        <v>9113.052321</v>
      </c>
      <c r="J14" s="7">
        <f t="shared" si="8"/>
        <v>8699.530109</v>
      </c>
      <c r="K14" s="7">
        <f t="shared" si="8"/>
        <v>8304.772261</v>
      </c>
      <c r="L14" s="7">
        <f t="shared" si="8"/>
        <v>7927.927305</v>
      </c>
      <c r="M14" s="7">
        <f t="shared" si="8"/>
        <v>7568.182412</v>
      </c>
      <c r="N14" s="7">
        <f t="shared" si="8"/>
        <v>7224.761633</v>
      </c>
      <c r="O14" s="7">
        <f t="shared" si="8"/>
        <v>6896.92423</v>
      </c>
      <c r="P14" s="7">
        <f t="shared" si="8"/>
        <v>6583.963077</v>
      </c>
      <c r="Q14" s="7">
        <f t="shared" si="8"/>
        <v>6285.203136</v>
      </c>
      <c r="R14" s="7">
        <f t="shared" si="8"/>
        <v>6000</v>
      </c>
      <c r="S14" s="7">
        <f t="shared" si="8"/>
        <v>5857.869455</v>
      </c>
      <c r="T14" s="7">
        <f t="shared" si="8"/>
        <v>5719.105758</v>
      </c>
      <c r="U14" s="7">
        <f t="shared" si="8"/>
        <v>5583.629155</v>
      </c>
      <c r="V14" s="7">
        <f t="shared" si="8"/>
        <v>5451.361778</v>
      </c>
      <c r="W14" s="7">
        <f t="shared" si="8"/>
        <v>5322.227608</v>
      </c>
      <c r="X14" s="7">
        <f t="shared" si="8"/>
        <v>5196.152423</v>
      </c>
      <c r="Y14" s="7">
        <f t="shared" si="8"/>
        <v>5073.06376</v>
      </c>
      <c r="Z14" s="7">
        <f t="shared" si="8"/>
        <v>4952.890873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</row>
    <row r="15" ht="13.5" customHeight="1">
      <c r="B15" s="5">
        <f t="shared" si="5"/>
        <v>6</v>
      </c>
      <c r="C15" s="7"/>
      <c r="D15" s="7"/>
      <c r="E15" s="7"/>
      <c r="F15" s="7"/>
      <c r="G15" s="7"/>
      <c r="H15" s="7">
        <f t="shared" ref="H15:Z15" si="9">$C$6*C$3</f>
        <v>10000</v>
      </c>
      <c r="I15" s="7">
        <f t="shared" si="9"/>
        <v>9546.230838</v>
      </c>
      <c r="J15" s="7">
        <f t="shared" si="9"/>
        <v>9113.052321</v>
      </c>
      <c r="K15" s="7">
        <f t="shared" si="9"/>
        <v>8699.530109</v>
      </c>
      <c r="L15" s="7">
        <f t="shared" si="9"/>
        <v>8304.772261</v>
      </c>
      <c r="M15" s="7">
        <f t="shared" si="9"/>
        <v>7927.927305</v>
      </c>
      <c r="N15" s="7">
        <f t="shared" si="9"/>
        <v>7568.182412</v>
      </c>
      <c r="O15" s="7">
        <f t="shared" si="9"/>
        <v>7224.761633</v>
      </c>
      <c r="P15" s="7">
        <f t="shared" si="9"/>
        <v>6896.92423</v>
      </c>
      <c r="Q15" s="7">
        <f t="shared" si="9"/>
        <v>6583.963077</v>
      </c>
      <c r="R15" s="7">
        <f t="shared" si="9"/>
        <v>6285.203136</v>
      </c>
      <c r="S15" s="7">
        <f t="shared" si="9"/>
        <v>6000</v>
      </c>
      <c r="T15" s="7">
        <f t="shared" si="9"/>
        <v>5857.869455</v>
      </c>
      <c r="U15" s="7">
        <f t="shared" si="9"/>
        <v>5719.105758</v>
      </c>
      <c r="V15" s="7">
        <f t="shared" si="9"/>
        <v>5583.629155</v>
      </c>
      <c r="W15" s="7">
        <f t="shared" si="9"/>
        <v>5451.361778</v>
      </c>
      <c r="X15" s="7">
        <f t="shared" si="9"/>
        <v>5322.227608</v>
      </c>
      <c r="Y15" s="7">
        <f t="shared" si="9"/>
        <v>5196.152423</v>
      </c>
      <c r="Z15" s="7">
        <f t="shared" si="9"/>
        <v>5073.06376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</row>
    <row r="16" ht="13.5" customHeight="1">
      <c r="B16" s="5">
        <f t="shared" si="5"/>
        <v>7</v>
      </c>
      <c r="C16" s="7"/>
      <c r="D16" s="7"/>
      <c r="E16" s="7"/>
      <c r="F16" s="7"/>
      <c r="G16" s="7"/>
      <c r="H16" s="7"/>
      <c r="I16" s="7">
        <f t="shared" ref="I16:Z16" si="10">$C$6*C$3</f>
        <v>10000</v>
      </c>
      <c r="J16" s="7">
        <f t="shared" si="10"/>
        <v>9546.230838</v>
      </c>
      <c r="K16" s="7">
        <f t="shared" si="10"/>
        <v>9113.052321</v>
      </c>
      <c r="L16" s="7">
        <f t="shared" si="10"/>
        <v>8699.530109</v>
      </c>
      <c r="M16" s="7">
        <f t="shared" si="10"/>
        <v>8304.772261</v>
      </c>
      <c r="N16" s="7">
        <f t="shared" si="10"/>
        <v>7927.927305</v>
      </c>
      <c r="O16" s="7">
        <f t="shared" si="10"/>
        <v>7568.182412</v>
      </c>
      <c r="P16" s="7">
        <f t="shared" si="10"/>
        <v>7224.761633</v>
      </c>
      <c r="Q16" s="7">
        <f t="shared" si="10"/>
        <v>6896.92423</v>
      </c>
      <c r="R16" s="7">
        <f t="shared" si="10"/>
        <v>6583.963077</v>
      </c>
      <c r="S16" s="7">
        <f t="shared" si="10"/>
        <v>6285.203136</v>
      </c>
      <c r="T16" s="7">
        <f t="shared" si="10"/>
        <v>6000</v>
      </c>
      <c r="U16" s="7">
        <f t="shared" si="10"/>
        <v>5857.869455</v>
      </c>
      <c r="V16" s="7">
        <f t="shared" si="10"/>
        <v>5719.105758</v>
      </c>
      <c r="W16" s="7">
        <f t="shared" si="10"/>
        <v>5583.629155</v>
      </c>
      <c r="X16" s="7">
        <f t="shared" si="10"/>
        <v>5451.361778</v>
      </c>
      <c r="Y16" s="7">
        <f t="shared" si="10"/>
        <v>5322.227608</v>
      </c>
      <c r="Z16" s="7">
        <f t="shared" si="10"/>
        <v>5196.152423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</row>
    <row r="17" ht="13.5" customHeight="1">
      <c r="B17" s="5">
        <f t="shared" si="5"/>
        <v>8</v>
      </c>
      <c r="C17" s="7"/>
      <c r="D17" s="7"/>
      <c r="E17" s="7"/>
      <c r="F17" s="7"/>
      <c r="G17" s="7"/>
      <c r="H17" s="7"/>
      <c r="I17" s="7"/>
      <c r="J17" s="7">
        <f t="shared" ref="J17:Z17" si="11">$C$6*C$3</f>
        <v>10000</v>
      </c>
      <c r="K17" s="7">
        <f t="shared" si="11"/>
        <v>9546.230838</v>
      </c>
      <c r="L17" s="7">
        <f t="shared" si="11"/>
        <v>9113.052321</v>
      </c>
      <c r="M17" s="7">
        <f t="shared" si="11"/>
        <v>8699.530109</v>
      </c>
      <c r="N17" s="7">
        <f t="shared" si="11"/>
        <v>8304.772261</v>
      </c>
      <c r="O17" s="7">
        <f t="shared" si="11"/>
        <v>7927.927305</v>
      </c>
      <c r="P17" s="7">
        <f t="shared" si="11"/>
        <v>7568.182412</v>
      </c>
      <c r="Q17" s="7">
        <f t="shared" si="11"/>
        <v>7224.761633</v>
      </c>
      <c r="R17" s="7">
        <f t="shared" si="11"/>
        <v>6896.92423</v>
      </c>
      <c r="S17" s="7">
        <f t="shared" si="11"/>
        <v>6583.963077</v>
      </c>
      <c r="T17" s="7">
        <f t="shared" si="11"/>
        <v>6285.203136</v>
      </c>
      <c r="U17" s="7">
        <f t="shared" si="11"/>
        <v>6000</v>
      </c>
      <c r="V17" s="7">
        <f t="shared" si="11"/>
        <v>5857.869455</v>
      </c>
      <c r="W17" s="7">
        <f t="shared" si="11"/>
        <v>5719.105758</v>
      </c>
      <c r="X17" s="7">
        <f t="shared" si="11"/>
        <v>5583.629155</v>
      </c>
      <c r="Y17" s="7">
        <f t="shared" si="11"/>
        <v>5451.361778</v>
      </c>
      <c r="Z17" s="7">
        <f t="shared" si="11"/>
        <v>5322.227608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</row>
    <row r="18" ht="13.5" customHeight="1">
      <c r="B18" s="5">
        <f t="shared" si="5"/>
        <v>9</v>
      </c>
      <c r="C18" s="7"/>
      <c r="D18" s="7"/>
      <c r="E18" s="7"/>
      <c r="F18" s="7"/>
      <c r="G18" s="7"/>
      <c r="H18" s="7"/>
      <c r="I18" s="7"/>
      <c r="J18" s="7"/>
      <c r="K18" s="7">
        <f t="shared" ref="K18:Z18" si="12">$C$6*C$3</f>
        <v>10000</v>
      </c>
      <c r="L18" s="7">
        <f t="shared" si="12"/>
        <v>9546.230838</v>
      </c>
      <c r="M18" s="7">
        <f t="shared" si="12"/>
        <v>9113.052321</v>
      </c>
      <c r="N18" s="7">
        <f t="shared" si="12"/>
        <v>8699.530109</v>
      </c>
      <c r="O18" s="7">
        <f t="shared" si="12"/>
        <v>8304.772261</v>
      </c>
      <c r="P18" s="7">
        <f t="shared" si="12"/>
        <v>7927.927305</v>
      </c>
      <c r="Q18" s="7">
        <f t="shared" si="12"/>
        <v>7568.182412</v>
      </c>
      <c r="R18" s="7">
        <f t="shared" si="12"/>
        <v>7224.761633</v>
      </c>
      <c r="S18" s="7">
        <f t="shared" si="12"/>
        <v>6896.92423</v>
      </c>
      <c r="T18" s="7">
        <f t="shared" si="12"/>
        <v>6583.963077</v>
      </c>
      <c r="U18" s="7">
        <f t="shared" si="12"/>
        <v>6285.203136</v>
      </c>
      <c r="V18" s="7">
        <f t="shared" si="12"/>
        <v>6000</v>
      </c>
      <c r="W18" s="7">
        <f t="shared" si="12"/>
        <v>5857.869455</v>
      </c>
      <c r="X18" s="7">
        <f t="shared" si="12"/>
        <v>5719.105758</v>
      </c>
      <c r="Y18" s="7">
        <f t="shared" si="12"/>
        <v>5583.629155</v>
      </c>
      <c r="Z18" s="7">
        <f t="shared" si="12"/>
        <v>5451.361778</v>
      </c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</row>
    <row r="19" ht="13.5" customHeight="1">
      <c r="B19" s="5">
        <f t="shared" si="5"/>
        <v>10</v>
      </c>
      <c r="C19" s="7"/>
      <c r="D19" s="7"/>
      <c r="E19" s="7"/>
      <c r="F19" s="7"/>
      <c r="G19" s="7"/>
      <c r="H19" s="7"/>
      <c r="I19" s="7"/>
      <c r="J19" s="7"/>
      <c r="K19" s="7"/>
      <c r="L19" s="7">
        <f t="shared" ref="L19:Z19" si="13">$C$6*C$3</f>
        <v>10000</v>
      </c>
      <c r="M19" s="7">
        <f t="shared" si="13"/>
        <v>9546.230838</v>
      </c>
      <c r="N19" s="7">
        <f t="shared" si="13"/>
        <v>9113.052321</v>
      </c>
      <c r="O19" s="7">
        <f t="shared" si="13"/>
        <v>8699.530109</v>
      </c>
      <c r="P19" s="7">
        <f t="shared" si="13"/>
        <v>8304.772261</v>
      </c>
      <c r="Q19" s="7">
        <f t="shared" si="13"/>
        <v>7927.927305</v>
      </c>
      <c r="R19" s="7">
        <f t="shared" si="13"/>
        <v>7568.182412</v>
      </c>
      <c r="S19" s="7">
        <f t="shared" si="13"/>
        <v>7224.761633</v>
      </c>
      <c r="T19" s="7">
        <f t="shared" si="13"/>
        <v>6896.92423</v>
      </c>
      <c r="U19" s="7">
        <f t="shared" si="13"/>
        <v>6583.963077</v>
      </c>
      <c r="V19" s="7">
        <f t="shared" si="13"/>
        <v>6285.203136</v>
      </c>
      <c r="W19" s="7">
        <f t="shared" si="13"/>
        <v>6000</v>
      </c>
      <c r="X19" s="7">
        <f t="shared" si="13"/>
        <v>5857.869455</v>
      </c>
      <c r="Y19" s="7">
        <f t="shared" si="13"/>
        <v>5719.105758</v>
      </c>
      <c r="Z19" s="7">
        <f t="shared" si="13"/>
        <v>5583.629155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</row>
    <row r="20" ht="13.5" customHeight="1">
      <c r="B20" s="5">
        <f t="shared" si="5"/>
        <v>11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>
        <f t="shared" ref="M20:Z20" si="14">$C$6*C$3</f>
        <v>10000</v>
      </c>
      <c r="N20" s="7">
        <f t="shared" si="14"/>
        <v>9546.230838</v>
      </c>
      <c r="O20" s="7">
        <f t="shared" si="14"/>
        <v>9113.052321</v>
      </c>
      <c r="P20" s="7">
        <f t="shared" si="14"/>
        <v>8699.530109</v>
      </c>
      <c r="Q20" s="7">
        <f t="shared" si="14"/>
        <v>8304.772261</v>
      </c>
      <c r="R20" s="7">
        <f t="shared" si="14"/>
        <v>7927.927305</v>
      </c>
      <c r="S20" s="7">
        <f t="shared" si="14"/>
        <v>7568.182412</v>
      </c>
      <c r="T20" s="7">
        <f t="shared" si="14"/>
        <v>7224.761633</v>
      </c>
      <c r="U20" s="7">
        <f t="shared" si="14"/>
        <v>6896.92423</v>
      </c>
      <c r="V20" s="7">
        <f t="shared" si="14"/>
        <v>6583.963077</v>
      </c>
      <c r="W20" s="7">
        <f t="shared" si="14"/>
        <v>6285.203136</v>
      </c>
      <c r="X20" s="7">
        <f t="shared" si="14"/>
        <v>6000</v>
      </c>
      <c r="Y20" s="7">
        <f t="shared" si="14"/>
        <v>5857.869455</v>
      </c>
      <c r="Z20" s="7">
        <f t="shared" si="14"/>
        <v>5719.105758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</row>
    <row r="21" ht="13.5" customHeight="1">
      <c r="B21" s="5">
        <f t="shared" si="5"/>
        <v>12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f t="shared" ref="N21:Z21" si="15">$C$6*C$3</f>
        <v>10000</v>
      </c>
      <c r="O21" s="7">
        <f t="shared" si="15"/>
        <v>9546.230838</v>
      </c>
      <c r="P21" s="7">
        <f t="shared" si="15"/>
        <v>9113.052321</v>
      </c>
      <c r="Q21" s="7">
        <f t="shared" si="15"/>
        <v>8699.530109</v>
      </c>
      <c r="R21" s="7">
        <f t="shared" si="15"/>
        <v>8304.772261</v>
      </c>
      <c r="S21" s="7">
        <f t="shared" si="15"/>
        <v>7927.927305</v>
      </c>
      <c r="T21" s="7">
        <f t="shared" si="15"/>
        <v>7568.182412</v>
      </c>
      <c r="U21" s="7">
        <f t="shared" si="15"/>
        <v>7224.761633</v>
      </c>
      <c r="V21" s="7">
        <f t="shared" si="15"/>
        <v>6896.92423</v>
      </c>
      <c r="W21" s="7">
        <f t="shared" si="15"/>
        <v>6583.963077</v>
      </c>
      <c r="X21" s="7">
        <f t="shared" si="15"/>
        <v>6285.203136</v>
      </c>
      <c r="Y21" s="7">
        <f t="shared" si="15"/>
        <v>6000</v>
      </c>
      <c r="Z21" s="7">
        <f t="shared" si="15"/>
        <v>5857.869455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</row>
    <row r="22" ht="13.5" customHeight="1">
      <c r="B22" s="5">
        <f t="shared" si="5"/>
        <v>13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>
        <f t="shared" ref="O22:Z22" si="16">$C$6*C$3</f>
        <v>10000</v>
      </c>
      <c r="P22" s="7">
        <f t="shared" si="16"/>
        <v>9546.230838</v>
      </c>
      <c r="Q22" s="7">
        <f t="shared" si="16"/>
        <v>9113.052321</v>
      </c>
      <c r="R22" s="7">
        <f t="shared" si="16"/>
        <v>8699.530109</v>
      </c>
      <c r="S22" s="7">
        <f t="shared" si="16"/>
        <v>8304.772261</v>
      </c>
      <c r="T22" s="7">
        <f t="shared" si="16"/>
        <v>7927.927305</v>
      </c>
      <c r="U22" s="7">
        <f t="shared" si="16"/>
        <v>7568.182412</v>
      </c>
      <c r="V22" s="7">
        <f t="shared" si="16"/>
        <v>7224.761633</v>
      </c>
      <c r="W22" s="7">
        <f t="shared" si="16"/>
        <v>6896.92423</v>
      </c>
      <c r="X22" s="7">
        <f t="shared" si="16"/>
        <v>6583.963077</v>
      </c>
      <c r="Y22" s="7">
        <f t="shared" si="16"/>
        <v>6285.203136</v>
      </c>
      <c r="Z22" s="7">
        <f t="shared" si="16"/>
        <v>6000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</row>
    <row r="23" ht="13.5" customHeight="1">
      <c r="B23" s="5">
        <f t="shared" si="5"/>
        <v>14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>
        <f t="shared" ref="P23:Z23" si="17">$C$6*C$3</f>
        <v>10000</v>
      </c>
      <c r="Q23" s="7">
        <f t="shared" si="17"/>
        <v>9546.230838</v>
      </c>
      <c r="R23" s="7">
        <f t="shared" si="17"/>
        <v>9113.052321</v>
      </c>
      <c r="S23" s="7">
        <f t="shared" si="17"/>
        <v>8699.530109</v>
      </c>
      <c r="T23" s="7">
        <f t="shared" si="17"/>
        <v>8304.772261</v>
      </c>
      <c r="U23" s="7">
        <f t="shared" si="17"/>
        <v>7927.927305</v>
      </c>
      <c r="V23" s="7">
        <f t="shared" si="17"/>
        <v>7568.182412</v>
      </c>
      <c r="W23" s="7">
        <f t="shared" si="17"/>
        <v>7224.761633</v>
      </c>
      <c r="X23" s="7">
        <f t="shared" si="17"/>
        <v>6896.92423</v>
      </c>
      <c r="Y23" s="7">
        <f t="shared" si="17"/>
        <v>6583.963077</v>
      </c>
      <c r="Z23" s="7">
        <f t="shared" si="17"/>
        <v>6285.203136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</row>
    <row r="24" ht="13.5" customHeight="1">
      <c r="B24" s="5">
        <f t="shared" si="5"/>
        <v>15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>
        <f t="shared" ref="Q24:Z24" si="18">$C$6*C$3</f>
        <v>10000</v>
      </c>
      <c r="R24" s="7">
        <f t="shared" si="18"/>
        <v>9546.230838</v>
      </c>
      <c r="S24" s="7">
        <f t="shared" si="18"/>
        <v>9113.052321</v>
      </c>
      <c r="T24" s="7">
        <f t="shared" si="18"/>
        <v>8699.530109</v>
      </c>
      <c r="U24" s="7">
        <f t="shared" si="18"/>
        <v>8304.772261</v>
      </c>
      <c r="V24" s="7">
        <f t="shared" si="18"/>
        <v>7927.927305</v>
      </c>
      <c r="W24" s="7">
        <f t="shared" si="18"/>
        <v>7568.182412</v>
      </c>
      <c r="X24" s="7">
        <f t="shared" si="18"/>
        <v>7224.761633</v>
      </c>
      <c r="Y24" s="7">
        <f t="shared" si="18"/>
        <v>6896.92423</v>
      </c>
      <c r="Z24" s="7">
        <f t="shared" si="18"/>
        <v>6583.963077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</row>
    <row r="25" ht="13.5" customHeight="1">
      <c r="B25" s="5">
        <f t="shared" si="5"/>
        <v>16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>
        <f t="shared" ref="R25:Z25" si="19">$C$6*C$3</f>
        <v>10000</v>
      </c>
      <c r="S25" s="7">
        <f t="shared" si="19"/>
        <v>9546.230838</v>
      </c>
      <c r="T25" s="7">
        <f t="shared" si="19"/>
        <v>9113.052321</v>
      </c>
      <c r="U25" s="7">
        <f t="shared" si="19"/>
        <v>8699.530109</v>
      </c>
      <c r="V25" s="7">
        <f t="shared" si="19"/>
        <v>8304.772261</v>
      </c>
      <c r="W25" s="7">
        <f t="shared" si="19"/>
        <v>7927.927305</v>
      </c>
      <c r="X25" s="7">
        <f t="shared" si="19"/>
        <v>7568.182412</v>
      </c>
      <c r="Y25" s="7">
        <f t="shared" si="19"/>
        <v>7224.761633</v>
      </c>
      <c r="Z25" s="7">
        <f t="shared" si="19"/>
        <v>6896.92423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</row>
    <row r="26" ht="13.5" customHeight="1">
      <c r="B26" s="5">
        <f t="shared" si="5"/>
        <v>17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>
        <f t="shared" ref="S26:Z26" si="20">$C$6*C$3</f>
        <v>10000</v>
      </c>
      <c r="T26" s="7">
        <f t="shared" si="20"/>
        <v>9546.230838</v>
      </c>
      <c r="U26" s="7">
        <f t="shared" si="20"/>
        <v>9113.052321</v>
      </c>
      <c r="V26" s="7">
        <f t="shared" si="20"/>
        <v>8699.530109</v>
      </c>
      <c r="W26" s="7">
        <f t="shared" si="20"/>
        <v>8304.772261</v>
      </c>
      <c r="X26" s="7">
        <f t="shared" si="20"/>
        <v>7927.927305</v>
      </c>
      <c r="Y26" s="7">
        <f t="shared" si="20"/>
        <v>7568.182412</v>
      </c>
      <c r="Z26" s="7">
        <f t="shared" si="20"/>
        <v>7224.761633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</row>
    <row r="27" ht="13.5" customHeight="1">
      <c r="B27" s="5">
        <f t="shared" si="5"/>
        <v>18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>
        <f t="shared" ref="T27:Z27" si="21">$C$6*C$3</f>
        <v>10000</v>
      </c>
      <c r="U27" s="7">
        <f t="shared" si="21"/>
        <v>9546.230838</v>
      </c>
      <c r="V27" s="7">
        <f t="shared" si="21"/>
        <v>9113.052321</v>
      </c>
      <c r="W27" s="7">
        <f t="shared" si="21"/>
        <v>8699.530109</v>
      </c>
      <c r="X27" s="7">
        <f t="shared" si="21"/>
        <v>8304.772261</v>
      </c>
      <c r="Y27" s="7">
        <f t="shared" si="21"/>
        <v>7927.927305</v>
      </c>
      <c r="Z27" s="7">
        <f t="shared" si="21"/>
        <v>7568.182412</v>
      </c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</row>
    <row r="28" ht="13.5" customHeight="1">
      <c r="B28" s="5">
        <f t="shared" si="5"/>
        <v>19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>
        <f t="shared" ref="U28:Z28" si="22">$C$6*C$3</f>
        <v>10000</v>
      </c>
      <c r="V28" s="7">
        <f t="shared" si="22"/>
        <v>9546.230838</v>
      </c>
      <c r="W28" s="7">
        <f t="shared" si="22"/>
        <v>9113.052321</v>
      </c>
      <c r="X28" s="7">
        <f t="shared" si="22"/>
        <v>8699.530109</v>
      </c>
      <c r="Y28" s="7">
        <f t="shared" si="22"/>
        <v>8304.772261</v>
      </c>
      <c r="Z28" s="7">
        <f t="shared" si="22"/>
        <v>7927.927305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</row>
    <row r="29" ht="13.5" customHeight="1">
      <c r="B29" s="5">
        <f t="shared" si="5"/>
        <v>20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>
        <f t="shared" ref="V29:Z29" si="23">$C$6*C$3</f>
        <v>10000</v>
      </c>
      <c r="W29" s="7">
        <f t="shared" si="23"/>
        <v>9546.230838</v>
      </c>
      <c r="X29" s="7">
        <f t="shared" si="23"/>
        <v>9113.052321</v>
      </c>
      <c r="Y29" s="7">
        <f t="shared" si="23"/>
        <v>8699.530109</v>
      </c>
      <c r="Z29" s="7">
        <f t="shared" si="23"/>
        <v>8304.772261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</row>
    <row r="30" ht="13.5" customHeight="1">
      <c r="B30" s="5">
        <f t="shared" si="5"/>
        <v>21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>
        <f t="shared" ref="W30:Z30" si="24">$C$6*C$3</f>
        <v>10000</v>
      </c>
      <c r="X30" s="7">
        <f t="shared" si="24"/>
        <v>9546.230838</v>
      </c>
      <c r="Y30" s="7">
        <f t="shared" si="24"/>
        <v>9113.052321</v>
      </c>
      <c r="Z30" s="7">
        <f t="shared" si="24"/>
        <v>8699.530109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</row>
    <row r="31" ht="13.5" customHeight="1">
      <c r="B31" s="5">
        <f t="shared" si="5"/>
        <v>22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>
        <f t="shared" ref="X31:Z31" si="25">$C$6*C$3</f>
        <v>10000</v>
      </c>
      <c r="Y31" s="7">
        <f t="shared" si="25"/>
        <v>9546.230838</v>
      </c>
      <c r="Z31" s="7">
        <f t="shared" si="25"/>
        <v>9113.052321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</row>
    <row r="32" ht="13.5" customHeight="1">
      <c r="B32" s="5">
        <f t="shared" si="5"/>
        <v>23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>
        <f t="shared" ref="Y32:Z32" si="26">$C$6*C$3</f>
        <v>10000</v>
      </c>
      <c r="Z32" s="7">
        <f t="shared" si="26"/>
        <v>9546.230838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</row>
    <row r="33" ht="13.5" customHeight="1">
      <c r="B33" s="5">
        <f t="shared" si="5"/>
        <v>24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>
        <f>$C$6*C$3</f>
        <v>10000</v>
      </c>
      <c r="AB33" s="10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</row>
    <row r="34" ht="13.5" customHeight="1">
      <c r="B34" s="10" t="s">
        <v>6</v>
      </c>
      <c r="C34" s="7">
        <f t="shared" ref="C34:Z34" si="27">SUM(C10:C33)</f>
        <v>10000</v>
      </c>
      <c r="D34" s="7">
        <f t="shared" si="27"/>
        <v>19546.23084</v>
      </c>
      <c r="E34" s="7">
        <f t="shared" si="27"/>
        <v>28659.28316</v>
      </c>
      <c r="F34" s="7">
        <f t="shared" si="27"/>
        <v>37358.81327</v>
      </c>
      <c r="G34" s="7">
        <f t="shared" si="27"/>
        <v>45663.58553</v>
      </c>
      <c r="H34" s="7">
        <f t="shared" si="27"/>
        <v>53591.51283</v>
      </c>
      <c r="I34" s="7">
        <f t="shared" si="27"/>
        <v>61159.69525</v>
      </c>
      <c r="J34" s="7">
        <f t="shared" si="27"/>
        <v>68384.45688</v>
      </c>
      <c r="K34" s="7">
        <f t="shared" si="27"/>
        <v>75281.38111</v>
      </c>
      <c r="L34" s="7">
        <f t="shared" si="27"/>
        <v>81865.34419</v>
      </c>
      <c r="M34" s="7">
        <f t="shared" si="27"/>
        <v>88150.54732</v>
      </c>
      <c r="N34" s="7">
        <f t="shared" si="27"/>
        <v>94150.54732</v>
      </c>
      <c r="O34" s="7">
        <f t="shared" si="27"/>
        <v>100008.4168</v>
      </c>
      <c r="P34" s="7">
        <f t="shared" si="27"/>
        <v>105727.5225</v>
      </c>
      <c r="Q34" s="7">
        <f t="shared" si="27"/>
        <v>111311.1517</v>
      </c>
      <c r="R34" s="7">
        <f t="shared" si="27"/>
        <v>116762.5135</v>
      </c>
      <c r="S34" s="7">
        <f t="shared" si="27"/>
        <v>122084.7411</v>
      </c>
      <c r="T34" s="7">
        <f t="shared" si="27"/>
        <v>127280.8935</v>
      </c>
      <c r="U34" s="7">
        <f t="shared" si="27"/>
        <v>132353.9573</v>
      </c>
      <c r="V34" s="7">
        <f t="shared" si="27"/>
        <v>137306.8481</v>
      </c>
      <c r="W34" s="7">
        <f t="shared" si="27"/>
        <v>142142.4128</v>
      </c>
      <c r="X34" s="7">
        <f t="shared" si="27"/>
        <v>146863.4306</v>
      </c>
      <c r="Y34" s="7">
        <f t="shared" si="27"/>
        <v>151472.6149</v>
      </c>
      <c r="Z34" s="7">
        <f t="shared" si="27"/>
        <v>155972.6149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ht="13.5" customHeight="1">
      <c r="A35" s="3" t="s">
        <v>7</v>
      </c>
      <c r="B35" s="1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B36" s="8" t="s">
        <v>5</v>
      </c>
      <c r="C36" s="4">
        <v>1.0</v>
      </c>
      <c r="D36" s="4">
        <f t="shared" ref="D36:Z36" si="28">C36+1</f>
        <v>2</v>
      </c>
      <c r="E36" s="4">
        <f t="shared" si="28"/>
        <v>3</v>
      </c>
      <c r="F36" s="4">
        <f t="shared" si="28"/>
        <v>4</v>
      </c>
      <c r="G36" s="4">
        <f t="shared" si="28"/>
        <v>5</v>
      </c>
      <c r="H36" s="4">
        <f t="shared" si="28"/>
        <v>6</v>
      </c>
      <c r="I36" s="4">
        <f t="shared" si="28"/>
        <v>7</v>
      </c>
      <c r="J36" s="4">
        <f t="shared" si="28"/>
        <v>8</v>
      </c>
      <c r="K36" s="4">
        <f t="shared" si="28"/>
        <v>9</v>
      </c>
      <c r="L36" s="4">
        <f t="shared" si="28"/>
        <v>10</v>
      </c>
      <c r="M36" s="4">
        <f t="shared" si="28"/>
        <v>11</v>
      </c>
      <c r="N36" s="4">
        <f t="shared" si="28"/>
        <v>12</v>
      </c>
      <c r="O36" s="4">
        <f t="shared" si="28"/>
        <v>13</v>
      </c>
      <c r="P36" s="4">
        <f t="shared" si="28"/>
        <v>14</v>
      </c>
      <c r="Q36" s="4">
        <f t="shared" si="28"/>
        <v>15</v>
      </c>
      <c r="R36" s="4">
        <f t="shared" si="28"/>
        <v>16</v>
      </c>
      <c r="S36" s="4">
        <f t="shared" si="28"/>
        <v>17</v>
      </c>
      <c r="T36" s="4">
        <f t="shared" si="28"/>
        <v>18</v>
      </c>
      <c r="U36" s="4">
        <f t="shared" si="28"/>
        <v>19</v>
      </c>
      <c r="V36" s="4">
        <f t="shared" si="28"/>
        <v>20</v>
      </c>
      <c r="W36" s="4">
        <f t="shared" si="28"/>
        <v>21</v>
      </c>
      <c r="X36" s="4">
        <f t="shared" si="28"/>
        <v>22</v>
      </c>
      <c r="Y36" s="4">
        <f t="shared" si="28"/>
        <v>23</v>
      </c>
      <c r="Z36" s="4">
        <f t="shared" si="28"/>
        <v>24</v>
      </c>
    </row>
    <row r="37" ht="13.5" customHeight="1">
      <c r="B37" s="5">
        <v>1.0</v>
      </c>
      <c r="C37" s="7">
        <f t="shared" ref="C37:Z37" si="29">$C$6*C$4</f>
        <v>10000</v>
      </c>
      <c r="D37" s="7">
        <f t="shared" si="29"/>
        <v>10087.02208</v>
      </c>
      <c r="E37" s="7">
        <f t="shared" si="29"/>
        <v>10174.80144</v>
      </c>
      <c r="F37" s="7">
        <f t="shared" si="29"/>
        <v>10263.34468</v>
      </c>
      <c r="G37" s="7">
        <f t="shared" si="29"/>
        <v>10352.65843</v>
      </c>
      <c r="H37" s="7">
        <f t="shared" si="29"/>
        <v>10442.74942</v>
      </c>
      <c r="I37" s="7">
        <f t="shared" si="29"/>
        <v>10533.62439</v>
      </c>
      <c r="J37" s="7">
        <f t="shared" si="29"/>
        <v>10625.29018</v>
      </c>
      <c r="K37" s="7">
        <f t="shared" si="29"/>
        <v>10717.75366</v>
      </c>
      <c r="L37" s="7">
        <f t="shared" si="29"/>
        <v>10811.02178</v>
      </c>
      <c r="M37" s="7">
        <f t="shared" si="29"/>
        <v>10905.10154</v>
      </c>
      <c r="N37" s="7">
        <f t="shared" si="29"/>
        <v>11000</v>
      </c>
      <c r="O37" s="7">
        <f t="shared" si="29"/>
        <v>11080.0503</v>
      </c>
      <c r="P37" s="7">
        <f t="shared" si="29"/>
        <v>11160.68315</v>
      </c>
      <c r="Q37" s="7">
        <f t="shared" si="29"/>
        <v>11241.90278</v>
      </c>
      <c r="R37" s="7">
        <f t="shared" si="29"/>
        <v>11323.71348</v>
      </c>
      <c r="S37" s="7">
        <f t="shared" si="29"/>
        <v>11406.11954</v>
      </c>
      <c r="T37" s="7">
        <f t="shared" si="29"/>
        <v>11489.12529</v>
      </c>
      <c r="U37" s="7">
        <f t="shared" si="29"/>
        <v>11572.7351</v>
      </c>
      <c r="V37" s="7">
        <f t="shared" si="29"/>
        <v>11656.95337</v>
      </c>
      <c r="W37" s="7">
        <f t="shared" si="29"/>
        <v>11741.78451</v>
      </c>
      <c r="X37" s="7">
        <f t="shared" si="29"/>
        <v>11827.233</v>
      </c>
      <c r="Y37" s="7">
        <f t="shared" si="29"/>
        <v>11913.30332</v>
      </c>
      <c r="Z37" s="7">
        <f t="shared" si="29"/>
        <v>12000</v>
      </c>
    </row>
    <row r="38" ht="13.5" customHeight="1">
      <c r="B38" s="5">
        <f t="shared" ref="B38:B60" si="31">B37+1</f>
        <v>2</v>
      </c>
      <c r="C38" s="7"/>
      <c r="D38" s="7">
        <f t="shared" ref="D38:Z38" si="30">$C$6*C$4</f>
        <v>10000</v>
      </c>
      <c r="E38" s="7">
        <f t="shared" si="30"/>
        <v>10087.02208</v>
      </c>
      <c r="F38" s="7">
        <f t="shared" si="30"/>
        <v>10174.80144</v>
      </c>
      <c r="G38" s="7">
        <f t="shared" si="30"/>
        <v>10263.34468</v>
      </c>
      <c r="H38" s="7">
        <f t="shared" si="30"/>
        <v>10352.65843</v>
      </c>
      <c r="I38" s="7">
        <f t="shared" si="30"/>
        <v>10442.74942</v>
      </c>
      <c r="J38" s="7">
        <f t="shared" si="30"/>
        <v>10533.62439</v>
      </c>
      <c r="K38" s="7">
        <f t="shared" si="30"/>
        <v>10625.29018</v>
      </c>
      <c r="L38" s="7">
        <f t="shared" si="30"/>
        <v>10717.75366</v>
      </c>
      <c r="M38" s="7">
        <f t="shared" si="30"/>
        <v>10811.02178</v>
      </c>
      <c r="N38" s="7">
        <f t="shared" si="30"/>
        <v>10905.10154</v>
      </c>
      <c r="O38" s="7">
        <f t="shared" si="30"/>
        <v>11000</v>
      </c>
      <c r="P38" s="7">
        <f t="shared" si="30"/>
        <v>11080.0503</v>
      </c>
      <c r="Q38" s="7">
        <f t="shared" si="30"/>
        <v>11160.68315</v>
      </c>
      <c r="R38" s="7">
        <f t="shared" si="30"/>
        <v>11241.90278</v>
      </c>
      <c r="S38" s="7">
        <f t="shared" si="30"/>
        <v>11323.71348</v>
      </c>
      <c r="T38" s="7">
        <f t="shared" si="30"/>
        <v>11406.11954</v>
      </c>
      <c r="U38" s="7">
        <f t="shared" si="30"/>
        <v>11489.12529</v>
      </c>
      <c r="V38" s="7">
        <f t="shared" si="30"/>
        <v>11572.7351</v>
      </c>
      <c r="W38" s="7">
        <f t="shared" si="30"/>
        <v>11656.95337</v>
      </c>
      <c r="X38" s="7">
        <f t="shared" si="30"/>
        <v>11741.78451</v>
      </c>
      <c r="Y38" s="7">
        <f t="shared" si="30"/>
        <v>11827.233</v>
      </c>
      <c r="Z38" s="7">
        <f t="shared" si="30"/>
        <v>11913.30332</v>
      </c>
    </row>
    <row r="39" ht="13.5" customHeight="1">
      <c r="B39" s="5">
        <f t="shared" si="31"/>
        <v>3</v>
      </c>
      <c r="C39" s="7"/>
      <c r="D39" s="7"/>
      <c r="E39" s="7">
        <f t="shared" ref="E39:Z39" si="32">$C$6*C$4</f>
        <v>10000</v>
      </c>
      <c r="F39" s="7">
        <f t="shared" si="32"/>
        <v>10087.02208</v>
      </c>
      <c r="G39" s="7">
        <f t="shared" si="32"/>
        <v>10174.80144</v>
      </c>
      <c r="H39" s="7">
        <f t="shared" si="32"/>
        <v>10263.34468</v>
      </c>
      <c r="I39" s="7">
        <f t="shared" si="32"/>
        <v>10352.65843</v>
      </c>
      <c r="J39" s="7">
        <f t="shared" si="32"/>
        <v>10442.74942</v>
      </c>
      <c r="K39" s="7">
        <f t="shared" si="32"/>
        <v>10533.62439</v>
      </c>
      <c r="L39" s="7">
        <f t="shared" si="32"/>
        <v>10625.29018</v>
      </c>
      <c r="M39" s="7">
        <f t="shared" si="32"/>
        <v>10717.75366</v>
      </c>
      <c r="N39" s="7">
        <f t="shared" si="32"/>
        <v>10811.02178</v>
      </c>
      <c r="O39" s="7">
        <f t="shared" si="32"/>
        <v>10905.10154</v>
      </c>
      <c r="P39" s="7">
        <f t="shared" si="32"/>
        <v>11000</v>
      </c>
      <c r="Q39" s="7">
        <f t="shared" si="32"/>
        <v>11080.0503</v>
      </c>
      <c r="R39" s="7">
        <f t="shared" si="32"/>
        <v>11160.68315</v>
      </c>
      <c r="S39" s="7">
        <f t="shared" si="32"/>
        <v>11241.90278</v>
      </c>
      <c r="T39" s="7">
        <f t="shared" si="32"/>
        <v>11323.71348</v>
      </c>
      <c r="U39" s="7">
        <f t="shared" si="32"/>
        <v>11406.11954</v>
      </c>
      <c r="V39" s="7">
        <f t="shared" si="32"/>
        <v>11489.12529</v>
      </c>
      <c r="W39" s="7">
        <f t="shared" si="32"/>
        <v>11572.7351</v>
      </c>
      <c r="X39" s="7">
        <f t="shared" si="32"/>
        <v>11656.95337</v>
      </c>
      <c r="Y39" s="7">
        <f t="shared" si="32"/>
        <v>11741.78451</v>
      </c>
      <c r="Z39" s="7">
        <f t="shared" si="32"/>
        <v>11827.233</v>
      </c>
    </row>
    <row r="40" ht="13.5" customHeight="1">
      <c r="B40" s="5">
        <f t="shared" si="31"/>
        <v>4</v>
      </c>
      <c r="C40" s="7"/>
      <c r="D40" s="7"/>
      <c r="E40" s="7"/>
      <c r="F40" s="7">
        <f t="shared" ref="F40:Z40" si="33">$C$6*C$4</f>
        <v>10000</v>
      </c>
      <c r="G40" s="7">
        <f t="shared" si="33"/>
        <v>10087.02208</v>
      </c>
      <c r="H40" s="7">
        <f t="shared" si="33"/>
        <v>10174.80144</v>
      </c>
      <c r="I40" s="7">
        <f t="shared" si="33"/>
        <v>10263.34468</v>
      </c>
      <c r="J40" s="7">
        <f t="shared" si="33"/>
        <v>10352.65843</v>
      </c>
      <c r="K40" s="7">
        <f t="shared" si="33"/>
        <v>10442.74942</v>
      </c>
      <c r="L40" s="7">
        <f t="shared" si="33"/>
        <v>10533.62439</v>
      </c>
      <c r="M40" s="7">
        <f t="shared" si="33"/>
        <v>10625.29018</v>
      </c>
      <c r="N40" s="7">
        <f t="shared" si="33"/>
        <v>10717.75366</v>
      </c>
      <c r="O40" s="7">
        <f t="shared" si="33"/>
        <v>10811.02178</v>
      </c>
      <c r="P40" s="7">
        <f t="shared" si="33"/>
        <v>10905.10154</v>
      </c>
      <c r="Q40" s="7">
        <f t="shared" si="33"/>
        <v>11000</v>
      </c>
      <c r="R40" s="7">
        <f t="shared" si="33"/>
        <v>11080.0503</v>
      </c>
      <c r="S40" s="7">
        <f t="shared" si="33"/>
        <v>11160.68315</v>
      </c>
      <c r="T40" s="7">
        <f t="shared" si="33"/>
        <v>11241.90278</v>
      </c>
      <c r="U40" s="7">
        <f t="shared" si="33"/>
        <v>11323.71348</v>
      </c>
      <c r="V40" s="7">
        <f t="shared" si="33"/>
        <v>11406.11954</v>
      </c>
      <c r="W40" s="7">
        <f t="shared" si="33"/>
        <v>11489.12529</v>
      </c>
      <c r="X40" s="7">
        <f t="shared" si="33"/>
        <v>11572.7351</v>
      </c>
      <c r="Y40" s="7">
        <f t="shared" si="33"/>
        <v>11656.95337</v>
      </c>
      <c r="Z40" s="7">
        <f t="shared" si="33"/>
        <v>11741.78451</v>
      </c>
    </row>
    <row r="41" ht="13.5" customHeight="1">
      <c r="B41" s="5">
        <f t="shared" si="31"/>
        <v>5</v>
      </c>
      <c r="C41" s="7"/>
      <c r="D41" s="7"/>
      <c r="E41" s="7"/>
      <c r="F41" s="7"/>
      <c r="G41" s="7">
        <f t="shared" ref="G41:Z41" si="34">$C$6*C$4</f>
        <v>10000</v>
      </c>
      <c r="H41" s="7">
        <f t="shared" si="34"/>
        <v>10087.02208</v>
      </c>
      <c r="I41" s="7">
        <f t="shared" si="34"/>
        <v>10174.80144</v>
      </c>
      <c r="J41" s="7">
        <f t="shared" si="34"/>
        <v>10263.34468</v>
      </c>
      <c r="K41" s="7">
        <f t="shared" si="34"/>
        <v>10352.65843</v>
      </c>
      <c r="L41" s="7">
        <f t="shared" si="34"/>
        <v>10442.74942</v>
      </c>
      <c r="M41" s="7">
        <f t="shared" si="34"/>
        <v>10533.62439</v>
      </c>
      <c r="N41" s="7">
        <f t="shared" si="34"/>
        <v>10625.29018</v>
      </c>
      <c r="O41" s="7">
        <f t="shared" si="34"/>
        <v>10717.75366</v>
      </c>
      <c r="P41" s="7">
        <f t="shared" si="34"/>
        <v>10811.02178</v>
      </c>
      <c r="Q41" s="7">
        <f t="shared" si="34"/>
        <v>10905.10154</v>
      </c>
      <c r="R41" s="7">
        <f t="shared" si="34"/>
        <v>11000</v>
      </c>
      <c r="S41" s="7">
        <f t="shared" si="34"/>
        <v>11080.0503</v>
      </c>
      <c r="T41" s="7">
        <f t="shared" si="34"/>
        <v>11160.68315</v>
      </c>
      <c r="U41" s="7">
        <f t="shared" si="34"/>
        <v>11241.90278</v>
      </c>
      <c r="V41" s="7">
        <f t="shared" si="34"/>
        <v>11323.71348</v>
      </c>
      <c r="W41" s="7">
        <f t="shared" si="34"/>
        <v>11406.11954</v>
      </c>
      <c r="X41" s="7">
        <f t="shared" si="34"/>
        <v>11489.12529</v>
      </c>
      <c r="Y41" s="7">
        <f t="shared" si="34"/>
        <v>11572.7351</v>
      </c>
      <c r="Z41" s="7">
        <f t="shared" si="34"/>
        <v>11656.95337</v>
      </c>
    </row>
    <row r="42" ht="13.5" customHeight="1">
      <c r="B42" s="5">
        <f t="shared" si="31"/>
        <v>6</v>
      </c>
      <c r="C42" s="7"/>
      <c r="D42" s="7"/>
      <c r="E42" s="7"/>
      <c r="F42" s="7"/>
      <c r="G42" s="7"/>
      <c r="H42" s="7">
        <f t="shared" ref="H42:Z42" si="35">$C$6*C$4</f>
        <v>10000</v>
      </c>
      <c r="I42" s="7">
        <f t="shared" si="35"/>
        <v>10087.02208</v>
      </c>
      <c r="J42" s="7">
        <f t="shared" si="35"/>
        <v>10174.80144</v>
      </c>
      <c r="K42" s="7">
        <f t="shared" si="35"/>
        <v>10263.34468</v>
      </c>
      <c r="L42" s="7">
        <f t="shared" si="35"/>
        <v>10352.65843</v>
      </c>
      <c r="M42" s="7">
        <f t="shared" si="35"/>
        <v>10442.74942</v>
      </c>
      <c r="N42" s="7">
        <f t="shared" si="35"/>
        <v>10533.62439</v>
      </c>
      <c r="O42" s="7">
        <f t="shared" si="35"/>
        <v>10625.29018</v>
      </c>
      <c r="P42" s="7">
        <f t="shared" si="35"/>
        <v>10717.75366</v>
      </c>
      <c r="Q42" s="7">
        <f t="shared" si="35"/>
        <v>10811.02178</v>
      </c>
      <c r="R42" s="7">
        <f t="shared" si="35"/>
        <v>10905.10154</v>
      </c>
      <c r="S42" s="7">
        <f t="shared" si="35"/>
        <v>11000</v>
      </c>
      <c r="T42" s="7">
        <f t="shared" si="35"/>
        <v>11080.0503</v>
      </c>
      <c r="U42" s="7">
        <f t="shared" si="35"/>
        <v>11160.68315</v>
      </c>
      <c r="V42" s="7">
        <f t="shared" si="35"/>
        <v>11241.90278</v>
      </c>
      <c r="W42" s="7">
        <f t="shared" si="35"/>
        <v>11323.71348</v>
      </c>
      <c r="X42" s="7">
        <f t="shared" si="35"/>
        <v>11406.11954</v>
      </c>
      <c r="Y42" s="7">
        <f t="shared" si="35"/>
        <v>11489.12529</v>
      </c>
      <c r="Z42" s="7">
        <f t="shared" si="35"/>
        <v>11572.7351</v>
      </c>
    </row>
    <row r="43" ht="13.5" customHeight="1">
      <c r="B43" s="5">
        <f t="shared" si="31"/>
        <v>7</v>
      </c>
      <c r="C43" s="7"/>
      <c r="D43" s="7"/>
      <c r="E43" s="7"/>
      <c r="F43" s="7"/>
      <c r="G43" s="7"/>
      <c r="H43" s="7"/>
      <c r="I43" s="7">
        <f t="shared" ref="I43:Z43" si="36">$C$6*C$4</f>
        <v>10000</v>
      </c>
      <c r="J43" s="7">
        <f t="shared" si="36"/>
        <v>10087.02208</v>
      </c>
      <c r="K43" s="7">
        <f t="shared" si="36"/>
        <v>10174.80144</v>
      </c>
      <c r="L43" s="7">
        <f t="shared" si="36"/>
        <v>10263.34468</v>
      </c>
      <c r="M43" s="7">
        <f t="shared" si="36"/>
        <v>10352.65843</v>
      </c>
      <c r="N43" s="7">
        <f t="shared" si="36"/>
        <v>10442.74942</v>
      </c>
      <c r="O43" s="7">
        <f t="shared" si="36"/>
        <v>10533.62439</v>
      </c>
      <c r="P43" s="7">
        <f t="shared" si="36"/>
        <v>10625.29018</v>
      </c>
      <c r="Q43" s="7">
        <f t="shared" si="36"/>
        <v>10717.75366</v>
      </c>
      <c r="R43" s="7">
        <f t="shared" si="36"/>
        <v>10811.02178</v>
      </c>
      <c r="S43" s="7">
        <f t="shared" si="36"/>
        <v>10905.10154</v>
      </c>
      <c r="T43" s="7">
        <f t="shared" si="36"/>
        <v>11000</v>
      </c>
      <c r="U43" s="7">
        <f t="shared" si="36"/>
        <v>11080.0503</v>
      </c>
      <c r="V43" s="7">
        <f t="shared" si="36"/>
        <v>11160.68315</v>
      </c>
      <c r="W43" s="7">
        <f t="shared" si="36"/>
        <v>11241.90278</v>
      </c>
      <c r="X43" s="7">
        <f t="shared" si="36"/>
        <v>11323.71348</v>
      </c>
      <c r="Y43" s="7">
        <f t="shared" si="36"/>
        <v>11406.11954</v>
      </c>
      <c r="Z43" s="7">
        <f t="shared" si="36"/>
        <v>11489.12529</v>
      </c>
    </row>
    <row r="44" ht="13.5" customHeight="1">
      <c r="B44" s="5">
        <f t="shared" si="31"/>
        <v>8</v>
      </c>
      <c r="C44" s="7"/>
      <c r="D44" s="7"/>
      <c r="E44" s="7"/>
      <c r="F44" s="7"/>
      <c r="G44" s="7"/>
      <c r="H44" s="7"/>
      <c r="I44" s="7"/>
      <c r="J44" s="7">
        <f t="shared" ref="J44:Z44" si="37">$C$6*C$4</f>
        <v>10000</v>
      </c>
      <c r="K44" s="7">
        <f t="shared" si="37"/>
        <v>10087.02208</v>
      </c>
      <c r="L44" s="7">
        <f t="shared" si="37"/>
        <v>10174.80144</v>
      </c>
      <c r="M44" s="7">
        <f t="shared" si="37"/>
        <v>10263.34468</v>
      </c>
      <c r="N44" s="7">
        <f t="shared" si="37"/>
        <v>10352.65843</v>
      </c>
      <c r="O44" s="7">
        <f t="shared" si="37"/>
        <v>10442.74942</v>
      </c>
      <c r="P44" s="7">
        <f t="shared" si="37"/>
        <v>10533.62439</v>
      </c>
      <c r="Q44" s="7">
        <f t="shared" si="37"/>
        <v>10625.29018</v>
      </c>
      <c r="R44" s="7">
        <f t="shared" si="37"/>
        <v>10717.75366</v>
      </c>
      <c r="S44" s="7">
        <f t="shared" si="37"/>
        <v>10811.02178</v>
      </c>
      <c r="T44" s="7">
        <f t="shared" si="37"/>
        <v>10905.10154</v>
      </c>
      <c r="U44" s="7">
        <f t="shared" si="37"/>
        <v>11000</v>
      </c>
      <c r="V44" s="7">
        <f t="shared" si="37"/>
        <v>11080.0503</v>
      </c>
      <c r="W44" s="7">
        <f t="shared" si="37"/>
        <v>11160.68315</v>
      </c>
      <c r="X44" s="7">
        <f t="shared" si="37"/>
        <v>11241.90278</v>
      </c>
      <c r="Y44" s="7">
        <f t="shared" si="37"/>
        <v>11323.71348</v>
      </c>
      <c r="Z44" s="7">
        <f t="shared" si="37"/>
        <v>11406.11954</v>
      </c>
    </row>
    <row r="45" ht="13.5" customHeight="1">
      <c r="B45" s="5">
        <f t="shared" si="31"/>
        <v>9</v>
      </c>
      <c r="C45" s="7"/>
      <c r="D45" s="7"/>
      <c r="E45" s="7"/>
      <c r="F45" s="7"/>
      <c r="G45" s="7"/>
      <c r="H45" s="7"/>
      <c r="I45" s="7"/>
      <c r="J45" s="7"/>
      <c r="K45" s="7">
        <f t="shared" ref="K45:Z45" si="38">$C$6*C$4</f>
        <v>10000</v>
      </c>
      <c r="L45" s="7">
        <f t="shared" si="38"/>
        <v>10087.02208</v>
      </c>
      <c r="M45" s="7">
        <f t="shared" si="38"/>
        <v>10174.80144</v>
      </c>
      <c r="N45" s="7">
        <f t="shared" si="38"/>
        <v>10263.34468</v>
      </c>
      <c r="O45" s="7">
        <f t="shared" si="38"/>
        <v>10352.65843</v>
      </c>
      <c r="P45" s="7">
        <f t="shared" si="38"/>
        <v>10442.74942</v>
      </c>
      <c r="Q45" s="7">
        <f t="shared" si="38"/>
        <v>10533.62439</v>
      </c>
      <c r="R45" s="7">
        <f t="shared" si="38"/>
        <v>10625.29018</v>
      </c>
      <c r="S45" s="7">
        <f t="shared" si="38"/>
        <v>10717.75366</v>
      </c>
      <c r="T45" s="7">
        <f t="shared" si="38"/>
        <v>10811.02178</v>
      </c>
      <c r="U45" s="7">
        <f t="shared" si="38"/>
        <v>10905.10154</v>
      </c>
      <c r="V45" s="7">
        <f t="shared" si="38"/>
        <v>11000</v>
      </c>
      <c r="W45" s="7">
        <f t="shared" si="38"/>
        <v>11080.0503</v>
      </c>
      <c r="X45" s="7">
        <f t="shared" si="38"/>
        <v>11160.68315</v>
      </c>
      <c r="Y45" s="7">
        <f t="shared" si="38"/>
        <v>11241.90278</v>
      </c>
      <c r="Z45" s="7">
        <f t="shared" si="38"/>
        <v>11323.71348</v>
      </c>
    </row>
    <row r="46" ht="13.5" customHeight="1">
      <c r="B46" s="5">
        <f t="shared" si="31"/>
        <v>10</v>
      </c>
      <c r="C46" s="7"/>
      <c r="D46" s="7"/>
      <c r="E46" s="7"/>
      <c r="F46" s="7"/>
      <c r="G46" s="7"/>
      <c r="H46" s="7"/>
      <c r="I46" s="7"/>
      <c r="J46" s="7"/>
      <c r="K46" s="7"/>
      <c r="L46" s="7">
        <f t="shared" ref="L46:Z46" si="39">$C$6*C$4</f>
        <v>10000</v>
      </c>
      <c r="M46" s="7">
        <f t="shared" si="39"/>
        <v>10087.02208</v>
      </c>
      <c r="N46" s="7">
        <f t="shared" si="39"/>
        <v>10174.80144</v>
      </c>
      <c r="O46" s="7">
        <f t="shared" si="39"/>
        <v>10263.34468</v>
      </c>
      <c r="P46" s="7">
        <f t="shared" si="39"/>
        <v>10352.65843</v>
      </c>
      <c r="Q46" s="7">
        <f t="shared" si="39"/>
        <v>10442.74942</v>
      </c>
      <c r="R46" s="7">
        <f t="shared" si="39"/>
        <v>10533.62439</v>
      </c>
      <c r="S46" s="7">
        <f t="shared" si="39"/>
        <v>10625.29018</v>
      </c>
      <c r="T46" s="7">
        <f t="shared" si="39"/>
        <v>10717.75366</v>
      </c>
      <c r="U46" s="7">
        <f t="shared" si="39"/>
        <v>10811.02178</v>
      </c>
      <c r="V46" s="7">
        <f t="shared" si="39"/>
        <v>10905.10154</v>
      </c>
      <c r="W46" s="7">
        <f t="shared" si="39"/>
        <v>11000</v>
      </c>
      <c r="X46" s="7">
        <f t="shared" si="39"/>
        <v>11080.0503</v>
      </c>
      <c r="Y46" s="7">
        <f t="shared" si="39"/>
        <v>11160.68315</v>
      </c>
      <c r="Z46" s="7">
        <f t="shared" si="39"/>
        <v>11241.90278</v>
      </c>
    </row>
    <row r="47" ht="13.5" customHeight="1">
      <c r="B47" s="5">
        <f t="shared" si="31"/>
        <v>11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>
        <f t="shared" ref="M47:Z47" si="40">$C$6*C$4</f>
        <v>10000</v>
      </c>
      <c r="N47" s="7">
        <f t="shared" si="40"/>
        <v>10087.02208</v>
      </c>
      <c r="O47" s="7">
        <f t="shared" si="40"/>
        <v>10174.80144</v>
      </c>
      <c r="P47" s="7">
        <f t="shared" si="40"/>
        <v>10263.34468</v>
      </c>
      <c r="Q47" s="7">
        <f t="shared" si="40"/>
        <v>10352.65843</v>
      </c>
      <c r="R47" s="7">
        <f t="shared" si="40"/>
        <v>10442.74942</v>
      </c>
      <c r="S47" s="7">
        <f t="shared" si="40"/>
        <v>10533.62439</v>
      </c>
      <c r="T47" s="7">
        <f t="shared" si="40"/>
        <v>10625.29018</v>
      </c>
      <c r="U47" s="7">
        <f t="shared" si="40"/>
        <v>10717.75366</v>
      </c>
      <c r="V47" s="7">
        <f t="shared" si="40"/>
        <v>10811.02178</v>
      </c>
      <c r="W47" s="7">
        <f t="shared" si="40"/>
        <v>10905.10154</v>
      </c>
      <c r="X47" s="7">
        <f t="shared" si="40"/>
        <v>11000</v>
      </c>
      <c r="Y47" s="7">
        <f t="shared" si="40"/>
        <v>11080.0503</v>
      </c>
      <c r="Z47" s="7">
        <f t="shared" si="40"/>
        <v>11160.68315</v>
      </c>
    </row>
    <row r="48" ht="13.5" customHeight="1">
      <c r="B48" s="5">
        <f t="shared" si="31"/>
        <v>12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>
        <f t="shared" ref="N48:Z48" si="41">$C$6*C$4</f>
        <v>10000</v>
      </c>
      <c r="O48" s="7">
        <f t="shared" si="41"/>
        <v>10087.02208</v>
      </c>
      <c r="P48" s="7">
        <f t="shared" si="41"/>
        <v>10174.80144</v>
      </c>
      <c r="Q48" s="7">
        <f t="shared" si="41"/>
        <v>10263.34468</v>
      </c>
      <c r="R48" s="7">
        <f t="shared" si="41"/>
        <v>10352.65843</v>
      </c>
      <c r="S48" s="7">
        <f t="shared" si="41"/>
        <v>10442.74942</v>
      </c>
      <c r="T48" s="7">
        <f t="shared" si="41"/>
        <v>10533.62439</v>
      </c>
      <c r="U48" s="7">
        <f t="shared" si="41"/>
        <v>10625.29018</v>
      </c>
      <c r="V48" s="7">
        <f t="shared" si="41"/>
        <v>10717.75366</v>
      </c>
      <c r="W48" s="7">
        <f t="shared" si="41"/>
        <v>10811.02178</v>
      </c>
      <c r="X48" s="7">
        <f t="shared" si="41"/>
        <v>10905.10154</v>
      </c>
      <c r="Y48" s="7">
        <f t="shared" si="41"/>
        <v>11000</v>
      </c>
      <c r="Z48" s="7">
        <f t="shared" si="41"/>
        <v>11080.0503</v>
      </c>
    </row>
    <row r="49" ht="13.5" customHeight="1">
      <c r="B49" s="5">
        <f t="shared" si="31"/>
        <v>13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>
        <f t="shared" ref="O49:Z49" si="42">$C$6*C$4</f>
        <v>10000</v>
      </c>
      <c r="P49" s="7">
        <f t="shared" si="42"/>
        <v>10087.02208</v>
      </c>
      <c r="Q49" s="7">
        <f t="shared" si="42"/>
        <v>10174.80144</v>
      </c>
      <c r="R49" s="7">
        <f t="shared" si="42"/>
        <v>10263.34468</v>
      </c>
      <c r="S49" s="7">
        <f t="shared" si="42"/>
        <v>10352.65843</v>
      </c>
      <c r="T49" s="7">
        <f t="shared" si="42"/>
        <v>10442.74942</v>
      </c>
      <c r="U49" s="7">
        <f t="shared" si="42"/>
        <v>10533.62439</v>
      </c>
      <c r="V49" s="7">
        <f t="shared" si="42"/>
        <v>10625.29018</v>
      </c>
      <c r="W49" s="7">
        <f t="shared" si="42"/>
        <v>10717.75366</v>
      </c>
      <c r="X49" s="7">
        <f t="shared" si="42"/>
        <v>10811.02178</v>
      </c>
      <c r="Y49" s="7">
        <f t="shared" si="42"/>
        <v>10905.10154</v>
      </c>
      <c r="Z49" s="7">
        <f t="shared" si="42"/>
        <v>11000</v>
      </c>
    </row>
    <row r="50" ht="13.5" customHeight="1">
      <c r="B50" s="5">
        <f t="shared" si="31"/>
        <v>14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>
        <f t="shared" ref="P50:Z50" si="43">$C$6*C$4</f>
        <v>10000</v>
      </c>
      <c r="Q50" s="7">
        <f t="shared" si="43"/>
        <v>10087.02208</v>
      </c>
      <c r="R50" s="7">
        <f t="shared" si="43"/>
        <v>10174.80144</v>
      </c>
      <c r="S50" s="7">
        <f t="shared" si="43"/>
        <v>10263.34468</v>
      </c>
      <c r="T50" s="7">
        <f t="shared" si="43"/>
        <v>10352.65843</v>
      </c>
      <c r="U50" s="7">
        <f t="shared" si="43"/>
        <v>10442.74942</v>
      </c>
      <c r="V50" s="7">
        <f t="shared" si="43"/>
        <v>10533.62439</v>
      </c>
      <c r="W50" s="7">
        <f t="shared" si="43"/>
        <v>10625.29018</v>
      </c>
      <c r="X50" s="7">
        <f t="shared" si="43"/>
        <v>10717.75366</v>
      </c>
      <c r="Y50" s="7">
        <f t="shared" si="43"/>
        <v>10811.02178</v>
      </c>
      <c r="Z50" s="7">
        <f t="shared" si="43"/>
        <v>10905.10154</v>
      </c>
    </row>
    <row r="51" ht="13.5" customHeight="1">
      <c r="B51" s="5">
        <f t="shared" si="31"/>
        <v>15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f t="shared" ref="Q51:Z51" si="44">$C$6*C$4</f>
        <v>10000</v>
      </c>
      <c r="R51" s="7">
        <f t="shared" si="44"/>
        <v>10087.02208</v>
      </c>
      <c r="S51" s="7">
        <f t="shared" si="44"/>
        <v>10174.80144</v>
      </c>
      <c r="T51" s="7">
        <f t="shared" si="44"/>
        <v>10263.34468</v>
      </c>
      <c r="U51" s="7">
        <f t="shared" si="44"/>
        <v>10352.65843</v>
      </c>
      <c r="V51" s="7">
        <f t="shared" si="44"/>
        <v>10442.74942</v>
      </c>
      <c r="W51" s="7">
        <f t="shared" si="44"/>
        <v>10533.62439</v>
      </c>
      <c r="X51" s="7">
        <f t="shared" si="44"/>
        <v>10625.29018</v>
      </c>
      <c r="Y51" s="7">
        <f t="shared" si="44"/>
        <v>10717.75366</v>
      </c>
      <c r="Z51" s="7">
        <f t="shared" si="44"/>
        <v>10811.02178</v>
      </c>
    </row>
    <row r="52" ht="13.5" customHeight="1">
      <c r="B52" s="5">
        <f t="shared" si="31"/>
        <v>16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>
        <f t="shared" ref="R52:Z52" si="45">$C$6*C$4</f>
        <v>10000</v>
      </c>
      <c r="S52" s="7">
        <f t="shared" si="45"/>
        <v>10087.02208</v>
      </c>
      <c r="T52" s="7">
        <f t="shared" si="45"/>
        <v>10174.80144</v>
      </c>
      <c r="U52" s="7">
        <f t="shared" si="45"/>
        <v>10263.34468</v>
      </c>
      <c r="V52" s="7">
        <f t="shared" si="45"/>
        <v>10352.65843</v>
      </c>
      <c r="W52" s="7">
        <f t="shared" si="45"/>
        <v>10442.74942</v>
      </c>
      <c r="X52" s="7">
        <f t="shared" si="45"/>
        <v>10533.62439</v>
      </c>
      <c r="Y52" s="7">
        <f t="shared" si="45"/>
        <v>10625.29018</v>
      </c>
      <c r="Z52" s="7">
        <f t="shared" si="45"/>
        <v>10717.75366</v>
      </c>
    </row>
    <row r="53" ht="13.5" customHeight="1">
      <c r="B53" s="5">
        <f t="shared" si="31"/>
        <v>17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>
        <f t="shared" ref="S53:Z53" si="46">$C$6*C$4</f>
        <v>10000</v>
      </c>
      <c r="T53" s="7">
        <f t="shared" si="46"/>
        <v>10087.02208</v>
      </c>
      <c r="U53" s="7">
        <f t="shared" si="46"/>
        <v>10174.80144</v>
      </c>
      <c r="V53" s="7">
        <f t="shared" si="46"/>
        <v>10263.34468</v>
      </c>
      <c r="W53" s="7">
        <f t="shared" si="46"/>
        <v>10352.65843</v>
      </c>
      <c r="X53" s="7">
        <f t="shared" si="46"/>
        <v>10442.74942</v>
      </c>
      <c r="Y53" s="7">
        <f t="shared" si="46"/>
        <v>10533.62439</v>
      </c>
      <c r="Z53" s="7">
        <f t="shared" si="46"/>
        <v>10625.29018</v>
      </c>
    </row>
    <row r="54" ht="13.5" customHeight="1">
      <c r="B54" s="5">
        <f t="shared" si="31"/>
        <v>18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>
        <f t="shared" ref="T54:Z54" si="47">$C$6*C$4</f>
        <v>10000</v>
      </c>
      <c r="U54" s="7">
        <f t="shared" si="47"/>
        <v>10087.02208</v>
      </c>
      <c r="V54" s="7">
        <f t="shared" si="47"/>
        <v>10174.80144</v>
      </c>
      <c r="W54" s="7">
        <f t="shared" si="47"/>
        <v>10263.34468</v>
      </c>
      <c r="X54" s="7">
        <f t="shared" si="47"/>
        <v>10352.65843</v>
      </c>
      <c r="Y54" s="7">
        <f t="shared" si="47"/>
        <v>10442.74942</v>
      </c>
      <c r="Z54" s="7">
        <f t="shared" si="47"/>
        <v>10533.62439</v>
      </c>
    </row>
    <row r="55" ht="13.5" customHeight="1">
      <c r="B55" s="5">
        <f t="shared" si="31"/>
        <v>19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>
        <f t="shared" ref="U55:Z55" si="48">$C$6*C$4</f>
        <v>10000</v>
      </c>
      <c r="V55" s="7">
        <f t="shared" si="48"/>
        <v>10087.02208</v>
      </c>
      <c r="W55" s="7">
        <f t="shared" si="48"/>
        <v>10174.80144</v>
      </c>
      <c r="X55" s="7">
        <f t="shared" si="48"/>
        <v>10263.34468</v>
      </c>
      <c r="Y55" s="7">
        <f t="shared" si="48"/>
        <v>10352.65843</v>
      </c>
      <c r="Z55" s="7">
        <f t="shared" si="48"/>
        <v>10442.74942</v>
      </c>
    </row>
    <row r="56" ht="13.5" customHeight="1">
      <c r="B56" s="5">
        <f t="shared" si="31"/>
        <v>20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>
        <f t="shared" ref="V56:Z56" si="49">$C$6*C$4</f>
        <v>10000</v>
      </c>
      <c r="W56" s="7">
        <f t="shared" si="49"/>
        <v>10087.02208</v>
      </c>
      <c r="X56" s="7">
        <f t="shared" si="49"/>
        <v>10174.80144</v>
      </c>
      <c r="Y56" s="7">
        <f t="shared" si="49"/>
        <v>10263.34468</v>
      </c>
      <c r="Z56" s="7">
        <f t="shared" si="49"/>
        <v>10352.65843</v>
      </c>
    </row>
    <row r="57" ht="13.5" customHeight="1">
      <c r="B57" s="5">
        <f t="shared" si="31"/>
        <v>21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>
        <f t="shared" ref="W57:Z57" si="50">$C$6*C$4</f>
        <v>10000</v>
      </c>
      <c r="X57" s="7">
        <f t="shared" si="50"/>
        <v>10087.02208</v>
      </c>
      <c r="Y57" s="7">
        <f t="shared" si="50"/>
        <v>10174.80144</v>
      </c>
      <c r="Z57" s="7">
        <f t="shared" si="50"/>
        <v>10263.34468</v>
      </c>
    </row>
    <row r="58" ht="13.5" customHeight="1">
      <c r="B58" s="5">
        <f t="shared" si="31"/>
        <v>22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>
        <f t="shared" ref="X58:Z58" si="51">$C$6*C$4</f>
        <v>10000</v>
      </c>
      <c r="Y58" s="7">
        <f t="shared" si="51"/>
        <v>10087.02208</v>
      </c>
      <c r="Z58" s="7">
        <f t="shared" si="51"/>
        <v>10174.80144</v>
      </c>
    </row>
    <row r="59" ht="13.5" customHeight="1">
      <c r="B59" s="5">
        <f t="shared" si="31"/>
        <v>23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>
        <f t="shared" ref="Y59:Z59" si="52">$C$6*C$4</f>
        <v>10000</v>
      </c>
      <c r="Z59" s="7">
        <f t="shared" si="52"/>
        <v>10087.02208</v>
      </c>
    </row>
    <row r="60" ht="13.5" customHeight="1">
      <c r="B60" s="5">
        <f t="shared" si="31"/>
        <v>24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>
        <f>$C$6*C$4</f>
        <v>10000</v>
      </c>
    </row>
    <row r="61" ht="13.5" customHeight="1">
      <c r="B61" s="10" t="s">
        <v>6</v>
      </c>
      <c r="C61" s="7">
        <f t="shared" ref="C61:Z61" si="53">SUM(C37:C60)</f>
        <v>10000</v>
      </c>
      <c r="D61" s="7">
        <f t="shared" si="53"/>
        <v>20087.02208</v>
      </c>
      <c r="E61" s="7">
        <f t="shared" si="53"/>
        <v>30261.82352</v>
      </c>
      <c r="F61" s="7">
        <f t="shared" si="53"/>
        <v>40525.16819</v>
      </c>
      <c r="G61" s="7">
        <f t="shared" si="53"/>
        <v>50877.82663</v>
      </c>
      <c r="H61" s="7">
        <f t="shared" si="53"/>
        <v>61320.57604</v>
      </c>
      <c r="I61" s="7">
        <f t="shared" si="53"/>
        <v>71854.20044</v>
      </c>
      <c r="J61" s="7">
        <f t="shared" si="53"/>
        <v>82479.49062</v>
      </c>
      <c r="K61" s="7">
        <f t="shared" si="53"/>
        <v>93197.24428</v>
      </c>
      <c r="L61" s="7">
        <f t="shared" si="53"/>
        <v>104008.2661</v>
      </c>
      <c r="M61" s="7">
        <f t="shared" si="53"/>
        <v>114913.3676</v>
      </c>
      <c r="N61" s="7">
        <f t="shared" si="53"/>
        <v>125913.3676</v>
      </c>
      <c r="O61" s="7">
        <f t="shared" si="53"/>
        <v>136993.4179</v>
      </c>
      <c r="P61" s="7">
        <f t="shared" si="53"/>
        <v>148154.1011</v>
      </c>
      <c r="Q61" s="7">
        <f t="shared" si="53"/>
        <v>159396.0038</v>
      </c>
      <c r="R61" s="7">
        <f t="shared" si="53"/>
        <v>170719.7173</v>
      </c>
      <c r="S61" s="7">
        <f t="shared" si="53"/>
        <v>182125.8369</v>
      </c>
      <c r="T61" s="7">
        <f t="shared" si="53"/>
        <v>193614.9622</v>
      </c>
      <c r="U61" s="7">
        <f t="shared" si="53"/>
        <v>205187.6973</v>
      </c>
      <c r="V61" s="7">
        <f t="shared" si="53"/>
        <v>216844.6506</v>
      </c>
      <c r="W61" s="7">
        <f t="shared" si="53"/>
        <v>228586.4351</v>
      </c>
      <c r="X61" s="7">
        <f t="shared" si="53"/>
        <v>240413.6681</v>
      </c>
      <c r="Y61" s="7">
        <f t="shared" si="53"/>
        <v>252326.9715</v>
      </c>
      <c r="Z61" s="7">
        <f t="shared" si="53"/>
        <v>264326.9715</v>
      </c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N1"/>
    <mergeCell ref="O1:P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5"/>
    <col customWidth="1" min="2" max="3" width="9.5"/>
    <col customWidth="1" min="4" max="6" width="8.75"/>
    <col customWidth="1" min="7" max="7" width="9.5"/>
    <col customWidth="1" min="8" max="13" width="8.75"/>
    <col customWidth="1" min="14" max="26" width="9.5"/>
    <col customWidth="1" min="27" max="27" width="10.5"/>
  </cols>
  <sheetData>
    <row r="1" ht="27.75" customHeight="1">
      <c r="A1" s="1"/>
      <c r="O1" s="2"/>
    </row>
    <row r="2" ht="13.5" customHeight="1">
      <c r="A2" s="3" t="s">
        <v>0</v>
      </c>
      <c r="B2" s="4">
        <v>1.0</v>
      </c>
      <c r="C2" s="4">
        <f t="shared" ref="C2:Y2" si="1">B2+1</f>
        <v>2</v>
      </c>
      <c r="D2" s="4">
        <f t="shared" si="1"/>
        <v>3</v>
      </c>
      <c r="E2" s="4">
        <f t="shared" si="1"/>
        <v>4</v>
      </c>
      <c r="F2" s="4">
        <f t="shared" si="1"/>
        <v>5</v>
      </c>
      <c r="G2" s="4">
        <f t="shared" si="1"/>
        <v>6</v>
      </c>
      <c r="H2" s="4">
        <f t="shared" si="1"/>
        <v>7</v>
      </c>
      <c r="I2" s="4">
        <f t="shared" si="1"/>
        <v>8</v>
      </c>
      <c r="J2" s="4">
        <f t="shared" si="1"/>
        <v>9</v>
      </c>
      <c r="K2" s="4">
        <f t="shared" si="1"/>
        <v>10</v>
      </c>
      <c r="L2" s="4">
        <f t="shared" si="1"/>
        <v>11</v>
      </c>
      <c r="M2" s="4">
        <f t="shared" si="1"/>
        <v>12</v>
      </c>
      <c r="N2" s="4">
        <f t="shared" si="1"/>
        <v>13</v>
      </c>
      <c r="O2" s="4">
        <f t="shared" si="1"/>
        <v>14</v>
      </c>
      <c r="P2" s="4">
        <f t="shared" si="1"/>
        <v>15</v>
      </c>
      <c r="Q2" s="4">
        <f t="shared" si="1"/>
        <v>16</v>
      </c>
      <c r="R2" s="4">
        <f t="shared" si="1"/>
        <v>17</v>
      </c>
      <c r="S2" s="4">
        <f t="shared" si="1"/>
        <v>18</v>
      </c>
      <c r="T2" s="4">
        <f t="shared" si="1"/>
        <v>19</v>
      </c>
      <c r="U2" s="4">
        <f t="shared" si="1"/>
        <v>20</v>
      </c>
      <c r="V2" s="4">
        <f t="shared" si="1"/>
        <v>21</v>
      </c>
      <c r="W2" s="4">
        <f t="shared" si="1"/>
        <v>22</v>
      </c>
      <c r="X2" s="4">
        <f t="shared" si="1"/>
        <v>23</v>
      </c>
      <c r="Y2" s="4">
        <f t="shared" si="1"/>
        <v>24</v>
      </c>
    </row>
    <row r="3" ht="13.5" customHeight="1">
      <c r="A3" s="5" t="s">
        <v>1</v>
      </c>
      <c r="B3" s="6">
        <f>'Calcs 1'!C3</f>
        <v>1</v>
      </c>
      <c r="C3" s="6">
        <f>'Calcs 1'!D3</f>
        <v>0.9546230838</v>
      </c>
      <c r="D3" s="6">
        <f>'Calcs 1'!E3</f>
        <v>0.9113052321</v>
      </c>
      <c r="E3" s="6">
        <f>'Calcs 1'!F3</f>
        <v>0.8699530109</v>
      </c>
      <c r="F3" s="6">
        <f>'Calcs 1'!G3</f>
        <v>0.8304772261</v>
      </c>
      <c r="G3" s="6">
        <f>'Calcs 1'!H3</f>
        <v>0.7927927305</v>
      </c>
      <c r="H3" s="6">
        <f>'Calcs 1'!I3</f>
        <v>0.7568182412</v>
      </c>
      <c r="I3" s="6">
        <f>'Calcs 1'!J3</f>
        <v>0.7224761633</v>
      </c>
      <c r="J3" s="6">
        <f>'Calcs 1'!K3</f>
        <v>0.689692423</v>
      </c>
      <c r="K3" s="6">
        <f>'Calcs 1'!L3</f>
        <v>0.6583963077</v>
      </c>
      <c r="L3" s="6">
        <f>'Calcs 1'!M3</f>
        <v>0.6285203136</v>
      </c>
      <c r="M3" s="6">
        <f>'Calcs 1'!N3</f>
        <v>0.6</v>
      </c>
      <c r="N3" s="6">
        <f>'Calcs 1'!O3</f>
        <v>0.5857869455</v>
      </c>
      <c r="O3" s="6">
        <f>'Calcs 1'!P3</f>
        <v>0.5719105758</v>
      </c>
      <c r="P3" s="6">
        <f>'Calcs 1'!Q3</f>
        <v>0.5583629155</v>
      </c>
      <c r="Q3" s="6">
        <f>'Calcs 1'!R3</f>
        <v>0.5451361778</v>
      </c>
      <c r="R3" s="6">
        <f>'Calcs 1'!S3</f>
        <v>0.5322227608</v>
      </c>
      <c r="S3" s="6">
        <f>'Calcs 1'!T3</f>
        <v>0.5196152423</v>
      </c>
      <c r="T3" s="6">
        <f>'Calcs 1'!U3</f>
        <v>0.507306376</v>
      </c>
      <c r="U3" s="6">
        <f>'Calcs 1'!V3</f>
        <v>0.4952890873</v>
      </c>
      <c r="V3" s="6">
        <f>'Calcs 1'!W3</f>
        <v>0.4835564693</v>
      </c>
      <c r="W3" s="6">
        <f>'Calcs 1'!X3</f>
        <v>0.4721017785</v>
      </c>
      <c r="X3" s="6">
        <f>'Calcs 1'!Y3</f>
        <v>0.4609184313</v>
      </c>
      <c r="Y3" s="6">
        <f>'Calcs 1'!Z3</f>
        <v>0.45</v>
      </c>
    </row>
    <row r="4" ht="13.5" customHeight="1">
      <c r="A4" s="5" t="s">
        <v>2</v>
      </c>
      <c r="B4" s="6">
        <f>'Calcs 1'!C4</f>
        <v>1</v>
      </c>
      <c r="C4" s="6">
        <f>'Calcs 1'!D4</f>
        <v>1.008702208</v>
      </c>
      <c r="D4" s="6">
        <f>'Calcs 1'!E4</f>
        <v>1.017480144</v>
      </c>
      <c r="E4" s="6">
        <f>'Calcs 1'!F4</f>
        <v>1.026334468</v>
      </c>
      <c r="F4" s="6">
        <f>'Calcs 1'!G4</f>
        <v>1.035265843</v>
      </c>
      <c r="G4" s="6">
        <f>'Calcs 1'!H4</f>
        <v>1.044274942</v>
      </c>
      <c r="H4" s="6">
        <f>'Calcs 1'!I4</f>
        <v>1.053362439</v>
      </c>
      <c r="I4" s="6">
        <f>'Calcs 1'!J4</f>
        <v>1.062529018</v>
      </c>
      <c r="J4" s="6">
        <f>'Calcs 1'!K4</f>
        <v>1.071775366</v>
      </c>
      <c r="K4" s="6">
        <f>'Calcs 1'!L4</f>
        <v>1.081102178</v>
      </c>
      <c r="L4" s="6">
        <f>'Calcs 1'!M4</f>
        <v>1.090510154</v>
      </c>
      <c r="M4" s="6">
        <f>'Calcs 1'!N4</f>
        <v>1.1</v>
      </c>
      <c r="N4" s="6">
        <f>'Calcs 1'!O4</f>
        <v>1.10800503</v>
      </c>
      <c r="O4" s="6">
        <f>'Calcs 1'!P4</f>
        <v>1.116068315</v>
      </c>
      <c r="P4" s="6">
        <f>'Calcs 1'!Q4</f>
        <v>1.124190278</v>
      </c>
      <c r="Q4" s="6">
        <f>'Calcs 1'!R4</f>
        <v>1.132371348</v>
      </c>
      <c r="R4" s="6">
        <f>'Calcs 1'!S4</f>
        <v>1.140611954</v>
      </c>
      <c r="S4" s="6">
        <f>'Calcs 1'!T4</f>
        <v>1.148912529</v>
      </c>
      <c r="T4" s="6">
        <f>'Calcs 1'!U4</f>
        <v>1.15727351</v>
      </c>
      <c r="U4" s="6">
        <f>'Calcs 1'!V4</f>
        <v>1.165695337</v>
      </c>
      <c r="V4" s="6">
        <f>'Calcs 1'!W4</f>
        <v>1.174178451</v>
      </c>
      <c r="W4" s="6">
        <f>'Calcs 1'!X4</f>
        <v>1.1827233</v>
      </c>
      <c r="X4" s="6">
        <f>'Calcs 1'!Y4</f>
        <v>1.191330332</v>
      </c>
      <c r="Y4" s="6">
        <f>'Calcs 1'!Z4</f>
        <v>1.2</v>
      </c>
    </row>
    <row r="5" ht="13.5" customHeight="1">
      <c r="A5" s="10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3.5" customHeight="1">
      <c r="A6" s="11" t="s">
        <v>8</v>
      </c>
    </row>
    <row r="7" ht="4.5" customHeight="1">
      <c r="A7" s="11"/>
    </row>
    <row r="8" ht="13.5" customHeight="1">
      <c r="A8" s="11" t="s">
        <v>9</v>
      </c>
      <c r="B8" s="12" t="s">
        <v>10</v>
      </c>
      <c r="C8" s="8" t="s">
        <v>5</v>
      </c>
      <c r="D8" s="4">
        <v>1.0</v>
      </c>
      <c r="E8" s="4">
        <f t="shared" ref="E8:AA8" si="2">D8+1</f>
        <v>2</v>
      </c>
      <c r="F8" s="4">
        <f t="shared" si="2"/>
        <v>3</v>
      </c>
      <c r="G8" s="4">
        <f t="shared" si="2"/>
        <v>4</v>
      </c>
      <c r="H8" s="4">
        <f t="shared" si="2"/>
        <v>5</v>
      </c>
      <c r="I8" s="4">
        <f t="shared" si="2"/>
        <v>6</v>
      </c>
      <c r="J8" s="4">
        <f t="shared" si="2"/>
        <v>7</v>
      </c>
      <c r="K8" s="4">
        <f t="shared" si="2"/>
        <v>8</v>
      </c>
      <c r="L8" s="4">
        <f t="shared" si="2"/>
        <v>9</v>
      </c>
      <c r="M8" s="4">
        <f t="shared" si="2"/>
        <v>10</v>
      </c>
      <c r="N8" s="4">
        <f t="shared" si="2"/>
        <v>11</v>
      </c>
      <c r="O8" s="4">
        <f t="shared" si="2"/>
        <v>12</v>
      </c>
      <c r="P8" s="4">
        <f t="shared" si="2"/>
        <v>13</v>
      </c>
      <c r="Q8" s="4">
        <f t="shared" si="2"/>
        <v>14</v>
      </c>
      <c r="R8" s="4">
        <f t="shared" si="2"/>
        <v>15</v>
      </c>
      <c r="S8" s="4">
        <f t="shared" si="2"/>
        <v>16</v>
      </c>
      <c r="T8" s="4">
        <f t="shared" si="2"/>
        <v>17</v>
      </c>
      <c r="U8" s="4">
        <f t="shared" si="2"/>
        <v>18</v>
      </c>
      <c r="V8" s="4">
        <f t="shared" si="2"/>
        <v>19</v>
      </c>
      <c r="W8" s="4">
        <f t="shared" si="2"/>
        <v>20</v>
      </c>
      <c r="X8" s="4">
        <f t="shared" si="2"/>
        <v>21</v>
      </c>
      <c r="Y8" s="4">
        <f t="shared" si="2"/>
        <v>22</v>
      </c>
      <c r="Z8" s="4">
        <f t="shared" si="2"/>
        <v>23</v>
      </c>
      <c r="AA8" s="4">
        <f t="shared" si="2"/>
        <v>24</v>
      </c>
    </row>
    <row r="9" ht="13.5" customHeight="1">
      <c r="A9" s="13">
        <v>0.038479488316306196</v>
      </c>
      <c r="B9" s="7">
        <v>10000.0</v>
      </c>
      <c r="C9" s="5">
        <v>1.0</v>
      </c>
      <c r="D9" s="7">
        <f>B9</f>
        <v>10000</v>
      </c>
      <c r="E9" s="7">
        <f t="shared" ref="E9:AA9" si="3">$D$9*C3</f>
        <v>9546.230838</v>
      </c>
      <c r="F9" s="7">
        <f t="shared" si="3"/>
        <v>9113.052321</v>
      </c>
      <c r="G9" s="7">
        <f t="shared" si="3"/>
        <v>8699.530109</v>
      </c>
      <c r="H9" s="7">
        <f t="shared" si="3"/>
        <v>8304.772261</v>
      </c>
      <c r="I9" s="7">
        <f t="shared" si="3"/>
        <v>7927.927305</v>
      </c>
      <c r="J9" s="7">
        <f t="shared" si="3"/>
        <v>7568.182412</v>
      </c>
      <c r="K9" s="7">
        <f t="shared" si="3"/>
        <v>7224.761633</v>
      </c>
      <c r="L9" s="7">
        <f t="shared" si="3"/>
        <v>6896.92423</v>
      </c>
      <c r="M9" s="7">
        <f t="shared" si="3"/>
        <v>6583.963077</v>
      </c>
      <c r="N9" s="7">
        <f t="shared" si="3"/>
        <v>6285.203136</v>
      </c>
      <c r="O9" s="7">
        <f t="shared" si="3"/>
        <v>6000</v>
      </c>
      <c r="P9" s="7">
        <f t="shared" si="3"/>
        <v>5857.869455</v>
      </c>
      <c r="Q9" s="7">
        <f t="shared" si="3"/>
        <v>5719.105758</v>
      </c>
      <c r="R9" s="7">
        <f t="shared" si="3"/>
        <v>5583.629155</v>
      </c>
      <c r="S9" s="7">
        <f t="shared" si="3"/>
        <v>5451.361778</v>
      </c>
      <c r="T9" s="7">
        <f t="shared" si="3"/>
        <v>5322.227608</v>
      </c>
      <c r="U9" s="7">
        <f t="shared" si="3"/>
        <v>5196.152423</v>
      </c>
      <c r="V9" s="7">
        <f t="shared" si="3"/>
        <v>5073.06376</v>
      </c>
      <c r="W9" s="7">
        <f t="shared" si="3"/>
        <v>4952.890873</v>
      </c>
      <c r="X9" s="7">
        <f t="shared" si="3"/>
        <v>4835.564693</v>
      </c>
      <c r="Y9" s="7">
        <f t="shared" si="3"/>
        <v>4721.017785</v>
      </c>
      <c r="Z9" s="7">
        <f t="shared" si="3"/>
        <v>4609.184313</v>
      </c>
      <c r="AA9" s="7">
        <f t="shared" si="3"/>
        <v>4500</v>
      </c>
    </row>
    <row r="10" ht="13.5" customHeight="1">
      <c r="B10" s="7">
        <f t="shared" ref="B10:B32" si="5">B9*(1+$A$9)</f>
        <v>10384.79488</v>
      </c>
      <c r="C10" s="5">
        <f t="shared" ref="C10:C32" si="6">C9+1</f>
        <v>2</v>
      </c>
      <c r="D10" s="7"/>
      <c r="E10" s="7">
        <f>B10</f>
        <v>10384.79488</v>
      </c>
      <c r="F10" s="7">
        <f t="shared" ref="F10:AA10" si="4">$E$10*C3</f>
        <v>9913.564916</v>
      </c>
      <c r="G10" s="7">
        <f t="shared" si="4"/>
        <v>9463.717911</v>
      </c>
      <c r="H10" s="7">
        <f t="shared" si="4"/>
        <v>9034.283577</v>
      </c>
      <c r="I10" s="7">
        <f t="shared" si="4"/>
        <v>8624.335648</v>
      </c>
      <c r="J10" s="7">
        <f t="shared" si="4"/>
        <v>8232.989892</v>
      </c>
      <c r="K10" s="7">
        <f t="shared" si="4"/>
        <v>7859.402199</v>
      </c>
      <c r="L10" s="7">
        <f t="shared" si="4"/>
        <v>7502.766764</v>
      </c>
      <c r="M10" s="7">
        <f t="shared" si="4"/>
        <v>7162.314345</v>
      </c>
      <c r="N10" s="7">
        <f t="shared" si="4"/>
        <v>6837.310607</v>
      </c>
      <c r="O10" s="7">
        <f t="shared" si="4"/>
        <v>6527.054537</v>
      </c>
      <c r="P10" s="7">
        <f t="shared" si="4"/>
        <v>6230.87693</v>
      </c>
      <c r="Q10" s="7">
        <f t="shared" si="4"/>
        <v>6083.277274</v>
      </c>
      <c r="R10" s="7">
        <f t="shared" si="4"/>
        <v>5939.174021</v>
      </c>
      <c r="S10" s="7">
        <f t="shared" si="4"/>
        <v>5798.484347</v>
      </c>
      <c r="T10" s="7">
        <f t="shared" si="4"/>
        <v>5661.12739</v>
      </c>
      <c r="U10" s="7">
        <f t="shared" si="4"/>
        <v>5527.024203</v>
      </c>
      <c r="V10" s="7">
        <f t="shared" si="4"/>
        <v>5396.097709</v>
      </c>
      <c r="W10" s="7">
        <f t="shared" si="4"/>
        <v>5268.272657</v>
      </c>
      <c r="X10" s="7">
        <f t="shared" si="4"/>
        <v>5143.47558</v>
      </c>
      <c r="Y10" s="7">
        <f t="shared" si="4"/>
        <v>5021.634748</v>
      </c>
      <c r="Z10" s="7">
        <f t="shared" si="4"/>
        <v>4902.680134</v>
      </c>
      <c r="AA10" s="7">
        <f t="shared" si="4"/>
        <v>4786.543367</v>
      </c>
    </row>
    <row r="11" ht="13.5" customHeight="1">
      <c r="B11" s="7">
        <f t="shared" si="5"/>
        <v>10784.39648</v>
      </c>
      <c r="C11" s="5">
        <f t="shared" si="6"/>
        <v>3</v>
      </c>
      <c r="D11" s="7"/>
      <c r="E11" s="7"/>
      <c r="F11" s="7">
        <f>B11</f>
        <v>10784.39648</v>
      </c>
      <c r="G11" s="7">
        <f t="shared" ref="G11:AA11" si="7">$F$11*C$3</f>
        <v>10295.03382</v>
      </c>
      <c r="H11" s="7">
        <f t="shared" si="7"/>
        <v>9827.876934</v>
      </c>
      <c r="I11" s="7">
        <f t="shared" si="7"/>
        <v>9381.918186</v>
      </c>
      <c r="J11" s="7">
        <f t="shared" si="7"/>
        <v>8956.19567</v>
      </c>
      <c r="K11" s="7">
        <f t="shared" si="7"/>
        <v>8549.79113</v>
      </c>
      <c r="L11" s="7">
        <f t="shared" si="7"/>
        <v>8161.827974</v>
      </c>
      <c r="M11" s="7">
        <f t="shared" si="7"/>
        <v>7791.46939</v>
      </c>
      <c r="N11" s="7">
        <f t="shared" si="7"/>
        <v>7437.916536</v>
      </c>
      <c r="O11" s="7">
        <f t="shared" si="7"/>
        <v>7100.406821</v>
      </c>
      <c r="P11" s="7">
        <f t="shared" si="7"/>
        <v>6778.212256</v>
      </c>
      <c r="Q11" s="7">
        <f t="shared" si="7"/>
        <v>6470.637886</v>
      </c>
      <c r="R11" s="7">
        <f t="shared" si="7"/>
        <v>6317.358671</v>
      </c>
      <c r="S11" s="7">
        <f t="shared" si="7"/>
        <v>6167.710399</v>
      </c>
      <c r="T11" s="7">
        <f t="shared" si="7"/>
        <v>6021.607058</v>
      </c>
      <c r="U11" s="7">
        <f t="shared" si="7"/>
        <v>5878.964676</v>
      </c>
      <c r="V11" s="7">
        <f t="shared" si="7"/>
        <v>5739.701266</v>
      </c>
      <c r="W11" s="7">
        <f t="shared" si="7"/>
        <v>5603.736788</v>
      </c>
      <c r="X11" s="7">
        <f t="shared" si="7"/>
        <v>5470.993094</v>
      </c>
      <c r="Y11" s="7">
        <f t="shared" si="7"/>
        <v>5341.393888</v>
      </c>
      <c r="Z11" s="7">
        <f t="shared" si="7"/>
        <v>5214.864684</v>
      </c>
      <c r="AA11" s="7">
        <f t="shared" si="7"/>
        <v>5091.332757</v>
      </c>
    </row>
    <row r="12" ht="13.5" customHeight="1">
      <c r="B12" s="7">
        <f t="shared" si="5"/>
        <v>11199.37453</v>
      </c>
      <c r="C12" s="5">
        <f t="shared" si="6"/>
        <v>4</v>
      </c>
      <c r="D12" s="7"/>
      <c r="E12" s="7"/>
      <c r="F12" s="7"/>
      <c r="G12" s="7">
        <f>B12</f>
        <v>11199.37453</v>
      </c>
      <c r="H12" s="7">
        <f t="shared" ref="H12:AA12" si="8">$G$12*C3</f>
        <v>10691.18145</v>
      </c>
      <c r="I12" s="7">
        <f t="shared" si="8"/>
        <v>10206.04861</v>
      </c>
      <c r="J12" s="7">
        <f t="shared" si="8"/>
        <v>9742.929597</v>
      </c>
      <c r="K12" s="7">
        <f t="shared" si="8"/>
        <v>9300.825497</v>
      </c>
      <c r="L12" s="7">
        <f t="shared" si="8"/>
        <v>8878.782718</v>
      </c>
      <c r="M12" s="7">
        <f t="shared" si="8"/>
        <v>8475.890938</v>
      </c>
      <c r="N12" s="7">
        <f t="shared" si="8"/>
        <v>8091.281145</v>
      </c>
      <c r="O12" s="7">
        <f t="shared" si="8"/>
        <v>7724.123759</v>
      </c>
      <c r="P12" s="7">
        <f t="shared" si="8"/>
        <v>7373.626842</v>
      </c>
      <c r="Q12" s="7">
        <f t="shared" si="8"/>
        <v>7039.034395</v>
      </c>
      <c r="R12" s="7">
        <f t="shared" si="8"/>
        <v>6719.624721</v>
      </c>
      <c r="S12" s="7">
        <f t="shared" si="8"/>
        <v>6560.4474</v>
      </c>
      <c r="T12" s="7">
        <f t="shared" si="8"/>
        <v>6405.040739</v>
      </c>
      <c r="U12" s="7">
        <f t="shared" si="8"/>
        <v>6253.315417</v>
      </c>
      <c r="V12" s="7">
        <f t="shared" si="8"/>
        <v>6105.184228</v>
      </c>
      <c r="W12" s="7">
        <f t="shared" si="8"/>
        <v>5960.562034</v>
      </c>
      <c r="X12" s="7">
        <f t="shared" si="8"/>
        <v>5819.365712</v>
      </c>
      <c r="Y12" s="7">
        <f t="shared" si="8"/>
        <v>5681.514108</v>
      </c>
      <c r="Z12" s="7">
        <f t="shared" si="8"/>
        <v>5546.927992</v>
      </c>
      <c r="AA12" s="7">
        <f t="shared" si="8"/>
        <v>5415.530009</v>
      </c>
    </row>
    <row r="13" ht="13.5" customHeight="1">
      <c r="B13" s="7">
        <f t="shared" si="5"/>
        <v>11630.32074</v>
      </c>
      <c r="C13" s="5">
        <f t="shared" si="6"/>
        <v>5</v>
      </c>
      <c r="D13" s="7"/>
      <c r="E13" s="7"/>
      <c r="F13" s="7"/>
      <c r="G13" s="7"/>
      <c r="H13" s="7">
        <f>B13</f>
        <v>11630.32074</v>
      </c>
      <c r="I13" s="7">
        <f t="shared" ref="I13:AA13" si="9">$H$13*C3</f>
        <v>11102.57265</v>
      </c>
      <c r="J13" s="7">
        <f t="shared" si="9"/>
        <v>10598.77214</v>
      </c>
      <c r="K13" s="7">
        <f t="shared" si="9"/>
        <v>10117.83254</v>
      </c>
      <c r="L13" s="7">
        <f t="shared" si="9"/>
        <v>9658.716503</v>
      </c>
      <c r="M13" s="7">
        <f t="shared" si="9"/>
        <v>9220.433734</v>
      </c>
      <c r="N13" s="7">
        <f t="shared" si="9"/>
        <v>8802.038885</v>
      </c>
      <c r="O13" s="7">
        <f t="shared" si="9"/>
        <v>8402.629504</v>
      </c>
      <c r="P13" s="7">
        <f t="shared" si="9"/>
        <v>8021.344089</v>
      </c>
      <c r="Q13" s="7">
        <f t="shared" si="9"/>
        <v>7657.36023</v>
      </c>
      <c r="R13" s="7">
        <f t="shared" si="9"/>
        <v>7309.892837</v>
      </c>
      <c r="S13" s="7">
        <f t="shared" si="9"/>
        <v>6978.192442</v>
      </c>
      <c r="T13" s="7">
        <f t="shared" si="9"/>
        <v>6812.890059</v>
      </c>
      <c r="U13" s="7">
        <f t="shared" si="9"/>
        <v>6651.503429</v>
      </c>
      <c r="V13" s="7">
        <f t="shared" si="9"/>
        <v>6493.939794</v>
      </c>
      <c r="W13" s="7">
        <f t="shared" si="9"/>
        <v>6340.108593</v>
      </c>
      <c r="X13" s="7">
        <f t="shared" si="9"/>
        <v>6189.921411</v>
      </c>
      <c r="Y13" s="7">
        <f t="shared" si="9"/>
        <v>6043.291927</v>
      </c>
      <c r="Z13" s="7">
        <f t="shared" si="9"/>
        <v>5900.135864</v>
      </c>
      <c r="AA13" s="7">
        <f t="shared" si="9"/>
        <v>5760.370943</v>
      </c>
    </row>
    <row r="14" ht="13.5" customHeight="1">
      <c r="B14" s="7">
        <f t="shared" si="5"/>
        <v>12077.84953</v>
      </c>
      <c r="C14" s="5">
        <f t="shared" si="6"/>
        <v>6</v>
      </c>
      <c r="D14" s="7"/>
      <c r="E14" s="7"/>
      <c r="F14" s="7"/>
      <c r="G14" s="7"/>
      <c r="H14" s="7"/>
      <c r="I14" s="7">
        <f>B14</f>
        <v>12077.84953</v>
      </c>
      <c r="J14" s="7">
        <f t="shared" ref="J14:AA14" si="10">$I$14*C3</f>
        <v>11529.79396</v>
      </c>
      <c r="K14" s="7">
        <f t="shared" si="10"/>
        <v>11006.60747</v>
      </c>
      <c r="L14" s="7">
        <f t="shared" si="10"/>
        <v>10507.16156</v>
      </c>
      <c r="M14" s="7">
        <f t="shared" si="10"/>
        <v>10030.37897</v>
      </c>
      <c r="N14" s="7">
        <f t="shared" si="10"/>
        <v>9575.231306</v>
      </c>
      <c r="O14" s="7">
        <f t="shared" si="10"/>
        <v>9140.736837</v>
      </c>
      <c r="P14" s="7">
        <f t="shared" si="10"/>
        <v>8725.958388</v>
      </c>
      <c r="Q14" s="7">
        <f t="shared" si="10"/>
        <v>8330.001305</v>
      </c>
      <c r="R14" s="7">
        <f t="shared" si="10"/>
        <v>7952.011534</v>
      </c>
      <c r="S14" s="7">
        <f t="shared" si="10"/>
        <v>7591.173773</v>
      </c>
      <c r="T14" s="7">
        <f t="shared" si="10"/>
        <v>7246.709716</v>
      </c>
      <c r="U14" s="7">
        <f t="shared" si="10"/>
        <v>7075.046582</v>
      </c>
      <c r="V14" s="7">
        <f t="shared" si="10"/>
        <v>6907.449878</v>
      </c>
      <c r="W14" s="7">
        <f t="shared" si="10"/>
        <v>6743.823275</v>
      </c>
      <c r="X14" s="7">
        <f t="shared" si="10"/>
        <v>6584.072728</v>
      </c>
      <c r="Y14" s="7">
        <f t="shared" si="10"/>
        <v>6428.10642</v>
      </c>
      <c r="Z14" s="7">
        <f t="shared" si="10"/>
        <v>6275.834708</v>
      </c>
      <c r="AA14" s="7">
        <f t="shared" si="10"/>
        <v>6127.170073</v>
      </c>
    </row>
    <row r="15" ht="13.5" customHeight="1">
      <c r="B15" s="7">
        <f t="shared" si="5"/>
        <v>12542.599</v>
      </c>
      <c r="C15" s="5">
        <f t="shared" si="6"/>
        <v>7</v>
      </c>
      <c r="D15" s="7"/>
      <c r="E15" s="7"/>
      <c r="F15" s="7"/>
      <c r="G15" s="7"/>
      <c r="H15" s="7"/>
      <c r="I15" s="7"/>
      <c r="J15" s="7">
        <f>B15</f>
        <v>12542.599</v>
      </c>
      <c r="K15" s="7">
        <f t="shared" ref="K15:AA15" si="11">$J$15*C3</f>
        <v>11973.45453</v>
      </c>
      <c r="L15" s="7">
        <f t="shared" si="11"/>
        <v>11430.13609</v>
      </c>
      <c r="M15" s="7">
        <f t="shared" si="11"/>
        <v>10911.47176</v>
      </c>
      <c r="N15" s="7">
        <f t="shared" si="11"/>
        <v>10416.34282</v>
      </c>
      <c r="O15" s="7">
        <f t="shared" si="11"/>
        <v>9943.681307</v>
      </c>
      <c r="P15" s="7">
        <f t="shared" si="11"/>
        <v>9492.467713</v>
      </c>
      <c r="Q15" s="7">
        <f t="shared" si="11"/>
        <v>9061.728801</v>
      </c>
      <c r="R15" s="7">
        <f t="shared" si="11"/>
        <v>8650.535493</v>
      </c>
      <c r="S15" s="7">
        <f t="shared" si="11"/>
        <v>8258.000869</v>
      </c>
      <c r="T15" s="7">
        <f t="shared" si="11"/>
        <v>7883.278255</v>
      </c>
      <c r="U15" s="7">
        <f t="shared" si="11"/>
        <v>7525.559398</v>
      </c>
      <c r="V15" s="7">
        <f t="shared" si="11"/>
        <v>7347.290755</v>
      </c>
      <c r="W15" s="7">
        <f t="shared" si="11"/>
        <v>7173.245014</v>
      </c>
      <c r="X15" s="7">
        <f t="shared" si="11"/>
        <v>7003.322143</v>
      </c>
      <c r="Y15" s="7">
        <f t="shared" si="11"/>
        <v>6837.424478</v>
      </c>
      <c r="Z15" s="7">
        <f t="shared" si="11"/>
        <v>6675.456666</v>
      </c>
      <c r="AA15" s="7">
        <f t="shared" si="11"/>
        <v>6517.325617</v>
      </c>
    </row>
    <row r="16" ht="13.5" customHeight="1">
      <c r="B16" s="7">
        <f t="shared" si="5"/>
        <v>13025.23179</v>
      </c>
      <c r="C16" s="5">
        <f t="shared" si="6"/>
        <v>8</v>
      </c>
      <c r="D16" s="7"/>
      <c r="E16" s="7"/>
      <c r="F16" s="7"/>
      <c r="G16" s="7"/>
      <c r="H16" s="7"/>
      <c r="I16" s="7"/>
      <c r="J16" s="7"/>
      <c r="K16" s="7">
        <f>B16</f>
        <v>13025.23179</v>
      </c>
      <c r="L16" s="7">
        <f t="shared" ref="L16:AA16" si="12">$K$16*C3</f>
        <v>12434.18694</v>
      </c>
      <c r="M16" s="7">
        <f t="shared" si="12"/>
        <v>11869.96188</v>
      </c>
      <c r="N16" s="7">
        <f t="shared" si="12"/>
        <v>11331.33961</v>
      </c>
      <c r="O16" s="7">
        <f t="shared" si="12"/>
        <v>10817.15836</v>
      </c>
      <c r="P16" s="7">
        <f t="shared" si="12"/>
        <v>10326.30908</v>
      </c>
      <c r="Q16" s="7">
        <f t="shared" si="12"/>
        <v>9857.733014</v>
      </c>
      <c r="R16" s="7">
        <f t="shared" si="12"/>
        <v>9410.419489</v>
      </c>
      <c r="S16" s="7">
        <f t="shared" si="12"/>
        <v>8983.403672</v>
      </c>
      <c r="T16" s="7">
        <f t="shared" si="12"/>
        <v>8575.764516</v>
      </c>
      <c r="U16" s="7">
        <f t="shared" si="12"/>
        <v>8186.622769</v>
      </c>
      <c r="V16" s="7">
        <f t="shared" si="12"/>
        <v>7815.139073</v>
      </c>
      <c r="W16" s="7">
        <f t="shared" si="12"/>
        <v>7630.010743</v>
      </c>
      <c r="X16" s="7">
        <f t="shared" si="12"/>
        <v>7449.267812</v>
      </c>
      <c r="Y16" s="7">
        <f t="shared" si="12"/>
        <v>7272.806396</v>
      </c>
      <c r="Z16" s="7">
        <f t="shared" si="12"/>
        <v>7100.525073</v>
      </c>
      <c r="AA16" s="7">
        <f t="shared" si="12"/>
        <v>6932.324823</v>
      </c>
    </row>
    <row r="17" ht="13.5" customHeight="1">
      <c r="B17" s="7">
        <f t="shared" si="5"/>
        <v>13526.43604</v>
      </c>
      <c r="C17" s="5">
        <f t="shared" si="6"/>
        <v>9</v>
      </c>
      <c r="D17" s="7"/>
      <c r="E17" s="7"/>
      <c r="F17" s="7"/>
      <c r="G17" s="7"/>
      <c r="H17" s="7"/>
      <c r="I17" s="7"/>
      <c r="J17" s="7"/>
      <c r="K17" s="7"/>
      <c r="L17" s="7">
        <f>B17</f>
        <v>13526.43604</v>
      </c>
      <c r="M17" s="7">
        <f t="shared" ref="M17:AA17" si="13">$L$17*C3</f>
        <v>12912.64809</v>
      </c>
      <c r="N17" s="7">
        <f t="shared" si="13"/>
        <v>12326.71194</v>
      </c>
      <c r="O17" s="7">
        <f t="shared" si="13"/>
        <v>11767.36376</v>
      </c>
      <c r="P17" s="7">
        <f t="shared" si="13"/>
        <v>11233.39708</v>
      </c>
      <c r="Q17" s="7">
        <f t="shared" si="13"/>
        <v>10723.66017</v>
      </c>
      <c r="R17" s="7">
        <f t="shared" si="13"/>
        <v>10237.05354</v>
      </c>
      <c r="S17" s="7">
        <f t="shared" si="13"/>
        <v>9772.527616</v>
      </c>
      <c r="T17" s="7">
        <f t="shared" si="13"/>
        <v>9329.080449</v>
      </c>
      <c r="U17" s="7">
        <f t="shared" si="13"/>
        <v>8905.755547</v>
      </c>
      <c r="V17" s="7">
        <f t="shared" si="13"/>
        <v>8501.639824</v>
      </c>
      <c r="W17" s="7">
        <f t="shared" si="13"/>
        <v>8115.861626</v>
      </c>
      <c r="X17" s="7">
        <f t="shared" si="13"/>
        <v>7923.609653</v>
      </c>
      <c r="Y17" s="7">
        <f t="shared" si="13"/>
        <v>7735.911826</v>
      </c>
      <c r="Z17" s="7">
        <f t="shared" si="13"/>
        <v>7552.660265</v>
      </c>
      <c r="AA17" s="7">
        <f t="shared" si="13"/>
        <v>7373.749644</v>
      </c>
    </row>
    <row r="18" ht="13.5" customHeight="1">
      <c r="B18" s="7">
        <f t="shared" si="5"/>
        <v>14046.92638</v>
      </c>
      <c r="C18" s="5">
        <f t="shared" si="6"/>
        <v>10</v>
      </c>
      <c r="D18" s="7"/>
      <c r="E18" s="7"/>
      <c r="F18" s="7"/>
      <c r="G18" s="7"/>
      <c r="H18" s="7"/>
      <c r="I18" s="7"/>
      <c r="J18" s="7"/>
      <c r="K18" s="7"/>
      <c r="L18" s="7"/>
      <c r="M18" s="7">
        <f>B18</f>
        <v>14046.92638</v>
      </c>
      <c r="N18" s="7">
        <f t="shared" ref="N18:AA18" si="14">$M$18*C3</f>
        <v>13409.52018</v>
      </c>
      <c r="O18" s="7">
        <f t="shared" si="14"/>
        <v>12801.03751</v>
      </c>
      <c r="P18" s="7">
        <f t="shared" si="14"/>
        <v>12220.1659</v>
      </c>
      <c r="Q18" s="7">
        <f t="shared" si="14"/>
        <v>11665.65246</v>
      </c>
      <c r="R18" s="7">
        <f t="shared" si="14"/>
        <v>11136.30112</v>
      </c>
      <c r="S18" s="7">
        <f t="shared" si="14"/>
        <v>10630.97012</v>
      </c>
      <c r="T18" s="7">
        <f t="shared" si="14"/>
        <v>10148.56948</v>
      </c>
      <c r="U18" s="7">
        <f t="shared" si="14"/>
        <v>9688.058691</v>
      </c>
      <c r="V18" s="7">
        <f t="shared" si="14"/>
        <v>9248.444464</v>
      </c>
      <c r="W18" s="7">
        <f t="shared" si="14"/>
        <v>8828.778574</v>
      </c>
      <c r="X18" s="7">
        <f t="shared" si="14"/>
        <v>8428.155828</v>
      </c>
      <c r="Y18" s="7">
        <f t="shared" si="14"/>
        <v>8228.506098</v>
      </c>
      <c r="Z18" s="7">
        <f t="shared" si="14"/>
        <v>8033.585755</v>
      </c>
      <c r="AA18" s="7">
        <f t="shared" si="14"/>
        <v>7843.282767</v>
      </c>
    </row>
    <row r="19" ht="13.5" customHeight="1">
      <c r="B19" s="7">
        <f t="shared" si="5"/>
        <v>14587.44492</v>
      </c>
      <c r="C19" s="5">
        <f t="shared" si="6"/>
        <v>11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>
        <f>B19</f>
        <v>14587.44492</v>
      </c>
      <c r="O19" s="7">
        <f t="shared" ref="O19:AA19" si="15">$N$19*C3</f>
        <v>13925.51165</v>
      </c>
      <c r="P19" s="7">
        <f t="shared" si="15"/>
        <v>13293.61488</v>
      </c>
      <c r="Q19" s="7">
        <f t="shared" si="15"/>
        <v>12690.39163</v>
      </c>
      <c r="R19" s="7">
        <f t="shared" si="15"/>
        <v>12114.54079</v>
      </c>
      <c r="S19" s="7">
        <f t="shared" si="15"/>
        <v>11564.82029</v>
      </c>
      <c r="T19" s="7">
        <f t="shared" si="15"/>
        <v>11040.04441</v>
      </c>
      <c r="U19" s="7">
        <f t="shared" si="15"/>
        <v>10539.08124</v>
      </c>
      <c r="V19" s="7">
        <f t="shared" si="15"/>
        <v>10060.85023</v>
      </c>
      <c r="W19" s="7">
        <f t="shared" si="15"/>
        <v>9604.319874</v>
      </c>
      <c r="X19" s="7">
        <f t="shared" si="15"/>
        <v>9168.505456</v>
      </c>
      <c r="Y19" s="7">
        <f t="shared" si="15"/>
        <v>8752.466952</v>
      </c>
      <c r="Z19" s="7">
        <f t="shared" si="15"/>
        <v>8545.134802</v>
      </c>
      <c r="AA19" s="7">
        <f t="shared" si="15"/>
        <v>8342.714024</v>
      </c>
    </row>
    <row r="20" ht="13.5" customHeight="1">
      <c r="B20" s="7">
        <f t="shared" si="5"/>
        <v>15148.76234</v>
      </c>
      <c r="C20" s="5">
        <f t="shared" si="6"/>
        <v>12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>
        <f>B20</f>
        <v>15148.76234</v>
      </c>
      <c r="P20" s="7">
        <f t="shared" ref="P20:AA20" si="16">$O$20*C3</f>
        <v>14461.35822</v>
      </c>
      <c r="Q20" s="7">
        <f t="shared" si="16"/>
        <v>13805.14638</v>
      </c>
      <c r="R20" s="7">
        <f t="shared" si="16"/>
        <v>13178.71141</v>
      </c>
      <c r="S20" s="7">
        <f t="shared" si="16"/>
        <v>12580.70212</v>
      </c>
      <c r="T20" s="7">
        <f t="shared" si="16"/>
        <v>12009.82866</v>
      </c>
      <c r="U20" s="7">
        <f t="shared" si="16"/>
        <v>11464.85967</v>
      </c>
      <c r="V20" s="7">
        <f t="shared" si="16"/>
        <v>10944.61969</v>
      </c>
      <c r="W20" s="7">
        <f t="shared" si="16"/>
        <v>10447.9866</v>
      </c>
      <c r="X20" s="7">
        <f t="shared" si="16"/>
        <v>9973.889189</v>
      </c>
      <c r="Y20" s="7">
        <f t="shared" si="16"/>
        <v>9521.304855</v>
      </c>
      <c r="Z20" s="7">
        <f t="shared" si="16"/>
        <v>9089.257402</v>
      </c>
      <c r="AA20" s="7">
        <f t="shared" si="16"/>
        <v>8873.947217</v>
      </c>
    </row>
    <row r="21" ht="13.5" customHeight="1">
      <c r="B21" s="7">
        <f t="shared" si="5"/>
        <v>15731.67896</v>
      </c>
      <c r="C21" s="5">
        <f t="shared" si="6"/>
        <v>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>
        <f>B21</f>
        <v>15731.67896</v>
      </c>
      <c r="Q21" s="7">
        <f t="shared" ref="Q21:AA21" si="17">$P$21*C3</f>
        <v>15017.82388</v>
      </c>
      <c r="R21" s="7">
        <f t="shared" si="17"/>
        <v>14336.36135</v>
      </c>
      <c r="S21" s="7">
        <f t="shared" si="17"/>
        <v>13685.82148</v>
      </c>
      <c r="T21" s="7">
        <f t="shared" si="17"/>
        <v>13064.8011</v>
      </c>
      <c r="U21" s="7">
        <f t="shared" si="17"/>
        <v>12471.96072</v>
      </c>
      <c r="V21" s="7">
        <f t="shared" si="17"/>
        <v>11906.0216</v>
      </c>
      <c r="W21" s="7">
        <f t="shared" si="17"/>
        <v>11365.76306</v>
      </c>
      <c r="X21" s="7">
        <f t="shared" si="17"/>
        <v>10850.01978</v>
      </c>
      <c r="Y21" s="7">
        <f t="shared" si="17"/>
        <v>10357.67934</v>
      </c>
      <c r="Z21" s="7">
        <f t="shared" si="17"/>
        <v>9887.679793</v>
      </c>
      <c r="AA21" s="7">
        <f t="shared" si="17"/>
        <v>9439.007376</v>
      </c>
    </row>
    <row r="22" ht="13.5" customHeight="1">
      <c r="B22" s="7">
        <f t="shared" si="5"/>
        <v>16337.02592</v>
      </c>
      <c r="C22" s="5">
        <f t="shared" si="6"/>
        <v>14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>
        <f>B22</f>
        <v>16337.02592</v>
      </c>
      <c r="R22" s="7">
        <f t="shared" ref="R22:AA22" si="18">$Q$22*C3</f>
        <v>15595.70206</v>
      </c>
      <c r="S22" s="7">
        <f t="shared" si="18"/>
        <v>14888.01719</v>
      </c>
      <c r="T22" s="7">
        <f t="shared" si="18"/>
        <v>14212.44489</v>
      </c>
      <c r="U22" s="7">
        <f t="shared" si="18"/>
        <v>13567.52797</v>
      </c>
      <c r="V22" s="7">
        <f t="shared" si="18"/>
        <v>12951.87539</v>
      </c>
      <c r="W22" s="7">
        <f t="shared" si="18"/>
        <v>12364.15922</v>
      </c>
      <c r="X22" s="7">
        <f t="shared" si="18"/>
        <v>11803.1118</v>
      </c>
      <c r="Y22" s="7">
        <f t="shared" si="18"/>
        <v>11267.52299</v>
      </c>
      <c r="Z22" s="7">
        <f t="shared" si="18"/>
        <v>10756.23754</v>
      </c>
      <c r="AA22" s="7">
        <f t="shared" si="18"/>
        <v>10268.15265</v>
      </c>
    </row>
    <row r="23" ht="13.5" customHeight="1">
      <c r="B23" s="7">
        <f t="shared" si="5"/>
        <v>16965.66631</v>
      </c>
      <c r="C23" s="5">
        <f t="shared" si="6"/>
        <v>15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>
        <f>B23</f>
        <v>16965.66631</v>
      </c>
      <c r="S23" s="7">
        <f t="shared" ref="S23:AA23" si="19">$R$23*C3</f>
        <v>16195.8167</v>
      </c>
      <c r="T23" s="7">
        <f t="shared" si="19"/>
        <v>15460.90048</v>
      </c>
      <c r="U23" s="7">
        <f t="shared" si="19"/>
        <v>14759.33249</v>
      </c>
      <c r="V23" s="7">
        <f t="shared" si="19"/>
        <v>14089.5995</v>
      </c>
      <c r="W23" s="7">
        <f t="shared" si="19"/>
        <v>13450.25692</v>
      </c>
      <c r="X23" s="7">
        <f t="shared" si="19"/>
        <v>12839.92574</v>
      </c>
      <c r="Y23" s="7">
        <f t="shared" si="19"/>
        <v>12257.28951</v>
      </c>
      <c r="Z23" s="7">
        <f t="shared" si="19"/>
        <v>11701.09151</v>
      </c>
      <c r="AA23" s="7">
        <f t="shared" si="19"/>
        <v>11170.13206</v>
      </c>
    </row>
    <row r="24" ht="13.5" customHeight="1">
      <c r="B24" s="7">
        <f t="shared" si="5"/>
        <v>17618.49647</v>
      </c>
      <c r="C24" s="5">
        <f t="shared" si="6"/>
        <v>16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>
        <f>B24</f>
        <v>17618.49647</v>
      </c>
      <c r="T24" s="7">
        <f t="shared" ref="T24:AA24" si="20">$S$24*C3</f>
        <v>16819.02343</v>
      </c>
      <c r="U24" s="7">
        <f t="shared" si="20"/>
        <v>16055.82802</v>
      </c>
      <c r="V24" s="7">
        <f t="shared" si="20"/>
        <v>15327.26406</v>
      </c>
      <c r="W24" s="7">
        <f t="shared" si="20"/>
        <v>14631.76008</v>
      </c>
      <c r="X24" s="7">
        <f t="shared" si="20"/>
        <v>13967.81593</v>
      </c>
      <c r="Y24" s="7">
        <f t="shared" si="20"/>
        <v>13333.99951</v>
      </c>
      <c r="Z24" s="7">
        <f t="shared" si="20"/>
        <v>12728.94374</v>
      </c>
      <c r="AA24" s="7">
        <f t="shared" si="20"/>
        <v>12151.34352</v>
      </c>
    </row>
    <row r="25" ht="13.5" customHeight="1">
      <c r="B25" s="7">
        <f t="shared" si="5"/>
        <v>18296.4472</v>
      </c>
      <c r="C25" s="5">
        <f t="shared" si="6"/>
        <v>17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>
        <f>B25</f>
        <v>18296.4472</v>
      </c>
      <c r="U25" s="7">
        <f t="shared" ref="U25:AA25" si="21">$T$25*C3</f>
        <v>17466.21085</v>
      </c>
      <c r="V25" s="7">
        <f t="shared" si="21"/>
        <v>16673.64806</v>
      </c>
      <c r="W25" s="7">
        <f t="shared" si="21"/>
        <v>15917.04933</v>
      </c>
      <c r="X25" s="7">
        <f t="shared" si="21"/>
        <v>15194.78272</v>
      </c>
      <c r="Y25" s="7">
        <f t="shared" si="21"/>
        <v>14505.29034</v>
      </c>
      <c r="Z25" s="7">
        <f t="shared" si="21"/>
        <v>13847.08499</v>
      </c>
      <c r="AA25" s="7">
        <f t="shared" si="21"/>
        <v>13218.74698</v>
      </c>
    </row>
    <row r="26" ht="13.5" customHeight="1">
      <c r="B26" s="7">
        <f t="shared" si="5"/>
        <v>19000.48513</v>
      </c>
      <c r="C26" s="5">
        <f t="shared" si="6"/>
        <v>18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>
        <f>B26</f>
        <v>19000.48513</v>
      </c>
      <c r="V26" s="7">
        <f t="shared" ref="V26:AA26" si="22">$U$26*C3</f>
        <v>18138.30171</v>
      </c>
      <c r="W26" s="7">
        <f t="shared" si="22"/>
        <v>17315.24151</v>
      </c>
      <c r="X26" s="7">
        <f t="shared" si="22"/>
        <v>16529.52925</v>
      </c>
      <c r="Y26" s="7">
        <f t="shared" si="22"/>
        <v>15779.47018</v>
      </c>
      <c r="Z26" s="7">
        <f t="shared" si="22"/>
        <v>15063.44649</v>
      </c>
      <c r="AA26" s="7">
        <f t="shared" si="22"/>
        <v>14379.91374</v>
      </c>
    </row>
    <row r="27" ht="13.5" customHeight="1">
      <c r="B27" s="7">
        <f t="shared" si="5"/>
        <v>19731.61407</v>
      </c>
      <c r="C27" s="5">
        <f t="shared" si="6"/>
        <v>19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>
        <f>B27</f>
        <v>19731.61407</v>
      </c>
      <c r="W27" s="7">
        <f t="shared" ref="W27:AA27" si="23">$V$27*C3</f>
        <v>18836.25428</v>
      </c>
      <c r="X27" s="7">
        <f t="shared" si="23"/>
        <v>17981.52314</v>
      </c>
      <c r="Y27" s="7">
        <f t="shared" si="23"/>
        <v>17165.57707</v>
      </c>
      <c r="Z27" s="7">
        <f t="shared" si="23"/>
        <v>16386.65612</v>
      </c>
      <c r="AA27" s="7">
        <f t="shared" si="23"/>
        <v>15643.0802</v>
      </c>
    </row>
    <row r="28" ht="13.5" customHeight="1">
      <c r="B28" s="7">
        <f t="shared" si="5"/>
        <v>20490.87649</v>
      </c>
      <c r="C28" s="5">
        <f t="shared" si="6"/>
        <v>20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>
        <f>B28</f>
        <v>20490.87649</v>
      </c>
      <c r="X28" s="7">
        <f t="shared" ref="X28:AA28" si="24">$W$28*C3</f>
        <v>19561.0637</v>
      </c>
      <c r="Y28" s="7">
        <f t="shared" si="24"/>
        <v>18673.44295</v>
      </c>
      <c r="Z28" s="7">
        <f t="shared" si="24"/>
        <v>17826.0997</v>
      </c>
      <c r="AA28" s="7">
        <f t="shared" si="24"/>
        <v>17017.20626</v>
      </c>
    </row>
    <row r="29" ht="13.5" customHeight="1">
      <c r="B29" s="7">
        <f t="shared" si="5"/>
        <v>21279.35493</v>
      </c>
      <c r="C29" s="5">
        <f t="shared" si="6"/>
        <v>21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>
        <f>B29</f>
        <v>21279.35493</v>
      </c>
      <c r="Y29" s="7">
        <f t="shared" ref="Y29:AA29" si="25">$X$29*C3</f>
        <v>20313.76342</v>
      </c>
      <c r="Z29" s="7">
        <f t="shared" si="25"/>
        <v>19391.98748</v>
      </c>
      <c r="AA29" s="7">
        <f t="shared" si="25"/>
        <v>18512.03889</v>
      </c>
    </row>
    <row r="30" ht="13.5" customHeight="1">
      <c r="B30" s="7">
        <f t="shared" si="5"/>
        <v>22098.17362</v>
      </c>
      <c r="C30" s="5">
        <f t="shared" si="6"/>
        <v>22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>
        <f>B30</f>
        <v>22098.17362</v>
      </c>
      <c r="Z30" s="7">
        <f t="shared" ref="Z30:AA30" si="26">Y30*C3</f>
        <v>21095.42665</v>
      </c>
      <c r="AA30" s="7">
        <f t="shared" si="26"/>
        <v>19224.37268</v>
      </c>
    </row>
    <row r="31" ht="13.5" customHeight="1">
      <c r="B31" s="7">
        <f t="shared" si="5"/>
        <v>22948.50003</v>
      </c>
      <c r="C31" s="5">
        <f t="shared" si="6"/>
        <v>23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>
        <f>B31</f>
        <v>22948.50003</v>
      </c>
      <c r="AA31" s="7">
        <f>$Z$31*C3</f>
        <v>21907.16787</v>
      </c>
    </row>
    <row r="32" ht="13.5" customHeight="1">
      <c r="B32" s="7">
        <f t="shared" si="5"/>
        <v>23831.54657</v>
      </c>
      <c r="C32" s="5">
        <f t="shared" si="6"/>
        <v>24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>
        <f>B32</f>
        <v>23831.54657</v>
      </c>
    </row>
    <row r="33" ht="13.5" customHeight="1">
      <c r="C33" s="10" t="s">
        <v>6</v>
      </c>
      <c r="D33" s="7">
        <f t="shared" ref="D33:AA33" si="27">SUM(D9:D32)</f>
        <v>10000</v>
      </c>
      <c r="E33" s="7">
        <f t="shared" si="27"/>
        <v>19931.02572</v>
      </c>
      <c r="F33" s="7">
        <f t="shared" si="27"/>
        <v>29811.01371</v>
      </c>
      <c r="G33" s="7">
        <f t="shared" si="27"/>
        <v>39657.65638</v>
      </c>
      <c r="H33" s="7">
        <f t="shared" si="27"/>
        <v>49488.43496</v>
      </c>
      <c r="I33" s="7">
        <f t="shared" si="27"/>
        <v>59320.65192</v>
      </c>
      <c r="J33" s="7">
        <f t="shared" si="27"/>
        <v>69171.46267</v>
      </c>
      <c r="K33" s="7">
        <f t="shared" si="27"/>
        <v>79057.90679</v>
      </c>
      <c r="L33" s="7">
        <f t="shared" si="27"/>
        <v>88996.93882</v>
      </c>
      <c r="M33" s="7">
        <f t="shared" si="27"/>
        <v>99005.45857</v>
      </c>
      <c r="N33" s="7">
        <f t="shared" si="27"/>
        <v>109100.3411</v>
      </c>
      <c r="O33" s="7">
        <f t="shared" si="27"/>
        <v>119298.4664</v>
      </c>
      <c r="P33" s="7">
        <f t="shared" si="27"/>
        <v>129746.8798</v>
      </c>
      <c r="Q33" s="7">
        <f t="shared" si="27"/>
        <v>140458.5791</v>
      </c>
      <c r="R33" s="7">
        <f t="shared" si="27"/>
        <v>151446.9825</v>
      </c>
      <c r="S33" s="7">
        <f t="shared" si="27"/>
        <v>162725.9467</v>
      </c>
      <c r="T33" s="7">
        <f t="shared" si="27"/>
        <v>174309.7854</v>
      </c>
      <c r="U33" s="7">
        <f t="shared" si="27"/>
        <v>186213.2892</v>
      </c>
      <c r="V33" s="7">
        <f t="shared" si="27"/>
        <v>198451.7451</v>
      </c>
      <c r="W33" s="7">
        <f t="shared" si="27"/>
        <v>211040.9575</v>
      </c>
      <c r="X33" s="7">
        <f t="shared" si="27"/>
        <v>223997.2703</v>
      </c>
      <c r="Y33" s="7">
        <f t="shared" si="27"/>
        <v>237337.5884</v>
      </c>
      <c r="Z33" s="7">
        <f t="shared" si="27"/>
        <v>251079.4017</v>
      </c>
      <c r="AA33" s="7">
        <f t="shared" si="27"/>
        <v>264327</v>
      </c>
    </row>
    <row r="34" ht="13.5" customHeight="1">
      <c r="A34" s="9"/>
    </row>
    <row r="35" ht="13.5" customHeight="1">
      <c r="A35" s="11" t="s">
        <v>11</v>
      </c>
      <c r="C35" s="8"/>
    </row>
    <row r="36" ht="4.5" customHeight="1">
      <c r="A36" s="11"/>
    </row>
    <row r="37" ht="13.5" customHeight="1">
      <c r="A37" s="11" t="s">
        <v>9</v>
      </c>
      <c r="B37" s="12" t="s">
        <v>10</v>
      </c>
      <c r="C37" s="8" t="s">
        <v>5</v>
      </c>
      <c r="D37" s="4">
        <v>1.0</v>
      </c>
      <c r="E37" s="4">
        <f t="shared" ref="E37:AA37" si="28">D37+1</f>
        <v>2</v>
      </c>
      <c r="F37" s="4">
        <f t="shared" si="28"/>
        <v>3</v>
      </c>
      <c r="G37" s="4">
        <f t="shared" si="28"/>
        <v>4</v>
      </c>
      <c r="H37" s="4">
        <f t="shared" si="28"/>
        <v>5</v>
      </c>
      <c r="I37" s="4">
        <f t="shared" si="28"/>
        <v>6</v>
      </c>
      <c r="J37" s="4">
        <f t="shared" si="28"/>
        <v>7</v>
      </c>
      <c r="K37" s="4">
        <f t="shared" si="28"/>
        <v>8</v>
      </c>
      <c r="L37" s="4">
        <f t="shared" si="28"/>
        <v>9</v>
      </c>
      <c r="M37" s="4">
        <f t="shared" si="28"/>
        <v>10</v>
      </c>
      <c r="N37" s="4">
        <f t="shared" si="28"/>
        <v>11</v>
      </c>
      <c r="O37" s="4">
        <f t="shared" si="28"/>
        <v>12</v>
      </c>
      <c r="P37" s="4">
        <f t="shared" si="28"/>
        <v>13</v>
      </c>
      <c r="Q37" s="4">
        <f t="shared" si="28"/>
        <v>14</v>
      </c>
      <c r="R37" s="4">
        <f t="shared" si="28"/>
        <v>15</v>
      </c>
      <c r="S37" s="4">
        <f t="shared" si="28"/>
        <v>16</v>
      </c>
      <c r="T37" s="4">
        <f t="shared" si="28"/>
        <v>17</v>
      </c>
      <c r="U37" s="4">
        <f t="shared" si="28"/>
        <v>18</v>
      </c>
      <c r="V37" s="4">
        <f t="shared" si="28"/>
        <v>19</v>
      </c>
      <c r="W37" s="4">
        <f t="shared" si="28"/>
        <v>20</v>
      </c>
      <c r="X37" s="4">
        <f t="shared" si="28"/>
        <v>21</v>
      </c>
      <c r="Y37" s="4">
        <f t="shared" si="28"/>
        <v>22</v>
      </c>
      <c r="Z37" s="4">
        <f t="shared" si="28"/>
        <v>23</v>
      </c>
      <c r="AA37" s="4">
        <f t="shared" si="28"/>
        <v>24</v>
      </c>
    </row>
    <row r="38" ht="13.5" customHeight="1">
      <c r="A38" s="13">
        <v>0.038479488316306196</v>
      </c>
      <c r="B38" s="7">
        <v>10000.0</v>
      </c>
      <c r="C38" s="5">
        <v>1.0</v>
      </c>
      <c r="D38" s="7">
        <f>B38</f>
        <v>10000</v>
      </c>
      <c r="E38" s="7">
        <f t="shared" ref="E38:AA38" si="29">$D$9*C4</f>
        <v>10087.02208</v>
      </c>
      <c r="F38" s="7">
        <f t="shared" si="29"/>
        <v>10174.80144</v>
      </c>
      <c r="G38" s="7">
        <f t="shared" si="29"/>
        <v>10263.34468</v>
      </c>
      <c r="H38" s="7">
        <f t="shared" si="29"/>
        <v>10352.65843</v>
      </c>
      <c r="I38" s="7">
        <f t="shared" si="29"/>
        <v>10442.74942</v>
      </c>
      <c r="J38" s="7">
        <f t="shared" si="29"/>
        <v>10533.62439</v>
      </c>
      <c r="K38" s="7">
        <f t="shared" si="29"/>
        <v>10625.29018</v>
      </c>
      <c r="L38" s="7">
        <f t="shared" si="29"/>
        <v>10717.75366</v>
      </c>
      <c r="M38" s="7">
        <f t="shared" si="29"/>
        <v>10811.02178</v>
      </c>
      <c r="N38" s="7">
        <f t="shared" si="29"/>
        <v>10905.10154</v>
      </c>
      <c r="O38" s="7">
        <f t="shared" si="29"/>
        <v>11000</v>
      </c>
      <c r="P38" s="7">
        <f t="shared" si="29"/>
        <v>11080.0503</v>
      </c>
      <c r="Q38" s="7">
        <f t="shared" si="29"/>
        <v>11160.68315</v>
      </c>
      <c r="R38" s="7">
        <f t="shared" si="29"/>
        <v>11241.90278</v>
      </c>
      <c r="S38" s="7">
        <f t="shared" si="29"/>
        <v>11323.71348</v>
      </c>
      <c r="T38" s="7">
        <f t="shared" si="29"/>
        <v>11406.11954</v>
      </c>
      <c r="U38" s="7">
        <f t="shared" si="29"/>
        <v>11489.12529</v>
      </c>
      <c r="V38" s="7">
        <f t="shared" si="29"/>
        <v>11572.7351</v>
      </c>
      <c r="W38" s="7">
        <f t="shared" si="29"/>
        <v>11656.95337</v>
      </c>
      <c r="X38" s="7">
        <f t="shared" si="29"/>
        <v>11741.78451</v>
      </c>
      <c r="Y38" s="7">
        <f t="shared" si="29"/>
        <v>11827.233</v>
      </c>
      <c r="Z38" s="7">
        <f t="shared" si="29"/>
        <v>11913.30332</v>
      </c>
      <c r="AA38" s="7">
        <f t="shared" si="29"/>
        <v>12000</v>
      </c>
    </row>
    <row r="39" ht="13.5" customHeight="1">
      <c r="B39" s="7">
        <f t="shared" ref="B39:B61" si="31">B38*(1+$A$9)</f>
        <v>10384.79488</v>
      </c>
      <c r="C39" s="5">
        <f t="shared" ref="C39:C61" si="32">C38+1</f>
        <v>2</v>
      </c>
      <c r="D39" s="7"/>
      <c r="E39" s="7">
        <f>B39</f>
        <v>10384.79488</v>
      </c>
      <c r="F39" s="7">
        <f t="shared" ref="F39:AA39" si="30">$E$10*C4</f>
        <v>10475.16553</v>
      </c>
      <c r="G39" s="7">
        <f t="shared" si="30"/>
        <v>10566.32259</v>
      </c>
      <c r="H39" s="7">
        <f t="shared" si="30"/>
        <v>10658.27293</v>
      </c>
      <c r="I39" s="7">
        <f t="shared" si="30"/>
        <v>10751.02343</v>
      </c>
      <c r="J39" s="7">
        <f t="shared" si="30"/>
        <v>10844.58107</v>
      </c>
      <c r="K39" s="7">
        <f t="shared" si="30"/>
        <v>10938.95287</v>
      </c>
      <c r="L39" s="7">
        <f t="shared" si="30"/>
        <v>11034.14591</v>
      </c>
      <c r="M39" s="7">
        <f t="shared" si="30"/>
        <v>11130.16734</v>
      </c>
      <c r="N39" s="7">
        <f t="shared" si="30"/>
        <v>11227.02437</v>
      </c>
      <c r="O39" s="7">
        <f t="shared" si="30"/>
        <v>11324.72427</v>
      </c>
      <c r="P39" s="7">
        <f t="shared" si="30"/>
        <v>11423.27437</v>
      </c>
      <c r="Q39" s="7">
        <f t="shared" si="30"/>
        <v>11506.40496</v>
      </c>
      <c r="R39" s="7">
        <f t="shared" si="30"/>
        <v>11590.14052</v>
      </c>
      <c r="S39" s="7">
        <f t="shared" si="30"/>
        <v>11674.48545</v>
      </c>
      <c r="T39" s="7">
        <f t="shared" si="30"/>
        <v>11759.44418</v>
      </c>
      <c r="U39" s="7">
        <f t="shared" si="30"/>
        <v>11845.02118</v>
      </c>
      <c r="V39" s="7">
        <f t="shared" si="30"/>
        <v>11931.22096</v>
      </c>
      <c r="W39" s="7">
        <f t="shared" si="30"/>
        <v>12018.04803</v>
      </c>
      <c r="X39" s="7">
        <f t="shared" si="30"/>
        <v>12105.50697</v>
      </c>
      <c r="Y39" s="7">
        <f t="shared" si="30"/>
        <v>12193.60237</v>
      </c>
      <c r="Z39" s="7">
        <f t="shared" si="30"/>
        <v>12282.33887</v>
      </c>
      <c r="AA39" s="7">
        <f t="shared" si="30"/>
        <v>12371.72114</v>
      </c>
    </row>
    <row r="40" ht="13.5" customHeight="1">
      <c r="B40" s="7">
        <f t="shared" si="31"/>
        <v>10784.39648</v>
      </c>
      <c r="C40" s="5">
        <f t="shared" si="32"/>
        <v>3</v>
      </c>
      <c r="D40" s="7"/>
      <c r="E40" s="7"/>
      <c r="F40" s="7">
        <f>B40</f>
        <v>10784.39648</v>
      </c>
      <c r="G40" s="7">
        <f t="shared" ref="G40:AA40" si="33">$F$40*C4</f>
        <v>10878.24454</v>
      </c>
      <c r="H40" s="7">
        <f t="shared" si="33"/>
        <v>10972.90928</v>
      </c>
      <c r="I40" s="7">
        <f t="shared" si="33"/>
        <v>11068.39782</v>
      </c>
      <c r="J40" s="7">
        <f t="shared" si="33"/>
        <v>11164.71731</v>
      </c>
      <c r="K40" s="7">
        <f t="shared" si="33"/>
        <v>11261.875</v>
      </c>
      <c r="L40" s="7">
        <f t="shared" si="33"/>
        <v>11359.87818</v>
      </c>
      <c r="M40" s="7">
        <f t="shared" si="33"/>
        <v>11458.7342</v>
      </c>
      <c r="N40" s="7">
        <f t="shared" si="33"/>
        <v>11558.45048</v>
      </c>
      <c r="O40" s="7">
        <f t="shared" si="33"/>
        <v>11659.03452</v>
      </c>
      <c r="P40" s="7">
        <f t="shared" si="33"/>
        <v>11760.49386</v>
      </c>
      <c r="Q40" s="7">
        <f t="shared" si="33"/>
        <v>11862.83612</v>
      </c>
      <c r="R40" s="7">
        <f t="shared" si="33"/>
        <v>11949.16554</v>
      </c>
      <c r="S40" s="7">
        <f t="shared" si="33"/>
        <v>12036.1232</v>
      </c>
      <c r="T40" s="7">
        <f t="shared" si="33"/>
        <v>12123.71368</v>
      </c>
      <c r="U40" s="7">
        <f t="shared" si="33"/>
        <v>12211.94158</v>
      </c>
      <c r="V40" s="7">
        <f t="shared" si="33"/>
        <v>12300.81154</v>
      </c>
      <c r="W40" s="7">
        <f t="shared" si="33"/>
        <v>12390.32823</v>
      </c>
      <c r="X40" s="7">
        <f t="shared" si="33"/>
        <v>12480.49637</v>
      </c>
      <c r="Y40" s="7">
        <f t="shared" si="33"/>
        <v>12571.32068</v>
      </c>
      <c r="Z40" s="7">
        <f t="shared" si="33"/>
        <v>12662.80595</v>
      </c>
      <c r="AA40" s="7">
        <f t="shared" si="33"/>
        <v>12754.95699</v>
      </c>
    </row>
    <row r="41" ht="13.5" customHeight="1">
      <c r="B41" s="7">
        <f t="shared" si="31"/>
        <v>11199.37453</v>
      </c>
      <c r="C41" s="5">
        <f t="shared" si="32"/>
        <v>4</v>
      </c>
      <c r="D41" s="7"/>
      <c r="E41" s="7"/>
      <c r="F41" s="7"/>
      <c r="G41" s="7">
        <f>B41</f>
        <v>11199.37453</v>
      </c>
      <c r="H41" s="7">
        <f t="shared" ref="H41:AA41" si="34">$G$12*C4</f>
        <v>11296.83382</v>
      </c>
      <c r="I41" s="7">
        <f t="shared" si="34"/>
        <v>11395.14121</v>
      </c>
      <c r="J41" s="7">
        <f t="shared" si="34"/>
        <v>11494.3041</v>
      </c>
      <c r="K41" s="7">
        <f t="shared" si="34"/>
        <v>11594.32992</v>
      </c>
      <c r="L41" s="7">
        <f t="shared" si="34"/>
        <v>11695.22619</v>
      </c>
      <c r="M41" s="7">
        <f t="shared" si="34"/>
        <v>11797.00048</v>
      </c>
      <c r="N41" s="7">
        <f t="shared" si="34"/>
        <v>11899.66043</v>
      </c>
      <c r="O41" s="7">
        <f t="shared" si="34"/>
        <v>12003.21375</v>
      </c>
      <c r="P41" s="7">
        <f t="shared" si="34"/>
        <v>12107.66821</v>
      </c>
      <c r="Q41" s="7">
        <f t="shared" si="34"/>
        <v>12213.03165</v>
      </c>
      <c r="R41" s="7">
        <f t="shared" si="34"/>
        <v>12319.31199</v>
      </c>
      <c r="S41" s="7">
        <f t="shared" si="34"/>
        <v>12408.96332</v>
      </c>
      <c r="T41" s="7">
        <f t="shared" si="34"/>
        <v>12499.26706</v>
      </c>
      <c r="U41" s="7">
        <f t="shared" si="34"/>
        <v>12590.22798</v>
      </c>
      <c r="V41" s="7">
        <f t="shared" si="34"/>
        <v>12681.85084</v>
      </c>
      <c r="W41" s="7">
        <f t="shared" si="34"/>
        <v>12774.14047</v>
      </c>
      <c r="X41" s="7">
        <f t="shared" si="34"/>
        <v>12867.10172</v>
      </c>
      <c r="Y41" s="7">
        <f t="shared" si="34"/>
        <v>12960.73948</v>
      </c>
      <c r="Z41" s="7">
        <f t="shared" si="34"/>
        <v>13055.05867</v>
      </c>
      <c r="AA41" s="7">
        <f t="shared" si="34"/>
        <v>13150.06425</v>
      </c>
    </row>
    <row r="42" ht="13.5" customHeight="1">
      <c r="B42" s="7">
        <f t="shared" si="31"/>
        <v>11630.32074</v>
      </c>
      <c r="C42" s="5">
        <f t="shared" si="32"/>
        <v>5</v>
      </c>
      <c r="D42" s="7"/>
      <c r="E42" s="7"/>
      <c r="F42" s="7"/>
      <c r="G42" s="7"/>
      <c r="H42" s="7">
        <f>B42</f>
        <v>11630.32074</v>
      </c>
      <c r="I42" s="7">
        <f t="shared" ref="I42:AA42" si="35">$H$13*C4</f>
        <v>11731.5302</v>
      </c>
      <c r="J42" s="7">
        <f t="shared" si="35"/>
        <v>11833.62042</v>
      </c>
      <c r="K42" s="7">
        <f t="shared" si="35"/>
        <v>11936.59904</v>
      </c>
      <c r="L42" s="7">
        <f t="shared" si="35"/>
        <v>12040.47381</v>
      </c>
      <c r="M42" s="7">
        <f t="shared" si="35"/>
        <v>12145.25251</v>
      </c>
      <c r="N42" s="7">
        <f t="shared" si="35"/>
        <v>12250.94302</v>
      </c>
      <c r="O42" s="7">
        <f t="shared" si="35"/>
        <v>12357.55327</v>
      </c>
      <c r="P42" s="7">
        <f t="shared" si="35"/>
        <v>12465.09127</v>
      </c>
      <c r="Q42" s="7">
        <f t="shared" si="35"/>
        <v>12573.56508</v>
      </c>
      <c r="R42" s="7">
        <f t="shared" si="35"/>
        <v>12682.98286</v>
      </c>
      <c r="S42" s="7">
        <f t="shared" si="35"/>
        <v>12793.35281</v>
      </c>
      <c r="T42" s="7">
        <f t="shared" si="35"/>
        <v>12886.45387</v>
      </c>
      <c r="U42" s="7">
        <f t="shared" si="35"/>
        <v>12980.23246</v>
      </c>
      <c r="V42" s="7">
        <f t="shared" si="35"/>
        <v>13074.69351</v>
      </c>
      <c r="W42" s="7">
        <f t="shared" si="35"/>
        <v>13169.84197</v>
      </c>
      <c r="X42" s="7">
        <f t="shared" si="35"/>
        <v>13265.68286</v>
      </c>
      <c r="Y42" s="7">
        <f t="shared" si="35"/>
        <v>13362.22121</v>
      </c>
      <c r="Z42" s="7">
        <f t="shared" si="35"/>
        <v>13459.4621</v>
      </c>
      <c r="AA42" s="7">
        <f t="shared" si="35"/>
        <v>13557.41065</v>
      </c>
    </row>
    <row r="43" ht="13.5" customHeight="1">
      <c r="B43" s="7">
        <f t="shared" si="31"/>
        <v>12077.84953</v>
      </c>
      <c r="C43" s="5">
        <f t="shared" si="32"/>
        <v>6</v>
      </c>
      <c r="D43" s="7"/>
      <c r="E43" s="7"/>
      <c r="F43" s="7"/>
      <c r="G43" s="7"/>
      <c r="H43" s="7"/>
      <c r="I43" s="7">
        <f>B43</f>
        <v>12077.84953</v>
      </c>
      <c r="J43" s="7">
        <f t="shared" ref="J43:AA43" si="36">$I$14*C4</f>
        <v>12182.95348</v>
      </c>
      <c r="K43" s="7">
        <f t="shared" si="36"/>
        <v>12288.97208</v>
      </c>
      <c r="L43" s="7">
        <f t="shared" si="36"/>
        <v>12395.91326</v>
      </c>
      <c r="M43" s="7">
        <f t="shared" si="36"/>
        <v>12503.78508</v>
      </c>
      <c r="N43" s="7">
        <f t="shared" si="36"/>
        <v>12612.59561</v>
      </c>
      <c r="O43" s="7">
        <f t="shared" si="36"/>
        <v>12722.35304</v>
      </c>
      <c r="P43" s="7">
        <f t="shared" si="36"/>
        <v>12833.0656</v>
      </c>
      <c r="Q43" s="7">
        <f t="shared" si="36"/>
        <v>12944.7416</v>
      </c>
      <c r="R43" s="7">
        <f t="shared" si="36"/>
        <v>13057.38943</v>
      </c>
      <c r="S43" s="7">
        <f t="shared" si="36"/>
        <v>13171.01755</v>
      </c>
      <c r="T43" s="7">
        <f t="shared" si="36"/>
        <v>13285.63448</v>
      </c>
      <c r="U43" s="7">
        <f t="shared" si="36"/>
        <v>13382.31803</v>
      </c>
      <c r="V43" s="7">
        <f t="shared" si="36"/>
        <v>13479.70517</v>
      </c>
      <c r="W43" s="7">
        <f t="shared" si="36"/>
        <v>13577.80102</v>
      </c>
      <c r="X43" s="7">
        <f t="shared" si="36"/>
        <v>13676.61075</v>
      </c>
      <c r="Y43" s="7">
        <f t="shared" si="36"/>
        <v>13776.13955</v>
      </c>
      <c r="Z43" s="7">
        <f t="shared" si="36"/>
        <v>13876.39265</v>
      </c>
      <c r="AA43" s="7">
        <f t="shared" si="36"/>
        <v>13977.37532</v>
      </c>
    </row>
    <row r="44" ht="13.5" customHeight="1">
      <c r="B44" s="7">
        <f t="shared" si="31"/>
        <v>12542.599</v>
      </c>
      <c r="C44" s="5">
        <f t="shared" si="32"/>
        <v>7</v>
      </c>
      <c r="D44" s="7"/>
      <c r="E44" s="7"/>
      <c r="F44" s="7"/>
      <c r="G44" s="7"/>
      <c r="H44" s="7"/>
      <c r="I44" s="7"/>
      <c r="J44" s="7">
        <f>B44</f>
        <v>12542.599</v>
      </c>
      <c r="K44" s="7">
        <f t="shared" ref="K44:AA44" si="37">$J$15*C4</f>
        <v>12651.7473</v>
      </c>
      <c r="L44" s="7">
        <f t="shared" si="37"/>
        <v>12761.84543</v>
      </c>
      <c r="M44" s="7">
        <f t="shared" si="37"/>
        <v>12872.90166</v>
      </c>
      <c r="N44" s="7">
        <f t="shared" si="37"/>
        <v>12984.92433</v>
      </c>
      <c r="O44" s="7">
        <f t="shared" si="37"/>
        <v>13097.92184</v>
      </c>
      <c r="P44" s="7">
        <f t="shared" si="37"/>
        <v>13211.90267</v>
      </c>
      <c r="Q44" s="7">
        <f t="shared" si="37"/>
        <v>13326.8754</v>
      </c>
      <c r="R44" s="7">
        <f t="shared" si="37"/>
        <v>13442.84864</v>
      </c>
      <c r="S44" s="7">
        <f t="shared" si="37"/>
        <v>13559.8311</v>
      </c>
      <c r="T44" s="7">
        <f t="shared" si="37"/>
        <v>13677.83156</v>
      </c>
      <c r="U44" s="7">
        <f t="shared" si="37"/>
        <v>13796.8589</v>
      </c>
      <c r="V44" s="7">
        <f t="shared" si="37"/>
        <v>13897.26278</v>
      </c>
      <c r="W44" s="7">
        <f t="shared" si="37"/>
        <v>13998.39732</v>
      </c>
      <c r="X44" s="7">
        <f t="shared" si="37"/>
        <v>14100.26786</v>
      </c>
      <c r="Y44" s="7">
        <f t="shared" si="37"/>
        <v>14202.87974</v>
      </c>
      <c r="Z44" s="7">
        <f t="shared" si="37"/>
        <v>14306.23835</v>
      </c>
      <c r="AA44" s="7">
        <f t="shared" si="37"/>
        <v>14410.34914</v>
      </c>
    </row>
    <row r="45" ht="13.5" customHeight="1">
      <c r="B45" s="7">
        <f t="shared" si="31"/>
        <v>13025.23179</v>
      </c>
      <c r="C45" s="5">
        <f t="shared" si="32"/>
        <v>8</v>
      </c>
      <c r="D45" s="7"/>
      <c r="E45" s="7"/>
      <c r="F45" s="7"/>
      <c r="G45" s="7"/>
      <c r="H45" s="7"/>
      <c r="I45" s="7"/>
      <c r="J45" s="7"/>
      <c r="K45" s="7">
        <f>B45</f>
        <v>13025.23179</v>
      </c>
      <c r="L45" s="7">
        <f t="shared" ref="L45:AA45" si="38">$K$16*C4</f>
        <v>13138.58006</v>
      </c>
      <c r="M45" s="7">
        <f t="shared" si="38"/>
        <v>13252.91472</v>
      </c>
      <c r="N45" s="7">
        <f t="shared" si="38"/>
        <v>13368.24433</v>
      </c>
      <c r="O45" s="7">
        <f t="shared" si="38"/>
        <v>13484.57757</v>
      </c>
      <c r="P45" s="7">
        <f t="shared" si="38"/>
        <v>13601.92317</v>
      </c>
      <c r="Q45" s="7">
        <f t="shared" si="38"/>
        <v>13720.28993</v>
      </c>
      <c r="R45" s="7">
        <f t="shared" si="38"/>
        <v>13839.68674</v>
      </c>
      <c r="S45" s="7">
        <f t="shared" si="38"/>
        <v>13960.12257</v>
      </c>
      <c r="T45" s="7">
        <f t="shared" si="38"/>
        <v>14081.60646</v>
      </c>
      <c r="U45" s="7">
        <f t="shared" si="38"/>
        <v>14204.14752</v>
      </c>
      <c r="V45" s="7">
        <f t="shared" si="38"/>
        <v>14327.75497</v>
      </c>
      <c r="W45" s="7">
        <f t="shared" si="38"/>
        <v>14432.02234</v>
      </c>
      <c r="X45" s="7">
        <f t="shared" si="38"/>
        <v>14537.04849</v>
      </c>
      <c r="Y45" s="7">
        <f t="shared" si="38"/>
        <v>14642.83895</v>
      </c>
      <c r="Z45" s="7">
        <f t="shared" si="38"/>
        <v>14749.39928</v>
      </c>
      <c r="AA45" s="7">
        <f t="shared" si="38"/>
        <v>14856.73508</v>
      </c>
    </row>
    <row r="46" ht="13.5" customHeight="1">
      <c r="B46" s="7">
        <f t="shared" si="31"/>
        <v>13526.43604</v>
      </c>
      <c r="C46" s="5">
        <f t="shared" si="32"/>
        <v>9</v>
      </c>
      <c r="D46" s="7"/>
      <c r="E46" s="7"/>
      <c r="F46" s="7"/>
      <c r="G46" s="7"/>
      <c r="H46" s="7"/>
      <c r="I46" s="7"/>
      <c r="J46" s="7"/>
      <c r="K46" s="7"/>
      <c r="L46" s="7">
        <f>B46</f>
        <v>13526.43604</v>
      </c>
      <c r="M46" s="7">
        <f t="shared" ref="M46:AA46" si="39">$L$17*C4</f>
        <v>13644.1459</v>
      </c>
      <c r="N46" s="7">
        <f t="shared" si="39"/>
        <v>13762.88009</v>
      </c>
      <c r="O46" s="7">
        <f t="shared" si="39"/>
        <v>13882.64753</v>
      </c>
      <c r="P46" s="7">
        <f t="shared" si="39"/>
        <v>14003.45722</v>
      </c>
      <c r="Q46" s="7">
        <f t="shared" si="39"/>
        <v>14125.31821</v>
      </c>
      <c r="R46" s="7">
        <f t="shared" si="39"/>
        <v>14248.23967</v>
      </c>
      <c r="S46" s="7">
        <f t="shared" si="39"/>
        <v>14372.23081</v>
      </c>
      <c r="T46" s="7">
        <f t="shared" si="39"/>
        <v>14497.30095</v>
      </c>
      <c r="U46" s="7">
        <f t="shared" si="39"/>
        <v>14623.45947</v>
      </c>
      <c r="V46" s="7">
        <f t="shared" si="39"/>
        <v>14750.71585</v>
      </c>
      <c r="W46" s="7">
        <f t="shared" si="39"/>
        <v>14879.07965</v>
      </c>
      <c r="X46" s="7">
        <f t="shared" si="39"/>
        <v>14987.35917</v>
      </c>
      <c r="Y46" s="7">
        <f t="shared" si="39"/>
        <v>15096.42668</v>
      </c>
      <c r="Z46" s="7">
        <f t="shared" si="39"/>
        <v>15206.2879</v>
      </c>
      <c r="AA46" s="7">
        <f t="shared" si="39"/>
        <v>15316.94862</v>
      </c>
    </row>
    <row r="47" ht="13.5" customHeight="1">
      <c r="B47" s="7">
        <f t="shared" si="31"/>
        <v>14046.92638</v>
      </c>
      <c r="C47" s="5">
        <f t="shared" si="32"/>
        <v>10</v>
      </c>
      <c r="D47" s="7"/>
      <c r="E47" s="7"/>
      <c r="F47" s="7"/>
      <c r="G47" s="7"/>
      <c r="H47" s="7"/>
      <c r="I47" s="7"/>
      <c r="J47" s="7"/>
      <c r="K47" s="7"/>
      <c r="L47" s="7"/>
      <c r="M47" s="7">
        <f>B47</f>
        <v>14046.92638</v>
      </c>
      <c r="N47" s="7">
        <f t="shared" ref="N47:AA47" si="40">$M$18*C4</f>
        <v>14169.16565</v>
      </c>
      <c r="O47" s="7">
        <f t="shared" si="40"/>
        <v>14292.46868</v>
      </c>
      <c r="P47" s="7">
        <f t="shared" si="40"/>
        <v>14416.84471</v>
      </c>
      <c r="Q47" s="7">
        <f t="shared" si="40"/>
        <v>14542.30309</v>
      </c>
      <c r="R47" s="7">
        <f t="shared" si="40"/>
        <v>14668.85323</v>
      </c>
      <c r="S47" s="7">
        <f t="shared" si="40"/>
        <v>14796.50464</v>
      </c>
      <c r="T47" s="7">
        <f t="shared" si="40"/>
        <v>14925.26689</v>
      </c>
      <c r="U47" s="7">
        <f t="shared" si="40"/>
        <v>15055.14967</v>
      </c>
      <c r="V47" s="7">
        <f t="shared" si="40"/>
        <v>15186.16271</v>
      </c>
      <c r="W47" s="7">
        <f t="shared" si="40"/>
        <v>15318.31585</v>
      </c>
      <c r="X47" s="7">
        <f t="shared" si="40"/>
        <v>15451.61902</v>
      </c>
      <c r="Y47" s="7">
        <f t="shared" si="40"/>
        <v>15564.06508</v>
      </c>
      <c r="Z47" s="7">
        <f t="shared" si="40"/>
        <v>15677.32945</v>
      </c>
      <c r="AA47" s="7">
        <f t="shared" si="40"/>
        <v>15791.41808</v>
      </c>
    </row>
    <row r="48" ht="13.5" customHeight="1">
      <c r="B48" s="7">
        <f t="shared" si="31"/>
        <v>14587.44492</v>
      </c>
      <c r="C48" s="5">
        <f t="shared" si="32"/>
        <v>11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>
        <f>B48</f>
        <v>14587.44492</v>
      </c>
      <c r="O48" s="7">
        <f t="shared" ref="O48:AA48" si="41">$N$19*C4</f>
        <v>14714.3879</v>
      </c>
      <c r="P48" s="7">
        <f t="shared" si="41"/>
        <v>14842.43556</v>
      </c>
      <c r="Q48" s="7">
        <f t="shared" si="41"/>
        <v>14971.59752</v>
      </c>
      <c r="R48" s="7">
        <f t="shared" si="41"/>
        <v>15101.88347</v>
      </c>
      <c r="S48" s="7">
        <f t="shared" si="41"/>
        <v>15233.3032</v>
      </c>
      <c r="T48" s="7">
        <f t="shared" si="41"/>
        <v>15365.86656</v>
      </c>
      <c r="U48" s="7">
        <f t="shared" si="41"/>
        <v>15499.58353</v>
      </c>
      <c r="V48" s="7">
        <f t="shared" si="41"/>
        <v>15634.46412</v>
      </c>
      <c r="W48" s="7">
        <f t="shared" si="41"/>
        <v>15770.51848</v>
      </c>
      <c r="X48" s="7">
        <f t="shared" si="41"/>
        <v>15907.75681</v>
      </c>
      <c r="Y48" s="7">
        <f t="shared" si="41"/>
        <v>16046.18941</v>
      </c>
      <c r="Z48" s="7">
        <f t="shared" si="41"/>
        <v>16162.96234</v>
      </c>
      <c r="AA48" s="7">
        <f t="shared" si="41"/>
        <v>16280.58507</v>
      </c>
    </row>
    <row r="49" ht="13.5" customHeight="1">
      <c r="B49" s="7">
        <f t="shared" si="31"/>
        <v>15148.76234</v>
      </c>
      <c r="C49" s="5">
        <f t="shared" si="32"/>
        <v>12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>
        <f>B49</f>
        <v>15148.76234</v>
      </c>
      <c r="P49" s="7">
        <f t="shared" ref="P49:AA49" si="42">$O$20*C4</f>
        <v>15280.59001</v>
      </c>
      <c r="Q49" s="7">
        <f t="shared" si="42"/>
        <v>15413.56488</v>
      </c>
      <c r="R49" s="7">
        <f t="shared" si="42"/>
        <v>15547.69693</v>
      </c>
      <c r="S49" s="7">
        <f t="shared" si="42"/>
        <v>15682.99622</v>
      </c>
      <c r="T49" s="7">
        <f t="shared" si="42"/>
        <v>15819.47291</v>
      </c>
      <c r="U49" s="7">
        <f t="shared" si="42"/>
        <v>15957.13725</v>
      </c>
      <c r="V49" s="7">
        <f t="shared" si="42"/>
        <v>16095.99957</v>
      </c>
      <c r="W49" s="7">
        <f t="shared" si="42"/>
        <v>16236.0703</v>
      </c>
      <c r="X49" s="7">
        <f t="shared" si="42"/>
        <v>16377.35996</v>
      </c>
      <c r="Y49" s="7">
        <f t="shared" si="42"/>
        <v>16519.87915</v>
      </c>
      <c r="Z49" s="7">
        <f t="shared" si="42"/>
        <v>16663.63857</v>
      </c>
      <c r="AA49" s="7">
        <f t="shared" si="42"/>
        <v>16784.90486</v>
      </c>
    </row>
    <row r="50" ht="13.5" customHeight="1">
      <c r="B50" s="7">
        <f t="shared" si="31"/>
        <v>15731.67896</v>
      </c>
      <c r="C50" s="5">
        <f t="shared" si="32"/>
        <v>13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>
        <f>B50</f>
        <v>15731.67896</v>
      </c>
      <c r="Q50" s="7">
        <f t="shared" ref="Q50:AA50" si="43">$P$21*C4</f>
        <v>15868.5793</v>
      </c>
      <c r="R50" s="7">
        <f t="shared" si="43"/>
        <v>16006.67097</v>
      </c>
      <c r="S50" s="7">
        <f t="shared" si="43"/>
        <v>16145.96435</v>
      </c>
      <c r="T50" s="7">
        <f t="shared" si="43"/>
        <v>16286.46989</v>
      </c>
      <c r="U50" s="7">
        <f t="shared" si="43"/>
        <v>16428.19813</v>
      </c>
      <c r="V50" s="7">
        <f t="shared" si="43"/>
        <v>16571.15972</v>
      </c>
      <c r="W50" s="7">
        <f t="shared" si="43"/>
        <v>16715.3654</v>
      </c>
      <c r="X50" s="7">
        <f t="shared" si="43"/>
        <v>16860.82598</v>
      </c>
      <c r="Y50" s="7">
        <f t="shared" si="43"/>
        <v>17007.55239</v>
      </c>
      <c r="Z50" s="7">
        <f t="shared" si="43"/>
        <v>17155.55565</v>
      </c>
      <c r="AA50" s="7">
        <f t="shared" si="43"/>
        <v>17304.84686</v>
      </c>
    </row>
    <row r="51" ht="13.5" customHeight="1">
      <c r="B51" s="7">
        <f t="shared" si="31"/>
        <v>16337.02592</v>
      </c>
      <c r="C51" s="5">
        <f t="shared" si="32"/>
        <v>14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f>B51</f>
        <v>16337.02592</v>
      </c>
      <c r="R51" s="7">
        <f t="shared" ref="R51:AA51" si="44">$Q$22*C4</f>
        <v>16479.19411</v>
      </c>
      <c r="S51" s="7">
        <f t="shared" si="44"/>
        <v>16622.59948</v>
      </c>
      <c r="T51" s="7">
        <f t="shared" si="44"/>
        <v>16767.2528</v>
      </c>
      <c r="U51" s="7">
        <f t="shared" si="44"/>
        <v>16913.16491</v>
      </c>
      <c r="V51" s="7">
        <f t="shared" si="44"/>
        <v>17060.34679</v>
      </c>
      <c r="W51" s="7">
        <f t="shared" si="44"/>
        <v>17208.80947</v>
      </c>
      <c r="X51" s="7">
        <f t="shared" si="44"/>
        <v>17358.56411</v>
      </c>
      <c r="Y51" s="7">
        <f t="shared" si="44"/>
        <v>17509.62194</v>
      </c>
      <c r="Z51" s="7">
        <f t="shared" si="44"/>
        <v>17661.99431</v>
      </c>
      <c r="AA51" s="7">
        <f t="shared" si="44"/>
        <v>17815.69265</v>
      </c>
    </row>
    <row r="52" ht="13.5" customHeight="1">
      <c r="B52" s="7">
        <f t="shared" si="31"/>
        <v>16965.66631</v>
      </c>
      <c r="C52" s="5">
        <f t="shared" si="32"/>
        <v>15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>
        <f>B52</f>
        <v>16965.66631</v>
      </c>
      <c r="S52" s="7">
        <f t="shared" ref="S52:AA52" si="45">$R$23*C4</f>
        <v>17113.30507</v>
      </c>
      <c r="T52" s="7">
        <f t="shared" si="45"/>
        <v>17262.2286</v>
      </c>
      <c r="U52" s="7">
        <f t="shared" si="45"/>
        <v>17412.4481</v>
      </c>
      <c r="V52" s="7">
        <f t="shared" si="45"/>
        <v>17563.97484</v>
      </c>
      <c r="W52" s="7">
        <f t="shared" si="45"/>
        <v>17716.8202</v>
      </c>
      <c r="X52" s="7">
        <f t="shared" si="45"/>
        <v>17870.99565</v>
      </c>
      <c r="Y52" s="7">
        <f t="shared" si="45"/>
        <v>18026.51277</v>
      </c>
      <c r="Z52" s="7">
        <f t="shared" si="45"/>
        <v>18183.38323</v>
      </c>
      <c r="AA52" s="7">
        <f t="shared" si="45"/>
        <v>18341.61881</v>
      </c>
    </row>
    <row r="53" ht="13.5" customHeight="1">
      <c r="B53" s="7">
        <f t="shared" si="31"/>
        <v>17618.49647</v>
      </c>
      <c r="C53" s="5">
        <f t="shared" si="32"/>
        <v>16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>
        <f>B53</f>
        <v>17618.49647</v>
      </c>
      <c r="T53" s="7">
        <f t="shared" ref="T53:AA53" si="46">$S$24*C4</f>
        <v>17771.81629</v>
      </c>
      <c r="U53" s="7">
        <f t="shared" si="46"/>
        <v>17926.47033</v>
      </c>
      <c r="V53" s="7">
        <f t="shared" si="46"/>
        <v>18082.4702</v>
      </c>
      <c r="W53" s="7">
        <f t="shared" si="46"/>
        <v>18239.82761</v>
      </c>
      <c r="X53" s="7">
        <f t="shared" si="46"/>
        <v>18398.55438</v>
      </c>
      <c r="Y53" s="7">
        <f t="shared" si="46"/>
        <v>18558.66242</v>
      </c>
      <c r="Z53" s="7">
        <f t="shared" si="46"/>
        <v>18720.16376</v>
      </c>
      <c r="AA53" s="7">
        <f t="shared" si="46"/>
        <v>18883.07051</v>
      </c>
    </row>
    <row r="54" ht="13.5" customHeight="1">
      <c r="B54" s="7">
        <f t="shared" si="31"/>
        <v>18296.4472</v>
      </c>
      <c r="C54" s="5">
        <f t="shared" si="32"/>
        <v>17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>
        <f>B54</f>
        <v>18296.4472</v>
      </c>
      <c r="U54" s="7">
        <f t="shared" ref="U54:AA54" si="47">$T$25*C4</f>
        <v>18455.66669</v>
      </c>
      <c r="V54" s="7">
        <f t="shared" si="47"/>
        <v>18616.27173</v>
      </c>
      <c r="W54" s="7">
        <f t="shared" si="47"/>
        <v>18778.2744</v>
      </c>
      <c r="X54" s="7">
        <f t="shared" si="47"/>
        <v>18941.68684</v>
      </c>
      <c r="Y54" s="7">
        <f t="shared" si="47"/>
        <v>19106.52134</v>
      </c>
      <c r="Z54" s="7">
        <f t="shared" si="47"/>
        <v>19272.79026</v>
      </c>
      <c r="AA54" s="7">
        <f t="shared" si="47"/>
        <v>19440.50608</v>
      </c>
    </row>
    <row r="55" ht="13.5" customHeight="1">
      <c r="B55" s="7">
        <f t="shared" si="31"/>
        <v>19000.48513</v>
      </c>
      <c r="C55" s="5">
        <f t="shared" si="32"/>
        <v>18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>
        <f>B55</f>
        <v>19000.48513</v>
      </c>
      <c r="V55" s="7">
        <f t="shared" ref="V55:AA55" si="48">$U$26*C4</f>
        <v>19165.8313</v>
      </c>
      <c r="W55" s="7">
        <f t="shared" si="48"/>
        <v>19332.61634</v>
      </c>
      <c r="X55" s="7">
        <f t="shared" si="48"/>
        <v>19500.85279</v>
      </c>
      <c r="Y55" s="7">
        <f t="shared" si="48"/>
        <v>19670.55326</v>
      </c>
      <c r="Z55" s="7">
        <f t="shared" si="48"/>
        <v>19841.7305</v>
      </c>
      <c r="AA55" s="7">
        <f t="shared" si="48"/>
        <v>20014.39736</v>
      </c>
    </row>
    <row r="56" ht="13.5" customHeight="1">
      <c r="B56" s="7">
        <f t="shared" si="31"/>
        <v>19731.61407</v>
      </c>
      <c r="C56" s="5">
        <f t="shared" si="32"/>
        <v>19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>
        <f>B56</f>
        <v>19731.61407</v>
      </c>
      <c r="W56" s="7">
        <f t="shared" ref="W56:AA56" si="49">$V$27*C4</f>
        <v>19903.32268</v>
      </c>
      <c r="X56" s="7">
        <f t="shared" si="49"/>
        <v>20076.52553</v>
      </c>
      <c r="Y56" s="7">
        <f t="shared" si="49"/>
        <v>20251.23563</v>
      </c>
      <c r="Z56" s="7">
        <f t="shared" si="49"/>
        <v>20427.46609</v>
      </c>
      <c r="AA56" s="7">
        <f t="shared" si="49"/>
        <v>20605.23014</v>
      </c>
    </row>
    <row r="57" ht="13.5" customHeight="1">
      <c r="B57" s="7">
        <f t="shared" si="31"/>
        <v>20490.87649</v>
      </c>
      <c r="C57" s="5">
        <f t="shared" si="32"/>
        <v>20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>
        <f>B57</f>
        <v>20490.87649</v>
      </c>
      <c r="X57" s="7">
        <f t="shared" ref="X57:AA57" si="50">$W$28*C4</f>
        <v>20669.19235</v>
      </c>
      <c r="Y57" s="7">
        <f t="shared" si="50"/>
        <v>20849.05996</v>
      </c>
      <c r="Z57" s="7">
        <f t="shared" si="50"/>
        <v>21030.49281</v>
      </c>
      <c r="AA57" s="7">
        <f t="shared" si="50"/>
        <v>21213.50453</v>
      </c>
    </row>
    <row r="58" ht="13.5" customHeight="1">
      <c r="B58" s="7">
        <f t="shared" si="31"/>
        <v>21279.35493</v>
      </c>
      <c r="C58" s="5">
        <f t="shared" si="32"/>
        <v>21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>
        <f>B58</f>
        <v>21279.35493</v>
      </c>
      <c r="Y58" s="7">
        <f t="shared" ref="Y58:AA58" si="51">$X$29*C4</f>
        <v>21464.5323</v>
      </c>
      <c r="Z58" s="7">
        <f t="shared" si="51"/>
        <v>21651.32112</v>
      </c>
      <c r="AA58" s="7">
        <f t="shared" si="51"/>
        <v>21839.73541</v>
      </c>
    </row>
    <row r="59" ht="13.5" customHeight="1">
      <c r="B59" s="7">
        <f t="shared" si="31"/>
        <v>22098.17362</v>
      </c>
      <c r="C59" s="5">
        <f t="shared" si="32"/>
        <v>22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>
        <f>B59</f>
        <v>22098.17362</v>
      </c>
      <c r="Z59" s="7">
        <f t="shared" ref="Z59:AA59" si="52">Y59*C4</f>
        <v>22290.47652</v>
      </c>
      <c r="AA59" s="7">
        <f t="shared" si="52"/>
        <v>22680.11726</v>
      </c>
    </row>
    <row r="60" ht="13.5" customHeight="1">
      <c r="B60" s="7">
        <f t="shared" si="31"/>
        <v>22948.50003</v>
      </c>
      <c r="C60" s="5">
        <f t="shared" si="32"/>
        <v>23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>
        <f>B60</f>
        <v>22948.50003</v>
      </c>
      <c r="AA60" s="7">
        <f>$Z$31*C4</f>
        <v>23148.20265</v>
      </c>
    </row>
    <row r="61" ht="13.5" customHeight="1">
      <c r="B61" s="7">
        <f t="shared" si="31"/>
        <v>23831.54657</v>
      </c>
      <c r="C61" s="5">
        <f t="shared" si="32"/>
        <v>24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>
        <f>B61</f>
        <v>23831.54657</v>
      </c>
    </row>
    <row r="62" ht="13.5" customHeight="1">
      <c r="C62" s="10" t="s">
        <v>6</v>
      </c>
      <c r="D62" s="7">
        <f t="shared" ref="D62:AA62" si="53">SUM(D38:D61)</f>
        <v>10000</v>
      </c>
      <c r="E62" s="7">
        <f t="shared" si="53"/>
        <v>20471.81696</v>
      </c>
      <c r="F62" s="7">
        <f t="shared" si="53"/>
        <v>31434.36344</v>
      </c>
      <c r="G62" s="7">
        <f t="shared" si="53"/>
        <v>42907.28634</v>
      </c>
      <c r="H62" s="7">
        <f t="shared" si="53"/>
        <v>54910.9952</v>
      </c>
      <c r="I62" s="7">
        <f t="shared" si="53"/>
        <v>67466.69161</v>
      </c>
      <c r="J62" s="7">
        <f t="shared" si="53"/>
        <v>80596.39978</v>
      </c>
      <c r="K62" s="7">
        <f t="shared" si="53"/>
        <v>94322.99818</v>
      </c>
      <c r="L62" s="7">
        <f t="shared" si="53"/>
        <v>108670.2526</v>
      </c>
      <c r="M62" s="7">
        <f t="shared" si="53"/>
        <v>123662.85</v>
      </c>
      <c r="N62" s="7">
        <f t="shared" si="53"/>
        <v>139326.4348</v>
      </c>
      <c r="O62" s="7">
        <f t="shared" si="53"/>
        <v>155687.6447</v>
      </c>
      <c r="P62" s="7">
        <f t="shared" si="53"/>
        <v>172758.4759</v>
      </c>
      <c r="Q62" s="7">
        <f t="shared" si="53"/>
        <v>190566.8168</v>
      </c>
      <c r="R62" s="7">
        <f t="shared" si="53"/>
        <v>209141.6332</v>
      </c>
      <c r="S62" s="7">
        <f t="shared" si="53"/>
        <v>228513.0097</v>
      </c>
      <c r="T62" s="7">
        <f t="shared" si="53"/>
        <v>248712.1929</v>
      </c>
      <c r="U62" s="7">
        <f t="shared" si="53"/>
        <v>269771.6361</v>
      </c>
      <c r="V62" s="7">
        <f t="shared" si="53"/>
        <v>291725.0458</v>
      </c>
      <c r="W62" s="7">
        <f t="shared" si="53"/>
        <v>314607.4296</v>
      </c>
      <c r="X62" s="7">
        <f t="shared" si="53"/>
        <v>338455.1471</v>
      </c>
      <c r="Y62" s="7">
        <f t="shared" si="53"/>
        <v>363305.9609</v>
      </c>
      <c r="Z62" s="7">
        <f t="shared" si="53"/>
        <v>389199.0917</v>
      </c>
      <c r="AA62" s="7">
        <f t="shared" si="53"/>
        <v>416370.938</v>
      </c>
    </row>
    <row r="63" ht="13.5" customHeight="1"/>
    <row r="64" ht="13.5" customHeight="1">
      <c r="AA64" s="5">
        <f>AA62/AA33</f>
        <v>1.575211529</v>
      </c>
    </row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N1"/>
    <mergeCell ref="O1:P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7.75"/>
    <col customWidth="1" min="3" max="3" width="13.13"/>
    <col customWidth="1" min="4" max="4" width="11.75"/>
    <col customWidth="1" min="5" max="26" width="7.75"/>
  </cols>
  <sheetData>
    <row r="1" ht="29.25" customHeight="1">
      <c r="A1" s="1"/>
      <c r="O1" s="2"/>
    </row>
    <row r="2" ht="13.5" customHeight="1">
      <c r="C2" s="5" t="s">
        <v>12</v>
      </c>
      <c r="D2" s="5" t="s">
        <v>13</v>
      </c>
    </row>
    <row r="3" ht="13.5" customHeight="1">
      <c r="B3" s="4">
        <v>1.0</v>
      </c>
      <c r="C3" s="7">
        <f>'Calcs 2'!B9</f>
        <v>10000</v>
      </c>
      <c r="D3" s="7">
        <f>'Calcs 1'!C6</f>
        <v>10000</v>
      </c>
    </row>
    <row r="4" ht="13.5" customHeight="1">
      <c r="B4" s="4">
        <f t="shared" ref="B4:B26" si="1">B3+1</f>
        <v>2</v>
      </c>
      <c r="C4" s="7">
        <f>'Calcs 2'!B10</f>
        <v>10384.79488</v>
      </c>
      <c r="D4" s="7">
        <f t="shared" ref="D4:D26" si="2">$D$3</f>
        <v>10000</v>
      </c>
    </row>
    <row r="5" ht="13.5" customHeight="1">
      <c r="B5" s="4">
        <f t="shared" si="1"/>
        <v>3</v>
      </c>
      <c r="C5" s="7">
        <f>'Calcs 2'!B11</f>
        <v>10784.39648</v>
      </c>
      <c r="D5" s="7">
        <f t="shared" si="2"/>
        <v>10000</v>
      </c>
    </row>
    <row r="6" ht="13.5" customHeight="1">
      <c r="B6" s="4">
        <f t="shared" si="1"/>
        <v>4</v>
      </c>
      <c r="C6" s="7">
        <f>'Calcs 2'!B12</f>
        <v>11199.37453</v>
      </c>
      <c r="D6" s="7">
        <f t="shared" si="2"/>
        <v>10000</v>
      </c>
    </row>
    <row r="7" ht="13.5" customHeight="1">
      <c r="B7" s="4">
        <f t="shared" si="1"/>
        <v>5</v>
      </c>
      <c r="C7" s="7">
        <f>'Calcs 2'!B13</f>
        <v>11630.32074</v>
      </c>
      <c r="D7" s="7">
        <f t="shared" si="2"/>
        <v>10000</v>
      </c>
    </row>
    <row r="8" ht="13.5" customHeight="1">
      <c r="B8" s="4">
        <f t="shared" si="1"/>
        <v>6</v>
      </c>
      <c r="C8" s="7">
        <f>'Calcs 2'!B14</f>
        <v>12077.84953</v>
      </c>
      <c r="D8" s="7">
        <f t="shared" si="2"/>
        <v>10000</v>
      </c>
    </row>
    <row r="9" ht="13.5" customHeight="1">
      <c r="B9" s="4">
        <f t="shared" si="1"/>
        <v>7</v>
      </c>
      <c r="C9" s="7">
        <f>'Calcs 2'!B15</f>
        <v>12542.599</v>
      </c>
      <c r="D9" s="7">
        <f t="shared" si="2"/>
        <v>10000</v>
      </c>
    </row>
    <row r="10" ht="13.5" customHeight="1">
      <c r="B10" s="4">
        <f t="shared" si="1"/>
        <v>8</v>
      </c>
      <c r="C10" s="7">
        <f>'Calcs 2'!B16</f>
        <v>13025.23179</v>
      </c>
      <c r="D10" s="7">
        <f t="shared" si="2"/>
        <v>10000</v>
      </c>
    </row>
    <row r="11" ht="13.5" customHeight="1">
      <c r="B11" s="4">
        <f t="shared" si="1"/>
        <v>9</v>
      </c>
      <c r="C11" s="7">
        <f>'Calcs 2'!B17</f>
        <v>13526.43604</v>
      </c>
      <c r="D11" s="7">
        <f t="shared" si="2"/>
        <v>10000</v>
      </c>
    </row>
    <row r="12" ht="13.5" customHeight="1">
      <c r="B12" s="4">
        <f t="shared" si="1"/>
        <v>10</v>
      </c>
      <c r="C12" s="7">
        <f>'Calcs 2'!B18</f>
        <v>14046.92638</v>
      </c>
      <c r="D12" s="7">
        <f t="shared" si="2"/>
        <v>10000</v>
      </c>
    </row>
    <row r="13" ht="13.5" customHeight="1">
      <c r="B13" s="4">
        <f t="shared" si="1"/>
        <v>11</v>
      </c>
      <c r="C13" s="7">
        <f>'Calcs 2'!B19</f>
        <v>14587.44492</v>
      </c>
      <c r="D13" s="7">
        <f t="shared" si="2"/>
        <v>10000</v>
      </c>
    </row>
    <row r="14" ht="13.5" customHeight="1">
      <c r="B14" s="4">
        <f t="shared" si="1"/>
        <v>12</v>
      </c>
      <c r="C14" s="7">
        <f>'Calcs 2'!B20</f>
        <v>15148.76234</v>
      </c>
      <c r="D14" s="7">
        <f t="shared" si="2"/>
        <v>10000</v>
      </c>
    </row>
    <row r="15" ht="13.5" customHeight="1">
      <c r="B15" s="4">
        <f t="shared" si="1"/>
        <v>13</v>
      </c>
      <c r="C15" s="7">
        <f>'Calcs 2'!B21</f>
        <v>15731.67896</v>
      </c>
      <c r="D15" s="7">
        <f t="shared" si="2"/>
        <v>10000</v>
      </c>
    </row>
    <row r="16" ht="13.5" customHeight="1">
      <c r="B16" s="4">
        <f t="shared" si="1"/>
        <v>14</v>
      </c>
      <c r="C16" s="7">
        <f>'Calcs 2'!B22</f>
        <v>16337.02592</v>
      </c>
      <c r="D16" s="7">
        <f t="shared" si="2"/>
        <v>10000</v>
      </c>
    </row>
    <row r="17" ht="13.5" customHeight="1">
      <c r="B17" s="4">
        <f t="shared" si="1"/>
        <v>15</v>
      </c>
      <c r="C17" s="7">
        <f>'Calcs 2'!B23</f>
        <v>16965.66631</v>
      </c>
      <c r="D17" s="7">
        <f t="shared" si="2"/>
        <v>10000</v>
      </c>
    </row>
    <row r="18" ht="13.5" customHeight="1">
      <c r="B18" s="4">
        <f t="shared" si="1"/>
        <v>16</v>
      </c>
      <c r="C18" s="7">
        <f>'Calcs 2'!B24</f>
        <v>17618.49647</v>
      </c>
      <c r="D18" s="7">
        <f t="shared" si="2"/>
        <v>10000</v>
      </c>
    </row>
    <row r="19" ht="13.5" customHeight="1">
      <c r="B19" s="4">
        <f t="shared" si="1"/>
        <v>17</v>
      </c>
      <c r="C19" s="7">
        <f>'Calcs 2'!B25</f>
        <v>18296.4472</v>
      </c>
      <c r="D19" s="7">
        <f t="shared" si="2"/>
        <v>10000</v>
      </c>
    </row>
    <row r="20" ht="13.5" customHeight="1">
      <c r="B20" s="4">
        <f t="shared" si="1"/>
        <v>18</v>
      </c>
      <c r="C20" s="7">
        <f>'Calcs 2'!B26</f>
        <v>19000.48513</v>
      </c>
      <c r="D20" s="7">
        <f t="shared" si="2"/>
        <v>10000</v>
      </c>
    </row>
    <row r="21" ht="13.5" customHeight="1">
      <c r="B21" s="4">
        <f t="shared" si="1"/>
        <v>19</v>
      </c>
      <c r="C21" s="7">
        <f>'Calcs 2'!B27</f>
        <v>19731.61407</v>
      </c>
      <c r="D21" s="7">
        <f t="shared" si="2"/>
        <v>10000</v>
      </c>
    </row>
    <row r="22" ht="13.5" customHeight="1">
      <c r="B22" s="4">
        <f t="shared" si="1"/>
        <v>20</v>
      </c>
      <c r="C22" s="7">
        <f>'Calcs 2'!B28</f>
        <v>20490.87649</v>
      </c>
      <c r="D22" s="7">
        <f t="shared" si="2"/>
        <v>10000</v>
      </c>
    </row>
    <row r="23" ht="13.5" customHeight="1">
      <c r="B23" s="4">
        <f t="shared" si="1"/>
        <v>21</v>
      </c>
      <c r="C23" s="7">
        <f>'Calcs 2'!B29</f>
        <v>21279.35493</v>
      </c>
      <c r="D23" s="7">
        <f t="shared" si="2"/>
        <v>10000</v>
      </c>
    </row>
    <row r="24" ht="13.5" customHeight="1">
      <c r="B24" s="4">
        <f t="shared" si="1"/>
        <v>22</v>
      </c>
      <c r="C24" s="7">
        <f>'Calcs 2'!B30</f>
        <v>22098.17362</v>
      </c>
      <c r="D24" s="7">
        <f t="shared" si="2"/>
        <v>10000</v>
      </c>
    </row>
    <row r="25" ht="13.5" customHeight="1">
      <c r="B25" s="4">
        <f t="shared" si="1"/>
        <v>23</v>
      </c>
      <c r="C25" s="7">
        <f>'Calcs 2'!B31</f>
        <v>22948.50003</v>
      </c>
      <c r="D25" s="7">
        <f t="shared" si="2"/>
        <v>10000</v>
      </c>
    </row>
    <row r="26" ht="13.5" customHeight="1">
      <c r="B26" s="4">
        <f t="shared" si="1"/>
        <v>24</v>
      </c>
      <c r="C26" s="7">
        <f>'Calcs 2'!B32</f>
        <v>23831.54657</v>
      </c>
      <c r="D26" s="7">
        <f t="shared" si="2"/>
        <v>10000</v>
      </c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N1"/>
    <mergeCell ref="O1:P1"/>
  </mergeCells>
  <printOptions/>
  <pageMargins bottom="0.75" footer="0.0" header="0.0" left="0.7" right="0.7" top="0.75"/>
  <pageSetup orientation="landscape"/>
  <drawing r:id="rId1"/>
</worksheet>
</file>