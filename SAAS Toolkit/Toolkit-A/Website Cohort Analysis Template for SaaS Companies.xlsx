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horts" sheetId="1" r:id="rId3"/>
    <sheet state="hidden" name="SupermetricsQueries" sheetId="2" r:id="rId4"/>
  </sheets>
  <definedNames>
    <definedName name="zsupermetrics_NUF6vY4sH7DZpIBb5zL4nqimfgSzeo">Cohorts!$BK$3:$CK$15</definedName>
    <definedName name="zsupermetrics_j6J2okQ3AaKx1Rb277XNPABB2gjZZy">Cohorts!$CK$2:$CK$15</definedName>
    <definedName name="zsupermetrics_TkpC5m8dJiuprKWoZEevGwJQkHRwC4">Cohorts!$BK$81:$CK$93</definedName>
    <definedName name="zsupermetrics_4gHk2t4KwKArxqXYXwO1yrgGOjpkmb">Cohorts!$Q$2:$AA$14</definedName>
    <definedName name="zsupermetrics_wKxHgejOIozdcUH66p4uS0Xu7fL17y">Cohorts!$Q$2:$AA$14</definedName>
    <definedName name="zsupermetrics_0no5FsbGsJPvhjVlUMMiitmaQPENwL">Cohorts!$BK$22:$CK$34</definedName>
    <definedName name="zsupermetrics_BB3DKkNzZrVxYDNPRIs0kKC5nq1dL9">Cohorts!$BK$61:$CK$73</definedName>
    <definedName name="zsupermetrics_UXc7iiSNvjtBASmLfc6yObt57FQsmW">Cohorts!$BK$41:$CK$53</definedName>
  </definedNames>
  <calcPr/>
</workbook>
</file>

<file path=xl/sharedStrings.xml><?xml version="1.0" encoding="utf-8"?>
<sst xmlns="http://schemas.openxmlformats.org/spreadsheetml/2006/main" count="413" uniqueCount="164">
  <si>
    <t>Cohort Analysis</t>
  </si>
  <si>
    <t>template provided by:</t>
  </si>
  <si>
    <t xml:space="preserve">
</t>
  </si>
  <si>
    <t>Instructions on how to use this template  &gt;&gt;&gt;</t>
  </si>
  <si>
    <t>&gt; Install the Supermetrics add-on with the link on the right (skip this if you've installed the add-on)
&gt; Launch the Supermetrics sidebar (Add-ons menu -&gt; Supermetrics -&gt; Launch sidebar)
&gt; Go to Add-ons menu -&gt; Supermetrics -&gt; Template Gallery
&gt; Find the template and click “Add template"</t>
  </si>
  <si>
    <t>1 month</t>
  </si>
  <si>
    <t>2 months</t>
  </si>
  <si>
    <t>3 months</t>
  </si>
  <si>
    <t>4 months</t>
  </si>
  <si>
    <t>5 months</t>
  </si>
  <si>
    <t>6 months</t>
  </si>
  <si>
    <t>7 months</t>
  </si>
  <si>
    <t>8 months</t>
  </si>
  <si>
    <t>9 months</t>
  </si>
  <si>
    <t>10 months</t>
  </si>
  <si>
    <t>11 months</t>
  </si>
  <si>
    <t>12 months</t>
  </si>
  <si>
    <t>1ST MONTH RETENTION RATE</t>
  </si>
  <si>
    <t>CHANGE</t>
  </si>
  <si>
    <t>2ND MONTH RETENTION RATE</t>
  </si>
  <si>
    <t>USER LIFETIME VALUE (LTV)*</t>
  </si>
  <si>
    <t>0 months</t>
  </si>
  <si>
    <t>LTV</t>
  </si>
  <si>
    <t>Total users:</t>
  </si>
  <si>
    <t>Total revenue:</t>
  </si>
  <si>
    <t>Users acquired</t>
  </si>
  <si>
    <t>Retained after</t>
  </si>
  <si>
    <t>Month</t>
  </si>
  <si>
    <t>New users</t>
  </si>
  <si>
    <t>1st month</t>
  </si>
  <si>
    <t>2nd month</t>
  </si>
  <si>
    <t>3rd month</t>
  </si>
  <si>
    <t>4th month</t>
  </si>
  <si>
    <t>5th month</t>
  </si>
  <si>
    <t>6th month</t>
  </si>
  <si>
    <t>7th month</t>
  </si>
  <si>
    <t>8th month</t>
  </si>
  <si>
    <t>9th month</t>
  </si>
  <si>
    <t>10th month</t>
  </si>
  <si>
    <t>11th month</t>
  </si>
  <si>
    <t>12th month</t>
  </si>
  <si>
    <t>TOTAL</t>
  </si>
  <si>
    <t>Retention % type ("absolute" or "relative"):</t>
  </si>
  <si>
    <t>absolute</t>
  </si>
  <si>
    <t>Retention Rates in Different Segments</t>
  </si>
  <si>
    <t>You can compare retention rates in different segments by typing filers in the cells on the right. After making changes, refresh the data from the menu bar: Add-ons: Supermetrics: Refresh all</t>
  </si>
  <si>
    <t>Name</t>
  </si>
  <si>
    <t>Filter string</t>
  </si>
  <si>
    <t>1st month retention</t>
  </si>
  <si>
    <t>LTV*</t>
  </si>
  <si>
    <t>US traffic</t>
  </si>
  <si>
    <t>country==United States</t>
  </si>
  <si>
    <t>Organic search</t>
  </si>
  <si>
    <t>channelgroup=Organic Search</t>
  </si>
  <si>
    <t>Paid search</t>
  </si>
  <si>
    <t>channelgroup=Paid Search</t>
  </si>
  <si>
    <t>Social</t>
  </si>
  <si>
    <t>channelgroup=Social</t>
  </si>
  <si>
    <t>Figures for last 13 monhts</t>
  </si>
  <si>
    <t>Revenue by Cohort</t>
  </si>
  <si>
    <t>Cohort</t>
  </si>
  <si>
    <t>Retained</t>
  </si>
  <si>
    <t>Avg. revenue per user</t>
  </si>
  <si>
    <t>% of all revenue</t>
  </si>
  <si>
    <t>Beyond 8 months</t>
  </si>
  <si>
    <t>13th month</t>
  </si>
  <si>
    <t>Revenue by cohort estimates only take into account revenue generated within 13 months of first session.</t>
  </si>
  <si>
    <t>* LIFETIME VALUE: We calculate lifetime value by taking the probabilities of a user staying active in months 0 to 12 since the first session, and multiplying those by the average revenue per user on each cohort. The LTV estimate does not take into account revenue generated more than a year after the first session, and it also doesn't take into account the cost of acquiring the user.</t>
  </si>
  <si>
    <t>Supermetrics Queries</t>
  </si>
  <si>
    <t>All the queries created by Supermetrics are stored here, each in its own row.</t>
  </si>
  <si>
    <t>On this sheet you can:</t>
  </si>
  <si>
    <t>1. Modify the parameters of a query. Any changes will be visible when you run a refresh.</t>
  </si>
  <si>
    <t>2. Remove a query by deleting its row</t>
  </si>
  <si>
    <t>3. Add new queries: type a range address and query parameters, leave the query ID empty. The query will be added when you run a refresh. (Of course, it's much easier to use the sidebar to add new queries.)</t>
  </si>
  <si>
    <t>4. Add queries that point to other spreadsheets: follow step 3, but also add a spreadsheet ID (you can see the ID in the URL when you have a file open)</t>
  </si>
  <si>
    <t>Query ID</t>
  </si>
  <si>
    <t>Spreadsheet ID</t>
  </si>
  <si>
    <t>Sheet name</t>
  </si>
  <si>
    <t>Range address</t>
  </si>
  <si>
    <t>Created</t>
  </si>
  <si>
    <t>Updated</t>
  </si>
  <si>
    <t>Last status</t>
  </si>
  <si>
    <t>Last refresh ID</t>
  </si>
  <si>
    <t>Results contain sampled data</t>
  </si>
  <si>
    <t>Object type</t>
  </si>
  <si>
    <t>Linked chart ID</t>
  </si>
  <si>
    <t>Data source</t>
  </si>
  <si>
    <t>Date range type</t>
  </si>
  <si>
    <t>Start date</t>
  </si>
  <si>
    <t>End date</t>
  </si>
  <si>
    <t>Compare to</t>
  </si>
  <si>
    <t>Comparison value type</t>
  </si>
  <si>
    <t>Accounts/profiles</t>
  </si>
  <si>
    <t>Metrics</t>
  </si>
  <si>
    <t>Dimensions</t>
  </si>
  <si>
    <t>Pivot dimensions</t>
  </si>
  <si>
    <t>Filters</t>
  </si>
  <si>
    <t>Segment ID</t>
  </si>
  <si>
    <t>Sort</t>
  </si>
  <si>
    <t>Max rows</t>
  </si>
  <si>
    <t>Max pivot categories</t>
  </si>
  <si>
    <t>Special settings</t>
  </si>
  <si>
    <t>Result type</t>
  </si>
  <si>
    <t>Language filter</t>
  </si>
  <si>
    <t>Translate to</t>
  </si>
  <si>
    <t>SQL</t>
  </si>
  <si>
    <t>Database name</t>
  </si>
  <si>
    <t>Range address (static)</t>
  </si>
  <si>
    <t>Report type</t>
  </si>
  <si>
    <t>Scope (Moz)</t>
  </si>
  <si>
    <t>Sort (Moz)</t>
  </si>
  <si>
    <t>Highlight with colour</t>
  </si>
  <si>
    <t>paramsID</t>
  </si>
  <si>
    <t>ssID</t>
  </si>
  <si>
    <t>sheetName</t>
  </si>
  <si>
    <t>rangeAddress</t>
  </si>
  <si>
    <t>created</t>
  </si>
  <si>
    <t>updated</t>
  </si>
  <si>
    <t>lastStatus</t>
  </si>
  <si>
    <t>lastqueryID</t>
  </si>
  <si>
    <t>sampled</t>
  </si>
  <si>
    <t>objType</t>
  </si>
  <si>
    <t>linkedChartID</t>
  </si>
  <si>
    <t>dataSource</t>
  </si>
  <si>
    <t>dateRangeType</t>
  </si>
  <si>
    <t>startDateString</t>
  </si>
  <si>
    <t>endDateString</t>
  </si>
  <si>
    <t>comp</t>
  </si>
  <si>
    <t>cvt</t>
  </si>
  <si>
    <t>profiles</t>
  </si>
  <si>
    <t>metrics</t>
  </si>
  <si>
    <t>dimensions</t>
  </si>
  <si>
    <t>sd</t>
  </si>
  <si>
    <t>filterArr</t>
  </si>
  <si>
    <t>segment</t>
  </si>
  <si>
    <t>sort</t>
  </si>
  <si>
    <t>maxResults</t>
  </si>
  <si>
    <t>maxCategories</t>
  </si>
  <si>
    <t>specialSettings</t>
  </si>
  <si>
    <t>sds_result_type</t>
  </si>
  <si>
    <t>sds_lang</t>
  </si>
  <si>
    <t>sds_tolang</t>
  </si>
  <si>
    <t>sql</t>
  </si>
  <si>
    <t>db_name</t>
  </si>
  <si>
    <t>rangeAddressStatic</t>
  </si>
  <si>
    <t>rt</t>
  </si>
  <si>
    <t>scopeMZ</t>
  </si>
  <si>
    <t>sortMZ</t>
  </si>
  <si>
    <t>condform</t>
  </si>
  <si>
    <t>Cohorts</t>
  </si>
  <si>
    <t>Cohorts!$BK$2</t>
  </si>
  <si>
    <t>TABLE</t>
  </si>
  <si>
    <t>GA</t>
  </si>
  <si>
    <t>last13monthsinc</t>
  </si>
  <si>
    <t>["visitors","transactionrevenue"]</t>
  </si>
  <si>
    <t>["Segment"]</t>
  </si>
  <si>
    <t>["Yearmonth"]</t>
  </si>
  <si>
    <t>["custom::firstSession&lt;&gt;first day of -12 month_last day of -12 month","custom::firstSession&lt;&gt;first day of -11 month_last day of -11 month","custom::firstSession&lt;&gt;first day of -10 month_last day of -10 month","custom::firstSession&lt;&gt;first day of -9 month_last day of -9 month","custom::firstSession&lt;&gt;first day of -8 month_last day of -8 month","custom::firstSession&lt;&gt;first day of -7 month_last day of -7 month","custom::firstSession&lt;&gt;first day of -6 month_last day of -6 month","custom::firstSession&lt;&gt;first day of -5 month_last day of -5 month","custom::firstSession&lt;&gt;first day of -4 month_last day of -4 month","custom::firstSession&lt;&gt;first day of -3 month_last day of -3 month","custom::firstSession&lt;&gt;first day of -2 month_last day of -2 month","custom::firstSession&lt;&gt;first day of -1 month_last day of -1 month"]</t>
  </si>
  <si>
    <t>dimensionasc</t>
  </si>
  <si>
    <t>PIVOT_SORT_ALPHABETIC</t>
  </si>
  <si>
    <t>Cohorts!$BK$21</t>
  </si>
  <si>
    <t>Cohorts!$BK$40</t>
  </si>
  <si>
    <t>Cohorts!$BK$60</t>
  </si>
  <si>
    <t>Cohorts!$BK$80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</si>
</sst>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m/d/yyyy h:mm:ss"/>
  </numFmts>
  <fonts count="29">
    <font>
      <sz val="10.0"/>
      <color rgb="FF000000"/>
      <name val="Arial"/>
    </font>
    <font>
      <b/>
      <i/>
      <sz val="16.0"/>
      <color rgb="FF000000"/>
      <name val="Avenir"/>
    </font>
    <font>
      <name val="Arial"/>
    </font>
    <font>
      <color rgb="FF000000"/>
      <name val="Droid Sans"/>
    </font>
    <font>
      <name val="Droid Sans"/>
    </font>
    <font>
      <b/>
      <sz val="30.0"/>
      <color rgb="FFFF0000"/>
      <name val="Roboto"/>
    </font>
    <font>
      <b/>
      <sz val="12.0"/>
      <color rgb="FFFF0000"/>
      <name val="Roboto"/>
    </font>
    <font/>
    <font>
      <b/>
      <sz val="30.0"/>
      <color rgb="FFFF0000"/>
      <name val="Droid Sans"/>
    </font>
    <font>
      <b/>
      <u/>
      <sz val="12.0"/>
      <color rgb="FFFF0000"/>
      <name val="Inconsolata"/>
    </font>
    <font>
      <b/>
      <sz val="24.0"/>
      <name val="Droid Sans"/>
    </font>
    <font>
      <color rgb="FFFFFFFF"/>
      <name val="Droid Sans"/>
    </font>
    <font>
      <sz val="11.0"/>
      <name val="Droid Sans"/>
    </font>
    <font>
      <sz val="12.0"/>
      <name val="Droid Sans"/>
    </font>
    <font>
      <b/>
      <sz val="14.0"/>
      <name val="Droid Sans"/>
    </font>
    <font>
      <b/>
      <sz val="10.0"/>
      <color rgb="FF000000"/>
      <name val="Droid Sans"/>
    </font>
    <font>
      <b/>
      <color rgb="FF000000"/>
      <name val="Droid Sans"/>
    </font>
    <font>
      <sz val="10.0"/>
      <color rgb="FF000000"/>
      <name val="Droid Sans"/>
    </font>
    <font>
      <color rgb="FFB7B7B7"/>
      <name val="Droid Sans"/>
    </font>
    <font>
      <color rgb="FF999999"/>
      <name val="Droid Sans"/>
    </font>
    <font>
      <u/>
      <color rgb="FF000000"/>
      <name val="Droid Sans"/>
    </font>
    <font>
      <sz val="9.0"/>
      <color rgb="FFCCCCCC"/>
      <name val="Droid Sans"/>
    </font>
    <font>
      <b/>
      <name val="Droid Sans"/>
    </font>
    <font>
      <b/>
      <sz val="20.0"/>
    </font>
    <font>
      <sz val="9.0"/>
      <color rgb="FF000000"/>
    </font>
    <font>
      <color rgb="FF000000"/>
    </font>
    <font>
      <b/>
    </font>
    <font>
      <color rgb="FF008000"/>
    </font>
    <font>
      <sz val="9.0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E51B00"/>
        <bgColor rgb="FFE51B00"/>
      </patternFill>
    </fill>
    <fill>
      <patternFill patternType="solid">
        <fgColor rgb="FF36B2DE"/>
        <bgColor rgb="FF36B2DE"/>
      </patternFill>
    </fill>
    <fill>
      <patternFill patternType="solid">
        <fgColor rgb="FFFF6A2F"/>
        <bgColor rgb="FFFF6A2F"/>
      </patternFill>
    </fill>
    <fill>
      <patternFill patternType="solid">
        <fgColor rgb="FF005F9A"/>
        <bgColor rgb="FF005F9A"/>
      </patternFill>
    </fill>
    <fill>
      <patternFill patternType="solid">
        <fgColor rgb="FFF9FFF7"/>
        <bgColor rgb="FFF9FFF7"/>
      </patternFill>
    </fill>
  </fills>
  <borders count="42">
    <border/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FF0000"/>
      </bottom>
    </border>
    <border>
      <bottom style="thick">
        <color rgb="FFFF0000"/>
      </bottom>
    </border>
    <border>
      <left style="thin">
        <color rgb="FFFFFFFF"/>
      </left>
      <top style="thin">
        <color rgb="FFFFFFFF"/>
      </top>
      <bottom style="thick">
        <color rgb="FFFF0000"/>
      </bottom>
    </border>
    <border>
      <top style="thin">
        <color rgb="FFFFFFFF"/>
      </top>
      <bottom style="thick">
        <color rgb="FFFF0000"/>
      </bottom>
    </border>
    <border>
      <right/>
      <bottom style="thick">
        <color rgb="FFFF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D9D9D9"/>
      </left>
      <right style="thin">
        <color rgb="FFFFFFFF"/>
      </right>
      <top style="thin">
        <color rgb="FFD9D9D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FFFFFF"/>
      </bottom>
    </border>
    <border>
      <left style="thin">
        <color rgb="FFFFFFFF"/>
      </left>
      <right style="thin">
        <color rgb="FFD9D9D9"/>
      </right>
      <top style="thin">
        <color rgb="FFD9D9D9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D9D9D9"/>
      </left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FFFFFF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CCCCCC"/>
      </left>
      <top style="thin">
        <color rgb="FFCCCCCC"/>
      </top>
      <bottom style="thin">
        <color rgb="FFFFFFFF"/>
      </bottom>
    </border>
    <border>
      <top style="thin">
        <color rgb="FFCCCCCC"/>
      </top>
      <bottom style="thin">
        <color rgb="FFFFFFFF"/>
      </bottom>
    </border>
    <border>
      <left style="thin">
        <color rgb="FFB7B7B7"/>
      </left>
      <top style="thin">
        <color rgb="FFCCCCCC"/>
      </top>
      <bottom style="thin">
        <color rgb="FFFFFFFF"/>
      </bottom>
    </border>
    <border>
      <left style="thin">
        <color rgb="FFCCCCC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B7B7B7"/>
      </right>
      <top style="thin">
        <color rgb="FFFFFFFF"/>
      </top>
      <bottom style="thin">
        <color rgb="FFFFFFFF"/>
      </bottom>
    </border>
    <border>
      <left style="thin">
        <color rgb="FFB7B7B7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CCCCCC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B7B7B7"/>
      </right>
      <top style="thin">
        <color rgb="FFFFFFFF"/>
      </top>
    </border>
    <border>
      <left style="thin">
        <color rgb="FFB7B7B7"/>
      </left>
      <right style="thin">
        <color rgb="FFFFFFFF"/>
      </right>
      <top style="thin">
        <color rgb="FFFFFFFF"/>
      </top>
    </border>
    <border>
      <left style="thin">
        <color rgb="FFCCCCCC"/>
      </left>
      <top style="thin">
        <color rgb="FFFFFFFF"/>
      </top>
      <bottom style="thin">
        <color rgb="FFCCCCCC"/>
      </bottom>
    </border>
    <border>
      <top style="thin">
        <color rgb="FFFFFFFF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D9D9D9"/>
      </top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3" fontId="4" numFmtId="0" xfId="0" applyFont="1"/>
    <xf borderId="0" fillId="4" fontId="4" numFmtId="0" xfId="0" applyAlignment="1" applyFill="1" applyFont="1">
      <alignment readingOrder="0"/>
    </xf>
    <xf borderId="0" fillId="4" fontId="4" numFmtId="0" xfId="0" applyFont="1"/>
    <xf borderId="0" fillId="5" fontId="4" numFmtId="0" xfId="0" applyFill="1" applyFont="1"/>
    <xf borderId="1" fillId="2" fontId="3" numFmtId="0" xfId="0" applyBorder="1" applyFont="1"/>
    <xf borderId="2" fillId="2" fontId="5" numFmtId="0" xfId="0" applyAlignment="1" applyBorder="1" applyFont="1">
      <alignment horizontal="left" readingOrder="0" vertical="center"/>
    </xf>
    <xf borderId="1" fillId="2" fontId="3" numFmtId="0" xfId="0" applyAlignment="1" applyBorder="1" applyFont="1">
      <alignment readingOrder="0"/>
    </xf>
    <xf borderId="3" fillId="2" fontId="6" numFmtId="0" xfId="0" applyAlignment="1" applyBorder="1" applyFont="1">
      <alignment horizontal="right" readingOrder="0" vertical="center"/>
    </xf>
    <xf borderId="4" fillId="0" fontId="7" numFmtId="0" xfId="0" applyBorder="1" applyFont="1"/>
    <xf borderId="3" fillId="2" fontId="3" numFmtId="0" xfId="0" applyAlignment="1" applyBorder="1" applyFont="1">
      <alignment readingOrder="0"/>
    </xf>
    <xf borderId="2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vertical="bottom" wrapText="0"/>
    </xf>
    <xf borderId="2" fillId="2" fontId="8" numFmtId="0" xfId="0" applyAlignment="1" applyBorder="1" applyFont="1">
      <alignment horizontal="left" readingOrder="0" vertical="top"/>
    </xf>
    <xf borderId="2" fillId="2" fontId="9" numFmtId="0" xfId="0" applyAlignment="1" applyBorder="1" applyFont="1">
      <alignment horizontal="left" shrinkToFit="0" vertical="center" wrapText="0"/>
    </xf>
    <xf borderId="6" fillId="2" fontId="3" numFmtId="0" xfId="0" applyBorder="1" applyFont="1"/>
    <xf borderId="6" fillId="0" fontId="10" numFmtId="0" xfId="0" applyAlignment="1" applyBorder="1" applyFont="1">
      <alignment readingOrder="0"/>
    </xf>
    <xf borderId="6" fillId="0" fontId="4" numFmtId="0" xfId="0" applyBorder="1" applyFont="1"/>
    <xf borderId="7" fillId="2" fontId="3" numFmtId="0" xfId="0" applyAlignment="1" applyBorder="1" applyFont="1">
      <alignment readingOrder="0"/>
    </xf>
    <xf borderId="0" fillId="6" fontId="11" numFmtId="0" xfId="0" applyAlignment="1" applyFill="1" applyFont="1">
      <alignment horizontal="right"/>
    </xf>
    <xf borderId="0" fillId="3" fontId="11" numFmtId="0" xfId="0" applyAlignment="1" applyFont="1">
      <alignment horizontal="right" readingOrder="0"/>
    </xf>
    <xf borderId="0" fillId="3" fontId="12" numFmtId="0" xfId="0" applyFont="1"/>
    <xf borderId="0" fillId="3" fontId="12" numFmtId="0" xfId="0" applyFont="1"/>
    <xf borderId="0" fillId="5" fontId="4" numFmtId="0" xfId="0" applyAlignment="1" applyFont="1">
      <alignment readingOrder="0"/>
    </xf>
    <xf borderId="8" fillId="2" fontId="3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readingOrder="0"/>
    </xf>
    <xf borderId="0" fillId="6" fontId="11" numFmtId="164" xfId="0" applyFont="1" applyNumberFormat="1"/>
    <xf borderId="0" fillId="6" fontId="12" numFmtId="0" xfId="0" applyFont="1"/>
    <xf borderId="0" fillId="6" fontId="12" numFmtId="165" xfId="0" applyFont="1" applyNumberFormat="1"/>
    <xf borderId="0" fillId="6" fontId="4" numFmtId="0" xfId="0" applyAlignment="1" applyFont="1">
      <alignment readingOrder="0"/>
    </xf>
    <xf borderId="10" fillId="0" fontId="12" numFmtId="4" xfId="0" applyAlignment="1" applyBorder="1" applyFont="1" applyNumberFormat="1">
      <alignment readingOrder="0" shrinkToFit="0" vertical="top" wrapText="1"/>
    </xf>
    <xf borderId="11" fillId="0" fontId="7" numFmtId="0" xfId="0" applyBorder="1" applyFont="1"/>
    <xf borderId="12" fillId="0" fontId="7" numFmtId="0" xfId="0" applyBorder="1" applyFont="1"/>
    <xf borderId="8" fillId="0" fontId="4" numFmtId="0" xfId="0" applyAlignment="1" applyBorder="1" applyFont="1">
      <alignment readingOrder="0" shrinkToFit="0" vertical="top" wrapText="1"/>
    </xf>
    <xf borderId="13" fillId="0" fontId="7" numFmtId="0" xfId="0" applyBorder="1" applyFont="1"/>
    <xf borderId="14" fillId="0" fontId="7" numFmtId="0" xfId="0" applyBorder="1" applyFont="1"/>
    <xf borderId="7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8" fillId="0" fontId="13" numFmtId="0" xfId="0" applyBorder="1" applyFont="1"/>
    <xf borderId="17" fillId="0" fontId="12" numFmtId="0" xfId="0" applyAlignment="1" applyBorder="1" applyFont="1">
      <alignment horizontal="left" readingOrder="0"/>
    </xf>
    <xf borderId="18" fillId="0" fontId="12" numFmtId="0" xfId="0" applyBorder="1" applyFont="1"/>
    <xf borderId="17" fillId="0" fontId="12" numFmtId="0" xfId="0" applyAlignment="1" applyBorder="1" applyFont="1">
      <alignment horizontal="right" readingOrder="0"/>
    </xf>
    <xf borderId="19" fillId="0" fontId="12" numFmtId="164" xfId="0" applyBorder="1" applyFont="1" applyNumberFormat="1"/>
    <xf borderId="20" fillId="0" fontId="4" numFmtId="0" xfId="0" applyBorder="1" applyFont="1"/>
    <xf borderId="21" fillId="0" fontId="12" numFmtId="0" xfId="0" applyBorder="1" applyFont="1"/>
    <xf borderId="22" fillId="0" fontId="12" numFmtId="0" xfId="0" applyBorder="1" applyFont="1"/>
    <xf borderId="22" fillId="0" fontId="12" numFmtId="0" xfId="0" applyAlignment="1" applyBorder="1" applyFont="1">
      <alignment horizontal="right" readingOrder="0"/>
    </xf>
    <xf borderId="23" fillId="0" fontId="12" numFmtId="0" xfId="0" applyAlignment="1" applyBorder="1" applyFont="1">
      <alignment horizontal="right"/>
    </xf>
    <xf borderId="24" fillId="0" fontId="4" numFmtId="0" xfId="0" applyBorder="1" applyFont="1"/>
    <xf borderId="13" fillId="0" fontId="4" numFmtId="0" xfId="0" applyBorder="1" applyFont="1"/>
    <xf borderId="25" fillId="0" fontId="4" numFmtId="0" xfId="0" applyBorder="1" applyFont="1"/>
    <xf borderId="14" fillId="0" fontId="4" numFmtId="0" xfId="0" applyBorder="1" applyFont="1"/>
    <xf borderId="26" fillId="0" fontId="12" numFmtId="0" xfId="0" applyAlignment="1" applyBorder="1" applyFont="1">
      <alignment horizontal="left" readingOrder="0"/>
    </xf>
    <xf borderId="27" fillId="0" fontId="12" numFmtId="0" xfId="0" applyBorder="1" applyFont="1"/>
    <xf borderId="26" fillId="0" fontId="12" numFmtId="0" xfId="0" applyAlignment="1" applyBorder="1" applyFont="1">
      <alignment horizontal="right" readingOrder="0"/>
    </xf>
    <xf borderId="28" fillId="0" fontId="12" numFmtId="2" xfId="0" applyBorder="1" applyFont="1" applyNumberFormat="1"/>
    <xf borderId="9" fillId="2" fontId="3" numFmtId="0" xfId="0" applyBorder="1" applyFont="1"/>
    <xf borderId="0" fillId="3" fontId="3" numFmtId="0" xfId="0" applyFont="1"/>
    <xf borderId="29" fillId="0" fontId="4" numFmtId="0" xfId="0" applyBorder="1" applyFont="1"/>
    <xf borderId="10" fillId="0" fontId="12" numFmtId="0" xfId="0" applyAlignment="1" applyBorder="1" applyFont="1">
      <alignment readingOrder="0" shrinkToFit="0" wrapText="1"/>
    </xf>
    <xf borderId="8" fillId="0" fontId="12" numFmtId="0" xfId="0" applyAlignment="1" applyBorder="1" applyFont="1">
      <alignment readingOrder="0" shrinkToFit="0" wrapText="1"/>
    </xf>
    <xf borderId="9" fillId="0" fontId="4" numFmtId="0" xfId="0" applyBorder="1" applyFont="1"/>
    <xf borderId="0" fillId="6" fontId="4" numFmtId="0" xfId="0" applyFont="1"/>
    <xf borderId="0" fillId="6" fontId="4" numFmtId="10" xfId="0" applyFont="1" applyNumberFormat="1"/>
    <xf borderId="0" fillId="6" fontId="4" numFmtId="4" xfId="0" applyFont="1" applyNumberFormat="1"/>
    <xf borderId="0" fillId="3" fontId="11" numFmtId="4" xfId="0" applyFont="1" applyNumberFormat="1"/>
    <xf borderId="0" fillId="3" fontId="4" numFmtId="165" xfId="0" applyFont="1" applyNumberFormat="1"/>
    <xf borderId="0" fillId="6" fontId="11" numFmtId="0" xfId="0" applyAlignment="1" applyFont="1">
      <alignment horizontal="right" readingOrder="0"/>
    </xf>
    <xf borderId="0" fillId="6" fontId="11" numFmtId="165" xfId="0" applyFont="1" applyNumberFormat="1"/>
    <xf borderId="0" fillId="3" fontId="4" numFmtId="0" xfId="0" applyAlignment="1" applyFont="1">
      <alignment horizontal="left"/>
    </xf>
    <xf borderId="8" fillId="0" fontId="14" numFmtId="0" xfId="0" applyAlignment="1" applyBorder="1" applyFont="1">
      <alignment readingOrder="0"/>
    </xf>
    <xf borderId="30" fillId="2" fontId="15" numFmtId="0" xfId="0" applyAlignment="1" applyBorder="1" applyFont="1">
      <alignment horizontal="center" readingOrder="0" vertical="bottom"/>
    </xf>
    <xf borderId="31" fillId="0" fontId="7" numFmtId="0" xfId="0" applyBorder="1" applyFont="1"/>
    <xf borderId="32" fillId="2" fontId="16" numFmtId="0" xfId="0" applyAlignment="1" applyBorder="1" applyFont="1">
      <alignment horizontal="center" readingOrder="0"/>
    </xf>
    <xf borderId="20" fillId="2" fontId="3" numFmtId="0" xfId="0" applyBorder="1" applyFont="1"/>
    <xf borderId="0" fillId="3" fontId="12" numFmtId="165" xfId="0" applyFont="1" applyNumberFormat="1"/>
    <xf borderId="0" fillId="5" fontId="4" numFmtId="0" xfId="0" applyAlignment="1" applyFont="1">
      <alignment readingOrder="0"/>
    </xf>
    <xf borderId="33" fillId="2" fontId="15" numFmtId="0" xfId="0" applyAlignment="1" applyBorder="1" applyFont="1">
      <alignment horizontal="right" vertical="bottom"/>
    </xf>
    <xf borderId="34" fillId="2" fontId="15" numFmtId="0" xfId="0" applyAlignment="1" applyBorder="1" applyFont="1">
      <alignment horizontal="right" vertical="bottom"/>
    </xf>
    <xf borderId="35" fillId="2" fontId="16" numFmtId="0" xfId="0" applyAlignment="1" applyBorder="1" applyFont="1">
      <alignment horizontal="right" readingOrder="0"/>
    </xf>
    <xf borderId="8" fillId="2" fontId="16" numFmtId="0" xfId="0" applyAlignment="1" applyBorder="1" applyFont="1">
      <alignment horizontal="right" readingOrder="0"/>
    </xf>
    <xf borderId="36" fillId="2" fontId="16" numFmtId="0" xfId="0" applyAlignment="1" applyBorder="1" applyFont="1">
      <alignment horizontal="right" readingOrder="0"/>
    </xf>
    <xf borderId="33" fillId="2" fontId="17" numFmtId="0" xfId="0" applyAlignment="1" applyBorder="1" applyFont="1">
      <alignment horizontal="right" vertical="bottom"/>
    </xf>
    <xf borderId="34" fillId="2" fontId="17" numFmtId="3" xfId="0" applyAlignment="1" applyBorder="1" applyFont="1" applyNumberFormat="1">
      <alignment horizontal="right" vertical="bottom"/>
    </xf>
    <xf borderId="35" fillId="2" fontId="3" numFmtId="164" xfId="0" applyBorder="1" applyFont="1" applyNumberFormat="1"/>
    <xf borderId="8" fillId="2" fontId="3" numFmtId="164" xfId="0" applyBorder="1" applyFont="1" applyNumberFormat="1"/>
    <xf borderId="36" fillId="2" fontId="3" numFmtId="164" xfId="0" applyBorder="1" applyFont="1" applyNumberFormat="1"/>
    <xf borderId="0" fillId="4" fontId="4" numFmtId="0" xfId="0" applyAlignment="1" applyFont="1">
      <alignment readingOrder="0"/>
    </xf>
    <xf borderId="33" fillId="0" fontId="17" numFmtId="0" xfId="0" applyAlignment="1" applyBorder="1" applyFont="1">
      <alignment horizontal="right" vertical="bottom"/>
    </xf>
    <xf borderId="37" fillId="2" fontId="17" numFmtId="3" xfId="0" applyAlignment="1" applyBorder="1" applyFont="1" applyNumberFormat="1">
      <alignment horizontal="right" vertical="bottom"/>
    </xf>
    <xf borderId="38" fillId="2" fontId="3" numFmtId="164" xfId="0" applyBorder="1" applyFont="1" applyNumberFormat="1"/>
    <xf borderId="39" fillId="7" fontId="3" numFmtId="0" xfId="0" applyAlignment="1" applyBorder="1" applyFill="1" applyFont="1">
      <alignment horizontal="right" readingOrder="0"/>
    </xf>
    <xf borderId="40" fillId="0" fontId="7" numFmtId="0" xfId="0" applyBorder="1" applyFont="1"/>
    <xf borderId="40" fillId="7" fontId="12" numFmtId="164" xfId="0" applyBorder="1" applyFont="1" applyNumberFormat="1"/>
    <xf borderId="6" fillId="2" fontId="11" numFmtId="0" xfId="0" applyBorder="1" applyFont="1"/>
    <xf borderId="6" fillId="2" fontId="11" numFmtId="0" xfId="0" applyAlignment="1" applyBorder="1" applyFont="1">
      <alignment horizontal="right" readingOrder="0"/>
    </xf>
    <xf borderId="6" fillId="2" fontId="11" numFmtId="0" xfId="0" applyAlignment="1" applyBorder="1" applyFont="1">
      <alignment readingOrder="0"/>
    </xf>
    <xf borderId="0" fillId="4" fontId="4" numFmtId="9" xfId="0" applyFont="1" applyNumberFormat="1"/>
    <xf borderId="8" fillId="2" fontId="18" numFmtId="0" xfId="0" applyBorder="1" applyFont="1"/>
    <xf borderId="8" fillId="2" fontId="18" numFmtId="0" xfId="0" applyAlignment="1" applyBorder="1" applyFont="1">
      <alignment horizontal="right"/>
    </xf>
    <xf borderId="0" fillId="0" fontId="4" numFmtId="0" xfId="0" applyFont="1"/>
    <xf borderId="0" fillId="3" fontId="11" numFmtId="0" xfId="0" applyAlignment="1" applyFont="1">
      <alignment horizontal="right"/>
    </xf>
    <xf borderId="0" fillId="3" fontId="11" numFmtId="164" xfId="0" applyFont="1" applyNumberFormat="1"/>
    <xf borderId="8" fillId="2" fontId="3" numFmtId="0" xfId="0" applyAlignment="1" applyBorder="1" applyFont="1">
      <alignment readingOrder="0"/>
    </xf>
    <xf borderId="10" fillId="0" fontId="4" numFmtId="0" xfId="0" applyAlignment="1" applyBorder="1" applyFont="1">
      <alignment horizontal="left" readingOrder="0" shrinkToFit="0" vertical="top" wrapText="1"/>
    </xf>
    <xf borderId="8" fillId="2" fontId="16" numFmtId="0" xfId="0" applyAlignment="1" applyBorder="1" applyFont="1">
      <alignment readingOrder="0"/>
    </xf>
    <xf borderId="9" fillId="2" fontId="16" numFmtId="0" xfId="0" applyAlignment="1" applyBorder="1" applyFont="1">
      <alignment horizontal="center" readingOrder="0"/>
    </xf>
    <xf borderId="25" fillId="0" fontId="7" numFmtId="0" xfId="0" applyBorder="1" applyFont="1"/>
    <xf borderId="8" fillId="8" fontId="11" numFmtId="0" xfId="0" applyAlignment="1" applyBorder="1" applyFill="1" applyFont="1">
      <alignment readingOrder="0"/>
    </xf>
    <xf borderId="9" fillId="8" fontId="11" numFmtId="0" xfId="0" applyAlignment="1" applyBorder="1" applyFont="1">
      <alignment readingOrder="0"/>
    </xf>
    <xf borderId="20" fillId="0" fontId="7" numFmtId="0" xfId="0" applyBorder="1" applyFont="1"/>
    <xf borderId="8" fillId="0" fontId="4" numFmtId="164" xfId="0" applyBorder="1" applyFont="1" applyNumberFormat="1"/>
    <xf borderId="8" fillId="0" fontId="19" numFmtId="0" xfId="0" applyBorder="1" applyFont="1"/>
    <xf borderId="8" fillId="2" fontId="3" numFmtId="4" xfId="0" applyBorder="1" applyFont="1" applyNumberFormat="1"/>
    <xf borderId="8" fillId="9" fontId="11" numFmtId="0" xfId="0" applyAlignment="1" applyBorder="1" applyFill="1" applyFont="1">
      <alignment readingOrder="0"/>
    </xf>
    <xf borderId="9" fillId="9" fontId="11" numFmtId="0" xfId="0" applyAlignment="1" applyBorder="1" applyFont="1">
      <alignment readingOrder="0"/>
    </xf>
    <xf borderId="8" fillId="2" fontId="20" numFmtId="0" xfId="0" applyBorder="1" applyFont="1"/>
    <xf borderId="8" fillId="0" fontId="4" numFmtId="0" xfId="0" applyAlignment="1" applyBorder="1" applyFont="1">
      <alignment horizontal="left" readingOrder="0" shrinkToFit="0" vertical="top" wrapText="1"/>
    </xf>
    <xf borderId="8" fillId="10" fontId="11" numFmtId="0" xfId="0" applyAlignment="1" applyBorder="1" applyFill="1" applyFont="1">
      <alignment readingOrder="0"/>
    </xf>
    <xf borderId="9" fillId="10" fontId="11" numFmtId="0" xfId="0" applyAlignment="1" applyBorder="1" applyFont="1">
      <alignment readingOrder="0"/>
    </xf>
    <xf borderId="8" fillId="11" fontId="11" numFmtId="0" xfId="0" applyAlignment="1" applyBorder="1" applyFill="1" applyFont="1">
      <alignment readingOrder="0"/>
    </xf>
    <xf borderId="9" fillId="11" fontId="11" numFmtId="0" xfId="0" applyAlignment="1" applyBorder="1" applyFont="1">
      <alignment readingOrder="0"/>
    </xf>
    <xf borderId="9" fillId="2" fontId="21" numFmtId="0" xfId="0" applyAlignment="1" applyBorder="1" applyFont="1">
      <alignment horizontal="right" readingOrder="0"/>
    </xf>
    <xf borderId="8" fillId="2" fontId="21" numFmtId="0" xfId="0" applyAlignment="1" applyBorder="1" applyFont="1">
      <alignment horizontal="right" readingOrder="0"/>
    </xf>
    <xf borderId="29" fillId="2" fontId="16" numFmtId="0" xfId="0" applyAlignment="1" applyBorder="1" applyFont="1">
      <alignment horizontal="right" readingOrder="0" shrinkToFit="0" wrapText="1"/>
    </xf>
    <xf borderId="0" fillId="0" fontId="22" numFmtId="0" xfId="0" applyAlignment="1" applyFont="1">
      <alignment horizontal="right" readingOrder="0" shrinkToFit="0" wrapText="1"/>
    </xf>
    <xf borderId="27" fillId="2" fontId="3" numFmtId="0" xfId="0" applyAlignment="1" applyBorder="1" applyFont="1">
      <alignment horizontal="right" readingOrder="0"/>
    </xf>
    <xf borderId="27" fillId="2" fontId="3" numFmtId="164" xfId="0" applyBorder="1" applyFont="1" applyNumberFormat="1"/>
    <xf borderId="27" fillId="2" fontId="3" numFmtId="2" xfId="0" applyBorder="1" applyFont="1" applyNumberFormat="1"/>
    <xf borderId="27" fillId="2" fontId="3" numFmtId="10" xfId="0" applyBorder="1" applyFont="1" applyNumberFormat="1"/>
    <xf borderId="0" fillId="6" fontId="11" numFmtId="10" xfId="0" applyFont="1" applyNumberFormat="1"/>
    <xf borderId="0" fillId="3" fontId="4" numFmtId="10" xfId="0" applyFont="1" applyNumberFormat="1"/>
    <xf borderId="27" fillId="2" fontId="3" numFmtId="4" xfId="0" applyBorder="1" applyFont="1" applyNumberFormat="1"/>
    <xf borderId="0" fillId="6" fontId="11" numFmtId="0" xfId="0" applyFont="1"/>
    <xf borderId="6" fillId="2" fontId="3" numFmtId="0" xfId="0" applyAlignment="1" applyBorder="1" applyFont="1">
      <alignment horizontal="right" readingOrder="0"/>
    </xf>
    <xf borderId="6" fillId="2" fontId="3" numFmtId="164" xfId="0" applyBorder="1" applyFont="1" applyNumberFormat="1"/>
    <xf borderId="6" fillId="2" fontId="3" numFmtId="4" xfId="0" applyBorder="1" applyFont="1" applyNumberFormat="1"/>
    <xf borderId="41" fillId="2" fontId="3" numFmtId="10" xfId="0" applyBorder="1" applyFont="1" applyNumberFormat="1"/>
    <xf borderId="8" fillId="2" fontId="19" numFmtId="0" xfId="0" applyAlignment="1" applyBorder="1" applyFont="1">
      <alignment readingOrder="0"/>
    </xf>
    <xf borderId="10" fillId="2" fontId="3" numFmtId="0" xfId="0" applyAlignment="1" applyBorder="1" applyFont="1">
      <alignment readingOrder="0" shrinkToFit="0" vertical="top" wrapText="1"/>
    </xf>
    <xf borderId="0" fillId="0" fontId="23" numFmtId="0" xfId="0" applyAlignment="1" applyFont="1">
      <alignment readingOrder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vertical="top" wrapText="1"/>
    </xf>
    <xf borderId="0" fillId="12" fontId="24" numFmtId="0" xfId="0" applyAlignment="1" applyFill="1" applyFont="1">
      <alignment readingOrder="0"/>
    </xf>
    <xf borderId="0" fillId="2" fontId="25" numFmtId="0" xfId="0" applyAlignment="1" applyFont="1">
      <alignment readingOrder="0"/>
    </xf>
    <xf borderId="0" fillId="4" fontId="26" numFmtId="0" xfId="0" applyAlignment="1" applyFont="1">
      <alignment readingOrder="0"/>
    </xf>
    <xf borderId="0" fillId="4" fontId="26" numFmtId="0" xfId="0" applyFont="1"/>
    <xf borderId="0" fillId="2" fontId="25" numFmtId="0" xfId="0" applyFont="1"/>
    <xf borderId="0" fillId="2" fontId="25" numFmtId="166" xfId="0" applyAlignment="1" applyFont="1" applyNumberFormat="1">
      <alignment readingOrder="0"/>
    </xf>
    <xf borderId="0" fillId="2" fontId="27" numFmtId="0" xfId="0" applyAlignment="1" applyFont="1">
      <alignment readingOrder="0"/>
    </xf>
    <xf borderId="0" fillId="2" fontId="25" numFmtId="0" xfId="0" applyAlignment="1" applyFont="1">
      <alignment readingOrder="0"/>
    </xf>
    <xf borderId="0" fillId="2" fontId="24" numFmtId="0" xfId="0" applyAlignment="1" applyFont="1">
      <alignment readingOrder="0"/>
    </xf>
    <xf borderId="0" fillId="2" fontId="7" numFmtId="0" xfId="0" applyFont="1"/>
    <xf borderId="0" fillId="2" fontId="28" numFmtId="0" xfId="0" applyAlignment="1" applyFont="1">
      <alignment readingOrder="0"/>
    </xf>
    <xf borderId="0" fillId="0" fontId="28" numFmtId="0" xfId="0" applyAlignment="1" applyFont="1">
      <alignment readingOrder="0"/>
    </xf>
  </cellXfs>
  <cellStyles count="1">
    <cellStyle xfId="0" name="Normal" builtinId="0"/>
  </cellStyles>
  <dxfs count="3"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38761D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741"/>
          <c:y val="0.07341"/>
          <c:w val="0.73913"/>
          <c:h val="0.7393200000000001"/>
        </c:manualLayout>
      </c:layout>
      <c:lineChart>
        <c:ser>
          <c:idx val="0"/>
          <c:order val="0"/>
          <c:tx>
            <c:strRef>
              <c:f>Cohorts!$AG$101</c:f>
            </c:strRef>
          </c:tx>
          <c:spPr>
            <a:ln cmpd="sng">
              <a:solidFill>
                <a:srgbClr val="E51B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E51B00">
                  <a:alpha val="100000"/>
                </a:srgbClr>
              </a:solidFill>
              <a:ln cmpd="sng">
                <a:solidFill>
                  <a:srgbClr val="E51B00">
                    <a:alpha val="100000"/>
                  </a:srgbClr>
                </a:solidFill>
              </a:ln>
            </c:spPr>
          </c:marker>
          <c:cat>
            <c:strRef>
              <c:f>Cohorts!$AH$100:$AS$100</c:f>
            </c:strRef>
          </c:cat>
          <c:val>
            <c:numRef>
              <c:f>Cohorts!$AH$101:$AS$101</c:f>
              <c:numCache/>
            </c:numRef>
          </c:val>
          <c:smooth val="0"/>
        </c:ser>
        <c:ser>
          <c:idx val="1"/>
          <c:order val="1"/>
          <c:tx>
            <c:strRef>
              <c:f>Cohorts!$AG$102</c:f>
            </c:strRef>
          </c:tx>
          <c:spPr>
            <a:ln cmpd="sng">
              <a:solidFill>
                <a:srgbClr val="36B2DE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36B2DE">
                  <a:alpha val="100000"/>
                </a:srgbClr>
              </a:solidFill>
              <a:ln cmpd="sng">
                <a:solidFill>
                  <a:srgbClr val="36B2DE">
                    <a:alpha val="100000"/>
                  </a:srgbClr>
                </a:solidFill>
              </a:ln>
            </c:spPr>
          </c:marker>
          <c:cat>
            <c:strRef>
              <c:f>Cohorts!$AH$100:$AS$100</c:f>
            </c:strRef>
          </c:cat>
          <c:val>
            <c:numRef>
              <c:f>Cohorts!$AH$102:$AS$102</c:f>
              <c:numCache/>
            </c:numRef>
          </c:val>
          <c:smooth val="0"/>
        </c:ser>
        <c:ser>
          <c:idx val="2"/>
          <c:order val="2"/>
          <c:tx>
            <c:strRef>
              <c:f>Cohorts!$AG$103</c:f>
            </c:strRef>
          </c:tx>
          <c:spPr>
            <a:ln cmpd="sng">
              <a:solidFill>
                <a:srgbClr val="FF6A2F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FF6A2F">
                  <a:alpha val="100000"/>
                </a:srgbClr>
              </a:solidFill>
              <a:ln cmpd="sng">
                <a:solidFill>
                  <a:srgbClr val="FF6A2F">
                    <a:alpha val="100000"/>
                  </a:srgbClr>
                </a:solidFill>
              </a:ln>
            </c:spPr>
          </c:marker>
          <c:cat>
            <c:strRef>
              <c:f>Cohorts!$AH$100:$AS$100</c:f>
            </c:strRef>
          </c:cat>
          <c:val>
            <c:numRef>
              <c:f>Cohorts!$AH$103:$AS$103</c:f>
              <c:numCache/>
            </c:numRef>
          </c:val>
          <c:smooth val="0"/>
        </c:ser>
        <c:ser>
          <c:idx val="3"/>
          <c:order val="3"/>
          <c:tx>
            <c:strRef>
              <c:f>Cohorts!$AG$104</c:f>
            </c:strRef>
          </c:tx>
          <c:spPr>
            <a:ln cmpd="sng">
              <a:solidFill>
                <a:srgbClr val="005F9A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005F9A">
                  <a:alpha val="100000"/>
                </a:srgbClr>
              </a:solidFill>
              <a:ln cmpd="sng">
                <a:solidFill>
                  <a:srgbClr val="005F9A">
                    <a:alpha val="100000"/>
                  </a:srgbClr>
                </a:solidFill>
              </a:ln>
            </c:spPr>
          </c:marker>
          <c:cat>
            <c:strRef>
              <c:f>Cohorts!$AH$100:$AS$100</c:f>
            </c:strRef>
          </c:cat>
          <c:val>
            <c:numRef>
              <c:f>Cohorts!$AH$104:$AS$104</c:f>
              <c:numCache/>
            </c:numRef>
          </c:val>
          <c:smooth val="0"/>
        </c:ser>
        <c:axId val="263763209"/>
        <c:axId val="389114742"/>
      </c:lineChart>
      <c:catAx>
        <c:axId val="263763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Time since first session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89114742"/>
      </c:catAx>
      <c:valAx>
        <c:axId val="3891147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of users remaining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637632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Development of Retention Rates over TIme</a:t>
            </a:r>
          </a:p>
        </c:rich>
      </c:tx>
      <c:overlay val="0"/>
    </c:title>
    <c:plotArea>
      <c:layout>
        <c:manualLayout>
          <c:xMode val="edge"/>
          <c:yMode val="edge"/>
          <c:x val="0.0858"/>
          <c:y val="0.10141"/>
          <c:w val="0.7519499999999999"/>
          <c:h val="0.7620399999999999"/>
        </c:manualLayout>
      </c:layout>
      <c:lineChart>
        <c:ser>
          <c:idx val="0"/>
          <c:order val="0"/>
          <c:tx>
            <c:strRef>
              <c:f>Cohorts!$S$3</c:f>
            </c:strRef>
          </c:tx>
          <c:spPr>
            <a:ln cmpd="sng">
              <a:solidFill>
                <a:srgbClr val="E51B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E51B00">
                  <a:alpha val="100000"/>
                </a:srgbClr>
              </a:solidFill>
              <a:ln cmpd="sng">
                <a:solidFill>
                  <a:srgbClr val="E51B00">
                    <a:alpha val="100000"/>
                  </a:srgbClr>
                </a:solidFill>
              </a:ln>
            </c:spPr>
          </c:marker>
          <c:cat>
            <c:strRef>
              <c:f>Cohorts!$R$4:$R$15</c:f>
            </c:strRef>
          </c:cat>
          <c:val>
            <c:numRef>
              <c:f>Cohorts!$S$4:$S$15</c:f>
              <c:numCache/>
            </c:numRef>
          </c:val>
          <c:smooth val="0"/>
        </c:ser>
        <c:ser>
          <c:idx val="1"/>
          <c:order val="1"/>
          <c:tx>
            <c:strRef>
              <c:f>Cohorts!$T$3</c:f>
            </c:strRef>
          </c:tx>
          <c:spPr>
            <a:ln cmpd="sng">
              <a:solidFill>
                <a:srgbClr val="36B2DE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36B2DE">
                  <a:alpha val="100000"/>
                </a:srgbClr>
              </a:solidFill>
              <a:ln cmpd="sng">
                <a:solidFill>
                  <a:srgbClr val="36B2DE">
                    <a:alpha val="100000"/>
                  </a:srgbClr>
                </a:solidFill>
              </a:ln>
            </c:spPr>
          </c:marker>
          <c:cat>
            <c:strRef>
              <c:f>Cohorts!$R$4:$R$15</c:f>
            </c:strRef>
          </c:cat>
          <c:val>
            <c:numRef>
              <c:f>Cohorts!$T$4:$T$15</c:f>
              <c:numCache/>
            </c:numRef>
          </c:val>
          <c:smooth val="0"/>
        </c:ser>
        <c:ser>
          <c:idx val="2"/>
          <c:order val="2"/>
          <c:tx>
            <c:strRef>
              <c:f>Cohorts!$U$3</c:f>
            </c:strRef>
          </c:tx>
          <c:spPr>
            <a:ln cmpd="sng">
              <a:solidFill>
                <a:srgbClr val="FF6A2F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FF6A2F">
                  <a:alpha val="100000"/>
                </a:srgbClr>
              </a:solidFill>
              <a:ln cmpd="sng">
                <a:solidFill>
                  <a:srgbClr val="FF6A2F">
                    <a:alpha val="100000"/>
                  </a:srgbClr>
                </a:solidFill>
              </a:ln>
            </c:spPr>
          </c:marker>
          <c:cat>
            <c:strRef>
              <c:f>Cohorts!$R$4:$R$15</c:f>
            </c:strRef>
          </c:cat>
          <c:val>
            <c:numRef>
              <c:f>Cohorts!$U$4:$U$15</c:f>
              <c:numCache/>
            </c:numRef>
          </c:val>
          <c:smooth val="0"/>
        </c:ser>
        <c:ser>
          <c:idx val="3"/>
          <c:order val="3"/>
          <c:tx>
            <c:strRef>
              <c:f>Cohorts!$V$3</c:f>
            </c:strRef>
          </c:tx>
          <c:spPr>
            <a:ln cmpd="sng">
              <a:solidFill>
                <a:srgbClr val="005F9A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005F9A">
                  <a:alpha val="100000"/>
                </a:srgbClr>
              </a:solidFill>
              <a:ln cmpd="sng">
                <a:solidFill>
                  <a:srgbClr val="005F9A">
                    <a:alpha val="100000"/>
                  </a:srgbClr>
                </a:solidFill>
              </a:ln>
            </c:spPr>
          </c:marker>
          <c:cat>
            <c:strRef>
              <c:f>Cohorts!$R$4:$R$15</c:f>
            </c:strRef>
          </c:cat>
          <c:val>
            <c:numRef>
              <c:f>Cohorts!$V$4:$V$15</c:f>
              <c:numCache/>
            </c:numRef>
          </c:val>
          <c:smooth val="0"/>
        </c:ser>
        <c:axId val="1952962598"/>
        <c:axId val="84887528"/>
      </c:lineChart>
      <c:catAx>
        <c:axId val="1952962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887528"/>
      </c:catAx>
      <c:valAx>
        <c:axId val="84887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529625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Avg. Revenue per User by Cohort</a:t>
            </a:r>
          </a:p>
        </c:rich>
      </c:tx>
      <c:overlay val="0"/>
    </c:title>
    <c:plotArea>
      <c:layout>
        <c:manualLayout>
          <c:xMode val="edge"/>
          <c:yMode val="edge"/>
          <c:x val="0.08223000000000001"/>
          <c:y val="0.19135000000000002"/>
          <c:w val="0.9199999999999999"/>
          <c:h val="0.6172500000000001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E51B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E51B00">
                  <a:alpha val="100000"/>
                </a:srgbClr>
              </a:solidFill>
              <a:ln cmpd="sng">
                <a:solidFill>
                  <a:srgbClr val="E51B00">
                    <a:alpha val="100000"/>
                  </a:srgbClr>
                </a:solidFill>
              </a:ln>
            </c:spPr>
          </c:marker>
          <c:cat>
            <c:strRef>
              <c:f>Cohorts!$AU$17:$BG$17</c:f>
            </c:strRef>
          </c:cat>
          <c:val>
            <c:numRef>
              <c:f>Cohorts!$AU$18:$BG$18</c:f>
              <c:numCache/>
            </c:numRef>
          </c:val>
          <c:smooth val="0"/>
        </c:ser>
        <c:axId val="432890308"/>
        <c:axId val="1699846163"/>
      </c:lineChart>
      <c:catAx>
        <c:axId val="432890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Time since first session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99846163"/>
      </c:catAx>
      <c:valAx>
        <c:axId val="1699846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32890308"/>
      </c:valAx>
    </c:plotArea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878"/>
          <c:y val="0.19126"/>
          <c:w val="0.8640000000000001"/>
          <c:h val="0.6153799999999999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E51B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E51B00">
                  <a:alpha val="100000"/>
                </a:srgbClr>
              </a:solidFill>
              <a:ln cmpd="sng">
                <a:solidFill>
                  <a:srgbClr val="E51B00">
                    <a:alpha val="100000"/>
                  </a:srgbClr>
                </a:solidFill>
              </a:ln>
            </c:spPr>
          </c:marker>
          <c:cat>
            <c:strRef>
              <c:f>Cohorts!$AH$17:$AS$17</c:f>
            </c:strRef>
          </c:cat>
          <c:val>
            <c:numRef>
              <c:f>Cohorts!$AH$18:$AS$18</c:f>
              <c:numCache/>
            </c:numRef>
          </c:val>
          <c:smooth val="0"/>
        </c:ser>
        <c:axId val="1318435160"/>
        <c:axId val="1251258495"/>
      </c:lineChart>
      <c:catAx>
        <c:axId val="1318435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Time since first session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51258495"/>
      </c:catAx>
      <c:valAx>
        <c:axId val="1251258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of users remaining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18435160"/>
      </c:valAx>
    </c:plotArea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% of Total Revenue by Cohort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51B00"/>
              </a:solidFill>
            </c:spPr>
          </c:dPt>
          <c:dPt>
            <c:idx val="1"/>
            <c:spPr>
              <a:solidFill>
                <a:srgbClr val="36B2DE"/>
              </a:solidFill>
            </c:spPr>
          </c:dPt>
          <c:dPt>
            <c:idx val="2"/>
            <c:spPr>
              <a:solidFill>
                <a:srgbClr val="FF6A2F"/>
              </a:solidFill>
            </c:spPr>
          </c:dPt>
          <c:dPt>
            <c:idx val="3"/>
            <c:spPr>
              <a:solidFill>
                <a:srgbClr val="005F9A"/>
              </a:solidFill>
            </c:spPr>
          </c:dPt>
          <c:dPt>
            <c:idx val="4"/>
            <c:spPr>
              <a:solidFill>
                <a:srgbClr val="0D0D0D"/>
              </a:solidFill>
            </c:spPr>
          </c:dPt>
          <c:dPt>
            <c:idx val="5"/>
            <c:spPr>
              <a:solidFill>
                <a:srgbClr val="FFC000"/>
              </a:solidFill>
            </c:spPr>
          </c:dPt>
          <c:dPt>
            <c:idx val="6"/>
            <c:spPr>
              <a:solidFill>
                <a:srgbClr val="7030A0"/>
              </a:solidFill>
            </c:spPr>
          </c:dPt>
          <c:dPt>
            <c:idx val="7"/>
            <c:spPr>
              <a:solidFill>
                <a:srgbClr val="FF4BFF"/>
              </a:solidFill>
            </c:spPr>
          </c:dPt>
          <c:dPt>
            <c:idx val="8"/>
            <c:spPr>
              <a:solidFill>
                <a:srgbClr val="7ABC32"/>
              </a:solidFill>
            </c:spPr>
          </c:dPt>
          <c:dPt>
            <c:idx val="9"/>
          </c:dPt>
          <c:dPt>
            <c:idx val="1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Cohorts!$R$101:$R$111</c:f>
            </c:strRef>
          </c:cat>
          <c:val>
            <c:numRef>
              <c:f>Cohorts!$S$101:$S$111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69</xdr:row>
      <xdr:rowOff>352425</xdr:rowOff>
    </xdr:from>
    <xdr:ext cx="9810750" cy="4457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371475</xdr:colOff>
      <xdr:row>5</xdr:row>
      <xdr:rowOff>123825</xdr:rowOff>
    </xdr:from>
    <xdr:ext cx="6105525" cy="3362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95250</xdr:colOff>
      <xdr:row>114</xdr:row>
      <xdr:rowOff>495300</xdr:rowOff>
    </xdr:from>
    <xdr:ext cx="9772650" cy="38100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95250</xdr:colOff>
      <xdr:row>36</xdr:row>
      <xdr:rowOff>542925</xdr:rowOff>
    </xdr:from>
    <xdr:ext cx="9791700" cy="39528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704850</xdr:colOff>
      <xdr:row>97</xdr:row>
      <xdr:rowOff>419100</xdr:rowOff>
    </xdr:from>
    <xdr:ext cx="6124575" cy="29337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114300</xdr:colOff>
      <xdr:row>1</xdr:row>
      <xdr:rowOff>66675</xdr:rowOff>
    </xdr:from>
    <xdr:ext cx="1409700" cy="48577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1.57"/>
    <col customWidth="1" min="2" max="3" width="11.57"/>
    <col customWidth="1" min="4" max="4" width="10.43"/>
    <col customWidth="1" min="5" max="5" width="14.29"/>
    <col customWidth="1" min="6" max="6" width="6.57"/>
    <col customWidth="1" min="7" max="7" width="10.14"/>
    <col customWidth="1" min="8" max="8" width="9.14"/>
    <col customWidth="1" min="9" max="9" width="9.71"/>
    <col customWidth="1" min="10" max="10" width="10.43"/>
    <col customWidth="1" min="11" max="12" width="14.29"/>
    <col customWidth="1" min="13" max="13" width="10.43"/>
    <col customWidth="1" min="14" max="14" width="11.86"/>
    <col customWidth="1" min="15" max="15" width="57.86"/>
    <col customWidth="1" min="16" max="16" width="41.86"/>
    <col hidden="1" min="17" max="32" width="14.43"/>
    <col customWidth="1" hidden="1" min="33" max="45" width="6.86"/>
    <col hidden="1" min="46" max="46" width="14.43"/>
    <col customWidth="1" hidden="1" min="47" max="61" width="6.57"/>
    <col hidden="1" min="62" max="76" width="14.43"/>
    <col customWidth="1" hidden="1" min="77" max="77" width="8.71"/>
    <col customWidth="1" hidden="1" min="78" max="88" width="4.0"/>
    <col hidden="1" min="89" max="89" width="14.43"/>
  </cols>
  <sheetData>
    <row r="1" ht="59.25" customHeight="1">
      <c r="A1" s="1"/>
      <c r="O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5"/>
      <c r="AD1" s="5"/>
      <c r="AE1" s="5"/>
      <c r="AF1" s="5"/>
      <c r="AG1" s="5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6"/>
      <c r="BL1" s="6"/>
      <c r="BM1" s="6"/>
      <c r="BN1" s="6"/>
      <c r="BO1" s="6"/>
      <c r="BP1" s="7"/>
      <c r="BQ1" s="7"/>
      <c r="BR1" s="7"/>
      <c r="BS1" s="7"/>
      <c r="BT1" s="7"/>
      <c r="BU1" s="7"/>
      <c r="BV1" s="7"/>
      <c r="BW1" s="7"/>
      <c r="BX1" s="7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</row>
    <row r="2" ht="59.25" customHeight="1">
      <c r="A2" s="9"/>
      <c r="B2" s="10" t="s">
        <v>0</v>
      </c>
      <c r="C2" s="9"/>
      <c r="D2" s="11"/>
      <c r="E2" s="9"/>
      <c r="F2" s="12" t="s">
        <v>1</v>
      </c>
      <c r="G2" s="13"/>
      <c r="H2" s="13"/>
      <c r="I2" s="14" t="s">
        <v>2</v>
      </c>
      <c r="J2" s="13"/>
      <c r="K2" s="13"/>
      <c r="L2" s="15" t="s">
        <v>3</v>
      </c>
      <c r="M2" s="16" t="s">
        <v>4</v>
      </c>
      <c r="N2" s="17"/>
      <c r="O2" s="9"/>
      <c r="P2" s="18" t="str">
        <f>HYPERLINK("https://chrome.google.com/webstore/detail/supermetrics/bnkdidgbiidpnohlnhmkehlimlnfhgce?hl=en","Install the add-on")</f>
        <v>Install the add-on</v>
      </c>
      <c r="Q2" s="3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5"/>
      <c r="AD2" s="5"/>
      <c r="AE2" s="5"/>
      <c r="AF2" s="5"/>
      <c r="AG2" s="5"/>
      <c r="AH2" s="4">
        <v>1.0</v>
      </c>
      <c r="AI2" s="4">
        <v>2.0</v>
      </c>
      <c r="AJ2" s="4">
        <v>3.0</v>
      </c>
      <c r="AK2" s="4">
        <v>4.0</v>
      </c>
      <c r="AL2" s="4">
        <v>5.0</v>
      </c>
      <c r="AM2" s="4">
        <v>6.0</v>
      </c>
      <c r="AN2" s="4">
        <v>7.0</v>
      </c>
      <c r="AO2" s="4">
        <v>8.0</v>
      </c>
      <c r="AP2" s="4">
        <v>9.0</v>
      </c>
      <c r="AQ2" s="4">
        <v>10.0</v>
      </c>
      <c r="AR2" s="4">
        <v>11.0</v>
      </c>
      <c r="AS2" s="4">
        <v>12.0</v>
      </c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6"/>
      <c r="BL2" s="6"/>
      <c r="BM2" s="6"/>
      <c r="BN2" s="6"/>
      <c r="BO2" s="6"/>
      <c r="BP2" s="7"/>
      <c r="BQ2" s="7"/>
      <c r="BR2" s="7"/>
      <c r="BS2" s="7"/>
      <c r="BT2" s="7"/>
      <c r="BU2" s="7"/>
      <c r="BV2" s="7"/>
      <c r="BW2" s="7"/>
      <c r="BX2" s="7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</row>
    <row r="3">
      <c r="A3" s="19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2"/>
      <c r="Q3" s="3"/>
      <c r="R3" s="23"/>
      <c r="S3" s="24" t="s">
        <v>5</v>
      </c>
      <c r="T3" s="24" t="s">
        <v>6</v>
      </c>
      <c r="U3" s="24" t="s">
        <v>7</v>
      </c>
      <c r="V3" s="24" t="s">
        <v>8</v>
      </c>
      <c r="W3" s="24" t="s">
        <v>9</v>
      </c>
      <c r="X3" s="24" t="s">
        <v>10</v>
      </c>
      <c r="Y3" s="24" t="s">
        <v>11</v>
      </c>
      <c r="Z3" s="24" t="s">
        <v>12</v>
      </c>
      <c r="AA3" s="24" t="s">
        <v>13</v>
      </c>
      <c r="AB3" s="24" t="s">
        <v>14</v>
      </c>
      <c r="AC3" s="24" t="s">
        <v>15</v>
      </c>
      <c r="AD3" s="24" t="s">
        <v>16</v>
      </c>
      <c r="AE3" s="4"/>
      <c r="AF3" s="4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4"/>
      <c r="AU3" s="26">
        <f>iferror(if($BY3+AH$2&gt;12,"", if(offset(BM23,0,$BY3)="","",offset(BM23,0,$BY3))))</f>
        <v>334</v>
      </c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</row>
    <row r="4">
      <c r="A4" s="28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0"/>
      <c r="Q4" s="3"/>
      <c r="R4" s="23" t="str">
        <f t="shared" ref="R4:R15" si="4">text(datevalue(right(BK4,10)),"MMM YYYY")</f>
        <v>#VALUE!</v>
      </c>
      <c r="S4" s="31">
        <f t="shared" ref="S4:AD4" si="1">if(or($AG4="",AH4=""),"",iferror(AH4/$AG4,""))</f>
        <v>1</v>
      </c>
      <c r="T4" s="31">
        <f t="shared" si="1"/>
        <v>1</v>
      </c>
      <c r="U4" s="31">
        <f t="shared" si="1"/>
        <v>1</v>
      </c>
      <c r="V4" s="31">
        <f t="shared" si="1"/>
        <v>1.69760479</v>
      </c>
      <c r="W4" s="31">
        <f t="shared" si="1"/>
        <v>2.25748503</v>
      </c>
      <c r="X4" s="31">
        <f t="shared" si="1"/>
        <v>2.25748503</v>
      </c>
      <c r="Y4" s="31">
        <f t="shared" si="1"/>
        <v>2.25748503</v>
      </c>
      <c r="Z4" s="31">
        <f t="shared" si="1"/>
        <v>2.25748503</v>
      </c>
      <c r="AA4" s="31">
        <f t="shared" si="1"/>
        <v>2.25748503</v>
      </c>
      <c r="AB4" s="31">
        <f t="shared" si="1"/>
        <v>2.25748503</v>
      </c>
      <c r="AC4" s="31">
        <f t="shared" si="1"/>
        <v>2.25748503</v>
      </c>
      <c r="AD4" s="31">
        <f t="shared" si="1"/>
        <v>2.25748503</v>
      </c>
      <c r="AE4" s="4"/>
      <c r="AF4" s="4"/>
      <c r="AG4" s="32">
        <f t="shared" ref="AG4:AG15" si="6">offset(BL4,0,$BJ4)</f>
        <v>334</v>
      </c>
      <c r="AH4" s="32">
        <f t="shared" ref="AH4:AS4" si="2">iferror(if($BJ4+AH$2&gt;12,"", if(offset(BM4,0,$BJ4)="","",offset(BM4,0,$BJ4))))</f>
        <v>334</v>
      </c>
      <c r="AI4" s="32">
        <f t="shared" si="2"/>
        <v>334</v>
      </c>
      <c r="AJ4" s="32">
        <f t="shared" si="2"/>
        <v>334</v>
      </c>
      <c r="AK4" s="32">
        <f t="shared" si="2"/>
        <v>567</v>
      </c>
      <c r="AL4" s="32">
        <f t="shared" si="2"/>
        <v>754</v>
      </c>
      <c r="AM4" s="32">
        <f t="shared" si="2"/>
        <v>754</v>
      </c>
      <c r="AN4" s="32">
        <f t="shared" si="2"/>
        <v>754</v>
      </c>
      <c r="AO4" s="32">
        <f t="shared" si="2"/>
        <v>754</v>
      </c>
      <c r="AP4" s="32">
        <f t="shared" si="2"/>
        <v>754</v>
      </c>
      <c r="AQ4" s="32">
        <f t="shared" si="2"/>
        <v>754</v>
      </c>
      <c r="AR4" s="32">
        <f t="shared" si="2"/>
        <v>754</v>
      </c>
      <c r="AS4" s="32">
        <f t="shared" si="2"/>
        <v>754</v>
      </c>
      <c r="AT4" s="4"/>
      <c r="AU4" s="33">
        <f t="shared" ref="AU4:BG4" si="3">iferror(if($BJ4+AG$2&gt;12,"", if(offset(BY4,0,$BJ4)="","",offset(BY4,0,$BJ4)/AG4)))</f>
        <v>2.25748503</v>
      </c>
      <c r="AV4" s="33">
        <f t="shared" si="3"/>
        <v>2.25748503</v>
      </c>
      <c r="AW4" s="33">
        <f t="shared" si="3"/>
        <v>2.25748503</v>
      </c>
      <c r="AX4" s="33">
        <f t="shared" si="3"/>
        <v>2.25748503</v>
      </c>
      <c r="AY4" s="33">
        <f t="shared" si="3"/>
        <v>1.329805996</v>
      </c>
      <c r="AZ4" s="33">
        <f t="shared" si="3"/>
        <v>1</v>
      </c>
      <c r="BA4" s="33">
        <f t="shared" si="3"/>
        <v>1</v>
      </c>
      <c r="BB4" s="33">
        <f t="shared" si="3"/>
        <v>1</v>
      </c>
      <c r="BC4" s="33">
        <f t="shared" si="3"/>
        <v>1</v>
      </c>
      <c r="BD4" s="33">
        <f t="shared" si="3"/>
        <v>1</v>
      </c>
      <c r="BE4" s="33">
        <f t="shared" si="3"/>
        <v>1</v>
      </c>
      <c r="BF4" s="33">
        <f t="shared" si="3"/>
        <v>1</v>
      </c>
      <c r="BG4" s="33">
        <f t="shared" si="3"/>
        <v>1</v>
      </c>
      <c r="BH4" s="5"/>
      <c r="BI4" s="5"/>
      <c r="BJ4" s="34">
        <v>0.0</v>
      </c>
      <c r="BK4" s="6"/>
      <c r="BL4" s="6">
        <v>334.0</v>
      </c>
      <c r="BM4" s="6">
        <v>334.0</v>
      </c>
      <c r="BN4" s="6">
        <v>334.0</v>
      </c>
      <c r="BO4" s="6">
        <v>334.0</v>
      </c>
      <c r="BP4" s="6">
        <v>567.0</v>
      </c>
      <c r="BQ4" s="6">
        <v>754.0</v>
      </c>
      <c r="BR4" s="6">
        <v>754.0</v>
      </c>
      <c r="BS4" s="6">
        <v>754.0</v>
      </c>
      <c r="BT4" s="6">
        <v>754.0</v>
      </c>
      <c r="BU4" s="6">
        <v>754.0</v>
      </c>
      <c r="BV4" s="6">
        <v>754.0</v>
      </c>
      <c r="BW4" s="6">
        <v>754.0</v>
      </c>
      <c r="BX4" s="6">
        <v>754.0</v>
      </c>
      <c r="BY4" s="27">
        <v>754.0</v>
      </c>
      <c r="BZ4" s="27">
        <v>754.0</v>
      </c>
      <c r="CA4" s="27">
        <v>754.0</v>
      </c>
      <c r="CB4" s="27">
        <v>754.0</v>
      </c>
      <c r="CC4" s="27">
        <v>754.0</v>
      </c>
      <c r="CD4" s="27">
        <v>754.0</v>
      </c>
      <c r="CE4" s="27">
        <v>754.0</v>
      </c>
      <c r="CF4" s="27">
        <v>754.0</v>
      </c>
      <c r="CG4" s="27">
        <v>754.0</v>
      </c>
      <c r="CH4" s="27">
        <v>754.0</v>
      </c>
      <c r="CI4" s="27">
        <v>754.0</v>
      </c>
      <c r="CJ4" s="27">
        <v>754.0</v>
      </c>
      <c r="CK4" s="27">
        <v>754.0</v>
      </c>
    </row>
    <row r="5">
      <c r="A5" s="28"/>
      <c r="B5" s="35" t="str">
        <f>iferror("In "&amp;text(datevalue(right(BK34,10)),"MMMM")&amp;", you retained "&amp;round(100*D35,1)&amp;" % of users first seen in "&amp;text(datevalue(right(BK33,10)),"MMMM")&amp;". Compared to the previous month, your first month retention "&amp;if(D35&gt;D34,"increased","decreased")&amp;" by "&amp;round(100*(D35-D34),1)&amp;" %-points.","")</f>
        <v/>
      </c>
      <c r="C5" s="36"/>
      <c r="D5" s="36"/>
      <c r="E5" s="36"/>
      <c r="F5" s="37"/>
      <c r="G5" s="29"/>
      <c r="H5" s="38"/>
      <c r="I5" s="38"/>
      <c r="J5" s="29"/>
      <c r="K5" s="29"/>
      <c r="L5" s="29"/>
      <c r="M5" s="29"/>
      <c r="N5" s="29"/>
      <c r="O5" s="29"/>
      <c r="P5" s="30"/>
      <c r="Q5" s="3"/>
      <c r="R5" s="23" t="str">
        <f t="shared" si="4"/>
        <v>#VALUE!</v>
      </c>
      <c r="S5" s="31">
        <f t="shared" ref="S5:AD5" si="5">if(or($AG5="",AH5=""),"",iferror(AH5/$AG5,""))</f>
        <v>1</v>
      </c>
      <c r="T5" s="31">
        <f t="shared" si="5"/>
        <v>1</v>
      </c>
      <c r="U5" s="31">
        <f t="shared" si="5"/>
        <v>1.69760479</v>
      </c>
      <c r="V5" s="31">
        <f t="shared" si="5"/>
        <v>2.28742515</v>
      </c>
      <c r="W5" s="31">
        <f t="shared" si="5"/>
        <v>2.28742515</v>
      </c>
      <c r="X5" s="31">
        <f t="shared" si="5"/>
        <v>2.28742515</v>
      </c>
      <c r="Y5" s="31">
        <f t="shared" si="5"/>
        <v>2.28742515</v>
      </c>
      <c r="Z5" s="31">
        <f t="shared" si="5"/>
        <v>2.28742515</v>
      </c>
      <c r="AA5" s="31">
        <f t="shared" si="5"/>
        <v>1.356287425</v>
      </c>
      <c r="AB5" s="31">
        <f t="shared" si="5"/>
        <v>1.356287425</v>
      </c>
      <c r="AC5" s="31">
        <f t="shared" si="5"/>
        <v>1.356287425</v>
      </c>
      <c r="AD5" s="31" t="str">
        <f t="shared" si="5"/>
        <v/>
      </c>
      <c r="AE5" s="4"/>
      <c r="AF5" s="4"/>
      <c r="AG5" s="32">
        <f t="shared" si="6"/>
        <v>334</v>
      </c>
      <c r="AH5" s="32">
        <f t="shared" ref="AH5:AS5" si="7">iferror(if($BJ5+AH$2&gt;12,"", if(offset(BM5,0,$BJ5)="","",offset(BM5,0,$BJ5))))</f>
        <v>334</v>
      </c>
      <c r="AI5" s="32">
        <f t="shared" si="7"/>
        <v>334</v>
      </c>
      <c r="AJ5" s="32">
        <f t="shared" si="7"/>
        <v>567</v>
      </c>
      <c r="AK5" s="32">
        <f t="shared" si="7"/>
        <v>764</v>
      </c>
      <c r="AL5" s="32">
        <f t="shared" si="7"/>
        <v>764</v>
      </c>
      <c r="AM5" s="32">
        <f t="shared" si="7"/>
        <v>764</v>
      </c>
      <c r="AN5" s="32">
        <f t="shared" si="7"/>
        <v>764</v>
      </c>
      <c r="AO5" s="32">
        <f t="shared" si="7"/>
        <v>764</v>
      </c>
      <c r="AP5" s="32">
        <f t="shared" si="7"/>
        <v>453</v>
      </c>
      <c r="AQ5" s="32">
        <f t="shared" si="7"/>
        <v>453</v>
      </c>
      <c r="AR5" s="32">
        <f t="shared" si="7"/>
        <v>453</v>
      </c>
      <c r="AS5" s="32" t="str">
        <f t="shared" si="7"/>
        <v/>
      </c>
      <c r="AT5" s="4"/>
      <c r="AU5" s="33">
        <f t="shared" ref="AU5:BG5" si="8">iferror(if($BJ5+AG$2&gt;12,"", if(offset(BY5,0,$BJ5)="","",offset(BY5,0,$BJ5)/AG5)))</f>
        <v>2.28742515</v>
      </c>
      <c r="AV5" s="33">
        <f t="shared" si="8"/>
        <v>2.28742515</v>
      </c>
      <c r="AW5" s="33">
        <f t="shared" si="8"/>
        <v>2.28742515</v>
      </c>
      <c r="AX5" s="33">
        <f t="shared" si="8"/>
        <v>0.7989417989</v>
      </c>
      <c r="AY5" s="33">
        <f t="shared" si="8"/>
        <v>0.5929319372</v>
      </c>
      <c r="AZ5" s="33">
        <f t="shared" si="8"/>
        <v>0.5929319372</v>
      </c>
      <c r="BA5" s="33">
        <f t="shared" si="8"/>
        <v>1</v>
      </c>
      <c r="BB5" s="33">
        <f t="shared" si="8"/>
        <v>1</v>
      </c>
      <c r="BC5" s="33">
        <f t="shared" si="8"/>
        <v>1</v>
      </c>
      <c r="BD5" s="33">
        <f t="shared" si="8"/>
        <v>1</v>
      </c>
      <c r="BE5" s="33">
        <f t="shared" si="8"/>
        <v>1</v>
      </c>
      <c r="BF5" s="33">
        <f t="shared" si="8"/>
        <v>1</v>
      </c>
      <c r="BG5" s="33" t="str">
        <f t="shared" si="8"/>
        <v/>
      </c>
      <c r="BH5" s="5"/>
      <c r="BI5" s="5"/>
      <c r="BJ5" s="34">
        <f t="shared" ref="BJ5:BJ15" si="12">BJ4+1</f>
        <v>1</v>
      </c>
      <c r="BK5" s="6"/>
      <c r="BL5" s="6">
        <v>334.0</v>
      </c>
      <c r="BM5" s="6">
        <v>334.0</v>
      </c>
      <c r="BN5" s="6">
        <v>334.0</v>
      </c>
      <c r="BO5" s="6">
        <v>334.0</v>
      </c>
      <c r="BP5" s="6">
        <v>567.0</v>
      </c>
      <c r="BQ5" s="6">
        <v>764.0</v>
      </c>
      <c r="BR5" s="6">
        <v>764.0</v>
      </c>
      <c r="BS5" s="6">
        <v>764.0</v>
      </c>
      <c r="BT5" s="6">
        <v>764.0</v>
      </c>
      <c r="BU5" s="6">
        <v>764.0</v>
      </c>
      <c r="BV5" s="6">
        <v>453.0</v>
      </c>
      <c r="BW5" s="6">
        <v>453.0</v>
      </c>
      <c r="BX5" s="6">
        <v>453.0</v>
      </c>
      <c r="BY5" s="27">
        <v>764.0</v>
      </c>
      <c r="BZ5" s="27">
        <v>764.0</v>
      </c>
      <c r="CA5" s="27">
        <v>764.0</v>
      </c>
      <c r="CB5" s="27">
        <v>764.0</v>
      </c>
      <c r="CC5" s="27">
        <v>453.0</v>
      </c>
      <c r="CD5" s="27">
        <v>453.0</v>
      </c>
      <c r="CE5" s="27">
        <v>453.0</v>
      </c>
      <c r="CF5" s="27">
        <v>764.0</v>
      </c>
      <c r="CG5" s="27">
        <v>764.0</v>
      </c>
      <c r="CH5" s="27">
        <v>764.0</v>
      </c>
      <c r="CI5" s="27">
        <v>453.0</v>
      </c>
      <c r="CJ5" s="27">
        <v>453.0</v>
      </c>
      <c r="CK5" s="27">
        <v>453.0</v>
      </c>
    </row>
    <row r="6">
      <c r="A6" s="28"/>
      <c r="B6" s="39"/>
      <c r="F6" s="40"/>
      <c r="G6" s="29"/>
      <c r="H6" s="38"/>
      <c r="I6" s="38"/>
      <c r="J6" s="29"/>
      <c r="K6" s="29"/>
      <c r="L6" s="29"/>
      <c r="M6" s="29"/>
      <c r="N6" s="29"/>
      <c r="O6" s="29"/>
      <c r="P6" s="30"/>
      <c r="Q6" s="3"/>
      <c r="R6" s="23" t="str">
        <f t="shared" si="4"/>
        <v>#VALUE!</v>
      </c>
      <c r="S6" s="31">
        <f t="shared" ref="S6:AD6" si="9">if(or($AG6="",AH6=""),"",iferror(AH6/$AG6,""))</f>
        <v>1</v>
      </c>
      <c r="T6" s="31">
        <f t="shared" si="9"/>
        <v>1</v>
      </c>
      <c r="U6" s="31">
        <f t="shared" si="9"/>
        <v>1</v>
      </c>
      <c r="V6" s="31">
        <f t="shared" si="9"/>
        <v>1</v>
      </c>
      <c r="W6" s="31">
        <f t="shared" si="9"/>
        <v>1</v>
      </c>
      <c r="X6" s="31">
        <f t="shared" si="9"/>
        <v>1</v>
      </c>
      <c r="Y6" s="31">
        <f t="shared" si="9"/>
        <v>1</v>
      </c>
      <c r="Z6" s="31">
        <f t="shared" si="9"/>
        <v>1</v>
      </c>
      <c r="AA6" s="31">
        <f t="shared" si="9"/>
        <v>2.01497006</v>
      </c>
      <c r="AB6" s="31">
        <f t="shared" si="9"/>
        <v>2.01497006</v>
      </c>
      <c r="AC6" s="31" t="str">
        <f t="shared" si="9"/>
        <v/>
      </c>
      <c r="AD6" s="31" t="str">
        <f t="shared" si="9"/>
        <v/>
      </c>
      <c r="AE6" s="4"/>
      <c r="AF6" s="4"/>
      <c r="AG6" s="32">
        <f t="shared" si="6"/>
        <v>334</v>
      </c>
      <c r="AH6" s="32">
        <f t="shared" ref="AH6:AS6" si="10">iferror(if($BJ6+AH$2&gt;12,"", if(offset(BM6,0,$BJ6)="","",offset(BM6,0,$BJ6))))</f>
        <v>334</v>
      </c>
      <c r="AI6" s="32">
        <f t="shared" si="10"/>
        <v>334</v>
      </c>
      <c r="AJ6" s="32">
        <f t="shared" si="10"/>
        <v>334</v>
      </c>
      <c r="AK6" s="32">
        <f t="shared" si="10"/>
        <v>334</v>
      </c>
      <c r="AL6" s="32">
        <f t="shared" si="10"/>
        <v>334</v>
      </c>
      <c r="AM6" s="32">
        <f t="shared" si="10"/>
        <v>334</v>
      </c>
      <c r="AN6" s="32">
        <f t="shared" si="10"/>
        <v>334</v>
      </c>
      <c r="AO6" s="32">
        <f t="shared" si="10"/>
        <v>334</v>
      </c>
      <c r="AP6" s="32">
        <f t="shared" si="10"/>
        <v>673</v>
      </c>
      <c r="AQ6" s="32">
        <f t="shared" si="10"/>
        <v>673</v>
      </c>
      <c r="AR6" s="32" t="str">
        <f t="shared" si="10"/>
        <v/>
      </c>
      <c r="AS6" s="32" t="str">
        <f t="shared" si="10"/>
        <v/>
      </c>
      <c r="AT6" s="4"/>
      <c r="AU6" s="33">
        <f t="shared" ref="AU6:BG6" si="11">iferror(if($BJ6+AG$2&gt;12,"", if(offset(BY6,0,$BJ6)="","",offset(BY6,0,$BJ6)/AG6)))</f>
        <v>1</v>
      </c>
      <c r="AV6" s="33">
        <f t="shared" si="11"/>
        <v>1</v>
      </c>
      <c r="AW6" s="33">
        <f t="shared" si="11"/>
        <v>1</v>
      </c>
      <c r="AX6" s="33">
        <f t="shared" si="11"/>
        <v>2.01497006</v>
      </c>
      <c r="AY6" s="33">
        <f t="shared" si="11"/>
        <v>2.01497006</v>
      </c>
      <c r="AZ6" s="33">
        <f t="shared" si="11"/>
        <v>1</v>
      </c>
      <c r="BA6" s="33">
        <f t="shared" si="11"/>
        <v>1</v>
      </c>
      <c r="BB6" s="33">
        <f t="shared" si="11"/>
        <v>1</v>
      </c>
      <c r="BC6" s="33">
        <f t="shared" si="11"/>
        <v>1</v>
      </c>
      <c r="BD6" s="33">
        <f t="shared" si="11"/>
        <v>1</v>
      </c>
      <c r="BE6" s="33">
        <f t="shared" si="11"/>
        <v>1</v>
      </c>
      <c r="BF6" s="33" t="str">
        <f t="shared" si="11"/>
        <v/>
      </c>
      <c r="BG6" s="33" t="str">
        <f t="shared" si="11"/>
        <v/>
      </c>
      <c r="BH6" s="5"/>
      <c r="BI6" s="5"/>
      <c r="BJ6" s="34">
        <f t="shared" si="12"/>
        <v>2</v>
      </c>
      <c r="BK6" s="6"/>
      <c r="BL6" s="6">
        <v>334.0</v>
      </c>
      <c r="BM6" s="6">
        <v>334.0</v>
      </c>
      <c r="BN6" s="6">
        <v>334.0</v>
      </c>
      <c r="BO6" s="6">
        <v>334.0</v>
      </c>
      <c r="BP6" s="6">
        <v>334.0</v>
      </c>
      <c r="BQ6" s="6">
        <v>334.0</v>
      </c>
      <c r="BR6" s="6">
        <v>334.0</v>
      </c>
      <c r="BS6" s="6">
        <v>334.0</v>
      </c>
      <c r="BT6" s="6">
        <v>334.0</v>
      </c>
      <c r="BU6" s="6">
        <v>334.0</v>
      </c>
      <c r="BV6" s="6">
        <v>334.0</v>
      </c>
      <c r="BW6" s="6">
        <v>673.0</v>
      </c>
      <c r="BX6" s="6">
        <v>673.0</v>
      </c>
      <c r="BY6" s="27">
        <v>334.0</v>
      </c>
      <c r="BZ6" s="27">
        <v>334.0</v>
      </c>
      <c r="CA6" s="27">
        <v>334.0</v>
      </c>
      <c r="CB6" s="27">
        <v>334.0</v>
      </c>
      <c r="CC6" s="27">
        <v>334.0</v>
      </c>
      <c r="CD6" s="27">
        <v>673.0</v>
      </c>
      <c r="CE6" s="27">
        <v>673.0</v>
      </c>
      <c r="CF6" s="27">
        <v>334.0</v>
      </c>
      <c r="CG6" s="27">
        <v>334.0</v>
      </c>
      <c r="CH6" s="27">
        <v>334.0</v>
      </c>
      <c r="CI6" s="27">
        <v>334.0</v>
      </c>
      <c r="CJ6" s="27">
        <v>673.0</v>
      </c>
      <c r="CK6" s="27">
        <v>673.0</v>
      </c>
    </row>
    <row r="7">
      <c r="A7" s="28"/>
      <c r="B7" s="41"/>
      <c r="C7" s="42"/>
      <c r="D7" s="42"/>
      <c r="E7" s="42"/>
      <c r="F7" s="43"/>
      <c r="G7" s="29"/>
      <c r="H7" s="38"/>
      <c r="I7" s="38"/>
      <c r="J7" s="29"/>
      <c r="K7" s="29"/>
      <c r="L7" s="29"/>
      <c r="M7" s="29"/>
      <c r="N7" s="29"/>
      <c r="O7" s="29"/>
      <c r="P7" s="30"/>
      <c r="Q7" s="3"/>
      <c r="R7" s="23" t="str">
        <f t="shared" si="4"/>
        <v>#VALUE!</v>
      </c>
      <c r="S7" s="31">
        <f t="shared" ref="S7:AD7" si="13">if(or($AG7="",AH7=""),"",iferror(AH7/$AG7,""))</f>
        <v>1.69760479</v>
      </c>
      <c r="T7" s="31">
        <f t="shared" si="13"/>
        <v>2.28742515</v>
      </c>
      <c r="U7" s="31">
        <f t="shared" si="13"/>
        <v>2.28742515</v>
      </c>
      <c r="V7" s="31">
        <f t="shared" si="13"/>
        <v>2.28742515</v>
      </c>
      <c r="W7" s="31">
        <f t="shared" si="13"/>
        <v>2.28742515</v>
      </c>
      <c r="X7" s="31">
        <f t="shared" si="13"/>
        <v>2.28742515</v>
      </c>
      <c r="Y7" s="31">
        <f t="shared" si="13"/>
        <v>1.356287425</v>
      </c>
      <c r="Z7" s="31">
        <f t="shared" si="13"/>
        <v>2.01497006</v>
      </c>
      <c r="AA7" s="31">
        <f t="shared" si="13"/>
        <v>2.01497006</v>
      </c>
      <c r="AB7" s="31" t="str">
        <f t="shared" si="13"/>
        <v/>
      </c>
      <c r="AC7" s="31" t="str">
        <f t="shared" si="13"/>
        <v/>
      </c>
      <c r="AD7" s="31" t="str">
        <f t="shared" si="13"/>
        <v/>
      </c>
      <c r="AE7" s="4"/>
      <c r="AF7" s="4"/>
      <c r="AG7" s="32">
        <f t="shared" si="6"/>
        <v>334</v>
      </c>
      <c r="AH7" s="32">
        <f t="shared" ref="AH7:AS7" si="14">iferror(if($BJ7+AH$2&gt;12,"", if(offset(BM7,0,$BJ7)="","",offset(BM7,0,$BJ7))))</f>
        <v>567</v>
      </c>
      <c r="AI7" s="32">
        <f t="shared" si="14"/>
        <v>764</v>
      </c>
      <c r="AJ7" s="32">
        <f t="shared" si="14"/>
        <v>764</v>
      </c>
      <c r="AK7" s="32">
        <f t="shared" si="14"/>
        <v>764</v>
      </c>
      <c r="AL7" s="32">
        <f t="shared" si="14"/>
        <v>764</v>
      </c>
      <c r="AM7" s="32">
        <f t="shared" si="14"/>
        <v>764</v>
      </c>
      <c r="AN7" s="32">
        <f t="shared" si="14"/>
        <v>453</v>
      </c>
      <c r="AO7" s="32">
        <f t="shared" si="14"/>
        <v>673</v>
      </c>
      <c r="AP7" s="32">
        <f t="shared" si="14"/>
        <v>673</v>
      </c>
      <c r="AQ7" s="32" t="str">
        <f t="shared" si="14"/>
        <v/>
      </c>
      <c r="AR7" s="32" t="str">
        <f t="shared" si="14"/>
        <v/>
      </c>
      <c r="AS7" s="32" t="str">
        <f t="shared" si="14"/>
        <v/>
      </c>
      <c r="AT7" s="4"/>
      <c r="AU7" s="33">
        <f t="shared" ref="AU7:BG7" si="15">iferror(if($BJ7+AG$2&gt;12,"", if(offset(BY7,0,$BJ7)="","",offset(BY7,0,$BJ7)/AG7)))</f>
        <v>2.28742515</v>
      </c>
      <c r="AV7" s="33">
        <f t="shared" si="15"/>
        <v>0.7989417989</v>
      </c>
      <c r="AW7" s="33">
        <f t="shared" si="15"/>
        <v>0.8808900524</v>
      </c>
      <c r="AX7" s="33">
        <f t="shared" si="15"/>
        <v>0.8808900524</v>
      </c>
      <c r="AY7" s="33">
        <f t="shared" si="15"/>
        <v>1</v>
      </c>
      <c r="AZ7" s="33">
        <f t="shared" si="15"/>
        <v>1</v>
      </c>
      <c r="BA7" s="33">
        <f t="shared" si="15"/>
        <v>1</v>
      </c>
      <c r="BB7" s="33">
        <f t="shared" si="15"/>
        <v>1</v>
      </c>
      <c r="BC7" s="33">
        <f t="shared" si="15"/>
        <v>1</v>
      </c>
      <c r="BD7" s="33">
        <f t="shared" si="15"/>
        <v>1</v>
      </c>
      <c r="BE7" s="33" t="str">
        <f t="shared" si="15"/>
        <v/>
      </c>
      <c r="BF7" s="33" t="str">
        <f t="shared" si="15"/>
        <v/>
      </c>
      <c r="BG7" s="33" t="str">
        <f t="shared" si="15"/>
        <v/>
      </c>
      <c r="BH7" s="5"/>
      <c r="BI7" s="5"/>
      <c r="BJ7" s="34">
        <f t="shared" si="12"/>
        <v>3</v>
      </c>
      <c r="BK7" s="6"/>
      <c r="BL7" s="6">
        <v>334.0</v>
      </c>
      <c r="BM7" s="6">
        <v>334.0</v>
      </c>
      <c r="BN7" s="6">
        <v>334.0</v>
      </c>
      <c r="BO7" s="6">
        <v>334.0</v>
      </c>
      <c r="BP7" s="6">
        <v>567.0</v>
      </c>
      <c r="BQ7" s="6">
        <v>764.0</v>
      </c>
      <c r="BR7" s="6">
        <v>764.0</v>
      </c>
      <c r="BS7" s="6">
        <v>764.0</v>
      </c>
      <c r="BT7" s="6">
        <v>764.0</v>
      </c>
      <c r="BU7" s="6">
        <v>764.0</v>
      </c>
      <c r="BV7" s="6">
        <v>453.0</v>
      </c>
      <c r="BW7" s="6">
        <v>673.0</v>
      </c>
      <c r="BX7" s="6">
        <v>673.0</v>
      </c>
      <c r="BY7" s="27">
        <v>764.0</v>
      </c>
      <c r="BZ7" s="27">
        <v>764.0</v>
      </c>
      <c r="CA7" s="27">
        <v>764.0</v>
      </c>
      <c r="CB7" s="27">
        <v>764.0</v>
      </c>
      <c r="CC7" s="27">
        <v>453.0</v>
      </c>
      <c r="CD7" s="27">
        <v>673.0</v>
      </c>
      <c r="CE7" s="27">
        <v>673.0</v>
      </c>
      <c r="CF7" s="27">
        <v>764.0</v>
      </c>
      <c r="CG7" s="27">
        <v>764.0</v>
      </c>
      <c r="CH7" s="27">
        <v>764.0</v>
      </c>
      <c r="CI7" s="27">
        <v>453.0</v>
      </c>
      <c r="CJ7" s="27">
        <v>673.0</v>
      </c>
      <c r="CK7" s="27">
        <v>673.0</v>
      </c>
    </row>
    <row r="8">
      <c r="A8" s="28"/>
      <c r="B8" s="29"/>
      <c r="C8" s="44"/>
      <c r="D8" s="44"/>
      <c r="E8" s="44"/>
      <c r="F8" s="44"/>
      <c r="G8" s="44"/>
      <c r="H8" s="29"/>
      <c r="I8" s="29"/>
      <c r="J8" s="29"/>
      <c r="K8" s="29"/>
      <c r="L8" s="29"/>
      <c r="M8" s="29"/>
      <c r="N8" s="29"/>
      <c r="O8" s="29"/>
      <c r="P8" s="30"/>
      <c r="Q8" s="3"/>
      <c r="R8" s="23" t="str">
        <f t="shared" si="4"/>
        <v>#VALUE!</v>
      </c>
      <c r="S8" s="31">
        <f t="shared" ref="S8:AD8" si="16">if(or($AG8="",AH8=""),"",iferror(AH8/$AG8,""))</f>
        <v>1.347442681</v>
      </c>
      <c r="T8" s="31">
        <f t="shared" si="16"/>
        <v>1.347442681</v>
      </c>
      <c r="U8" s="31">
        <f t="shared" si="16"/>
        <v>1.347442681</v>
      </c>
      <c r="V8" s="31">
        <f t="shared" si="16"/>
        <v>1.347442681</v>
      </c>
      <c r="W8" s="31">
        <f t="shared" si="16"/>
        <v>1.347442681</v>
      </c>
      <c r="X8" s="31">
        <f t="shared" si="16"/>
        <v>0.7989417989</v>
      </c>
      <c r="Y8" s="31">
        <f t="shared" si="16"/>
        <v>1.186948854</v>
      </c>
      <c r="Z8" s="31">
        <f t="shared" si="16"/>
        <v>1.186948854</v>
      </c>
      <c r="AA8" s="31" t="str">
        <f t="shared" si="16"/>
        <v/>
      </c>
      <c r="AB8" s="31" t="str">
        <f t="shared" si="16"/>
        <v/>
      </c>
      <c r="AC8" s="31" t="str">
        <f t="shared" si="16"/>
        <v/>
      </c>
      <c r="AD8" s="31" t="str">
        <f t="shared" si="16"/>
        <v/>
      </c>
      <c r="AE8" s="4"/>
      <c r="AF8" s="4"/>
      <c r="AG8" s="32">
        <f t="shared" si="6"/>
        <v>567</v>
      </c>
      <c r="AH8" s="32">
        <f t="shared" ref="AH8:AS8" si="17">iferror(if($BJ8+AH$2&gt;12,"", if(offset(BM8,0,$BJ8)="","",offset(BM8,0,$BJ8))))</f>
        <v>764</v>
      </c>
      <c r="AI8" s="32">
        <f t="shared" si="17"/>
        <v>764</v>
      </c>
      <c r="AJ8" s="32">
        <f t="shared" si="17"/>
        <v>764</v>
      </c>
      <c r="AK8" s="32">
        <f t="shared" si="17"/>
        <v>764</v>
      </c>
      <c r="AL8" s="32">
        <f t="shared" si="17"/>
        <v>764</v>
      </c>
      <c r="AM8" s="32">
        <f t="shared" si="17"/>
        <v>453</v>
      </c>
      <c r="AN8" s="32">
        <f t="shared" si="17"/>
        <v>673</v>
      </c>
      <c r="AO8" s="32">
        <f t="shared" si="17"/>
        <v>673</v>
      </c>
      <c r="AP8" s="32" t="str">
        <f t="shared" si="17"/>
        <v/>
      </c>
      <c r="AQ8" s="32" t="str">
        <f t="shared" si="17"/>
        <v/>
      </c>
      <c r="AR8" s="32" t="str">
        <f t="shared" si="17"/>
        <v/>
      </c>
      <c r="AS8" s="32" t="str">
        <f t="shared" si="17"/>
        <v/>
      </c>
      <c r="AT8" s="4"/>
      <c r="AU8" s="33">
        <f t="shared" ref="AU8:BG8" si="18">iferror(if($BJ8+AG$2&gt;12,"", if(offset(BY8,0,$BJ8)="","",offset(BY8,0,$BJ8)/AG8)))</f>
        <v>0.7989417989</v>
      </c>
      <c r="AV8" s="33">
        <f t="shared" si="18"/>
        <v>0.8808900524</v>
      </c>
      <c r="AW8" s="33">
        <f t="shared" si="18"/>
        <v>0.8808900524</v>
      </c>
      <c r="AX8" s="33">
        <f t="shared" si="18"/>
        <v>1</v>
      </c>
      <c r="AY8" s="33">
        <f t="shared" si="18"/>
        <v>1</v>
      </c>
      <c r="AZ8" s="33">
        <f t="shared" si="18"/>
        <v>1</v>
      </c>
      <c r="BA8" s="33">
        <f t="shared" si="18"/>
        <v>1</v>
      </c>
      <c r="BB8" s="33">
        <f t="shared" si="18"/>
        <v>1</v>
      </c>
      <c r="BC8" s="33">
        <f t="shared" si="18"/>
        <v>1</v>
      </c>
      <c r="BD8" s="33" t="str">
        <f t="shared" si="18"/>
        <v/>
      </c>
      <c r="BE8" s="33" t="str">
        <f t="shared" si="18"/>
        <v/>
      </c>
      <c r="BF8" s="33" t="str">
        <f t="shared" si="18"/>
        <v/>
      </c>
      <c r="BG8" s="33" t="str">
        <f t="shared" si="18"/>
        <v/>
      </c>
      <c r="BH8" s="5"/>
      <c r="BI8" s="5"/>
      <c r="BJ8" s="34">
        <f t="shared" si="12"/>
        <v>4</v>
      </c>
      <c r="BK8" s="6"/>
      <c r="BL8" s="6">
        <v>334.0</v>
      </c>
      <c r="BM8" s="6">
        <v>334.0</v>
      </c>
      <c r="BN8" s="6">
        <v>334.0</v>
      </c>
      <c r="BO8" s="6">
        <v>334.0</v>
      </c>
      <c r="BP8" s="6">
        <v>567.0</v>
      </c>
      <c r="BQ8" s="6">
        <v>764.0</v>
      </c>
      <c r="BR8" s="6">
        <v>764.0</v>
      </c>
      <c r="BS8" s="6">
        <v>764.0</v>
      </c>
      <c r="BT8" s="6">
        <v>764.0</v>
      </c>
      <c r="BU8" s="6">
        <v>764.0</v>
      </c>
      <c r="BV8" s="6">
        <v>453.0</v>
      </c>
      <c r="BW8" s="6">
        <v>673.0</v>
      </c>
      <c r="BX8" s="6">
        <v>673.0</v>
      </c>
      <c r="BY8" s="27">
        <v>764.0</v>
      </c>
      <c r="BZ8" s="27">
        <v>764.0</v>
      </c>
      <c r="CA8" s="27">
        <v>764.0</v>
      </c>
      <c r="CB8" s="27">
        <v>764.0</v>
      </c>
      <c r="CC8" s="27">
        <v>453.0</v>
      </c>
      <c r="CD8" s="27">
        <v>673.0</v>
      </c>
      <c r="CE8" s="27">
        <v>673.0</v>
      </c>
      <c r="CF8" s="27">
        <v>764.0</v>
      </c>
      <c r="CG8" s="27">
        <v>764.0</v>
      </c>
      <c r="CH8" s="27">
        <v>764.0</v>
      </c>
      <c r="CI8" s="27">
        <v>453.0</v>
      </c>
      <c r="CJ8" s="27">
        <v>673.0</v>
      </c>
      <c r="CK8" s="27">
        <v>673.0</v>
      </c>
    </row>
    <row r="9">
      <c r="A9" s="28"/>
      <c r="B9" s="45"/>
      <c r="C9" s="46"/>
      <c r="D9" s="47" t="s">
        <v>17</v>
      </c>
      <c r="E9" s="48">
        <f>D35</f>
        <v>1.485651214</v>
      </c>
      <c r="F9" s="49"/>
      <c r="G9" s="29"/>
      <c r="H9" s="29"/>
      <c r="I9" s="29"/>
      <c r="J9" s="29"/>
      <c r="K9" s="29"/>
      <c r="L9" s="29"/>
      <c r="M9" s="29"/>
      <c r="N9" s="29"/>
      <c r="O9" s="29"/>
      <c r="P9" s="30"/>
      <c r="Q9" s="3"/>
      <c r="R9" s="23" t="str">
        <f t="shared" si="4"/>
        <v>#VALUE!</v>
      </c>
      <c r="S9" s="31">
        <f t="shared" ref="S9:AD9" si="19">if(or($AG9="",AH9=""),"",iferror(AH9/$AG9,""))</f>
        <v>1</v>
      </c>
      <c r="T9" s="31">
        <f t="shared" si="19"/>
        <v>1</v>
      </c>
      <c r="U9" s="31">
        <f t="shared" si="19"/>
        <v>1</v>
      </c>
      <c r="V9" s="31">
        <f t="shared" si="19"/>
        <v>1</v>
      </c>
      <c r="W9" s="31">
        <f t="shared" si="19"/>
        <v>0.5929319372</v>
      </c>
      <c r="X9" s="31">
        <f t="shared" si="19"/>
        <v>0.8808900524</v>
      </c>
      <c r="Y9" s="31">
        <f t="shared" si="19"/>
        <v>0.8808900524</v>
      </c>
      <c r="Z9" s="31" t="str">
        <f t="shared" si="19"/>
        <v/>
      </c>
      <c r="AA9" s="31" t="str">
        <f t="shared" si="19"/>
        <v/>
      </c>
      <c r="AB9" s="31" t="str">
        <f t="shared" si="19"/>
        <v/>
      </c>
      <c r="AC9" s="31" t="str">
        <f t="shared" si="19"/>
        <v/>
      </c>
      <c r="AD9" s="31" t="str">
        <f t="shared" si="19"/>
        <v/>
      </c>
      <c r="AE9" s="4"/>
      <c r="AF9" s="4"/>
      <c r="AG9" s="32">
        <f t="shared" si="6"/>
        <v>764</v>
      </c>
      <c r="AH9" s="32">
        <f t="shared" ref="AH9:AS9" si="20">iferror(if($BJ9+AH$2&gt;12,"", if(offset(BM9,0,$BJ9)="","",offset(BM9,0,$BJ9))))</f>
        <v>764</v>
      </c>
      <c r="AI9" s="32">
        <f t="shared" si="20"/>
        <v>764</v>
      </c>
      <c r="AJ9" s="32">
        <f t="shared" si="20"/>
        <v>764</v>
      </c>
      <c r="AK9" s="32">
        <f t="shared" si="20"/>
        <v>764</v>
      </c>
      <c r="AL9" s="32">
        <f t="shared" si="20"/>
        <v>453</v>
      </c>
      <c r="AM9" s="32">
        <f t="shared" si="20"/>
        <v>673</v>
      </c>
      <c r="AN9" s="32">
        <f t="shared" si="20"/>
        <v>673</v>
      </c>
      <c r="AO9" s="32" t="str">
        <f t="shared" si="20"/>
        <v/>
      </c>
      <c r="AP9" s="32" t="str">
        <f t="shared" si="20"/>
        <v/>
      </c>
      <c r="AQ9" s="32" t="str">
        <f t="shared" si="20"/>
        <v/>
      </c>
      <c r="AR9" s="32" t="str">
        <f t="shared" si="20"/>
        <v/>
      </c>
      <c r="AS9" s="32" t="str">
        <f t="shared" si="20"/>
        <v/>
      </c>
      <c r="AT9" s="4"/>
      <c r="AU9" s="33">
        <f t="shared" ref="AU9:BG9" si="21">iferror(if($BJ9+AG$2&gt;12,"", if(offset(BY9,0,$BJ9)="","",offset(BY9,0,$BJ9)/AG9)))</f>
        <v>0.8808900524</v>
      </c>
      <c r="AV9" s="33">
        <f t="shared" si="21"/>
        <v>0.8808900524</v>
      </c>
      <c r="AW9" s="33">
        <f t="shared" si="21"/>
        <v>1</v>
      </c>
      <c r="AX9" s="33">
        <f t="shared" si="21"/>
        <v>1</v>
      </c>
      <c r="AY9" s="33">
        <f t="shared" si="21"/>
        <v>1</v>
      </c>
      <c r="AZ9" s="33">
        <f t="shared" si="21"/>
        <v>1</v>
      </c>
      <c r="BA9" s="33">
        <f t="shared" si="21"/>
        <v>1</v>
      </c>
      <c r="BB9" s="33">
        <f t="shared" si="21"/>
        <v>1</v>
      </c>
      <c r="BC9" s="33" t="str">
        <f t="shared" si="21"/>
        <v/>
      </c>
      <c r="BD9" s="33" t="str">
        <f t="shared" si="21"/>
        <v/>
      </c>
      <c r="BE9" s="33" t="str">
        <f t="shared" si="21"/>
        <v/>
      </c>
      <c r="BF9" s="33" t="str">
        <f t="shared" si="21"/>
        <v/>
      </c>
      <c r="BG9" s="33" t="str">
        <f t="shared" si="21"/>
        <v/>
      </c>
      <c r="BH9" s="5"/>
      <c r="BI9" s="5"/>
      <c r="BJ9" s="34">
        <f t="shared" si="12"/>
        <v>5</v>
      </c>
      <c r="BK9" s="6"/>
      <c r="BL9" s="6">
        <v>111.0</v>
      </c>
      <c r="BM9" s="6">
        <v>111.0</v>
      </c>
      <c r="BN9" s="6">
        <v>111.0</v>
      </c>
      <c r="BO9" s="6">
        <v>111.0</v>
      </c>
      <c r="BP9" s="6">
        <v>567.0</v>
      </c>
      <c r="BQ9" s="6">
        <v>764.0</v>
      </c>
      <c r="BR9" s="6">
        <v>764.0</v>
      </c>
      <c r="BS9" s="6">
        <v>764.0</v>
      </c>
      <c r="BT9" s="6">
        <v>764.0</v>
      </c>
      <c r="BU9" s="6">
        <v>764.0</v>
      </c>
      <c r="BV9" s="6">
        <v>453.0</v>
      </c>
      <c r="BW9" s="6">
        <v>673.0</v>
      </c>
      <c r="BX9" s="6">
        <v>673.0</v>
      </c>
      <c r="BY9" s="27">
        <v>764.0</v>
      </c>
      <c r="BZ9" s="27">
        <v>764.0</v>
      </c>
      <c r="CA9" s="27">
        <v>764.0</v>
      </c>
      <c r="CB9" s="27">
        <v>764.0</v>
      </c>
      <c r="CC9" s="27">
        <v>453.0</v>
      </c>
      <c r="CD9" s="27">
        <v>673.0</v>
      </c>
      <c r="CE9" s="27">
        <v>673.0</v>
      </c>
      <c r="CF9" s="27">
        <v>764.0</v>
      </c>
      <c r="CG9" s="27">
        <v>764.0</v>
      </c>
      <c r="CH9" s="27">
        <v>764.0</v>
      </c>
      <c r="CI9" s="27">
        <v>453.0</v>
      </c>
      <c r="CJ9" s="27">
        <v>673.0</v>
      </c>
      <c r="CK9" s="27">
        <v>673.0</v>
      </c>
    </row>
    <row r="10">
      <c r="A10" s="28"/>
      <c r="B10" s="50"/>
      <c r="C10" s="51"/>
      <c r="D10" s="52" t="s">
        <v>18</v>
      </c>
      <c r="E10" s="53" t="str">
        <f>round(100*(D35-D34),1)&amp;" %"</f>
        <v>48.6 %</v>
      </c>
      <c r="F10" s="49"/>
      <c r="G10" s="29"/>
      <c r="H10" s="29"/>
      <c r="I10" s="29"/>
      <c r="J10" s="29"/>
      <c r="K10" s="29"/>
      <c r="L10" s="29"/>
      <c r="M10" s="29"/>
      <c r="N10" s="29"/>
      <c r="O10" s="29"/>
      <c r="P10" s="30"/>
      <c r="Q10" s="3"/>
      <c r="R10" s="23" t="str">
        <f t="shared" si="4"/>
        <v>#VALUE!</v>
      </c>
      <c r="S10" s="31">
        <f t="shared" ref="S10:AD10" si="22">if(or($AG10="",AH10=""),"",iferror(AH10/$AG10,""))</f>
        <v>1</v>
      </c>
      <c r="T10" s="31">
        <f t="shared" si="22"/>
        <v>1</v>
      </c>
      <c r="U10" s="31">
        <f t="shared" si="22"/>
        <v>1</v>
      </c>
      <c r="V10" s="31">
        <f t="shared" si="22"/>
        <v>1</v>
      </c>
      <c r="W10" s="31">
        <f t="shared" si="22"/>
        <v>1</v>
      </c>
      <c r="X10" s="31">
        <f t="shared" si="22"/>
        <v>1</v>
      </c>
      <c r="Y10" s="31" t="str">
        <f t="shared" si="22"/>
        <v/>
      </c>
      <c r="Z10" s="31" t="str">
        <f t="shared" si="22"/>
        <v/>
      </c>
      <c r="AA10" s="31" t="str">
        <f t="shared" si="22"/>
        <v/>
      </c>
      <c r="AB10" s="31" t="str">
        <f t="shared" si="22"/>
        <v/>
      </c>
      <c r="AC10" s="31" t="str">
        <f t="shared" si="22"/>
        <v/>
      </c>
      <c r="AD10" s="31" t="str">
        <f t="shared" si="22"/>
        <v/>
      </c>
      <c r="AE10" s="4"/>
      <c r="AF10" s="4"/>
      <c r="AG10" s="32">
        <f t="shared" si="6"/>
        <v>673</v>
      </c>
      <c r="AH10" s="32">
        <f t="shared" ref="AH10:AS10" si="23">iferror(if($BJ10+AH$2&gt;12,"", if(offset(BM10,0,$BJ10)="","",offset(BM10,0,$BJ10))))</f>
        <v>673</v>
      </c>
      <c r="AI10" s="32">
        <f t="shared" si="23"/>
        <v>673</v>
      </c>
      <c r="AJ10" s="32">
        <f t="shared" si="23"/>
        <v>673</v>
      </c>
      <c r="AK10" s="32">
        <f t="shared" si="23"/>
        <v>673</v>
      </c>
      <c r="AL10" s="32">
        <f t="shared" si="23"/>
        <v>673</v>
      </c>
      <c r="AM10" s="32">
        <f t="shared" si="23"/>
        <v>673</v>
      </c>
      <c r="AN10" s="32" t="str">
        <f t="shared" si="23"/>
        <v/>
      </c>
      <c r="AO10" s="32" t="str">
        <f t="shared" si="23"/>
        <v/>
      </c>
      <c r="AP10" s="32" t="str">
        <f t="shared" si="23"/>
        <v/>
      </c>
      <c r="AQ10" s="32" t="str">
        <f t="shared" si="23"/>
        <v/>
      </c>
      <c r="AR10" s="32" t="str">
        <f t="shared" si="23"/>
        <v/>
      </c>
      <c r="AS10" s="32" t="str">
        <f t="shared" si="23"/>
        <v/>
      </c>
      <c r="AT10" s="4"/>
      <c r="AU10" s="33">
        <f t="shared" ref="AU10:BG10" si="24">iferror(if($BJ10+AG$2&gt;12,"", if(offset(BY10,0,$BJ10)="","",offset(BY10,0,$BJ10)/AG10)))</f>
        <v>1</v>
      </c>
      <c r="AV10" s="33">
        <f t="shared" si="24"/>
        <v>1</v>
      </c>
      <c r="AW10" s="33">
        <f t="shared" si="24"/>
        <v>1</v>
      </c>
      <c r="AX10" s="33">
        <f t="shared" si="24"/>
        <v>1</v>
      </c>
      <c r="AY10" s="33">
        <f t="shared" si="24"/>
        <v>1</v>
      </c>
      <c r="AZ10" s="33">
        <f t="shared" si="24"/>
        <v>1</v>
      </c>
      <c r="BA10" s="33">
        <f t="shared" si="24"/>
        <v>1</v>
      </c>
      <c r="BB10" s="33" t="str">
        <f t="shared" si="24"/>
        <v/>
      </c>
      <c r="BC10" s="33" t="str">
        <f t="shared" si="24"/>
        <v/>
      </c>
      <c r="BD10" s="33" t="str">
        <f t="shared" si="24"/>
        <v/>
      </c>
      <c r="BE10" s="33" t="str">
        <f t="shared" si="24"/>
        <v/>
      </c>
      <c r="BF10" s="33" t="str">
        <f t="shared" si="24"/>
        <v/>
      </c>
      <c r="BG10" s="33" t="str">
        <f t="shared" si="24"/>
        <v/>
      </c>
      <c r="BH10" s="5"/>
      <c r="BI10" s="5"/>
      <c r="BJ10" s="34">
        <f t="shared" si="12"/>
        <v>6</v>
      </c>
      <c r="BK10" s="6"/>
      <c r="BL10" s="6">
        <v>111.0</v>
      </c>
      <c r="BM10" s="6">
        <v>111.0</v>
      </c>
      <c r="BN10" s="6">
        <v>111.0</v>
      </c>
      <c r="BO10" s="6">
        <v>111.0</v>
      </c>
      <c r="BP10" s="6">
        <v>673.0</v>
      </c>
      <c r="BQ10" s="6">
        <v>673.0</v>
      </c>
      <c r="BR10" s="6">
        <v>673.0</v>
      </c>
      <c r="BS10" s="6">
        <v>673.0</v>
      </c>
      <c r="BT10" s="6">
        <v>673.0</v>
      </c>
      <c r="BU10" s="6">
        <v>673.0</v>
      </c>
      <c r="BV10" s="6">
        <v>673.0</v>
      </c>
      <c r="BW10" s="6">
        <v>673.0</v>
      </c>
      <c r="BX10" s="6">
        <v>673.0</v>
      </c>
      <c r="BY10" s="27">
        <v>673.0</v>
      </c>
      <c r="BZ10" s="27">
        <v>673.0</v>
      </c>
      <c r="CA10" s="27">
        <v>673.0</v>
      </c>
      <c r="CB10" s="27">
        <v>673.0</v>
      </c>
      <c r="CC10" s="27">
        <v>673.0</v>
      </c>
      <c r="CD10" s="27">
        <v>673.0</v>
      </c>
      <c r="CE10" s="27">
        <v>673.0</v>
      </c>
      <c r="CF10" s="27">
        <v>673.0</v>
      </c>
      <c r="CG10" s="27">
        <v>673.0</v>
      </c>
      <c r="CH10" s="27">
        <v>673.0</v>
      </c>
      <c r="CI10" s="27">
        <v>673.0</v>
      </c>
      <c r="CJ10" s="27">
        <v>673.0</v>
      </c>
      <c r="CK10" s="27">
        <v>673.0</v>
      </c>
    </row>
    <row r="11">
      <c r="A11" s="28"/>
      <c r="B11" s="54"/>
      <c r="C11" s="54"/>
      <c r="D11" s="54"/>
      <c r="E11" s="55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30"/>
      <c r="Q11" s="3"/>
      <c r="R11" s="23" t="str">
        <f t="shared" si="4"/>
        <v>#VALUE!</v>
      </c>
      <c r="S11" s="31">
        <f t="shared" ref="S11:AD11" si="25">if(or($AG11="",AH11=""),"",iferror(AH11/$AG11,""))</f>
        <v>1</v>
      </c>
      <c r="T11" s="31">
        <f t="shared" si="25"/>
        <v>1</v>
      </c>
      <c r="U11" s="31">
        <f t="shared" si="25"/>
        <v>1</v>
      </c>
      <c r="V11" s="31">
        <f t="shared" si="25"/>
        <v>1.485651214</v>
      </c>
      <c r="W11" s="31">
        <f t="shared" si="25"/>
        <v>1.485651214</v>
      </c>
      <c r="X11" s="31" t="str">
        <f t="shared" si="25"/>
        <v/>
      </c>
      <c r="Y11" s="31" t="str">
        <f t="shared" si="25"/>
        <v/>
      </c>
      <c r="Z11" s="31" t="str">
        <f t="shared" si="25"/>
        <v/>
      </c>
      <c r="AA11" s="31" t="str">
        <f t="shared" si="25"/>
        <v/>
      </c>
      <c r="AB11" s="31" t="str">
        <f t="shared" si="25"/>
        <v/>
      </c>
      <c r="AC11" s="31" t="str">
        <f t="shared" si="25"/>
        <v/>
      </c>
      <c r="AD11" s="31" t="str">
        <f t="shared" si="25"/>
        <v/>
      </c>
      <c r="AE11" s="4"/>
      <c r="AF11" s="4"/>
      <c r="AG11" s="32">
        <f t="shared" si="6"/>
        <v>453</v>
      </c>
      <c r="AH11" s="32">
        <f t="shared" ref="AH11:AS11" si="26">iferror(if($BJ11+AH$2&gt;12,"", if(offset(BM11,0,$BJ11)="","",offset(BM11,0,$BJ11))))</f>
        <v>453</v>
      </c>
      <c r="AI11" s="32">
        <f t="shared" si="26"/>
        <v>453</v>
      </c>
      <c r="AJ11" s="32">
        <f t="shared" si="26"/>
        <v>453</v>
      </c>
      <c r="AK11" s="32">
        <f t="shared" si="26"/>
        <v>673</v>
      </c>
      <c r="AL11" s="32">
        <f t="shared" si="26"/>
        <v>673</v>
      </c>
      <c r="AM11" s="32" t="str">
        <f t="shared" si="26"/>
        <v/>
      </c>
      <c r="AN11" s="32" t="str">
        <f t="shared" si="26"/>
        <v/>
      </c>
      <c r="AO11" s="32" t="str">
        <f t="shared" si="26"/>
        <v/>
      </c>
      <c r="AP11" s="32" t="str">
        <f t="shared" si="26"/>
        <v/>
      </c>
      <c r="AQ11" s="32" t="str">
        <f t="shared" si="26"/>
        <v/>
      </c>
      <c r="AR11" s="32" t="str">
        <f t="shared" si="26"/>
        <v/>
      </c>
      <c r="AS11" s="32" t="str">
        <f t="shared" si="26"/>
        <v/>
      </c>
      <c r="AT11" s="4"/>
      <c r="AU11" s="33">
        <f t="shared" ref="AU11:BG11" si="27">iferror(if($BJ11+AG$2&gt;12,"", if(offset(BY11,0,$BJ11)="","",offset(BY11,0,$BJ11)/AG11)))</f>
        <v>1</v>
      </c>
      <c r="AV11" s="33">
        <f t="shared" si="27"/>
        <v>1</v>
      </c>
      <c r="AW11" s="33">
        <f t="shared" si="27"/>
        <v>1</v>
      </c>
      <c r="AX11" s="33">
        <f t="shared" si="27"/>
        <v>1</v>
      </c>
      <c r="AY11" s="33">
        <f t="shared" si="27"/>
        <v>1</v>
      </c>
      <c r="AZ11" s="33">
        <f t="shared" si="27"/>
        <v>1</v>
      </c>
      <c r="BA11" s="33" t="str">
        <f t="shared" si="27"/>
        <v/>
      </c>
      <c r="BB11" s="33" t="str">
        <f t="shared" si="27"/>
        <v/>
      </c>
      <c r="BC11" s="33" t="str">
        <f t="shared" si="27"/>
        <v/>
      </c>
      <c r="BD11" s="33" t="str">
        <f t="shared" si="27"/>
        <v/>
      </c>
      <c r="BE11" s="33" t="str">
        <f t="shared" si="27"/>
        <v/>
      </c>
      <c r="BF11" s="33" t="str">
        <f t="shared" si="27"/>
        <v/>
      </c>
      <c r="BG11" s="33" t="str">
        <f t="shared" si="27"/>
        <v/>
      </c>
      <c r="BH11" s="5"/>
      <c r="BI11" s="5"/>
      <c r="BJ11" s="34">
        <f t="shared" si="12"/>
        <v>7</v>
      </c>
      <c r="BK11" s="6"/>
      <c r="BL11" s="6">
        <v>111.0</v>
      </c>
      <c r="BM11" s="6">
        <v>111.0</v>
      </c>
      <c r="BN11" s="6">
        <v>111.0</v>
      </c>
      <c r="BO11" s="6">
        <v>111.0</v>
      </c>
      <c r="BP11" s="6">
        <v>453.0</v>
      </c>
      <c r="BQ11" s="6">
        <v>453.0</v>
      </c>
      <c r="BR11" s="6">
        <v>453.0</v>
      </c>
      <c r="BS11" s="6">
        <v>453.0</v>
      </c>
      <c r="BT11" s="6">
        <v>453.0</v>
      </c>
      <c r="BU11" s="6">
        <v>453.0</v>
      </c>
      <c r="BV11" s="6">
        <v>453.0</v>
      </c>
      <c r="BW11" s="6">
        <v>673.0</v>
      </c>
      <c r="BX11" s="6">
        <v>673.0</v>
      </c>
      <c r="BY11" s="27">
        <v>453.0</v>
      </c>
      <c r="BZ11" s="27">
        <v>453.0</v>
      </c>
      <c r="CA11" s="27">
        <v>453.0</v>
      </c>
      <c r="CB11" s="27">
        <v>453.0</v>
      </c>
      <c r="CC11" s="27">
        <v>453.0</v>
      </c>
      <c r="CD11" s="27">
        <v>673.0</v>
      </c>
      <c r="CE11" s="27">
        <v>673.0</v>
      </c>
      <c r="CF11" s="27">
        <v>453.0</v>
      </c>
      <c r="CG11" s="27">
        <v>453.0</v>
      </c>
      <c r="CH11" s="27">
        <v>453.0</v>
      </c>
      <c r="CI11" s="27">
        <v>453.0</v>
      </c>
      <c r="CJ11" s="27">
        <v>673.0</v>
      </c>
      <c r="CK11" s="27">
        <v>673.0</v>
      </c>
    </row>
    <row r="12">
      <c r="A12" s="28"/>
      <c r="B12" s="45"/>
      <c r="C12" s="46"/>
      <c r="D12" s="47" t="s">
        <v>19</v>
      </c>
      <c r="E12" s="48">
        <f>E35</f>
        <v>1.485651214</v>
      </c>
      <c r="F12" s="29"/>
      <c r="G12" s="56"/>
      <c r="H12" s="29"/>
      <c r="I12" s="29"/>
      <c r="J12" s="29"/>
      <c r="K12" s="29"/>
      <c r="L12" s="29"/>
      <c r="M12" s="29"/>
      <c r="N12" s="29"/>
      <c r="O12" s="29"/>
      <c r="P12" s="30"/>
      <c r="Q12" s="3"/>
      <c r="R12" s="23" t="str">
        <f t="shared" si="4"/>
        <v>#VALUE!</v>
      </c>
      <c r="S12" s="31">
        <f t="shared" ref="S12:AD12" si="28">if(or($AG12="",AH12=""),"",iferror(AH12/$AG12,""))</f>
        <v>1</v>
      </c>
      <c r="T12" s="31">
        <f t="shared" si="28"/>
        <v>0.5929319372</v>
      </c>
      <c r="U12" s="31">
        <f t="shared" si="28"/>
        <v>0.8808900524</v>
      </c>
      <c r="V12" s="31">
        <f t="shared" si="28"/>
        <v>0.8808900524</v>
      </c>
      <c r="W12" s="31" t="str">
        <f t="shared" si="28"/>
        <v/>
      </c>
      <c r="X12" s="31" t="str">
        <f t="shared" si="28"/>
        <v/>
      </c>
      <c r="Y12" s="31" t="str">
        <f t="shared" si="28"/>
        <v/>
      </c>
      <c r="Z12" s="31" t="str">
        <f t="shared" si="28"/>
        <v/>
      </c>
      <c r="AA12" s="31" t="str">
        <f t="shared" si="28"/>
        <v/>
      </c>
      <c r="AB12" s="31" t="str">
        <f t="shared" si="28"/>
        <v/>
      </c>
      <c r="AC12" s="31" t="str">
        <f t="shared" si="28"/>
        <v/>
      </c>
      <c r="AD12" s="31" t="str">
        <f t="shared" si="28"/>
        <v/>
      </c>
      <c r="AE12" s="4"/>
      <c r="AF12" s="4"/>
      <c r="AG12" s="32">
        <f t="shared" si="6"/>
        <v>764</v>
      </c>
      <c r="AH12" s="32">
        <f t="shared" ref="AH12:AS12" si="29">iferror(if($BJ12+AH$2&gt;12,"", if(offset(BM12,0,$BJ12)="","",offset(BM12,0,$BJ12))))</f>
        <v>764</v>
      </c>
      <c r="AI12" s="32">
        <f t="shared" si="29"/>
        <v>453</v>
      </c>
      <c r="AJ12" s="32">
        <f t="shared" si="29"/>
        <v>673</v>
      </c>
      <c r="AK12" s="32">
        <f t="shared" si="29"/>
        <v>673</v>
      </c>
      <c r="AL12" s="32" t="str">
        <f t="shared" si="29"/>
        <v/>
      </c>
      <c r="AM12" s="32" t="str">
        <f t="shared" si="29"/>
        <v/>
      </c>
      <c r="AN12" s="32" t="str">
        <f t="shared" si="29"/>
        <v/>
      </c>
      <c r="AO12" s="32" t="str">
        <f t="shared" si="29"/>
        <v/>
      </c>
      <c r="AP12" s="32" t="str">
        <f t="shared" si="29"/>
        <v/>
      </c>
      <c r="AQ12" s="32" t="str">
        <f t="shared" si="29"/>
        <v/>
      </c>
      <c r="AR12" s="32" t="str">
        <f t="shared" si="29"/>
        <v/>
      </c>
      <c r="AS12" s="32" t="str">
        <f t="shared" si="29"/>
        <v/>
      </c>
      <c r="AT12" s="4"/>
      <c r="AU12" s="33">
        <f t="shared" ref="AU12:BG12" si="30">iferror(if($BJ12+AG$2&gt;12,"", if(offset(BY12,0,$BJ12)="","",offset(BY12,0,$BJ12)/AG12)))</f>
        <v>1</v>
      </c>
      <c r="AV12" s="33">
        <f t="shared" si="30"/>
        <v>1</v>
      </c>
      <c r="AW12" s="33">
        <f t="shared" si="30"/>
        <v>1</v>
      </c>
      <c r="AX12" s="33">
        <f t="shared" si="30"/>
        <v>1</v>
      </c>
      <c r="AY12" s="33">
        <f t="shared" si="30"/>
        <v>1</v>
      </c>
      <c r="AZ12" s="33" t="str">
        <f t="shared" si="30"/>
        <v/>
      </c>
      <c r="BA12" s="33" t="str">
        <f t="shared" si="30"/>
        <v/>
      </c>
      <c r="BB12" s="33" t="str">
        <f t="shared" si="30"/>
        <v/>
      </c>
      <c r="BC12" s="33" t="str">
        <f t="shared" si="30"/>
        <v/>
      </c>
      <c r="BD12" s="33" t="str">
        <f t="shared" si="30"/>
        <v/>
      </c>
      <c r="BE12" s="33" t="str">
        <f t="shared" si="30"/>
        <v/>
      </c>
      <c r="BF12" s="33" t="str">
        <f t="shared" si="30"/>
        <v/>
      </c>
      <c r="BG12" s="33" t="str">
        <f t="shared" si="30"/>
        <v/>
      </c>
      <c r="BH12" s="5"/>
      <c r="BI12" s="5"/>
      <c r="BJ12" s="34">
        <f t="shared" si="12"/>
        <v>8</v>
      </c>
      <c r="BK12" s="6"/>
      <c r="BL12" s="6">
        <v>111.0</v>
      </c>
      <c r="BM12" s="6">
        <v>111.0</v>
      </c>
      <c r="BN12" s="6">
        <v>111.0</v>
      </c>
      <c r="BO12" s="6">
        <v>111.0</v>
      </c>
      <c r="BP12" s="6">
        <v>567.0</v>
      </c>
      <c r="BQ12" s="6">
        <v>764.0</v>
      </c>
      <c r="BR12" s="6">
        <v>764.0</v>
      </c>
      <c r="BS12" s="6">
        <v>764.0</v>
      </c>
      <c r="BT12" s="6">
        <v>764.0</v>
      </c>
      <c r="BU12" s="6">
        <v>764.0</v>
      </c>
      <c r="BV12" s="6">
        <v>453.0</v>
      </c>
      <c r="BW12" s="6">
        <v>673.0</v>
      </c>
      <c r="BX12" s="6">
        <v>673.0</v>
      </c>
      <c r="BY12" s="27">
        <v>764.0</v>
      </c>
      <c r="BZ12" s="27">
        <v>764.0</v>
      </c>
      <c r="CA12" s="27">
        <v>764.0</v>
      </c>
      <c r="CB12" s="27">
        <v>764.0</v>
      </c>
      <c r="CC12" s="27">
        <v>453.0</v>
      </c>
      <c r="CD12" s="27">
        <v>673.0</v>
      </c>
      <c r="CE12" s="27">
        <v>673.0</v>
      </c>
      <c r="CF12" s="27">
        <v>764.0</v>
      </c>
      <c r="CG12" s="27">
        <v>764.0</v>
      </c>
      <c r="CH12" s="27">
        <v>764.0</v>
      </c>
      <c r="CI12" s="27">
        <v>453.0</v>
      </c>
      <c r="CJ12" s="27">
        <v>673.0</v>
      </c>
      <c r="CK12" s="27">
        <v>673.0</v>
      </c>
    </row>
    <row r="13">
      <c r="A13" s="28"/>
      <c r="B13" s="50"/>
      <c r="C13" s="51"/>
      <c r="D13" s="52" t="s">
        <v>18</v>
      </c>
      <c r="E13" s="53" t="str">
        <f>round(100*(E35-E34),1)&amp;" %"</f>
        <v>-457.7 %</v>
      </c>
      <c r="F13" s="29"/>
      <c r="G13" s="56"/>
      <c r="H13" s="29"/>
      <c r="I13" s="29"/>
      <c r="J13" s="29"/>
      <c r="K13" s="29"/>
      <c r="L13" s="29"/>
      <c r="M13" s="29"/>
      <c r="N13" s="29"/>
      <c r="O13" s="29"/>
      <c r="P13" s="30"/>
      <c r="Q13" s="3"/>
      <c r="R13" s="23" t="str">
        <f t="shared" si="4"/>
        <v>#VALUE!</v>
      </c>
      <c r="S13" s="31">
        <f t="shared" ref="S13:AD13" si="31">if(or($AG13="",AH13=""),"",iferror(AH13/$AG13,""))</f>
        <v>1</v>
      </c>
      <c r="T13" s="31">
        <f t="shared" si="31"/>
        <v>6.063063063</v>
      </c>
      <c r="U13" s="31">
        <f t="shared" si="31"/>
        <v>6.063063063</v>
      </c>
      <c r="V13" s="31" t="str">
        <f t="shared" si="31"/>
        <v/>
      </c>
      <c r="W13" s="31" t="str">
        <f t="shared" si="31"/>
        <v/>
      </c>
      <c r="X13" s="31" t="str">
        <f t="shared" si="31"/>
        <v/>
      </c>
      <c r="Y13" s="31" t="str">
        <f t="shared" si="31"/>
        <v/>
      </c>
      <c r="Z13" s="31" t="str">
        <f t="shared" si="31"/>
        <v/>
      </c>
      <c r="AA13" s="31" t="str">
        <f t="shared" si="31"/>
        <v/>
      </c>
      <c r="AB13" s="31" t="str">
        <f t="shared" si="31"/>
        <v/>
      </c>
      <c r="AC13" s="31" t="str">
        <f t="shared" si="31"/>
        <v/>
      </c>
      <c r="AD13" s="31" t="str">
        <f t="shared" si="31"/>
        <v/>
      </c>
      <c r="AE13" s="4"/>
      <c r="AF13" s="4"/>
      <c r="AG13" s="32">
        <f t="shared" si="6"/>
        <v>111</v>
      </c>
      <c r="AH13" s="32">
        <f t="shared" ref="AH13:AS13" si="32">iferror(if($BJ13+AH$2&gt;12,"", if(offset(BM13,0,$BJ13)="","",offset(BM13,0,$BJ13))))</f>
        <v>111</v>
      </c>
      <c r="AI13" s="32">
        <f t="shared" si="32"/>
        <v>673</v>
      </c>
      <c r="AJ13" s="32">
        <f t="shared" si="32"/>
        <v>673</v>
      </c>
      <c r="AK13" s="32" t="str">
        <f t="shared" si="32"/>
        <v/>
      </c>
      <c r="AL13" s="32" t="str">
        <f t="shared" si="32"/>
        <v/>
      </c>
      <c r="AM13" s="32" t="str">
        <f t="shared" si="32"/>
        <v/>
      </c>
      <c r="AN13" s="32" t="str">
        <f t="shared" si="32"/>
        <v/>
      </c>
      <c r="AO13" s="32" t="str">
        <f t="shared" si="32"/>
        <v/>
      </c>
      <c r="AP13" s="32" t="str">
        <f t="shared" si="32"/>
        <v/>
      </c>
      <c r="AQ13" s="32" t="str">
        <f t="shared" si="32"/>
        <v/>
      </c>
      <c r="AR13" s="32" t="str">
        <f t="shared" si="32"/>
        <v/>
      </c>
      <c r="AS13" s="32" t="str">
        <f t="shared" si="32"/>
        <v/>
      </c>
      <c r="AT13" s="4"/>
      <c r="AU13" s="33">
        <f t="shared" ref="AU13:BG13" si="33">iferror(if($BJ13+AG$2&gt;12,"", if(offset(BY13,0,$BJ13)="","",offset(BY13,0,$BJ13)/AG13)))</f>
        <v>1</v>
      </c>
      <c r="AV13" s="33">
        <f t="shared" si="33"/>
        <v>1</v>
      </c>
      <c r="AW13" s="33">
        <f t="shared" si="33"/>
        <v>1</v>
      </c>
      <c r="AX13" s="33">
        <f t="shared" si="33"/>
        <v>1</v>
      </c>
      <c r="AY13" s="33" t="str">
        <f t="shared" si="33"/>
        <v/>
      </c>
      <c r="AZ13" s="33" t="str">
        <f t="shared" si="33"/>
        <v/>
      </c>
      <c r="BA13" s="33" t="str">
        <f t="shared" si="33"/>
        <v/>
      </c>
      <c r="BB13" s="33" t="str">
        <f t="shared" si="33"/>
        <v/>
      </c>
      <c r="BC13" s="33" t="str">
        <f t="shared" si="33"/>
        <v/>
      </c>
      <c r="BD13" s="33" t="str">
        <f t="shared" si="33"/>
        <v/>
      </c>
      <c r="BE13" s="33" t="str">
        <f t="shared" si="33"/>
        <v/>
      </c>
      <c r="BF13" s="33" t="str">
        <f t="shared" si="33"/>
        <v/>
      </c>
      <c r="BG13" s="33" t="str">
        <f t="shared" si="33"/>
        <v/>
      </c>
      <c r="BH13" s="5"/>
      <c r="BI13" s="5"/>
      <c r="BJ13" s="34">
        <f t="shared" si="12"/>
        <v>9</v>
      </c>
      <c r="BK13" s="6"/>
      <c r="BL13" s="6">
        <v>111.0</v>
      </c>
      <c r="BM13" s="6">
        <v>111.0</v>
      </c>
      <c r="BN13" s="6">
        <v>111.0</v>
      </c>
      <c r="BO13" s="6">
        <v>111.0</v>
      </c>
      <c r="BP13" s="6">
        <v>111.0</v>
      </c>
      <c r="BQ13" s="6">
        <v>111.0</v>
      </c>
      <c r="BR13" s="6">
        <v>111.0</v>
      </c>
      <c r="BS13" s="6">
        <v>111.0</v>
      </c>
      <c r="BT13" s="6">
        <v>111.0</v>
      </c>
      <c r="BU13" s="6">
        <v>111.0</v>
      </c>
      <c r="BV13" s="6">
        <v>111.0</v>
      </c>
      <c r="BW13" s="6">
        <v>673.0</v>
      </c>
      <c r="BX13" s="6">
        <v>673.0</v>
      </c>
      <c r="BY13" s="27">
        <v>111.0</v>
      </c>
      <c r="BZ13" s="27">
        <v>111.0</v>
      </c>
      <c r="CA13" s="27">
        <v>111.0</v>
      </c>
      <c r="CB13" s="27">
        <v>111.0</v>
      </c>
      <c r="CC13" s="27">
        <v>111.0</v>
      </c>
      <c r="CD13" s="27">
        <v>673.0</v>
      </c>
      <c r="CE13" s="27">
        <v>673.0</v>
      </c>
      <c r="CF13" s="27">
        <v>111.0</v>
      </c>
      <c r="CG13" s="27">
        <v>111.0</v>
      </c>
      <c r="CH13" s="27">
        <v>111.0</v>
      </c>
      <c r="CI13" s="27">
        <v>111.0</v>
      </c>
      <c r="CJ13" s="27">
        <v>673.0</v>
      </c>
      <c r="CK13" s="27">
        <v>673.0</v>
      </c>
    </row>
    <row r="14">
      <c r="A14" s="28"/>
      <c r="B14" s="57"/>
      <c r="C14" s="54"/>
      <c r="D14" s="54"/>
      <c r="E14" s="54"/>
      <c r="F14" s="29"/>
      <c r="G14" s="56"/>
      <c r="H14" s="29"/>
      <c r="I14" s="29"/>
      <c r="J14" s="29"/>
      <c r="K14" s="29"/>
      <c r="L14" s="29"/>
      <c r="M14" s="29"/>
      <c r="N14" s="29"/>
      <c r="O14" s="29"/>
      <c r="P14" s="30"/>
      <c r="Q14" s="3"/>
      <c r="R14" s="23" t="str">
        <f t="shared" si="4"/>
        <v>#VALUE!</v>
      </c>
      <c r="S14" s="31">
        <f t="shared" ref="S14:AD14" si="34">if(or($AG14="",AH14=""),"",iferror(AH14/$AG14,""))</f>
        <v>1.485651214</v>
      </c>
      <c r="T14" s="31">
        <f t="shared" si="34"/>
        <v>1.485651214</v>
      </c>
      <c r="U14" s="31" t="str">
        <f t="shared" si="34"/>
        <v/>
      </c>
      <c r="V14" s="31" t="str">
        <f t="shared" si="34"/>
        <v/>
      </c>
      <c r="W14" s="31" t="str">
        <f t="shared" si="34"/>
        <v/>
      </c>
      <c r="X14" s="31" t="str">
        <f t="shared" si="34"/>
        <v/>
      </c>
      <c r="Y14" s="31" t="str">
        <f t="shared" si="34"/>
        <v/>
      </c>
      <c r="Z14" s="31" t="str">
        <f t="shared" si="34"/>
        <v/>
      </c>
      <c r="AA14" s="31" t="str">
        <f t="shared" si="34"/>
        <v/>
      </c>
      <c r="AB14" s="31" t="str">
        <f t="shared" si="34"/>
        <v/>
      </c>
      <c r="AC14" s="31" t="str">
        <f t="shared" si="34"/>
        <v/>
      </c>
      <c r="AD14" s="31" t="str">
        <f t="shared" si="34"/>
        <v/>
      </c>
      <c r="AE14" s="4"/>
      <c r="AF14" s="4"/>
      <c r="AG14" s="32">
        <f t="shared" si="6"/>
        <v>453</v>
      </c>
      <c r="AH14" s="32">
        <f t="shared" ref="AH14:AS14" si="35">iferror(if($BJ14+AH$2&gt;12,"", if(offset(BM14,0,$BJ14)="","",offset(BM14,0,$BJ14))))</f>
        <v>673</v>
      </c>
      <c r="AI14" s="32">
        <f t="shared" si="35"/>
        <v>673</v>
      </c>
      <c r="AJ14" s="32" t="str">
        <f t="shared" si="35"/>
        <v/>
      </c>
      <c r="AK14" s="32" t="str">
        <f t="shared" si="35"/>
        <v/>
      </c>
      <c r="AL14" s="32" t="str">
        <f t="shared" si="35"/>
        <v/>
      </c>
      <c r="AM14" s="32" t="str">
        <f t="shared" si="35"/>
        <v/>
      </c>
      <c r="AN14" s="32" t="str">
        <f t="shared" si="35"/>
        <v/>
      </c>
      <c r="AO14" s="32" t="str">
        <f t="shared" si="35"/>
        <v/>
      </c>
      <c r="AP14" s="32" t="str">
        <f t="shared" si="35"/>
        <v/>
      </c>
      <c r="AQ14" s="32" t="str">
        <f t="shared" si="35"/>
        <v/>
      </c>
      <c r="AR14" s="32" t="str">
        <f t="shared" si="35"/>
        <v/>
      </c>
      <c r="AS14" s="32" t="str">
        <f t="shared" si="35"/>
        <v/>
      </c>
      <c r="AT14" s="4"/>
      <c r="AU14" s="33">
        <f t="shared" ref="AU14:BG14" si="36">iferror(if($BJ14+AG$2&gt;12,"", if(offset(BY14,0,$BJ14)="","",offset(BY14,0,$BJ14)/AG14)))</f>
        <v>1</v>
      </c>
      <c r="AV14" s="33">
        <f t="shared" si="36"/>
        <v>1</v>
      </c>
      <c r="AW14" s="33">
        <f t="shared" si="36"/>
        <v>1</v>
      </c>
      <c r="AX14" s="33" t="str">
        <f t="shared" si="36"/>
        <v/>
      </c>
      <c r="AY14" s="33" t="str">
        <f t="shared" si="36"/>
        <v/>
      </c>
      <c r="AZ14" s="33" t="str">
        <f t="shared" si="36"/>
        <v/>
      </c>
      <c r="BA14" s="33" t="str">
        <f t="shared" si="36"/>
        <v/>
      </c>
      <c r="BB14" s="33" t="str">
        <f t="shared" si="36"/>
        <v/>
      </c>
      <c r="BC14" s="33" t="str">
        <f t="shared" si="36"/>
        <v/>
      </c>
      <c r="BD14" s="33" t="str">
        <f t="shared" si="36"/>
        <v/>
      </c>
      <c r="BE14" s="33" t="str">
        <f t="shared" si="36"/>
        <v/>
      </c>
      <c r="BF14" s="33" t="str">
        <f t="shared" si="36"/>
        <v/>
      </c>
      <c r="BG14" s="33" t="str">
        <f t="shared" si="36"/>
        <v/>
      </c>
      <c r="BH14" s="5"/>
      <c r="BI14" s="5"/>
      <c r="BJ14" s="34">
        <f t="shared" si="12"/>
        <v>10</v>
      </c>
      <c r="BK14" s="6"/>
      <c r="BL14" s="6">
        <v>111.0</v>
      </c>
      <c r="BM14" s="6">
        <v>111.0</v>
      </c>
      <c r="BN14" s="6">
        <v>111.0</v>
      </c>
      <c r="BO14" s="6">
        <v>111.0</v>
      </c>
      <c r="BP14" s="6">
        <v>567.0</v>
      </c>
      <c r="BQ14" s="6">
        <v>764.0</v>
      </c>
      <c r="BR14" s="6">
        <v>764.0</v>
      </c>
      <c r="BS14" s="6">
        <v>764.0</v>
      </c>
      <c r="BT14" s="6">
        <v>764.0</v>
      </c>
      <c r="BU14" s="6">
        <v>764.0</v>
      </c>
      <c r="BV14" s="6">
        <v>453.0</v>
      </c>
      <c r="BW14" s="6">
        <v>673.0</v>
      </c>
      <c r="BX14" s="6">
        <v>673.0</v>
      </c>
      <c r="BY14" s="27">
        <v>764.0</v>
      </c>
      <c r="BZ14" s="27">
        <v>764.0</v>
      </c>
      <c r="CA14" s="27">
        <v>764.0</v>
      </c>
      <c r="CB14" s="27">
        <v>764.0</v>
      </c>
      <c r="CC14" s="27">
        <v>453.0</v>
      </c>
      <c r="CD14" s="27">
        <v>673.0</v>
      </c>
      <c r="CE14" s="27">
        <v>673.0</v>
      </c>
      <c r="CF14" s="27">
        <v>764.0</v>
      </c>
      <c r="CG14" s="27">
        <v>764.0</v>
      </c>
      <c r="CH14" s="27">
        <v>764.0</v>
      </c>
      <c r="CI14" s="27">
        <v>453.0</v>
      </c>
      <c r="CJ14" s="27">
        <v>673.0</v>
      </c>
      <c r="CK14" s="27">
        <v>673.0</v>
      </c>
    </row>
    <row r="15">
      <c r="A15" s="28"/>
      <c r="B15" s="58"/>
      <c r="C15" s="59"/>
      <c r="D15" s="60" t="s">
        <v>20</v>
      </c>
      <c r="E15" s="61">
        <f>AU20</f>
        <v>20.04238695</v>
      </c>
      <c r="F15" s="56"/>
      <c r="G15" s="56"/>
      <c r="H15" s="29"/>
      <c r="I15" s="29"/>
      <c r="J15" s="29"/>
      <c r="K15" s="29"/>
      <c r="L15" s="29"/>
      <c r="M15" s="29"/>
      <c r="N15" s="29"/>
      <c r="O15" s="29"/>
      <c r="P15" s="62"/>
      <c r="Q15" s="63"/>
      <c r="R15" s="23" t="str">
        <f t="shared" si="4"/>
        <v>#VALUE!</v>
      </c>
      <c r="S15" s="31">
        <f t="shared" ref="S15:AD15" si="37">if(or($AG15="",AH15=""),"",iferror(AH15/$AG15,""))</f>
        <v>1</v>
      </c>
      <c r="T15" s="31" t="str">
        <f t="shared" si="37"/>
        <v/>
      </c>
      <c r="U15" s="31" t="str">
        <f t="shared" si="37"/>
        <v/>
      </c>
      <c r="V15" s="31" t="str">
        <f t="shared" si="37"/>
        <v/>
      </c>
      <c r="W15" s="31" t="str">
        <f t="shared" si="37"/>
        <v/>
      </c>
      <c r="X15" s="31" t="str">
        <f t="shared" si="37"/>
        <v/>
      </c>
      <c r="Y15" s="31" t="str">
        <f t="shared" si="37"/>
        <v/>
      </c>
      <c r="Z15" s="31" t="str">
        <f t="shared" si="37"/>
        <v/>
      </c>
      <c r="AA15" s="31" t="str">
        <f t="shared" si="37"/>
        <v/>
      </c>
      <c r="AB15" s="31" t="str">
        <f t="shared" si="37"/>
        <v/>
      </c>
      <c r="AC15" s="31" t="str">
        <f t="shared" si="37"/>
        <v/>
      </c>
      <c r="AD15" s="31" t="str">
        <f t="shared" si="37"/>
        <v/>
      </c>
      <c r="AE15" s="5"/>
      <c r="AF15" s="5"/>
      <c r="AG15" s="32">
        <f t="shared" si="6"/>
        <v>673</v>
      </c>
      <c r="AH15" s="32">
        <f t="shared" ref="AH15:AS15" si="38">iferror(if($BJ15+AH$2&gt;12,"", if(offset(BM15,0,$BJ15)="","",offset(BM15,0,$BJ15))))</f>
        <v>673</v>
      </c>
      <c r="AI15" s="32" t="str">
        <f t="shared" si="38"/>
        <v/>
      </c>
      <c r="AJ15" s="32" t="str">
        <f t="shared" si="38"/>
        <v/>
      </c>
      <c r="AK15" s="32" t="str">
        <f t="shared" si="38"/>
        <v/>
      </c>
      <c r="AL15" s="32" t="str">
        <f t="shared" si="38"/>
        <v/>
      </c>
      <c r="AM15" s="32" t="str">
        <f t="shared" si="38"/>
        <v/>
      </c>
      <c r="AN15" s="32" t="str">
        <f t="shared" si="38"/>
        <v/>
      </c>
      <c r="AO15" s="32" t="str">
        <f t="shared" si="38"/>
        <v/>
      </c>
      <c r="AP15" s="32" t="str">
        <f t="shared" si="38"/>
        <v/>
      </c>
      <c r="AQ15" s="32" t="str">
        <f t="shared" si="38"/>
        <v/>
      </c>
      <c r="AR15" s="32" t="str">
        <f t="shared" si="38"/>
        <v/>
      </c>
      <c r="AS15" s="32" t="str">
        <f t="shared" si="38"/>
        <v/>
      </c>
      <c r="AT15" s="5"/>
      <c r="AU15" s="33">
        <f t="shared" ref="AU15:BG15" si="39">iferror(if($BJ15+AG$2&gt;12,"", if(offset(BY15,0,$BJ15)="","",offset(BY15,0,$BJ15)/AG15)))</f>
        <v>1</v>
      </c>
      <c r="AV15" s="33">
        <f t="shared" si="39"/>
        <v>1</v>
      </c>
      <c r="AW15" s="33" t="str">
        <f t="shared" si="39"/>
        <v/>
      </c>
      <c r="AX15" s="33" t="str">
        <f t="shared" si="39"/>
        <v/>
      </c>
      <c r="AY15" s="33" t="str">
        <f t="shared" si="39"/>
        <v/>
      </c>
      <c r="AZ15" s="33" t="str">
        <f t="shared" si="39"/>
        <v/>
      </c>
      <c r="BA15" s="33" t="str">
        <f t="shared" si="39"/>
        <v/>
      </c>
      <c r="BB15" s="33" t="str">
        <f t="shared" si="39"/>
        <v/>
      </c>
      <c r="BC15" s="33" t="str">
        <f t="shared" si="39"/>
        <v/>
      </c>
      <c r="BD15" s="33" t="str">
        <f t="shared" si="39"/>
        <v/>
      </c>
      <c r="BE15" s="33" t="str">
        <f t="shared" si="39"/>
        <v/>
      </c>
      <c r="BF15" s="33" t="str">
        <f t="shared" si="39"/>
        <v/>
      </c>
      <c r="BG15" s="33" t="str">
        <f t="shared" si="39"/>
        <v/>
      </c>
      <c r="BH15" s="5"/>
      <c r="BI15" s="5"/>
      <c r="BJ15" s="34">
        <f t="shared" si="12"/>
        <v>11</v>
      </c>
      <c r="BK15" s="6"/>
      <c r="BL15" s="6">
        <v>111.0</v>
      </c>
      <c r="BM15" s="6">
        <v>111.0</v>
      </c>
      <c r="BN15" s="6">
        <v>111.0</v>
      </c>
      <c r="BO15" s="6">
        <v>111.0</v>
      </c>
      <c r="BP15" s="6">
        <v>567.0</v>
      </c>
      <c r="BQ15" s="6">
        <v>764.0</v>
      </c>
      <c r="BR15" s="6">
        <v>764.0</v>
      </c>
      <c r="BS15" s="6">
        <v>764.0</v>
      </c>
      <c r="BT15" s="6">
        <v>764.0</v>
      </c>
      <c r="BU15" s="6">
        <v>764.0</v>
      </c>
      <c r="BV15" s="6">
        <v>453.0</v>
      </c>
      <c r="BW15" s="6">
        <v>673.0</v>
      </c>
      <c r="BX15" s="6">
        <v>673.0</v>
      </c>
      <c r="BY15" s="27">
        <v>764.0</v>
      </c>
      <c r="BZ15" s="27">
        <v>764.0</v>
      </c>
      <c r="CA15" s="27">
        <v>764.0</v>
      </c>
      <c r="CB15" s="27">
        <v>764.0</v>
      </c>
      <c r="CC15" s="27">
        <v>453.0</v>
      </c>
      <c r="CD15" s="27">
        <v>673.0</v>
      </c>
      <c r="CE15" s="27">
        <v>673.0</v>
      </c>
      <c r="CF15" s="27">
        <v>764.0</v>
      </c>
      <c r="CG15" s="27">
        <v>764.0</v>
      </c>
      <c r="CH15" s="27">
        <v>764.0</v>
      </c>
      <c r="CI15" s="27">
        <v>453.0</v>
      </c>
      <c r="CJ15" s="27">
        <v>673.0</v>
      </c>
      <c r="CK15" s="27">
        <v>673.0</v>
      </c>
    </row>
    <row r="16">
      <c r="A16" s="28"/>
      <c r="B16" s="57"/>
      <c r="C16" s="54"/>
      <c r="D16" s="54"/>
      <c r="E16" s="54"/>
      <c r="F16" s="64"/>
      <c r="G16" s="29"/>
      <c r="H16" s="29"/>
      <c r="I16" s="29"/>
      <c r="J16" s="29"/>
      <c r="K16" s="29"/>
      <c r="L16" s="29"/>
      <c r="M16" s="29"/>
      <c r="N16" s="29"/>
      <c r="O16" s="29"/>
      <c r="P16" s="62"/>
      <c r="Q16" s="63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</row>
    <row r="17">
      <c r="A17" s="28"/>
      <c r="B17" s="65" t="str">
        <f>iferror("So far this month, you've retained "&amp;round(100*D36,1)&amp;" % of users first seen in "&amp;text(datevalue(right(BK34,10)),"MMMM")&amp;".","")</f>
        <v/>
      </c>
      <c r="C17" s="36"/>
      <c r="D17" s="36"/>
      <c r="E17" s="36"/>
      <c r="F17" s="66"/>
      <c r="G17" s="29"/>
      <c r="H17" s="29"/>
      <c r="I17" s="29"/>
      <c r="J17" s="29"/>
      <c r="K17" s="29"/>
      <c r="L17" s="29"/>
      <c r="M17" s="29"/>
      <c r="N17" s="29"/>
      <c r="O17" s="29"/>
      <c r="P17" s="67"/>
      <c r="Q17" s="63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8"/>
      <c r="AH17" s="24" t="s">
        <v>5</v>
      </c>
      <c r="AI17" s="24" t="s">
        <v>6</v>
      </c>
      <c r="AJ17" s="24" t="s">
        <v>7</v>
      </c>
      <c r="AK17" s="24" t="s">
        <v>8</v>
      </c>
      <c r="AL17" s="24" t="s">
        <v>9</v>
      </c>
      <c r="AM17" s="24" t="s">
        <v>10</v>
      </c>
      <c r="AN17" s="24" t="s">
        <v>11</v>
      </c>
      <c r="AO17" s="24" t="s">
        <v>12</v>
      </c>
      <c r="AP17" s="24" t="s">
        <v>13</v>
      </c>
      <c r="AQ17" s="24" t="s">
        <v>14</v>
      </c>
      <c r="AR17" s="24" t="s">
        <v>15</v>
      </c>
      <c r="AS17" s="24" t="s">
        <v>16</v>
      </c>
      <c r="AT17" s="5"/>
      <c r="AU17" s="24" t="s">
        <v>21</v>
      </c>
      <c r="AV17" s="24" t="s">
        <v>5</v>
      </c>
      <c r="AW17" s="24" t="s">
        <v>6</v>
      </c>
      <c r="AX17" s="24" t="s">
        <v>7</v>
      </c>
      <c r="AY17" s="24" t="s">
        <v>8</v>
      </c>
      <c r="AZ17" s="24" t="s">
        <v>9</v>
      </c>
      <c r="BA17" s="24" t="s">
        <v>10</v>
      </c>
      <c r="BB17" s="24" t="s">
        <v>11</v>
      </c>
      <c r="BC17" s="24" t="s">
        <v>12</v>
      </c>
      <c r="BD17" s="24" t="s">
        <v>13</v>
      </c>
      <c r="BE17" s="24" t="s">
        <v>14</v>
      </c>
      <c r="BF17" s="24" t="s">
        <v>15</v>
      </c>
      <c r="BG17" s="24" t="s">
        <v>16</v>
      </c>
      <c r="BH17" s="5"/>
      <c r="BI17" s="5"/>
      <c r="BJ17" s="5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</row>
    <row r="18">
      <c r="A18" s="28"/>
      <c r="B18" s="39"/>
      <c r="F18" s="66"/>
      <c r="G18" s="29"/>
      <c r="H18" s="29"/>
      <c r="I18" s="29"/>
      <c r="J18" s="29"/>
      <c r="K18" s="29"/>
      <c r="L18" s="29"/>
      <c r="M18" s="29"/>
      <c r="N18" s="29"/>
      <c r="O18" s="29"/>
      <c r="P18" s="67"/>
      <c r="Q18" s="63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69">
        <v>1.0</v>
      </c>
      <c r="AH18" s="69">
        <f t="shared" ref="AH18:AS18" si="40">iferror(sumproduct(AH4:AH15*(AH4:AH15&lt;&gt;"")*($AG4:$AG15&lt;&gt;""))/sumproduct($AG4:$AG15*(AH4:AH15&lt;&gt;"")*($AG4:$AG15&lt;&gt;"")),"")</f>
        <v>1.112185019</v>
      </c>
      <c r="AI18" s="69">
        <f t="shared" si="40"/>
        <v>1.214411248</v>
      </c>
      <c r="AJ18" s="69">
        <f t="shared" si="40"/>
        <v>1.285132819</v>
      </c>
      <c r="AK18" s="69">
        <f t="shared" si="40"/>
        <v>1.311389072</v>
      </c>
      <c r="AL18" s="69">
        <f t="shared" si="40"/>
        <v>1.365409966</v>
      </c>
      <c r="AM18" s="69">
        <f t="shared" si="40"/>
        <v>1.321856287</v>
      </c>
      <c r="AN18" s="69">
        <f t="shared" si="40"/>
        <v>1.368953881</v>
      </c>
      <c r="AO18" s="69">
        <f t="shared" si="40"/>
        <v>1.680504467</v>
      </c>
      <c r="AP18" s="69">
        <f t="shared" si="40"/>
        <v>1.910928144</v>
      </c>
      <c r="AQ18" s="69">
        <f t="shared" si="40"/>
        <v>1.876247505</v>
      </c>
      <c r="AR18" s="69">
        <f t="shared" si="40"/>
        <v>1.806886228</v>
      </c>
      <c r="AS18" s="69">
        <f t="shared" si="40"/>
        <v>2.25748503</v>
      </c>
      <c r="AT18" s="5"/>
      <c r="AU18" s="70">
        <f t="shared" ref="AU18:BG18" si="41">iferror(sumproduct(AU3:AU14*AG3:AG14*(AU3:AU14&lt;&gt;"")*(AG3:AG14&lt;&gt;""))/sumproduct(AG3:AG14*(AU3:AU14&lt;&gt;"")*(AG3:AG14&lt;&gt;"")),"")</f>
        <v>1.209919938</v>
      </c>
      <c r="AV18" s="70">
        <f t="shared" si="41"/>
        <v>1.095997228</v>
      </c>
      <c r="AW18" s="70">
        <f t="shared" si="41"/>
        <v>1.107412767</v>
      </c>
      <c r="AX18" s="70">
        <f t="shared" si="41"/>
        <v>1.092348725</v>
      </c>
      <c r="AY18" s="70">
        <f t="shared" si="41"/>
        <v>1.035977242</v>
      </c>
      <c r="AZ18" s="70">
        <f t="shared" si="41"/>
        <v>0.9399497973</v>
      </c>
      <c r="BA18" s="70">
        <f t="shared" si="41"/>
        <v>1</v>
      </c>
      <c r="BB18" s="70">
        <f t="shared" si="41"/>
        <v>1</v>
      </c>
      <c r="BC18" s="70">
        <f t="shared" si="41"/>
        <v>1</v>
      </c>
      <c r="BD18" s="70">
        <f t="shared" si="41"/>
        <v>1</v>
      </c>
      <c r="BE18" s="70">
        <f t="shared" si="41"/>
        <v>1</v>
      </c>
      <c r="BF18" s="70">
        <f t="shared" si="41"/>
        <v>1</v>
      </c>
      <c r="BG18" s="70">
        <f t="shared" si="41"/>
        <v>1</v>
      </c>
      <c r="BH18" s="5"/>
      <c r="BI18" s="5"/>
      <c r="BJ18" s="5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</row>
    <row r="19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67"/>
      <c r="Q19" s="63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24"/>
      <c r="AU19" s="71"/>
      <c r="AV19" s="72"/>
      <c r="AW19" s="5"/>
      <c r="AX19" s="5"/>
      <c r="AY19" s="5"/>
      <c r="AZ19" s="72"/>
      <c r="BA19" s="72"/>
      <c r="BB19" s="72"/>
      <c r="BC19" s="72"/>
      <c r="BD19" s="72"/>
      <c r="BE19" s="72"/>
      <c r="BF19" s="5"/>
      <c r="BG19" s="5"/>
      <c r="BH19" s="5"/>
      <c r="BI19" s="5"/>
      <c r="BJ19" s="5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</row>
    <row r="20" ht="29.25" customHeight="1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67"/>
      <c r="Q20" s="63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73" t="s">
        <v>22</v>
      </c>
      <c r="AU20" s="74">
        <f>iferror(sumproduct(AG18:AS18*AU18:BG18),"")</f>
        <v>20.04238695</v>
      </c>
      <c r="AV20" s="5"/>
      <c r="AW20" s="72"/>
      <c r="AX20" s="73" t="s">
        <v>23</v>
      </c>
      <c r="AY20" s="74">
        <f>sum(AG4:AG15)</f>
        <v>5794</v>
      </c>
      <c r="AZ20" s="5"/>
      <c r="BA20" s="4"/>
      <c r="BB20" s="73" t="s">
        <v>24</v>
      </c>
      <c r="BC20" s="74">
        <f>sum(BY4:CK15)</f>
        <v>96451</v>
      </c>
      <c r="BD20" s="5"/>
      <c r="BE20" s="75"/>
      <c r="BF20" s="5"/>
      <c r="BG20" s="5"/>
      <c r="BH20" s="5"/>
      <c r="BI20" s="5"/>
      <c r="BJ20" s="5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</row>
    <row r="21">
      <c r="A21" s="62"/>
      <c r="B21" s="76" t="str">
        <f>"Month-to-Month Retention Rates"&amp;iferror(" Since "&amp;text(datevalue(right(BK23,10)),"MMMM YYYY"),"")</f>
        <v>Month-to-Month Retention Rates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62"/>
      <c r="Q21" s="63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</row>
    <row r="22">
      <c r="A22" s="62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2"/>
      <c r="Q22" s="63"/>
      <c r="R22" s="23"/>
      <c r="S22" s="24" t="s">
        <v>5</v>
      </c>
      <c r="T22" s="24" t="s">
        <v>6</v>
      </c>
      <c r="U22" s="24" t="s">
        <v>7</v>
      </c>
      <c r="V22" s="24" t="s">
        <v>8</v>
      </c>
      <c r="W22" s="24" t="s">
        <v>9</v>
      </c>
      <c r="X22" s="24" t="s">
        <v>10</v>
      </c>
      <c r="Y22" s="24" t="s">
        <v>11</v>
      </c>
      <c r="Z22" s="24" t="s">
        <v>12</v>
      </c>
      <c r="AA22" s="24" t="s">
        <v>13</v>
      </c>
      <c r="AB22" s="24" t="s">
        <v>14</v>
      </c>
      <c r="AC22" s="24" t="s">
        <v>15</v>
      </c>
      <c r="AD22" s="24" t="s">
        <v>16</v>
      </c>
      <c r="AE22" s="5"/>
      <c r="AF22" s="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</row>
    <row r="23">
      <c r="A23" s="62"/>
      <c r="B23" s="77" t="s">
        <v>25</v>
      </c>
      <c r="C23" s="78"/>
      <c r="D23" s="79" t="s">
        <v>26</v>
      </c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80"/>
      <c r="Q23" s="63"/>
      <c r="R23" s="23" t="str">
        <f t="shared" ref="R23:R34" si="45">text(datevalue(right(BK23,10)),"MMM YYYY")</f>
        <v>#VALUE!</v>
      </c>
      <c r="S23" s="31">
        <f t="shared" ref="S23:AD23" si="42">if(or($AG23="",AH23=""),"",iferror(AH23/$AG23,""))</f>
        <v>1</v>
      </c>
      <c r="T23" s="31">
        <f t="shared" si="42"/>
        <v>1</v>
      </c>
      <c r="U23" s="31">
        <f t="shared" si="42"/>
        <v>1</v>
      </c>
      <c r="V23" s="31">
        <f t="shared" si="42"/>
        <v>1.69760479</v>
      </c>
      <c r="W23" s="31">
        <f t="shared" si="42"/>
        <v>2.25748503</v>
      </c>
      <c r="X23" s="31">
        <f t="shared" si="42"/>
        <v>2.25748503</v>
      </c>
      <c r="Y23" s="31">
        <f t="shared" si="42"/>
        <v>2.25748503</v>
      </c>
      <c r="Z23" s="31">
        <f t="shared" si="42"/>
        <v>2.25748503</v>
      </c>
      <c r="AA23" s="31">
        <f t="shared" si="42"/>
        <v>2.25748503</v>
      </c>
      <c r="AB23" s="31">
        <f t="shared" si="42"/>
        <v>2.25748503</v>
      </c>
      <c r="AC23" s="31">
        <f t="shared" si="42"/>
        <v>2.25748503</v>
      </c>
      <c r="AD23" s="31">
        <f t="shared" si="42"/>
        <v>2.25748503</v>
      </c>
      <c r="AE23" s="5"/>
      <c r="AF23" s="5"/>
      <c r="AG23" s="32">
        <f t="shared" ref="AG23:AG34" si="47">offset(BL23,0,$BJ23)</f>
        <v>334</v>
      </c>
      <c r="AH23" s="32">
        <f t="shared" ref="AH23:AS23" si="43">iferror(if($BJ23+AH$2&gt;12,"", if(offset(BM23,0,$BJ23)="","",offset(BM23,0,$BJ23))))</f>
        <v>334</v>
      </c>
      <c r="AI23" s="32">
        <f t="shared" si="43"/>
        <v>334</v>
      </c>
      <c r="AJ23" s="32">
        <f t="shared" si="43"/>
        <v>334</v>
      </c>
      <c r="AK23" s="32">
        <f t="shared" si="43"/>
        <v>567</v>
      </c>
      <c r="AL23" s="32">
        <f t="shared" si="43"/>
        <v>754</v>
      </c>
      <c r="AM23" s="32">
        <f t="shared" si="43"/>
        <v>754</v>
      </c>
      <c r="AN23" s="32">
        <f t="shared" si="43"/>
        <v>754</v>
      </c>
      <c r="AO23" s="32">
        <f t="shared" si="43"/>
        <v>754</v>
      </c>
      <c r="AP23" s="32">
        <f t="shared" si="43"/>
        <v>754</v>
      </c>
      <c r="AQ23" s="32">
        <f t="shared" si="43"/>
        <v>754</v>
      </c>
      <c r="AR23" s="32">
        <f t="shared" si="43"/>
        <v>754</v>
      </c>
      <c r="AS23" s="32">
        <f t="shared" si="43"/>
        <v>754</v>
      </c>
      <c r="AT23" s="4"/>
      <c r="AU23" s="33" t="str">
        <f t="shared" ref="AU23:BG23" si="44">iferror(if($BJ23+AG$2&gt;12,"", if(offset(BY23,0,$BJ23)="","",offset(BY23,0,$BJ23)/AG23)))</f>
        <v/>
      </c>
      <c r="AV23" s="33" t="str">
        <f t="shared" si="44"/>
        <v/>
      </c>
      <c r="AW23" s="33" t="str">
        <f t="shared" si="44"/>
        <v/>
      </c>
      <c r="AX23" s="33" t="str">
        <f t="shared" si="44"/>
        <v/>
      </c>
      <c r="AY23" s="33" t="str">
        <f t="shared" si="44"/>
        <v/>
      </c>
      <c r="AZ23" s="33" t="str">
        <f t="shared" si="44"/>
        <v/>
      </c>
      <c r="BA23" s="33" t="str">
        <f t="shared" si="44"/>
        <v/>
      </c>
      <c r="BB23" s="33" t="str">
        <f t="shared" si="44"/>
        <v/>
      </c>
      <c r="BC23" s="33" t="str">
        <f t="shared" si="44"/>
        <v/>
      </c>
      <c r="BD23" s="33" t="str">
        <f t="shared" si="44"/>
        <v/>
      </c>
      <c r="BE23" s="33" t="str">
        <f t="shared" si="44"/>
        <v/>
      </c>
      <c r="BF23" s="33" t="str">
        <f t="shared" si="44"/>
        <v/>
      </c>
      <c r="BG23" s="33" t="str">
        <f t="shared" si="44"/>
        <v/>
      </c>
      <c r="BH23" s="81" t="str">
        <f t="shared" ref="BH23:BH34" si="50">iferror(if($BJ23+AT$2&gt;12,"", if(offset(#REF!,0,$BJ23)="","",offset(#REF!,0,$BJ23)/AT23)))</f>
        <v/>
      </c>
      <c r="BI23" s="4"/>
      <c r="BJ23" s="34">
        <v>0.0</v>
      </c>
      <c r="BK23" s="6"/>
      <c r="BL23" s="6">
        <v>334.0</v>
      </c>
      <c r="BM23" s="6">
        <v>334.0</v>
      </c>
      <c r="BN23" s="6">
        <v>334.0</v>
      </c>
      <c r="BO23" s="6">
        <v>334.0</v>
      </c>
      <c r="BP23" s="6">
        <v>567.0</v>
      </c>
      <c r="BQ23" s="6">
        <v>754.0</v>
      </c>
      <c r="BR23" s="6">
        <v>754.0</v>
      </c>
      <c r="BS23" s="6">
        <v>754.0</v>
      </c>
      <c r="BT23" s="6">
        <v>754.0</v>
      </c>
      <c r="BU23" s="6">
        <v>754.0</v>
      </c>
      <c r="BV23" s="6">
        <v>754.0</v>
      </c>
      <c r="BW23" s="6">
        <v>754.0</v>
      </c>
      <c r="BX23" s="6">
        <v>754.0</v>
      </c>
      <c r="BY23" s="27"/>
      <c r="BZ23" s="8"/>
      <c r="CA23" s="8"/>
      <c r="CB23" s="8"/>
      <c r="CC23" s="27"/>
      <c r="CD23" s="8"/>
      <c r="CE23" s="27"/>
      <c r="CF23" s="8"/>
      <c r="CG23" s="8"/>
      <c r="CH23" s="8"/>
      <c r="CI23" s="82"/>
      <c r="CJ23" s="8"/>
      <c r="CK23" s="27"/>
    </row>
    <row r="24">
      <c r="A24" s="62"/>
      <c r="B24" s="83" t="s">
        <v>27</v>
      </c>
      <c r="C24" s="84" t="s">
        <v>28</v>
      </c>
      <c r="D24" s="85" t="s">
        <v>5</v>
      </c>
      <c r="E24" s="86" t="s">
        <v>6</v>
      </c>
      <c r="F24" s="86" t="s">
        <v>7</v>
      </c>
      <c r="G24" s="86" t="s">
        <v>8</v>
      </c>
      <c r="H24" s="86" t="s">
        <v>9</v>
      </c>
      <c r="I24" s="86" t="s">
        <v>10</v>
      </c>
      <c r="J24" s="86" t="s">
        <v>11</v>
      </c>
      <c r="K24" s="86" t="s">
        <v>12</v>
      </c>
      <c r="L24" s="86" t="s">
        <v>13</v>
      </c>
      <c r="M24" s="86" t="s">
        <v>14</v>
      </c>
      <c r="N24" s="86" t="s">
        <v>15</v>
      </c>
      <c r="O24" s="87" t="s">
        <v>16</v>
      </c>
      <c r="P24" s="80"/>
      <c r="Q24" s="63"/>
      <c r="R24" s="23" t="str">
        <f t="shared" si="45"/>
        <v>#VALUE!</v>
      </c>
      <c r="S24" s="31">
        <f t="shared" ref="S24:AD24" si="46">if(or($AG24="",AH24=""),"",iferror(AH24/$AG24,""))</f>
        <v>1</v>
      </c>
      <c r="T24" s="31">
        <f t="shared" si="46"/>
        <v>1</v>
      </c>
      <c r="U24" s="31">
        <f t="shared" si="46"/>
        <v>1.69760479</v>
      </c>
      <c r="V24" s="31">
        <f t="shared" si="46"/>
        <v>2.28742515</v>
      </c>
      <c r="W24" s="31">
        <f t="shared" si="46"/>
        <v>2.28742515</v>
      </c>
      <c r="X24" s="31">
        <f t="shared" si="46"/>
        <v>2.28742515</v>
      </c>
      <c r="Y24" s="31">
        <f t="shared" si="46"/>
        <v>2.28742515</v>
      </c>
      <c r="Z24" s="31">
        <f t="shared" si="46"/>
        <v>2.28742515</v>
      </c>
      <c r="AA24" s="31">
        <f t="shared" si="46"/>
        <v>1.356287425</v>
      </c>
      <c r="AB24" s="31">
        <f t="shared" si="46"/>
        <v>1.356287425</v>
      </c>
      <c r="AC24" s="31">
        <f t="shared" si="46"/>
        <v>1.356287425</v>
      </c>
      <c r="AD24" s="31" t="str">
        <f t="shared" si="46"/>
        <v/>
      </c>
      <c r="AE24" s="5"/>
      <c r="AF24" s="5"/>
      <c r="AG24" s="32">
        <f t="shared" si="47"/>
        <v>334</v>
      </c>
      <c r="AH24" s="32">
        <f t="shared" ref="AH24:AS24" si="48">iferror(if($BJ24+AH$2&gt;12,"", if(offset(BM24,0,$BJ24)="","",offset(BM24,0,$BJ24))))</f>
        <v>334</v>
      </c>
      <c r="AI24" s="32">
        <f t="shared" si="48"/>
        <v>334</v>
      </c>
      <c r="AJ24" s="32">
        <f t="shared" si="48"/>
        <v>567</v>
      </c>
      <c r="AK24" s="32">
        <f t="shared" si="48"/>
        <v>764</v>
      </c>
      <c r="AL24" s="32">
        <f t="shared" si="48"/>
        <v>764</v>
      </c>
      <c r="AM24" s="32">
        <f t="shared" si="48"/>
        <v>764</v>
      </c>
      <c r="AN24" s="32">
        <f t="shared" si="48"/>
        <v>764</v>
      </c>
      <c r="AO24" s="32">
        <f t="shared" si="48"/>
        <v>764</v>
      </c>
      <c r="AP24" s="32">
        <f t="shared" si="48"/>
        <v>453</v>
      </c>
      <c r="AQ24" s="32">
        <f t="shared" si="48"/>
        <v>453</v>
      </c>
      <c r="AR24" s="32">
        <f t="shared" si="48"/>
        <v>453</v>
      </c>
      <c r="AS24" s="32" t="str">
        <f t="shared" si="48"/>
        <v/>
      </c>
      <c r="AT24" s="4"/>
      <c r="AU24" s="33" t="str">
        <f t="shared" ref="AU24:BG24" si="49">iferror(if($BJ24+AG$2&gt;12,"", if(offset(BY24,0,$BJ24)="","",offset(BY24,0,$BJ24)/AG24)))</f>
        <v/>
      </c>
      <c r="AV24" s="33" t="str">
        <f t="shared" si="49"/>
        <v/>
      </c>
      <c r="AW24" s="33" t="str">
        <f t="shared" si="49"/>
        <v/>
      </c>
      <c r="AX24" s="33" t="str">
        <f t="shared" si="49"/>
        <v/>
      </c>
      <c r="AY24" s="33" t="str">
        <f t="shared" si="49"/>
        <v/>
      </c>
      <c r="AZ24" s="33" t="str">
        <f t="shared" si="49"/>
        <v/>
      </c>
      <c r="BA24" s="33" t="str">
        <f t="shared" si="49"/>
        <v/>
      </c>
      <c r="BB24" s="33" t="str">
        <f t="shared" si="49"/>
        <v/>
      </c>
      <c r="BC24" s="33" t="str">
        <f t="shared" si="49"/>
        <v/>
      </c>
      <c r="BD24" s="33" t="str">
        <f t="shared" si="49"/>
        <v/>
      </c>
      <c r="BE24" s="33" t="str">
        <f t="shared" si="49"/>
        <v/>
      </c>
      <c r="BF24" s="33" t="str">
        <f t="shared" si="49"/>
        <v/>
      </c>
      <c r="BG24" s="33" t="str">
        <f t="shared" si="49"/>
        <v/>
      </c>
      <c r="BH24" s="81" t="str">
        <f t="shared" si="50"/>
        <v/>
      </c>
      <c r="BI24" s="4"/>
      <c r="BJ24" s="34">
        <f t="shared" ref="BJ24:BJ34" si="55">BJ23+1</f>
        <v>1</v>
      </c>
      <c r="BK24" s="6"/>
      <c r="BL24" s="6">
        <v>334.0</v>
      </c>
      <c r="BM24" s="6">
        <v>334.0</v>
      </c>
      <c r="BN24" s="6">
        <v>334.0</v>
      </c>
      <c r="BO24" s="6">
        <v>334.0</v>
      </c>
      <c r="BP24" s="6">
        <v>567.0</v>
      </c>
      <c r="BQ24" s="6">
        <v>764.0</v>
      </c>
      <c r="BR24" s="6">
        <v>764.0</v>
      </c>
      <c r="BS24" s="6">
        <v>764.0</v>
      </c>
      <c r="BT24" s="6">
        <v>764.0</v>
      </c>
      <c r="BU24" s="6">
        <v>764.0</v>
      </c>
      <c r="BV24" s="6">
        <v>453.0</v>
      </c>
      <c r="BW24" s="6">
        <v>453.0</v>
      </c>
      <c r="BX24" s="6">
        <v>453.0</v>
      </c>
      <c r="BY24" s="27"/>
      <c r="BZ24" s="8"/>
      <c r="CA24" s="8"/>
      <c r="CB24" s="8"/>
      <c r="CC24" s="8"/>
      <c r="CD24" s="8"/>
      <c r="CE24" s="27"/>
      <c r="CF24" s="8"/>
      <c r="CG24" s="8"/>
      <c r="CH24" s="8"/>
      <c r="CI24" s="82"/>
      <c r="CJ24" s="8"/>
      <c r="CK24" s="27"/>
    </row>
    <row r="25">
      <c r="A25" s="62"/>
      <c r="B25" s="88" t="str">
        <f t="shared" ref="B25:B36" si="56">iferror(text(datevalue(right(BK4,10)),"MMM YYYY"),"")</f>
        <v/>
      </c>
      <c r="C25" s="89">
        <f t="shared" ref="C25:C36" si="57">AG4</f>
        <v>334</v>
      </c>
      <c r="D25" s="90">
        <f t="shared" ref="D25:D36" si="58">S4</f>
        <v>1</v>
      </c>
      <c r="E25" s="91">
        <f t="shared" ref="E25:O25" si="51">iferror(if($N$38="relative",if(T4="","",T4/S4),T4),"")</f>
        <v>1</v>
      </c>
      <c r="F25" s="91">
        <f t="shared" si="51"/>
        <v>1</v>
      </c>
      <c r="G25" s="91">
        <f t="shared" si="51"/>
        <v>1.69760479</v>
      </c>
      <c r="H25" s="91">
        <f t="shared" si="51"/>
        <v>2.25748503</v>
      </c>
      <c r="I25" s="91">
        <f t="shared" si="51"/>
        <v>2.25748503</v>
      </c>
      <c r="J25" s="91">
        <f t="shared" si="51"/>
        <v>2.25748503</v>
      </c>
      <c r="K25" s="91">
        <f t="shared" si="51"/>
        <v>2.25748503</v>
      </c>
      <c r="L25" s="91">
        <f t="shared" si="51"/>
        <v>2.25748503</v>
      </c>
      <c r="M25" s="91">
        <f t="shared" si="51"/>
        <v>2.25748503</v>
      </c>
      <c r="N25" s="91">
        <f t="shared" si="51"/>
        <v>2.25748503</v>
      </c>
      <c r="O25" s="92">
        <f t="shared" si="51"/>
        <v>2.25748503</v>
      </c>
      <c r="P25" s="80"/>
      <c r="Q25" s="63"/>
      <c r="R25" s="23" t="str">
        <f t="shared" si="45"/>
        <v>#VALUE!</v>
      </c>
      <c r="S25" s="31">
        <f t="shared" ref="S25:AD25" si="52">if(or($AG25="",AH25=""),"",iferror(AH25/$AG25,""))</f>
        <v>1</v>
      </c>
      <c r="T25" s="31">
        <f t="shared" si="52"/>
        <v>1</v>
      </c>
      <c r="U25" s="31">
        <f t="shared" si="52"/>
        <v>1</v>
      </c>
      <c r="V25" s="31">
        <f t="shared" si="52"/>
        <v>1</v>
      </c>
      <c r="W25" s="31">
        <f t="shared" si="52"/>
        <v>1</v>
      </c>
      <c r="X25" s="31">
        <f t="shared" si="52"/>
        <v>1</v>
      </c>
      <c r="Y25" s="31">
        <f t="shared" si="52"/>
        <v>1</v>
      </c>
      <c r="Z25" s="31">
        <f t="shared" si="52"/>
        <v>1</v>
      </c>
      <c r="AA25" s="31">
        <f t="shared" si="52"/>
        <v>2.01497006</v>
      </c>
      <c r="AB25" s="31">
        <f t="shared" si="52"/>
        <v>2.01497006</v>
      </c>
      <c r="AC25" s="31" t="str">
        <f t="shared" si="52"/>
        <v/>
      </c>
      <c r="AD25" s="31" t="str">
        <f t="shared" si="52"/>
        <v/>
      </c>
      <c r="AE25" s="5"/>
      <c r="AF25" s="5"/>
      <c r="AG25" s="32">
        <f t="shared" si="47"/>
        <v>334</v>
      </c>
      <c r="AH25" s="32">
        <f t="shared" ref="AH25:AS25" si="53">iferror(if($BJ25+AH$2&gt;12,"", if(offset(BM25,0,$BJ25)="","",offset(BM25,0,$BJ25))))</f>
        <v>334</v>
      </c>
      <c r="AI25" s="32">
        <f t="shared" si="53"/>
        <v>334</v>
      </c>
      <c r="AJ25" s="32">
        <f t="shared" si="53"/>
        <v>334</v>
      </c>
      <c r="AK25" s="32">
        <f t="shared" si="53"/>
        <v>334</v>
      </c>
      <c r="AL25" s="32">
        <f t="shared" si="53"/>
        <v>334</v>
      </c>
      <c r="AM25" s="32">
        <f t="shared" si="53"/>
        <v>334</v>
      </c>
      <c r="AN25" s="32">
        <f t="shared" si="53"/>
        <v>334</v>
      </c>
      <c r="AO25" s="32">
        <f t="shared" si="53"/>
        <v>334</v>
      </c>
      <c r="AP25" s="32">
        <f t="shared" si="53"/>
        <v>673</v>
      </c>
      <c r="AQ25" s="32">
        <f t="shared" si="53"/>
        <v>673</v>
      </c>
      <c r="AR25" s="32" t="str">
        <f t="shared" si="53"/>
        <v/>
      </c>
      <c r="AS25" s="32" t="str">
        <f t="shared" si="53"/>
        <v/>
      </c>
      <c r="AT25" s="4"/>
      <c r="AU25" s="33" t="str">
        <f t="shared" ref="AU25:BG25" si="54">iferror(if($BJ25+AG$2&gt;12,"", if(offset(BY25,0,$BJ25)="","",offset(BY25,0,$BJ25)/AG25)))</f>
        <v/>
      </c>
      <c r="AV25" s="33" t="str">
        <f t="shared" si="54"/>
        <v/>
      </c>
      <c r="AW25" s="33" t="str">
        <f t="shared" si="54"/>
        <v/>
      </c>
      <c r="AX25" s="33" t="str">
        <f t="shared" si="54"/>
        <v/>
      </c>
      <c r="AY25" s="33" t="str">
        <f t="shared" si="54"/>
        <v/>
      </c>
      <c r="AZ25" s="33" t="str">
        <f t="shared" si="54"/>
        <v/>
      </c>
      <c r="BA25" s="33" t="str">
        <f t="shared" si="54"/>
        <v/>
      </c>
      <c r="BB25" s="33" t="str">
        <f t="shared" si="54"/>
        <v/>
      </c>
      <c r="BC25" s="33" t="str">
        <f t="shared" si="54"/>
        <v/>
      </c>
      <c r="BD25" s="33" t="str">
        <f t="shared" si="54"/>
        <v/>
      </c>
      <c r="BE25" s="33" t="str">
        <f t="shared" si="54"/>
        <v/>
      </c>
      <c r="BF25" s="33" t="str">
        <f t="shared" si="54"/>
        <v/>
      </c>
      <c r="BG25" s="33" t="str">
        <f t="shared" si="54"/>
        <v/>
      </c>
      <c r="BH25" s="81" t="str">
        <f t="shared" si="50"/>
        <v/>
      </c>
      <c r="BI25" s="4"/>
      <c r="BJ25" s="34">
        <f t="shared" si="55"/>
        <v>2</v>
      </c>
      <c r="BK25" s="6"/>
      <c r="BL25" s="6">
        <v>334.0</v>
      </c>
      <c r="BM25" s="6">
        <v>334.0</v>
      </c>
      <c r="BN25" s="6">
        <v>334.0</v>
      </c>
      <c r="BO25" s="6">
        <v>334.0</v>
      </c>
      <c r="BP25" s="6">
        <v>334.0</v>
      </c>
      <c r="BQ25" s="6">
        <v>334.0</v>
      </c>
      <c r="BR25" s="6">
        <v>334.0</v>
      </c>
      <c r="BS25" s="6">
        <v>334.0</v>
      </c>
      <c r="BT25" s="6">
        <v>334.0</v>
      </c>
      <c r="BU25" s="6">
        <v>334.0</v>
      </c>
      <c r="BV25" s="6">
        <v>334.0</v>
      </c>
      <c r="BW25" s="6">
        <v>673.0</v>
      </c>
      <c r="BX25" s="6">
        <v>673.0</v>
      </c>
      <c r="BY25" s="27"/>
      <c r="BZ25" s="82"/>
      <c r="CA25" s="27"/>
      <c r="CB25" s="82"/>
      <c r="CC25" s="82"/>
      <c r="CD25" s="82"/>
      <c r="CE25" s="27"/>
      <c r="CF25" s="82"/>
      <c r="CG25" s="82"/>
      <c r="CH25" s="82"/>
      <c r="CI25" s="82"/>
      <c r="CJ25" s="82"/>
      <c r="CK25" s="27"/>
    </row>
    <row r="26">
      <c r="A26" s="62"/>
      <c r="B26" s="88" t="str">
        <f t="shared" si="56"/>
        <v/>
      </c>
      <c r="C26" s="89">
        <f t="shared" si="57"/>
        <v>334</v>
      </c>
      <c r="D26" s="90">
        <f t="shared" si="58"/>
        <v>1</v>
      </c>
      <c r="E26" s="91">
        <f t="shared" ref="E26:O26" si="59">iferror(if($N$38="relative",if(T5="","",T5/S5),T5),"")</f>
        <v>1</v>
      </c>
      <c r="F26" s="91">
        <f t="shared" si="59"/>
        <v>1.69760479</v>
      </c>
      <c r="G26" s="91">
        <f t="shared" si="59"/>
        <v>2.28742515</v>
      </c>
      <c r="H26" s="91">
        <f t="shared" si="59"/>
        <v>2.28742515</v>
      </c>
      <c r="I26" s="91">
        <f t="shared" si="59"/>
        <v>2.28742515</v>
      </c>
      <c r="J26" s="91">
        <f t="shared" si="59"/>
        <v>2.28742515</v>
      </c>
      <c r="K26" s="91">
        <f t="shared" si="59"/>
        <v>2.28742515</v>
      </c>
      <c r="L26" s="91">
        <f t="shared" si="59"/>
        <v>1.356287425</v>
      </c>
      <c r="M26" s="91">
        <f t="shared" si="59"/>
        <v>1.356287425</v>
      </c>
      <c r="N26" s="91">
        <f t="shared" si="59"/>
        <v>1.356287425</v>
      </c>
      <c r="O26" s="92" t="str">
        <f t="shared" si="59"/>
        <v/>
      </c>
      <c r="P26" s="80"/>
      <c r="Q26" s="63"/>
      <c r="R26" s="23" t="str">
        <f t="shared" si="45"/>
        <v>#VALUE!</v>
      </c>
      <c r="S26" s="31">
        <f t="shared" ref="S26:AD26" si="60">if(or($AG26="",AH26=""),"",iferror(AH26/$AG26,""))</f>
        <v>1.69760479</v>
      </c>
      <c r="T26" s="31">
        <f t="shared" si="60"/>
        <v>2.28742515</v>
      </c>
      <c r="U26" s="31">
        <f t="shared" si="60"/>
        <v>2.28742515</v>
      </c>
      <c r="V26" s="31">
        <f t="shared" si="60"/>
        <v>2.28742515</v>
      </c>
      <c r="W26" s="31">
        <f t="shared" si="60"/>
        <v>2.28742515</v>
      </c>
      <c r="X26" s="31">
        <f t="shared" si="60"/>
        <v>2.28742515</v>
      </c>
      <c r="Y26" s="31">
        <f t="shared" si="60"/>
        <v>1.356287425</v>
      </c>
      <c r="Z26" s="31">
        <f t="shared" si="60"/>
        <v>2.01497006</v>
      </c>
      <c r="AA26" s="31">
        <f t="shared" si="60"/>
        <v>2.01497006</v>
      </c>
      <c r="AB26" s="31" t="str">
        <f t="shared" si="60"/>
        <v/>
      </c>
      <c r="AC26" s="31" t="str">
        <f t="shared" si="60"/>
        <v/>
      </c>
      <c r="AD26" s="31" t="str">
        <f t="shared" si="60"/>
        <v/>
      </c>
      <c r="AE26" s="5"/>
      <c r="AF26" s="5"/>
      <c r="AG26" s="32">
        <f t="shared" si="47"/>
        <v>334</v>
      </c>
      <c r="AH26" s="32">
        <f t="shared" ref="AH26:AS26" si="61">iferror(if($BJ26+AH$2&gt;12,"", if(offset(BM26,0,$BJ26)="","",offset(BM26,0,$BJ26))))</f>
        <v>567</v>
      </c>
      <c r="AI26" s="32">
        <f t="shared" si="61"/>
        <v>764</v>
      </c>
      <c r="AJ26" s="32">
        <f t="shared" si="61"/>
        <v>764</v>
      </c>
      <c r="AK26" s="32">
        <f t="shared" si="61"/>
        <v>764</v>
      </c>
      <c r="AL26" s="32">
        <f t="shared" si="61"/>
        <v>764</v>
      </c>
      <c r="AM26" s="32">
        <f t="shared" si="61"/>
        <v>764</v>
      </c>
      <c r="AN26" s="32">
        <f t="shared" si="61"/>
        <v>453</v>
      </c>
      <c r="AO26" s="32">
        <f t="shared" si="61"/>
        <v>673</v>
      </c>
      <c r="AP26" s="32">
        <f t="shared" si="61"/>
        <v>673</v>
      </c>
      <c r="AQ26" s="32" t="str">
        <f t="shared" si="61"/>
        <v/>
      </c>
      <c r="AR26" s="32" t="str">
        <f t="shared" si="61"/>
        <v/>
      </c>
      <c r="AS26" s="32" t="str">
        <f t="shared" si="61"/>
        <v/>
      </c>
      <c r="AT26" s="4"/>
      <c r="AU26" s="33" t="str">
        <f t="shared" ref="AU26:BG26" si="62">iferror(if($BJ26+AG$2&gt;12,"", if(offset(BY26,0,$BJ26)="","",offset(BY26,0,$BJ26)/AG26)))</f>
        <v/>
      </c>
      <c r="AV26" s="33" t="str">
        <f t="shared" si="62"/>
        <v/>
      </c>
      <c r="AW26" s="33" t="str">
        <f t="shared" si="62"/>
        <v/>
      </c>
      <c r="AX26" s="33" t="str">
        <f t="shared" si="62"/>
        <v/>
      </c>
      <c r="AY26" s="33" t="str">
        <f t="shared" si="62"/>
        <v/>
      </c>
      <c r="AZ26" s="33" t="str">
        <f t="shared" si="62"/>
        <v/>
      </c>
      <c r="BA26" s="33" t="str">
        <f t="shared" si="62"/>
        <v/>
      </c>
      <c r="BB26" s="33" t="str">
        <f t="shared" si="62"/>
        <v/>
      </c>
      <c r="BC26" s="33" t="str">
        <f t="shared" si="62"/>
        <v/>
      </c>
      <c r="BD26" s="33" t="str">
        <f t="shared" si="62"/>
        <v/>
      </c>
      <c r="BE26" s="33" t="str">
        <f t="shared" si="62"/>
        <v/>
      </c>
      <c r="BF26" s="33" t="str">
        <f t="shared" si="62"/>
        <v/>
      </c>
      <c r="BG26" s="33" t="str">
        <f t="shared" si="62"/>
        <v/>
      </c>
      <c r="BH26" s="81" t="str">
        <f t="shared" si="50"/>
        <v/>
      </c>
      <c r="BI26" s="4"/>
      <c r="BJ26" s="34">
        <f t="shared" si="55"/>
        <v>3</v>
      </c>
      <c r="BK26" s="6"/>
      <c r="BL26" s="6">
        <v>334.0</v>
      </c>
      <c r="BM26" s="6">
        <v>334.0</v>
      </c>
      <c r="BN26" s="6">
        <v>334.0</v>
      </c>
      <c r="BO26" s="6">
        <v>334.0</v>
      </c>
      <c r="BP26" s="6">
        <v>567.0</v>
      </c>
      <c r="BQ26" s="6">
        <v>764.0</v>
      </c>
      <c r="BR26" s="6">
        <v>764.0</v>
      </c>
      <c r="BS26" s="6">
        <v>764.0</v>
      </c>
      <c r="BT26" s="6">
        <v>764.0</v>
      </c>
      <c r="BU26" s="6">
        <v>764.0</v>
      </c>
      <c r="BV26" s="6">
        <v>453.0</v>
      </c>
      <c r="BW26" s="6">
        <v>673.0</v>
      </c>
      <c r="BX26" s="6">
        <v>673.0</v>
      </c>
      <c r="BY26" s="27"/>
      <c r="BZ26" s="82"/>
      <c r="CA26" s="27"/>
      <c r="CB26" s="82"/>
      <c r="CC26" s="27"/>
      <c r="CD26" s="82"/>
      <c r="CE26" s="82"/>
      <c r="CF26" s="82"/>
      <c r="CG26" s="27"/>
      <c r="CH26" s="82"/>
      <c r="CI26" s="82"/>
      <c r="CJ26" s="82"/>
      <c r="CK26" s="27"/>
    </row>
    <row r="27">
      <c r="A27" s="62"/>
      <c r="B27" s="88" t="str">
        <f t="shared" si="56"/>
        <v/>
      </c>
      <c r="C27" s="89">
        <f t="shared" si="57"/>
        <v>334</v>
      </c>
      <c r="D27" s="90">
        <f t="shared" si="58"/>
        <v>1</v>
      </c>
      <c r="E27" s="91">
        <f t="shared" ref="E27:E36" si="67">iferror(if($N$38="relative",if(T6="","",T6/S6),T6),"")</f>
        <v>1</v>
      </c>
      <c r="F27" s="91"/>
      <c r="G27" s="91">
        <f t="shared" ref="G27:O27" si="63">iferror(if($N$38="relative",if(V6="","",V6/U6),V6),"")</f>
        <v>1</v>
      </c>
      <c r="H27" s="91">
        <f t="shared" si="63"/>
        <v>1</v>
      </c>
      <c r="I27" s="91">
        <f t="shared" si="63"/>
        <v>1</v>
      </c>
      <c r="J27" s="91">
        <f t="shared" si="63"/>
        <v>1</v>
      </c>
      <c r="K27" s="91">
        <f t="shared" si="63"/>
        <v>1</v>
      </c>
      <c r="L27" s="91">
        <f t="shared" si="63"/>
        <v>2.01497006</v>
      </c>
      <c r="M27" s="91">
        <f t="shared" si="63"/>
        <v>2.01497006</v>
      </c>
      <c r="N27" s="91" t="str">
        <f t="shared" si="63"/>
        <v/>
      </c>
      <c r="O27" s="92" t="str">
        <f t="shared" si="63"/>
        <v/>
      </c>
      <c r="P27" s="80"/>
      <c r="Q27" s="63"/>
      <c r="R27" s="23" t="str">
        <f t="shared" si="45"/>
        <v>#VALUE!</v>
      </c>
      <c r="S27" s="31">
        <f t="shared" ref="S27:AD27" si="64">if(or($AG27="",AH27=""),"",iferror(AH27/$AG27,""))</f>
        <v>1.347442681</v>
      </c>
      <c r="T27" s="31">
        <f t="shared" si="64"/>
        <v>1.347442681</v>
      </c>
      <c r="U27" s="31">
        <f t="shared" si="64"/>
        <v>1.347442681</v>
      </c>
      <c r="V27" s="31">
        <f t="shared" si="64"/>
        <v>1.347442681</v>
      </c>
      <c r="W27" s="31">
        <f t="shared" si="64"/>
        <v>1.347442681</v>
      </c>
      <c r="X27" s="31">
        <f t="shared" si="64"/>
        <v>0.7989417989</v>
      </c>
      <c r="Y27" s="31">
        <f t="shared" si="64"/>
        <v>1.186948854</v>
      </c>
      <c r="Z27" s="31">
        <f t="shared" si="64"/>
        <v>1.186948854</v>
      </c>
      <c r="AA27" s="31" t="str">
        <f t="shared" si="64"/>
        <v/>
      </c>
      <c r="AB27" s="31" t="str">
        <f t="shared" si="64"/>
        <v/>
      </c>
      <c r="AC27" s="31" t="str">
        <f t="shared" si="64"/>
        <v/>
      </c>
      <c r="AD27" s="31" t="str">
        <f t="shared" si="64"/>
        <v/>
      </c>
      <c r="AE27" s="5"/>
      <c r="AF27" s="5"/>
      <c r="AG27" s="32">
        <f t="shared" si="47"/>
        <v>567</v>
      </c>
      <c r="AH27" s="32">
        <f t="shared" ref="AH27:AS27" si="65">iferror(if($BJ27+AH$2&gt;12,"", if(offset(BM27,0,$BJ27)="","",offset(BM27,0,$BJ27))))</f>
        <v>764</v>
      </c>
      <c r="AI27" s="32">
        <f t="shared" si="65"/>
        <v>764</v>
      </c>
      <c r="AJ27" s="32">
        <f t="shared" si="65"/>
        <v>764</v>
      </c>
      <c r="AK27" s="32">
        <f t="shared" si="65"/>
        <v>764</v>
      </c>
      <c r="AL27" s="32">
        <f t="shared" si="65"/>
        <v>764</v>
      </c>
      <c r="AM27" s="32">
        <f t="shared" si="65"/>
        <v>453</v>
      </c>
      <c r="AN27" s="32">
        <f t="shared" si="65"/>
        <v>673</v>
      </c>
      <c r="AO27" s="32">
        <f t="shared" si="65"/>
        <v>673</v>
      </c>
      <c r="AP27" s="32" t="str">
        <f t="shared" si="65"/>
        <v/>
      </c>
      <c r="AQ27" s="32" t="str">
        <f t="shared" si="65"/>
        <v/>
      </c>
      <c r="AR27" s="32" t="str">
        <f t="shared" si="65"/>
        <v/>
      </c>
      <c r="AS27" s="32" t="str">
        <f t="shared" si="65"/>
        <v/>
      </c>
      <c r="AT27" s="4"/>
      <c r="AU27" s="33" t="str">
        <f t="shared" ref="AU27:BG27" si="66">iferror(if($BJ27+AG$2&gt;12,"", if(offset(BY27,0,$BJ27)="","",offset(BY27,0,$BJ27)/AG27)))</f>
        <v/>
      </c>
      <c r="AV27" s="33" t="str">
        <f t="shared" si="66"/>
        <v/>
      </c>
      <c r="AW27" s="33" t="str">
        <f t="shared" si="66"/>
        <v/>
      </c>
      <c r="AX27" s="33" t="str">
        <f t="shared" si="66"/>
        <v/>
      </c>
      <c r="AY27" s="33" t="str">
        <f t="shared" si="66"/>
        <v/>
      </c>
      <c r="AZ27" s="33" t="str">
        <f t="shared" si="66"/>
        <v/>
      </c>
      <c r="BA27" s="33" t="str">
        <f t="shared" si="66"/>
        <v/>
      </c>
      <c r="BB27" s="33" t="str">
        <f t="shared" si="66"/>
        <v/>
      </c>
      <c r="BC27" s="33" t="str">
        <f t="shared" si="66"/>
        <v/>
      </c>
      <c r="BD27" s="33" t="str">
        <f t="shared" si="66"/>
        <v/>
      </c>
      <c r="BE27" s="33" t="str">
        <f t="shared" si="66"/>
        <v/>
      </c>
      <c r="BF27" s="33" t="str">
        <f t="shared" si="66"/>
        <v/>
      </c>
      <c r="BG27" s="33" t="str">
        <f t="shared" si="66"/>
        <v/>
      </c>
      <c r="BH27" s="81" t="str">
        <f t="shared" si="50"/>
        <v/>
      </c>
      <c r="BI27" s="4"/>
      <c r="BJ27" s="34">
        <f t="shared" si="55"/>
        <v>4</v>
      </c>
      <c r="BK27" s="6"/>
      <c r="BL27" s="6">
        <v>334.0</v>
      </c>
      <c r="BM27" s="6">
        <v>334.0</v>
      </c>
      <c r="BN27" s="6">
        <v>334.0</v>
      </c>
      <c r="BO27" s="6">
        <v>334.0</v>
      </c>
      <c r="BP27" s="6">
        <v>567.0</v>
      </c>
      <c r="BQ27" s="6">
        <v>764.0</v>
      </c>
      <c r="BR27" s="6">
        <v>764.0</v>
      </c>
      <c r="BS27" s="6">
        <v>764.0</v>
      </c>
      <c r="BT27" s="6">
        <v>764.0</v>
      </c>
      <c r="BU27" s="6">
        <v>764.0</v>
      </c>
      <c r="BV27" s="6">
        <v>453.0</v>
      </c>
      <c r="BW27" s="6">
        <v>673.0</v>
      </c>
      <c r="BX27" s="6">
        <v>673.0</v>
      </c>
      <c r="BY27" s="27"/>
      <c r="BZ27" s="82"/>
      <c r="CA27" s="27"/>
      <c r="CB27" s="82"/>
      <c r="CC27" s="27"/>
      <c r="CD27" s="82"/>
      <c r="CE27" s="82"/>
      <c r="CF27" s="82"/>
      <c r="CG27" s="82"/>
      <c r="CH27" s="82"/>
      <c r="CI27" s="82"/>
      <c r="CJ27" s="82"/>
      <c r="CK27" s="27"/>
    </row>
    <row r="28">
      <c r="A28" s="62"/>
      <c r="B28" s="88" t="str">
        <f t="shared" si="56"/>
        <v/>
      </c>
      <c r="C28" s="89">
        <f t="shared" si="57"/>
        <v>334</v>
      </c>
      <c r="D28" s="90">
        <f t="shared" si="58"/>
        <v>1.69760479</v>
      </c>
      <c r="E28" s="91">
        <f t="shared" si="67"/>
        <v>2.28742515</v>
      </c>
      <c r="F28" s="91">
        <f t="shared" ref="F28:O28" si="68">iferror(if($N$38="relative",if(U7="","",U7/T7),U7),"")</f>
        <v>2.28742515</v>
      </c>
      <c r="G28" s="91">
        <f t="shared" si="68"/>
        <v>2.28742515</v>
      </c>
      <c r="H28" s="91">
        <f t="shared" si="68"/>
        <v>2.28742515</v>
      </c>
      <c r="I28" s="91">
        <f t="shared" si="68"/>
        <v>2.28742515</v>
      </c>
      <c r="J28" s="91">
        <f t="shared" si="68"/>
        <v>1.356287425</v>
      </c>
      <c r="K28" s="91">
        <f t="shared" si="68"/>
        <v>2.01497006</v>
      </c>
      <c r="L28" s="91">
        <f t="shared" si="68"/>
        <v>2.01497006</v>
      </c>
      <c r="M28" s="91" t="str">
        <f t="shared" si="68"/>
        <v/>
      </c>
      <c r="N28" s="91" t="str">
        <f t="shared" si="68"/>
        <v/>
      </c>
      <c r="O28" s="92" t="str">
        <f t="shared" si="68"/>
        <v/>
      </c>
      <c r="P28" s="80"/>
      <c r="Q28" s="63"/>
      <c r="R28" s="23" t="str">
        <f t="shared" si="45"/>
        <v>#VALUE!</v>
      </c>
      <c r="S28" s="31">
        <f t="shared" ref="S28:AD28" si="69">if(or($AG28="",AH28=""),"",iferror(AH28/$AG28,""))</f>
        <v>1</v>
      </c>
      <c r="T28" s="31">
        <f t="shared" si="69"/>
        <v>1</v>
      </c>
      <c r="U28" s="31">
        <f t="shared" si="69"/>
        <v>1</v>
      </c>
      <c r="V28" s="31">
        <f t="shared" si="69"/>
        <v>1</v>
      </c>
      <c r="W28" s="31">
        <f t="shared" si="69"/>
        <v>0.5929319372</v>
      </c>
      <c r="X28" s="31">
        <f t="shared" si="69"/>
        <v>0.8808900524</v>
      </c>
      <c r="Y28" s="31">
        <f t="shared" si="69"/>
        <v>0.8808900524</v>
      </c>
      <c r="Z28" s="31" t="str">
        <f t="shared" si="69"/>
        <v/>
      </c>
      <c r="AA28" s="31" t="str">
        <f t="shared" si="69"/>
        <v/>
      </c>
      <c r="AB28" s="31" t="str">
        <f t="shared" si="69"/>
        <v/>
      </c>
      <c r="AC28" s="31" t="str">
        <f t="shared" si="69"/>
        <v/>
      </c>
      <c r="AD28" s="31" t="str">
        <f t="shared" si="69"/>
        <v/>
      </c>
      <c r="AE28" s="5"/>
      <c r="AF28" s="5"/>
      <c r="AG28" s="32">
        <f t="shared" si="47"/>
        <v>764</v>
      </c>
      <c r="AH28" s="32">
        <f t="shared" ref="AH28:AS28" si="70">iferror(if($BJ28+AH$2&gt;12,"", if(offset(BM28,0,$BJ28)="","",offset(BM28,0,$BJ28))))</f>
        <v>764</v>
      </c>
      <c r="AI28" s="32">
        <f t="shared" si="70"/>
        <v>764</v>
      </c>
      <c r="AJ28" s="32">
        <f t="shared" si="70"/>
        <v>764</v>
      </c>
      <c r="AK28" s="32">
        <f t="shared" si="70"/>
        <v>764</v>
      </c>
      <c r="AL28" s="32">
        <f t="shared" si="70"/>
        <v>453</v>
      </c>
      <c r="AM28" s="32">
        <f t="shared" si="70"/>
        <v>673</v>
      </c>
      <c r="AN28" s="32">
        <f t="shared" si="70"/>
        <v>673</v>
      </c>
      <c r="AO28" s="32" t="str">
        <f t="shared" si="70"/>
        <v/>
      </c>
      <c r="AP28" s="32" t="str">
        <f t="shared" si="70"/>
        <v/>
      </c>
      <c r="AQ28" s="32" t="str">
        <f t="shared" si="70"/>
        <v/>
      </c>
      <c r="AR28" s="32" t="str">
        <f t="shared" si="70"/>
        <v/>
      </c>
      <c r="AS28" s="32" t="str">
        <f t="shared" si="70"/>
        <v/>
      </c>
      <c r="AT28" s="4"/>
      <c r="AU28" s="33" t="str">
        <f t="shared" ref="AU28:BG28" si="71">iferror(if($BJ28+AG$2&gt;12,"", if(offset(BY28,0,$BJ28)="","",offset(BY28,0,$BJ28)/AG28)))</f>
        <v/>
      </c>
      <c r="AV28" s="33" t="str">
        <f t="shared" si="71"/>
        <v/>
      </c>
      <c r="AW28" s="33" t="str">
        <f t="shared" si="71"/>
        <v/>
      </c>
      <c r="AX28" s="33" t="str">
        <f t="shared" si="71"/>
        <v/>
      </c>
      <c r="AY28" s="33" t="str">
        <f t="shared" si="71"/>
        <v/>
      </c>
      <c r="AZ28" s="33" t="str">
        <f t="shared" si="71"/>
        <v/>
      </c>
      <c r="BA28" s="33" t="str">
        <f t="shared" si="71"/>
        <v/>
      </c>
      <c r="BB28" s="33" t="str">
        <f t="shared" si="71"/>
        <v/>
      </c>
      <c r="BC28" s="33" t="str">
        <f t="shared" si="71"/>
        <v/>
      </c>
      <c r="BD28" s="33" t="str">
        <f t="shared" si="71"/>
        <v/>
      </c>
      <c r="BE28" s="33" t="str">
        <f t="shared" si="71"/>
        <v/>
      </c>
      <c r="BF28" s="33" t="str">
        <f t="shared" si="71"/>
        <v/>
      </c>
      <c r="BG28" s="33" t="str">
        <f t="shared" si="71"/>
        <v/>
      </c>
      <c r="BH28" s="81" t="str">
        <f t="shared" si="50"/>
        <v/>
      </c>
      <c r="BI28" s="4"/>
      <c r="BJ28" s="34">
        <f t="shared" si="55"/>
        <v>5</v>
      </c>
      <c r="BK28" s="6"/>
      <c r="BL28" s="6">
        <v>111.0</v>
      </c>
      <c r="BM28" s="6">
        <v>111.0</v>
      </c>
      <c r="BN28" s="6">
        <v>111.0</v>
      </c>
      <c r="BO28" s="6">
        <v>111.0</v>
      </c>
      <c r="BP28" s="6">
        <v>567.0</v>
      </c>
      <c r="BQ28" s="6">
        <v>764.0</v>
      </c>
      <c r="BR28" s="6">
        <v>764.0</v>
      </c>
      <c r="BS28" s="6">
        <v>764.0</v>
      </c>
      <c r="BT28" s="6">
        <v>764.0</v>
      </c>
      <c r="BU28" s="6">
        <v>764.0</v>
      </c>
      <c r="BV28" s="6">
        <v>453.0</v>
      </c>
      <c r="BW28" s="6">
        <v>673.0</v>
      </c>
      <c r="BX28" s="6">
        <v>673.0</v>
      </c>
      <c r="BY28" s="27"/>
      <c r="BZ28" s="8"/>
      <c r="CA28" s="8"/>
      <c r="CB28" s="8"/>
      <c r="CC28" s="27"/>
      <c r="CD28" s="82"/>
      <c r="CE28" s="8"/>
      <c r="CF28" s="82"/>
      <c r="CG28" s="82"/>
      <c r="CH28" s="8"/>
      <c r="CI28" s="82"/>
      <c r="CJ28" s="82"/>
      <c r="CK28" s="27"/>
    </row>
    <row r="29">
      <c r="A29" s="62"/>
      <c r="B29" s="88" t="str">
        <f t="shared" si="56"/>
        <v/>
      </c>
      <c r="C29" s="89">
        <f t="shared" si="57"/>
        <v>567</v>
      </c>
      <c r="D29" s="90">
        <f t="shared" si="58"/>
        <v>1.347442681</v>
      </c>
      <c r="E29" s="91">
        <f t="shared" si="67"/>
        <v>1.347442681</v>
      </c>
      <c r="F29" s="91">
        <f t="shared" ref="F29:O29" si="72">iferror(if($N$38="relative",if(U8="","",U8/T8),U8),"")</f>
        <v>1.347442681</v>
      </c>
      <c r="G29" s="91">
        <f t="shared" si="72"/>
        <v>1.347442681</v>
      </c>
      <c r="H29" s="91">
        <f t="shared" si="72"/>
        <v>1.347442681</v>
      </c>
      <c r="I29" s="91">
        <f t="shared" si="72"/>
        <v>0.7989417989</v>
      </c>
      <c r="J29" s="91">
        <f t="shared" si="72"/>
        <v>1.186948854</v>
      </c>
      <c r="K29" s="91">
        <f t="shared" si="72"/>
        <v>1.186948854</v>
      </c>
      <c r="L29" s="91" t="str">
        <f t="shared" si="72"/>
        <v/>
      </c>
      <c r="M29" s="91" t="str">
        <f t="shared" si="72"/>
        <v/>
      </c>
      <c r="N29" s="91" t="str">
        <f t="shared" si="72"/>
        <v/>
      </c>
      <c r="O29" s="92" t="str">
        <f t="shared" si="72"/>
        <v/>
      </c>
      <c r="P29" s="80"/>
      <c r="Q29" s="63"/>
      <c r="R29" s="23" t="str">
        <f t="shared" si="45"/>
        <v>#VALUE!</v>
      </c>
      <c r="S29" s="31">
        <f t="shared" ref="S29:AD29" si="73">if(or($AG29="",AH29=""),"",iferror(AH29/$AG29,""))</f>
        <v>1</v>
      </c>
      <c r="T29" s="31">
        <f t="shared" si="73"/>
        <v>1</v>
      </c>
      <c r="U29" s="31">
        <f t="shared" si="73"/>
        <v>1</v>
      </c>
      <c r="V29" s="31">
        <f t="shared" si="73"/>
        <v>1</v>
      </c>
      <c r="W29" s="31">
        <f t="shared" si="73"/>
        <v>1</v>
      </c>
      <c r="X29" s="31">
        <f t="shared" si="73"/>
        <v>1</v>
      </c>
      <c r="Y29" s="31" t="str">
        <f t="shared" si="73"/>
        <v/>
      </c>
      <c r="Z29" s="31" t="str">
        <f t="shared" si="73"/>
        <v/>
      </c>
      <c r="AA29" s="31" t="str">
        <f t="shared" si="73"/>
        <v/>
      </c>
      <c r="AB29" s="31" t="str">
        <f t="shared" si="73"/>
        <v/>
      </c>
      <c r="AC29" s="31" t="str">
        <f t="shared" si="73"/>
        <v/>
      </c>
      <c r="AD29" s="31" t="str">
        <f t="shared" si="73"/>
        <v/>
      </c>
      <c r="AE29" s="5"/>
      <c r="AF29" s="5"/>
      <c r="AG29" s="32">
        <f t="shared" si="47"/>
        <v>673</v>
      </c>
      <c r="AH29" s="32">
        <f t="shared" ref="AH29:AS29" si="74">iferror(if($BJ29+AH$2&gt;12,"", if(offset(BM29,0,$BJ29)="","",offset(BM29,0,$BJ29))))</f>
        <v>673</v>
      </c>
      <c r="AI29" s="32">
        <f t="shared" si="74"/>
        <v>673</v>
      </c>
      <c r="AJ29" s="32">
        <f t="shared" si="74"/>
        <v>673</v>
      </c>
      <c r="AK29" s="32">
        <f t="shared" si="74"/>
        <v>673</v>
      </c>
      <c r="AL29" s="32">
        <f t="shared" si="74"/>
        <v>673</v>
      </c>
      <c r="AM29" s="32">
        <f t="shared" si="74"/>
        <v>673</v>
      </c>
      <c r="AN29" s="32" t="str">
        <f t="shared" si="74"/>
        <v/>
      </c>
      <c r="AO29" s="32" t="str">
        <f t="shared" si="74"/>
        <v/>
      </c>
      <c r="AP29" s="32" t="str">
        <f t="shared" si="74"/>
        <v/>
      </c>
      <c r="AQ29" s="32" t="str">
        <f t="shared" si="74"/>
        <v/>
      </c>
      <c r="AR29" s="32" t="str">
        <f t="shared" si="74"/>
        <v/>
      </c>
      <c r="AS29" s="32" t="str">
        <f t="shared" si="74"/>
        <v/>
      </c>
      <c r="AT29" s="4"/>
      <c r="AU29" s="33" t="str">
        <f t="shared" ref="AU29:BG29" si="75">iferror(if($BJ29+AG$2&gt;12,"", if(offset(BY29,0,$BJ29)="","",offset(BY29,0,$BJ29)/AG29)))</f>
        <v/>
      </c>
      <c r="AV29" s="33" t="str">
        <f t="shared" si="75"/>
        <v/>
      </c>
      <c r="AW29" s="33" t="str">
        <f t="shared" si="75"/>
        <v/>
      </c>
      <c r="AX29" s="33" t="str">
        <f t="shared" si="75"/>
        <v/>
      </c>
      <c r="AY29" s="33" t="str">
        <f t="shared" si="75"/>
        <v/>
      </c>
      <c r="AZ29" s="33" t="str">
        <f t="shared" si="75"/>
        <v/>
      </c>
      <c r="BA29" s="33" t="str">
        <f t="shared" si="75"/>
        <v/>
      </c>
      <c r="BB29" s="33" t="str">
        <f t="shared" si="75"/>
        <v/>
      </c>
      <c r="BC29" s="33" t="str">
        <f t="shared" si="75"/>
        <v/>
      </c>
      <c r="BD29" s="33" t="str">
        <f t="shared" si="75"/>
        <v/>
      </c>
      <c r="BE29" s="33" t="str">
        <f t="shared" si="75"/>
        <v/>
      </c>
      <c r="BF29" s="33" t="str">
        <f t="shared" si="75"/>
        <v/>
      </c>
      <c r="BG29" s="33" t="str">
        <f t="shared" si="75"/>
        <v/>
      </c>
      <c r="BH29" s="81" t="str">
        <f t="shared" si="50"/>
        <v/>
      </c>
      <c r="BI29" s="4"/>
      <c r="BJ29" s="34">
        <f t="shared" si="55"/>
        <v>6</v>
      </c>
      <c r="BK29" s="6"/>
      <c r="BL29" s="6">
        <v>111.0</v>
      </c>
      <c r="BM29" s="6">
        <v>111.0</v>
      </c>
      <c r="BN29" s="6">
        <v>111.0</v>
      </c>
      <c r="BO29" s="6">
        <v>111.0</v>
      </c>
      <c r="BP29" s="6">
        <v>673.0</v>
      </c>
      <c r="BQ29" s="6">
        <v>673.0</v>
      </c>
      <c r="BR29" s="6">
        <v>673.0</v>
      </c>
      <c r="BS29" s="6">
        <v>673.0</v>
      </c>
      <c r="BT29" s="6">
        <v>673.0</v>
      </c>
      <c r="BU29" s="6">
        <v>673.0</v>
      </c>
      <c r="BV29" s="6">
        <v>673.0</v>
      </c>
      <c r="BW29" s="6">
        <v>673.0</v>
      </c>
      <c r="BX29" s="6">
        <v>673.0</v>
      </c>
      <c r="BY29" s="27"/>
      <c r="BZ29" s="8"/>
      <c r="CA29" s="27"/>
      <c r="CB29" s="8"/>
      <c r="CC29" s="8"/>
      <c r="CD29" s="8"/>
      <c r="CE29" s="82"/>
      <c r="CF29" s="82"/>
      <c r="CG29" s="27"/>
      <c r="CH29" s="82"/>
      <c r="CI29" s="82"/>
      <c r="CJ29" s="82"/>
      <c r="CK29" s="27"/>
    </row>
    <row r="30">
      <c r="A30" s="62"/>
      <c r="B30" s="88" t="str">
        <f t="shared" si="56"/>
        <v/>
      </c>
      <c r="C30" s="89">
        <f t="shared" si="57"/>
        <v>764</v>
      </c>
      <c r="D30" s="90">
        <f t="shared" si="58"/>
        <v>1</v>
      </c>
      <c r="E30" s="91">
        <f t="shared" si="67"/>
        <v>1</v>
      </c>
      <c r="F30" s="91">
        <f t="shared" ref="F30:O30" si="76">iferror(if($N$38="relative",if(U9="","",U9/T9),U9),"")</f>
        <v>1</v>
      </c>
      <c r="G30" s="91">
        <f t="shared" si="76"/>
        <v>1</v>
      </c>
      <c r="H30" s="91">
        <f t="shared" si="76"/>
        <v>0.5929319372</v>
      </c>
      <c r="I30" s="91">
        <f t="shared" si="76"/>
        <v>0.8808900524</v>
      </c>
      <c r="J30" s="91">
        <f t="shared" si="76"/>
        <v>0.8808900524</v>
      </c>
      <c r="K30" s="91" t="str">
        <f t="shared" si="76"/>
        <v/>
      </c>
      <c r="L30" s="91" t="str">
        <f t="shared" si="76"/>
        <v/>
      </c>
      <c r="M30" s="91" t="str">
        <f t="shared" si="76"/>
        <v/>
      </c>
      <c r="N30" s="91" t="str">
        <f t="shared" si="76"/>
        <v/>
      </c>
      <c r="O30" s="92" t="str">
        <f t="shared" si="76"/>
        <v/>
      </c>
      <c r="P30" s="80"/>
      <c r="Q30" s="63"/>
      <c r="R30" s="23" t="str">
        <f t="shared" si="45"/>
        <v>#VALUE!</v>
      </c>
      <c r="S30" s="31">
        <f t="shared" ref="S30:AD30" si="77">if(or($AG30="",AH30=""),"",iferror(AH30/$AG30,""))</f>
        <v>1</v>
      </c>
      <c r="T30" s="31">
        <f t="shared" si="77"/>
        <v>1</v>
      </c>
      <c r="U30" s="31">
        <f t="shared" si="77"/>
        <v>1</v>
      </c>
      <c r="V30" s="31">
        <f t="shared" si="77"/>
        <v>1.485651214</v>
      </c>
      <c r="W30" s="31">
        <f t="shared" si="77"/>
        <v>1.485651214</v>
      </c>
      <c r="X30" s="31" t="str">
        <f t="shared" si="77"/>
        <v/>
      </c>
      <c r="Y30" s="31" t="str">
        <f t="shared" si="77"/>
        <v/>
      </c>
      <c r="Z30" s="31" t="str">
        <f t="shared" si="77"/>
        <v/>
      </c>
      <c r="AA30" s="31" t="str">
        <f t="shared" si="77"/>
        <v/>
      </c>
      <c r="AB30" s="31" t="str">
        <f t="shared" si="77"/>
        <v/>
      </c>
      <c r="AC30" s="31" t="str">
        <f t="shared" si="77"/>
        <v/>
      </c>
      <c r="AD30" s="31" t="str">
        <f t="shared" si="77"/>
        <v/>
      </c>
      <c r="AE30" s="5"/>
      <c r="AF30" s="5"/>
      <c r="AG30" s="32">
        <f t="shared" si="47"/>
        <v>453</v>
      </c>
      <c r="AH30" s="32">
        <f t="shared" ref="AH30:AS30" si="78">iferror(if($BJ30+AH$2&gt;12,"", if(offset(BM30,0,$BJ30)="","",offset(BM30,0,$BJ30))))</f>
        <v>453</v>
      </c>
      <c r="AI30" s="32">
        <f t="shared" si="78"/>
        <v>453</v>
      </c>
      <c r="AJ30" s="32">
        <f t="shared" si="78"/>
        <v>453</v>
      </c>
      <c r="AK30" s="32">
        <f t="shared" si="78"/>
        <v>673</v>
      </c>
      <c r="AL30" s="32">
        <f t="shared" si="78"/>
        <v>673</v>
      </c>
      <c r="AM30" s="32" t="str">
        <f t="shared" si="78"/>
        <v/>
      </c>
      <c r="AN30" s="32" t="str">
        <f t="shared" si="78"/>
        <v/>
      </c>
      <c r="AO30" s="32" t="str">
        <f t="shared" si="78"/>
        <v/>
      </c>
      <c r="AP30" s="32" t="str">
        <f t="shared" si="78"/>
        <v/>
      </c>
      <c r="AQ30" s="32" t="str">
        <f t="shared" si="78"/>
        <v/>
      </c>
      <c r="AR30" s="32" t="str">
        <f t="shared" si="78"/>
        <v/>
      </c>
      <c r="AS30" s="32" t="str">
        <f t="shared" si="78"/>
        <v/>
      </c>
      <c r="AT30" s="4"/>
      <c r="AU30" s="33" t="str">
        <f t="shared" ref="AU30:BG30" si="79">iferror(if($BJ30+AG$2&gt;12,"", if(offset(BY30,0,$BJ30)="","",offset(BY30,0,$BJ30)/AG30)))</f>
        <v/>
      </c>
      <c r="AV30" s="33" t="str">
        <f t="shared" si="79"/>
        <v/>
      </c>
      <c r="AW30" s="33" t="str">
        <f t="shared" si="79"/>
        <v/>
      </c>
      <c r="AX30" s="33" t="str">
        <f t="shared" si="79"/>
        <v/>
      </c>
      <c r="AY30" s="33" t="str">
        <f t="shared" si="79"/>
        <v/>
      </c>
      <c r="AZ30" s="33" t="str">
        <f t="shared" si="79"/>
        <v/>
      </c>
      <c r="BA30" s="33" t="str">
        <f t="shared" si="79"/>
        <v/>
      </c>
      <c r="BB30" s="33" t="str">
        <f t="shared" si="79"/>
        <v/>
      </c>
      <c r="BC30" s="33" t="str">
        <f t="shared" si="79"/>
        <v/>
      </c>
      <c r="BD30" s="33" t="str">
        <f t="shared" si="79"/>
        <v/>
      </c>
      <c r="BE30" s="33" t="str">
        <f t="shared" si="79"/>
        <v/>
      </c>
      <c r="BF30" s="33" t="str">
        <f t="shared" si="79"/>
        <v/>
      </c>
      <c r="BG30" s="33" t="str">
        <f t="shared" si="79"/>
        <v/>
      </c>
      <c r="BH30" s="81" t="str">
        <f t="shared" si="50"/>
        <v/>
      </c>
      <c r="BI30" s="4"/>
      <c r="BJ30" s="34">
        <f t="shared" si="55"/>
        <v>7</v>
      </c>
      <c r="BK30" s="6"/>
      <c r="BL30" s="6">
        <v>111.0</v>
      </c>
      <c r="BM30" s="6">
        <v>111.0</v>
      </c>
      <c r="BN30" s="6">
        <v>111.0</v>
      </c>
      <c r="BO30" s="6">
        <v>111.0</v>
      </c>
      <c r="BP30" s="6">
        <v>453.0</v>
      </c>
      <c r="BQ30" s="6">
        <v>453.0</v>
      </c>
      <c r="BR30" s="6">
        <v>453.0</v>
      </c>
      <c r="BS30" s="6">
        <v>453.0</v>
      </c>
      <c r="BT30" s="6">
        <v>453.0</v>
      </c>
      <c r="BU30" s="6">
        <v>453.0</v>
      </c>
      <c r="BV30" s="6">
        <v>453.0</v>
      </c>
      <c r="BW30" s="6">
        <v>673.0</v>
      </c>
      <c r="BX30" s="6">
        <v>673.0</v>
      </c>
      <c r="BY30" s="27"/>
      <c r="BZ30" s="8"/>
      <c r="CA30" s="27"/>
      <c r="CB30" s="8"/>
      <c r="CC30" s="27"/>
      <c r="CD30" s="8"/>
      <c r="CE30" s="8"/>
      <c r="CF30" s="82"/>
      <c r="CG30" s="82"/>
      <c r="CH30" s="82"/>
      <c r="CI30" s="82"/>
      <c r="CJ30" s="82"/>
      <c r="CK30" s="27"/>
    </row>
    <row r="31">
      <c r="A31" s="62"/>
      <c r="B31" s="88" t="str">
        <f t="shared" si="56"/>
        <v/>
      </c>
      <c r="C31" s="89">
        <f t="shared" si="57"/>
        <v>673</v>
      </c>
      <c r="D31" s="90">
        <f t="shared" si="58"/>
        <v>1</v>
      </c>
      <c r="E31" s="91">
        <f t="shared" si="67"/>
        <v>1</v>
      </c>
      <c r="F31" s="91">
        <f t="shared" ref="F31:O31" si="80">iferror(if($N$38="relative",if(U10="","",U10/T10),U10),"")</f>
        <v>1</v>
      </c>
      <c r="G31" s="91">
        <f t="shared" si="80"/>
        <v>1</v>
      </c>
      <c r="H31" s="91">
        <f t="shared" si="80"/>
        <v>1</v>
      </c>
      <c r="I31" s="91">
        <f t="shared" si="80"/>
        <v>1</v>
      </c>
      <c r="J31" s="91" t="str">
        <f t="shared" si="80"/>
        <v/>
      </c>
      <c r="K31" s="91" t="str">
        <f t="shared" si="80"/>
        <v/>
      </c>
      <c r="L31" s="91" t="str">
        <f t="shared" si="80"/>
        <v/>
      </c>
      <c r="M31" s="91" t="str">
        <f t="shared" si="80"/>
        <v/>
      </c>
      <c r="N31" s="91" t="str">
        <f t="shared" si="80"/>
        <v/>
      </c>
      <c r="O31" s="92" t="str">
        <f t="shared" si="80"/>
        <v/>
      </c>
      <c r="P31" s="80"/>
      <c r="Q31" s="63"/>
      <c r="R31" s="23" t="str">
        <f t="shared" si="45"/>
        <v>#VALUE!</v>
      </c>
      <c r="S31" s="31">
        <f t="shared" ref="S31:AD31" si="81">if(or($AG31="",AH31=""),"",iferror(AH31/$AG31,""))</f>
        <v>1</v>
      </c>
      <c r="T31" s="31">
        <f t="shared" si="81"/>
        <v>0.5929319372</v>
      </c>
      <c r="U31" s="31">
        <f t="shared" si="81"/>
        <v>0.8808900524</v>
      </c>
      <c r="V31" s="31">
        <f t="shared" si="81"/>
        <v>0.8808900524</v>
      </c>
      <c r="W31" s="31" t="str">
        <f t="shared" si="81"/>
        <v/>
      </c>
      <c r="X31" s="31" t="str">
        <f t="shared" si="81"/>
        <v/>
      </c>
      <c r="Y31" s="31" t="str">
        <f t="shared" si="81"/>
        <v/>
      </c>
      <c r="Z31" s="31" t="str">
        <f t="shared" si="81"/>
        <v/>
      </c>
      <c r="AA31" s="31" t="str">
        <f t="shared" si="81"/>
        <v/>
      </c>
      <c r="AB31" s="31" t="str">
        <f t="shared" si="81"/>
        <v/>
      </c>
      <c r="AC31" s="31" t="str">
        <f t="shared" si="81"/>
        <v/>
      </c>
      <c r="AD31" s="31" t="str">
        <f t="shared" si="81"/>
        <v/>
      </c>
      <c r="AE31" s="5"/>
      <c r="AF31" s="5"/>
      <c r="AG31" s="32">
        <f t="shared" si="47"/>
        <v>764</v>
      </c>
      <c r="AH31" s="32">
        <f t="shared" ref="AH31:AS31" si="82">iferror(if($BJ31+AH$2&gt;12,"", if(offset(BM31,0,$BJ31)="","",offset(BM31,0,$BJ31))))</f>
        <v>764</v>
      </c>
      <c r="AI31" s="32">
        <f t="shared" si="82"/>
        <v>453</v>
      </c>
      <c r="AJ31" s="32">
        <f t="shared" si="82"/>
        <v>673</v>
      </c>
      <c r="AK31" s="32">
        <f t="shared" si="82"/>
        <v>673</v>
      </c>
      <c r="AL31" s="32" t="str">
        <f t="shared" si="82"/>
        <v/>
      </c>
      <c r="AM31" s="32" t="str">
        <f t="shared" si="82"/>
        <v/>
      </c>
      <c r="AN31" s="32" t="str">
        <f t="shared" si="82"/>
        <v/>
      </c>
      <c r="AO31" s="32" t="str">
        <f t="shared" si="82"/>
        <v/>
      </c>
      <c r="AP31" s="32" t="str">
        <f t="shared" si="82"/>
        <v/>
      </c>
      <c r="AQ31" s="32" t="str">
        <f t="shared" si="82"/>
        <v/>
      </c>
      <c r="AR31" s="32" t="str">
        <f t="shared" si="82"/>
        <v/>
      </c>
      <c r="AS31" s="32" t="str">
        <f t="shared" si="82"/>
        <v/>
      </c>
      <c r="AT31" s="4"/>
      <c r="AU31" s="33" t="str">
        <f t="shared" ref="AU31:BG31" si="83">iferror(if($BJ31+AG$2&gt;12,"", if(offset(BY31,0,$BJ31)="","",offset(BY31,0,$BJ31)/AG31)))</f>
        <v/>
      </c>
      <c r="AV31" s="33" t="str">
        <f t="shared" si="83"/>
        <v/>
      </c>
      <c r="AW31" s="33" t="str">
        <f t="shared" si="83"/>
        <v/>
      </c>
      <c r="AX31" s="33" t="str">
        <f t="shared" si="83"/>
        <v/>
      </c>
      <c r="AY31" s="33" t="str">
        <f t="shared" si="83"/>
        <v/>
      </c>
      <c r="AZ31" s="33" t="str">
        <f t="shared" si="83"/>
        <v/>
      </c>
      <c r="BA31" s="33" t="str">
        <f t="shared" si="83"/>
        <v/>
      </c>
      <c r="BB31" s="33" t="str">
        <f t="shared" si="83"/>
        <v/>
      </c>
      <c r="BC31" s="33" t="str">
        <f t="shared" si="83"/>
        <v/>
      </c>
      <c r="BD31" s="33" t="str">
        <f t="shared" si="83"/>
        <v/>
      </c>
      <c r="BE31" s="33" t="str">
        <f t="shared" si="83"/>
        <v/>
      </c>
      <c r="BF31" s="33" t="str">
        <f t="shared" si="83"/>
        <v/>
      </c>
      <c r="BG31" s="33" t="str">
        <f t="shared" si="83"/>
        <v/>
      </c>
      <c r="BH31" s="81" t="str">
        <f t="shared" si="50"/>
        <v/>
      </c>
      <c r="BI31" s="4"/>
      <c r="BJ31" s="34">
        <f t="shared" si="55"/>
        <v>8</v>
      </c>
      <c r="BK31" s="6"/>
      <c r="BL31" s="6">
        <v>111.0</v>
      </c>
      <c r="BM31" s="6">
        <v>111.0</v>
      </c>
      <c r="BN31" s="6">
        <v>111.0</v>
      </c>
      <c r="BO31" s="6">
        <v>111.0</v>
      </c>
      <c r="BP31" s="6">
        <v>567.0</v>
      </c>
      <c r="BQ31" s="6">
        <v>764.0</v>
      </c>
      <c r="BR31" s="6">
        <v>764.0</v>
      </c>
      <c r="BS31" s="6">
        <v>764.0</v>
      </c>
      <c r="BT31" s="6">
        <v>764.0</v>
      </c>
      <c r="BU31" s="6">
        <v>764.0</v>
      </c>
      <c r="BV31" s="6">
        <v>453.0</v>
      </c>
      <c r="BW31" s="6">
        <v>673.0</v>
      </c>
      <c r="BX31" s="6">
        <v>673.0</v>
      </c>
      <c r="BY31" s="27"/>
      <c r="BZ31" s="8"/>
      <c r="CA31" s="27"/>
      <c r="CB31" s="8"/>
      <c r="CC31" s="8"/>
      <c r="CD31" s="8"/>
      <c r="CE31" s="27"/>
      <c r="CF31" s="8"/>
      <c r="CG31" s="82"/>
      <c r="CH31" s="82"/>
      <c r="CI31" s="82"/>
      <c r="CJ31" s="82"/>
      <c r="CK31" s="27"/>
    </row>
    <row r="32">
      <c r="A32" s="62"/>
      <c r="B32" s="88" t="str">
        <f t="shared" si="56"/>
        <v/>
      </c>
      <c r="C32" s="89">
        <f t="shared" si="57"/>
        <v>453</v>
      </c>
      <c r="D32" s="90">
        <f t="shared" si="58"/>
        <v>1</v>
      </c>
      <c r="E32" s="91">
        <f t="shared" si="67"/>
        <v>1</v>
      </c>
      <c r="F32" s="91">
        <f t="shared" ref="F32:O32" si="84">iferror(if($N$38="relative",if(U11="","",U11/T11),U11),"")</f>
        <v>1</v>
      </c>
      <c r="G32" s="91">
        <f t="shared" si="84"/>
        <v>1.485651214</v>
      </c>
      <c r="H32" s="91">
        <f t="shared" si="84"/>
        <v>1.485651214</v>
      </c>
      <c r="I32" s="91" t="str">
        <f t="shared" si="84"/>
        <v/>
      </c>
      <c r="J32" s="91" t="str">
        <f t="shared" si="84"/>
        <v/>
      </c>
      <c r="K32" s="91" t="str">
        <f t="shared" si="84"/>
        <v/>
      </c>
      <c r="L32" s="91" t="str">
        <f t="shared" si="84"/>
        <v/>
      </c>
      <c r="M32" s="91" t="str">
        <f t="shared" si="84"/>
        <v/>
      </c>
      <c r="N32" s="91" t="str">
        <f t="shared" si="84"/>
        <v/>
      </c>
      <c r="O32" s="92" t="str">
        <f t="shared" si="84"/>
        <v/>
      </c>
      <c r="P32" s="80"/>
      <c r="Q32" s="63"/>
      <c r="R32" s="23" t="str">
        <f t="shared" si="45"/>
        <v>#VALUE!</v>
      </c>
      <c r="S32" s="31">
        <f t="shared" ref="S32:AD32" si="85">if(or($AG32="",AH32=""),"",iferror(AH32/$AG32,""))</f>
        <v>1</v>
      </c>
      <c r="T32" s="31">
        <f t="shared" si="85"/>
        <v>6.063063063</v>
      </c>
      <c r="U32" s="31">
        <f t="shared" si="85"/>
        <v>6.063063063</v>
      </c>
      <c r="V32" s="31" t="str">
        <f t="shared" si="85"/>
        <v/>
      </c>
      <c r="W32" s="31" t="str">
        <f t="shared" si="85"/>
        <v/>
      </c>
      <c r="X32" s="31" t="str">
        <f t="shared" si="85"/>
        <v/>
      </c>
      <c r="Y32" s="31" t="str">
        <f t="shared" si="85"/>
        <v/>
      </c>
      <c r="Z32" s="31" t="str">
        <f t="shared" si="85"/>
        <v/>
      </c>
      <c r="AA32" s="31" t="str">
        <f t="shared" si="85"/>
        <v/>
      </c>
      <c r="AB32" s="31" t="str">
        <f t="shared" si="85"/>
        <v/>
      </c>
      <c r="AC32" s="31" t="str">
        <f t="shared" si="85"/>
        <v/>
      </c>
      <c r="AD32" s="31" t="str">
        <f t="shared" si="85"/>
        <v/>
      </c>
      <c r="AE32" s="5"/>
      <c r="AF32" s="5"/>
      <c r="AG32" s="32">
        <f t="shared" si="47"/>
        <v>111</v>
      </c>
      <c r="AH32" s="32">
        <f t="shared" ref="AH32:AS32" si="86">iferror(if($BJ32+AH$2&gt;12,"", if(offset(BM32,0,$BJ32)="","",offset(BM32,0,$BJ32))))</f>
        <v>111</v>
      </c>
      <c r="AI32" s="32">
        <f t="shared" si="86"/>
        <v>673</v>
      </c>
      <c r="AJ32" s="32">
        <f t="shared" si="86"/>
        <v>673</v>
      </c>
      <c r="AK32" s="32" t="str">
        <f t="shared" si="86"/>
        <v/>
      </c>
      <c r="AL32" s="32" t="str">
        <f t="shared" si="86"/>
        <v/>
      </c>
      <c r="AM32" s="32" t="str">
        <f t="shared" si="86"/>
        <v/>
      </c>
      <c r="AN32" s="32" t="str">
        <f t="shared" si="86"/>
        <v/>
      </c>
      <c r="AO32" s="32" t="str">
        <f t="shared" si="86"/>
        <v/>
      </c>
      <c r="AP32" s="32" t="str">
        <f t="shared" si="86"/>
        <v/>
      </c>
      <c r="AQ32" s="32" t="str">
        <f t="shared" si="86"/>
        <v/>
      </c>
      <c r="AR32" s="32" t="str">
        <f t="shared" si="86"/>
        <v/>
      </c>
      <c r="AS32" s="32" t="str">
        <f t="shared" si="86"/>
        <v/>
      </c>
      <c r="AT32" s="4"/>
      <c r="AU32" s="33" t="str">
        <f t="shared" ref="AU32:BG32" si="87">iferror(if($BJ32+AG$2&gt;12,"", if(offset(BY32,0,$BJ32)="","",offset(BY32,0,$BJ32)/AG32)))</f>
        <v/>
      </c>
      <c r="AV32" s="33" t="str">
        <f t="shared" si="87"/>
        <v/>
      </c>
      <c r="AW32" s="33" t="str">
        <f t="shared" si="87"/>
        <v/>
      </c>
      <c r="AX32" s="33" t="str">
        <f t="shared" si="87"/>
        <v/>
      </c>
      <c r="AY32" s="33" t="str">
        <f t="shared" si="87"/>
        <v/>
      </c>
      <c r="AZ32" s="33" t="str">
        <f t="shared" si="87"/>
        <v/>
      </c>
      <c r="BA32" s="33" t="str">
        <f t="shared" si="87"/>
        <v/>
      </c>
      <c r="BB32" s="33" t="str">
        <f t="shared" si="87"/>
        <v/>
      </c>
      <c r="BC32" s="33" t="str">
        <f t="shared" si="87"/>
        <v/>
      </c>
      <c r="BD32" s="33" t="str">
        <f t="shared" si="87"/>
        <v/>
      </c>
      <c r="BE32" s="33" t="str">
        <f t="shared" si="87"/>
        <v/>
      </c>
      <c r="BF32" s="33" t="str">
        <f t="shared" si="87"/>
        <v/>
      </c>
      <c r="BG32" s="33" t="str">
        <f t="shared" si="87"/>
        <v/>
      </c>
      <c r="BH32" s="81" t="str">
        <f t="shared" si="50"/>
        <v/>
      </c>
      <c r="BI32" s="4"/>
      <c r="BJ32" s="34">
        <f t="shared" si="55"/>
        <v>9</v>
      </c>
      <c r="BK32" s="6"/>
      <c r="BL32" s="6">
        <v>111.0</v>
      </c>
      <c r="BM32" s="6">
        <v>111.0</v>
      </c>
      <c r="BN32" s="6">
        <v>111.0</v>
      </c>
      <c r="BO32" s="6">
        <v>111.0</v>
      </c>
      <c r="BP32" s="6">
        <v>111.0</v>
      </c>
      <c r="BQ32" s="6">
        <v>111.0</v>
      </c>
      <c r="BR32" s="6">
        <v>111.0</v>
      </c>
      <c r="BS32" s="6">
        <v>111.0</v>
      </c>
      <c r="BT32" s="6">
        <v>111.0</v>
      </c>
      <c r="BU32" s="6">
        <v>111.0</v>
      </c>
      <c r="BV32" s="6">
        <v>111.0</v>
      </c>
      <c r="BW32" s="6">
        <v>673.0</v>
      </c>
      <c r="BX32" s="6">
        <v>673.0</v>
      </c>
      <c r="BY32" s="27"/>
      <c r="BZ32" s="8"/>
      <c r="CA32" s="27"/>
      <c r="CB32" s="8"/>
      <c r="CC32" s="8"/>
      <c r="CD32" s="8"/>
      <c r="CE32" s="27"/>
      <c r="CF32" s="8"/>
      <c r="CG32" s="27"/>
      <c r="CH32" s="82"/>
      <c r="CI32" s="82"/>
      <c r="CJ32" s="82"/>
      <c r="CK32" s="27"/>
    </row>
    <row r="33">
      <c r="A33" s="62"/>
      <c r="B33" s="88" t="str">
        <f t="shared" si="56"/>
        <v/>
      </c>
      <c r="C33" s="89">
        <f t="shared" si="57"/>
        <v>764</v>
      </c>
      <c r="D33" s="90">
        <f t="shared" si="58"/>
        <v>1</v>
      </c>
      <c r="E33" s="91">
        <f t="shared" si="67"/>
        <v>0.5929319372</v>
      </c>
      <c r="F33" s="91">
        <f t="shared" ref="F33:O33" si="88">iferror(if($N$38="relative",if(U12="","",U12/T12),U12),"")</f>
        <v>0.8808900524</v>
      </c>
      <c r="G33" s="91">
        <f t="shared" si="88"/>
        <v>0.8808900524</v>
      </c>
      <c r="H33" s="91" t="str">
        <f t="shared" si="88"/>
        <v/>
      </c>
      <c r="I33" s="91" t="str">
        <f t="shared" si="88"/>
        <v/>
      </c>
      <c r="J33" s="91" t="str">
        <f t="shared" si="88"/>
        <v/>
      </c>
      <c r="K33" s="91" t="str">
        <f t="shared" si="88"/>
        <v/>
      </c>
      <c r="L33" s="91" t="str">
        <f t="shared" si="88"/>
        <v/>
      </c>
      <c r="M33" s="91" t="str">
        <f t="shared" si="88"/>
        <v/>
      </c>
      <c r="N33" s="91" t="str">
        <f t="shared" si="88"/>
        <v/>
      </c>
      <c r="O33" s="92" t="str">
        <f t="shared" si="88"/>
        <v/>
      </c>
      <c r="P33" s="80"/>
      <c r="Q33" s="63"/>
      <c r="R33" s="23" t="str">
        <f t="shared" si="45"/>
        <v>#VALUE!</v>
      </c>
      <c r="S33" s="31">
        <f t="shared" ref="S33:AD33" si="89">if(or($AG33="",AH33=""),"",iferror(AH33/$AG33,""))</f>
        <v>1.485651214</v>
      </c>
      <c r="T33" s="31">
        <f t="shared" si="89"/>
        <v>1.485651214</v>
      </c>
      <c r="U33" s="31" t="str">
        <f t="shared" si="89"/>
        <v/>
      </c>
      <c r="V33" s="31" t="str">
        <f t="shared" si="89"/>
        <v/>
      </c>
      <c r="W33" s="31" t="str">
        <f t="shared" si="89"/>
        <v/>
      </c>
      <c r="X33" s="31" t="str">
        <f t="shared" si="89"/>
        <v/>
      </c>
      <c r="Y33" s="31" t="str">
        <f t="shared" si="89"/>
        <v/>
      </c>
      <c r="Z33" s="31" t="str">
        <f t="shared" si="89"/>
        <v/>
      </c>
      <c r="AA33" s="31" t="str">
        <f t="shared" si="89"/>
        <v/>
      </c>
      <c r="AB33" s="31" t="str">
        <f t="shared" si="89"/>
        <v/>
      </c>
      <c r="AC33" s="31" t="str">
        <f t="shared" si="89"/>
        <v/>
      </c>
      <c r="AD33" s="31" t="str">
        <f t="shared" si="89"/>
        <v/>
      </c>
      <c r="AE33" s="5"/>
      <c r="AF33" s="5"/>
      <c r="AG33" s="32">
        <f t="shared" si="47"/>
        <v>453</v>
      </c>
      <c r="AH33" s="32">
        <f t="shared" ref="AH33:AS33" si="90">iferror(if($BJ33+AH$2&gt;12,"", if(offset(BM33,0,$BJ33)="","",offset(BM33,0,$BJ33))))</f>
        <v>673</v>
      </c>
      <c r="AI33" s="32">
        <f t="shared" si="90"/>
        <v>673</v>
      </c>
      <c r="AJ33" s="32" t="str">
        <f t="shared" si="90"/>
        <v/>
      </c>
      <c r="AK33" s="32" t="str">
        <f t="shared" si="90"/>
        <v/>
      </c>
      <c r="AL33" s="32" t="str">
        <f t="shared" si="90"/>
        <v/>
      </c>
      <c r="AM33" s="32" t="str">
        <f t="shared" si="90"/>
        <v/>
      </c>
      <c r="AN33" s="32" t="str">
        <f t="shared" si="90"/>
        <v/>
      </c>
      <c r="AO33" s="32" t="str">
        <f t="shared" si="90"/>
        <v/>
      </c>
      <c r="AP33" s="32" t="str">
        <f t="shared" si="90"/>
        <v/>
      </c>
      <c r="AQ33" s="32" t="str">
        <f t="shared" si="90"/>
        <v/>
      </c>
      <c r="AR33" s="32" t="str">
        <f t="shared" si="90"/>
        <v/>
      </c>
      <c r="AS33" s="32" t="str">
        <f t="shared" si="90"/>
        <v/>
      </c>
      <c r="AT33" s="4"/>
      <c r="AU33" s="33" t="str">
        <f t="shared" ref="AU33:BG33" si="91">iferror(if($BJ33+AG$2&gt;12,"", if(offset(BY33,0,$BJ33)="","",offset(BY33,0,$BJ33)/AG33)))</f>
        <v/>
      </c>
      <c r="AV33" s="33" t="str">
        <f t="shared" si="91"/>
        <v/>
      </c>
      <c r="AW33" s="33" t="str">
        <f t="shared" si="91"/>
        <v/>
      </c>
      <c r="AX33" s="33" t="str">
        <f t="shared" si="91"/>
        <v/>
      </c>
      <c r="AY33" s="33" t="str">
        <f t="shared" si="91"/>
        <v/>
      </c>
      <c r="AZ33" s="33" t="str">
        <f t="shared" si="91"/>
        <v/>
      </c>
      <c r="BA33" s="33" t="str">
        <f t="shared" si="91"/>
        <v/>
      </c>
      <c r="BB33" s="33" t="str">
        <f t="shared" si="91"/>
        <v/>
      </c>
      <c r="BC33" s="33" t="str">
        <f t="shared" si="91"/>
        <v/>
      </c>
      <c r="BD33" s="33" t="str">
        <f t="shared" si="91"/>
        <v/>
      </c>
      <c r="BE33" s="33" t="str">
        <f t="shared" si="91"/>
        <v/>
      </c>
      <c r="BF33" s="33" t="str">
        <f t="shared" si="91"/>
        <v/>
      </c>
      <c r="BG33" s="33" t="str">
        <f t="shared" si="91"/>
        <v/>
      </c>
      <c r="BH33" s="81" t="str">
        <f t="shared" si="50"/>
        <v/>
      </c>
      <c r="BI33" s="4"/>
      <c r="BJ33" s="34">
        <f t="shared" si="55"/>
        <v>10</v>
      </c>
      <c r="BK33" s="6"/>
      <c r="BL33" s="6">
        <v>111.0</v>
      </c>
      <c r="BM33" s="6">
        <v>111.0</v>
      </c>
      <c r="BN33" s="6">
        <v>111.0</v>
      </c>
      <c r="BO33" s="6">
        <v>111.0</v>
      </c>
      <c r="BP33" s="6">
        <v>567.0</v>
      </c>
      <c r="BQ33" s="6">
        <v>764.0</v>
      </c>
      <c r="BR33" s="6">
        <v>764.0</v>
      </c>
      <c r="BS33" s="6">
        <v>764.0</v>
      </c>
      <c r="BT33" s="6">
        <v>764.0</v>
      </c>
      <c r="BU33" s="6">
        <v>764.0</v>
      </c>
      <c r="BV33" s="6">
        <v>453.0</v>
      </c>
      <c r="BW33" s="6">
        <v>673.0</v>
      </c>
      <c r="BX33" s="6">
        <v>673.0</v>
      </c>
      <c r="BY33" s="8"/>
      <c r="BZ33" s="8"/>
      <c r="CA33" s="27"/>
      <c r="CB33" s="8"/>
      <c r="CC33" s="8"/>
      <c r="CD33" s="8"/>
      <c r="CE33" s="27"/>
      <c r="CF33" s="8"/>
      <c r="CG33" s="27"/>
      <c r="CH33" s="8"/>
      <c r="CI33" s="82"/>
      <c r="CJ33" s="82"/>
      <c r="CK33" s="27"/>
    </row>
    <row r="34">
      <c r="A34" s="28"/>
      <c r="B34" s="88" t="str">
        <f t="shared" si="56"/>
        <v/>
      </c>
      <c r="C34" s="89">
        <f t="shared" si="57"/>
        <v>111</v>
      </c>
      <c r="D34" s="90">
        <f t="shared" si="58"/>
        <v>1</v>
      </c>
      <c r="E34" s="91">
        <f t="shared" si="67"/>
        <v>6.063063063</v>
      </c>
      <c r="F34" s="91">
        <f t="shared" ref="F34:O34" si="92">iferror(if($N$38="relative",if(U13="","",U13/T13),U13),"")</f>
        <v>6.063063063</v>
      </c>
      <c r="G34" s="91" t="str">
        <f t="shared" si="92"/>
        <v/>
      </c>
      <c r="H34" s="91" t="str">
        <f t="shared" si="92"/>
        <v/>
      </c>
      <c r="I34" s="91" t="str">
        <f t="shared" si="92"/>
        <v/>
      </c>
      <c r="J34" s="91" t="str">
        <f t="shared" si="92"/>
        <v/>
      </c>
      <c r="K34" s="91" t="str">
        <f t="shared" si="92"/>
        <v/>
      </c>
      <c r="L34" s="91" t="str">
        <f t="shared" si="92"/>
        <v/>
      </c>
      <c r="M34" s="91" t="str">
        <f t="shared" si="92"/>
        <v/>
      </c>
      <c r="N34" s="91" t="str">
        <f t="shared" si="92"/>
        <v/>
      </c>
      <c r="O34" s="92" t="str">
        <f t="shared" si="92"/>
        <v/>
      </c>
      <c r="P34" s="80"/>
      <c r="Q34" s="63"/>
      <c r="R34" s="23" t="str">
        <f t="shared" si="45"/>
        <v>#VALUE!</v>
      </c>
      <c r="S34" s="31">
        <f t="shared" ref="S34:AD34" si="93">if(or($AG34="",AH34=""),"",iferror(AH34/$AG34,""))</f>
        <v>1</v>
      </c>
      <c r="T34" s="31" t="str">
        <f t="shared" si="93"/>
        <v/>
      </c>
      <c r="U34" s="31" t="str">
        <f t="shared" si="93"/>
        <v/>
      </c>
      <c r="V34" s="31" t="str">
        <f t="shared" si="93"/>
        <v/>
      </c>
      <c r="W34" s="31" t="str">
        <f t="shared" si="93"/>
        <v/>
      </c>
      <c r="X34" s="31" t="str">
        <f t="shared" si="93"/>
        <v/>
      </c>
      <c r="Y34" s="31" t="str">
        <f t="shared" si="93"/>
        <v/>
      </c>
      <c r="Z34" s="31" t="str">
        <f t="shared" si="93"/>
        <v/>
      </c>
      <c r="AA34" s="31" t="str">
        <f t="shared" si="93"/>
        <v/>
      </c>
      <c r="AB34" s="31" t="str">
        <f t="shared" si="93"/>
        <v/>
      </c>
      <c r="AC34" s="31" t="str">
        <f t="shared" si="93"/>
        <v/>
      </c>
      <c r="AD34" s="31" t="str">
        <f t="shared" si="93"/>
        <v/>
      </c>
      <c r="AE34" s="5"/>
      <c r="AF34" s="5"/>
      <c r="AG34" s="32">
        <f t="shared" si="47"/>
        <v>673</v>
      </c>
      <c r="AH34" s="32">
        <f t="shared" ref="AH34:AS34" si="94">iferror(if($BJ34+AH$2&gt;12,"", if(offset(BM34,0,$BJ34)="","",offset(BM34,0,$BJ34))))</f>
        <v>673</v>
      </c>
      <c r="AI34" s="32" t="str">
        <f t="shared" si="94"/>
        <v/>
      </c>
      <c r="AJ34" s="32" t="str">
        <f t="shared" si="94"/>
        <v/>
      </c>
      <c r="AK34" s="32" t="str">
        <f t="shared" si="94"/>
        <v/>
      </c>
      <c r="AL34" s="32" t="str">
        <f t="shared" si="94"/>
        <v/>
      </c>
      <c r="AM34" s="32" t="str">
        <f t="shared" si="94"/>
        <v/>
      </c>
      <c r="AN34" s="32" t="str">
        <f t="shared" si="94"/>
        <v/>
      </c>
      <c r="AO34" s="32" t="str">
        <f t="shared" si="94"/>
        <v/>
      </c>
      <c r="AP34" s="32" t="str">
        <f t="shared" si="94"/>
        <v/>
      </c>
      <c r="AQ34" s="32" t="str">
        <f t="shared" si="94"/>
        <v/>
      </c>
      <c r="AR34" s="32" t="str">
        <f t="shared" si="94"/>
        <v/>
      </c>
      <c r="AS34" s="32" t="str">
        <f t="shared" si="94"/>
        <v/>
      </c>
      <c r="AT34" s="5"/>
      <c r="AU34" s="33" t="str">
        <f t="shared" ref="AU34:BG34" si="95">iferror(if($BJ34+AG$2&gt;12,"", if(offset(BY34,0,$BJ34)="","",offset(BY34,0,$BJ34)/AG34)))</f>
        <v/>
      </c>
      <c r="AV34" s="33" t="str">
        <f t="shared" si="95"/>
        <v/>
      </c>
      <c r="AW34" s="33" t="str">
        <f t="shared" si="95"/>
        <v/>
      </c>
      <c r="AX34" s="33" t="str">
        <f t="shared" si="95"/>
        <v/>
      </c>
      <c r="AY34" s="33" t="str">
        <f t="shared" si="95"/>
        <v/>
      </c>
      <c r="AZ34" s="33" t="str">
        <f t="shared" si="95"/>
        <v/>
      </c>
      <c r="BA34" s="33" t="str">
        <f t="shared" si="95"/>
        <v/>
      </c>
      <c r="BB34" s="33" t="str">
        <f t="shared" si="95"/>
        <v/>
      </c>
      <c r="BC34" s="33" t="str">
        <f t="shared" si="95"/>
        <v/>
      </c>
      <c r="BD34" s="33" t="str">
        <f t="shared" si="95"/>
        <v/>
      </c>
      <c r="BE34" s="33" t="str">
        <f t="shared" si="95"/>
        <v/>
      </c>
      <c r="BF34" s="33" t="str">
        <f t="shared" si="95"/>
        <v/>
      </c>
      <c r="BG34" s="33" t="str">
        <f t="shared" si="95"/>
        <v/>
      </c>
      <c r="BH34" s="81" t="str">
        <f t="shared" si="50"/>
        <v/>
      </c>
      <c r="BI34" s="4"/>
      <c r="BJ34" s="34">
        <f t="shared" si="55"/>
        <v>11</v>
      </c>
      <c r="BK34" s="6"/>
      <c r="BL34" s="6">
        <v>111.0</v>
      </c>
      <c r="BM34" s="6">
        <v>111.0</v>
      </c>
      <c r="BN34" s="6">
        <v>111.0</v>
      </c>
      <c r="BO34" s="6">
        <v>111.0</v>
      </c>
      <c r="BP34" s="6">
        <v>567.0</v>
      </c>
      <c r="BQ34" s="6">
        <v>764.0</v>
      </c>
      <c r="BR34" s="6">
        <v>764.0</v>
      </c>
      <c r="BS34" s="6">
        <v>764.0</v>
      </c>
      <c r="BT34" s="6">
        <v>764.0</v>
      </c>
      <c r="BU34" s="6">
        <v>764.0</v>
      </c>
      <c r="BV34" s="6">
        <v>453.0</v>
      </c>
      <c r="BW34" s="6">
        <v>673.0</v>
      </c>
      <c r="BX34" s="6">
        <v>673.0</v>
      </c>
      <c r="BY34" s="27"/>
      <c r="BZ34" s="82"/>
      <c r="CA34" s="82"/>
      <c r="CB34" s="82"/>
      <c r="CC34" s="82"/>
      <c r="CD34" s="82"/>
      <c r="CE34" s="82"/>
      <c r="CF34" s="82"/>
      <c r="CG34" s="27"/>
      <c r="CH34" s="82"/>
      <c r="CI34" s="82"/>
      <c r="CJ34" s="82"/>
      <c r="CK34" s="27"/>
    </row>
    <row r="35">
      <c r="A35" s="28"/>
      <c r="B35" s="88" t="str">
        <f t="shared" si="56"/>
        <v/>
      </c>
      <c r="C35" s="89">
        <f t="shared" si="57"/>
        <v>453</v>
      </c>
      <c r="D35" s="90">
        <f t="shared" si="58"/>
        <v>1.485651214</v>
      </c>
      <c r="E35" s="91">
        <f t="shared" si="67"/>
        <v>1.485651214</v>
      </c>
      <c r="F35" s="91" t="str">
        <f t="shared" ref="F35:O35" si="96">iferror(if($N$38="relative",if(U14="","",U14/T14),U14),"")</f>
        <v/>
      </c>
      <c r="G35" s="91" t="str">
        <f t="shared" si="96"/>
        <v/>
      </c>
      <c r="H35" s="91" t="str">
        <f t="shared" si="96"/>
        <v/>
      </c>
      <c r="I35" s="91" t="str">
        <f t="shared" si="96"/>
        <v/>
      </c>
      <c r="J35" s="91" t="str">
        <f t="shared" si="96"/>
        <v/>
      </c>
      <c r="K35" s="91" t="str">
        <f t="shared" si="96"/>
        <v/>
      </c>
      <c r="L35" s="91" t="str">
        <f t="shared" si="96"/>
        <v/>
      </c>
      <c r="M35" s="91" t="str">
        <f t="shared" si="96"/>
        <v/>
      </c>
      <c r="N35" s="91" t="str">
        <f t="shared" si="96"/>
        <v/>
      </c>
      <c r="O35" s="92" t="str">
        <f t="shared" si="96"/>
        <v/>
      </c>
      <c r="P35" s="80"/>
      <c r="Q35" s="63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6"/>
      <c r="BL35" s="93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93"/>
      <c r="BY35" s="82"/>
      <c r="BZ35" s="82"/>
      <c r="CA35" s="82"/>
      <c r="CB35" s="82"/>
      <c r="CC35" s="82"/>
      <c r="CD35" s="82"/>
      <c r="CE35" s="82"/>
      <c r="CF35" s="82"/>
      <c r="CG35" s="82"/>
      <c r="CH35" s="82"/>
      <c r="CI35" s="82"/>
      <c r="CJ35" s="82"/>
      <c r="CK35" s="27"/>
    </row>
    <row r="36">
      <c r="A36" s="62"/>
      <c r="B36" s="94" t="str">
        <f t="shared" si="56"/>
        <v/>
      </c>
      <c r="C36" s="95">
        <f t="shared" si="57"/>
        <v>673</v>
      </c>
      <c r="D36" s="96">
        <f t="shared" si="58"/>
        <v>1</v>
      </c>
      <c r="E36" s="91" t="str">
        <f t="shared" si="67"/>
        <v/>
      </c>
      <c r="F36" s="91" t="str">
        <f t="shared" ref="F36:O36" si="97">iferror(if($N$38="relative",if(U15="","",U15/T15),U15),"")</f>
        <v/>
      </c>
      <c r="G36" s="91" t="str">
        <f t="shared" si="97"/>
        <v/>
      </c>
      <c r="H36" s="91" t="str">
        <f t="shared" si="97"/>
        <v/>
      </c>
      <c r="I36" s="91" t="str">
        <f t="shared" si="97"/>
        <v/>
      </c>
      <c r="J36" s="91" t="str">
        <f t="shared" si="97"/>
        <v/>
      </c>
      <c r="K36" s="91" t="str">
        <f t="shared" si="97"/>
        <v/>
      </c>
      <c r="L36" s="91" t="str">
        <f t="shared" si="97"/>
        <v/>
      </c>
      <c r="M36" s="91" t="str">
        <f t="shared" si="97"/>
        <v/>
      </c>
      <c r="N36" s="91" t="str">
        <f t="shared" si="97"/>
        <v/>
      </c>
      <c r="O36" s="92" t="str">
        <f t="shared" si="97"/>
        <v/>
      </c>
      <c r="P36" s="80"/>
      <c r="Q36" s="63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68"/>
      <c r="AH36" s="24" t="s">
        <v>5</v>
      </c>
      <c r="AI36" s="24" t="s">
        <v>6</v>
      </c>
      <c r="AJ36" s="24" t="s">
        <v>7</v>
      </c>
      <c r="AK36" s="24" t="s">
        <v>8</v>
      </c>
      <c r="AL36" s="24" t="s">
        <v>9</v>
      </c>
      <c r="AM36" s="24" t="s">
        <v>10</v>
      </c>
      <c r="AN36" s="24" t="s">
        <v>11</v>
      </c>
      <c r="AO36" s="24" t="s">
        <v>12</v>
      </c>
      <c r="AP36" s="24" t="s">
        <v>13</v>
      </c>
      <c r="AQ36" s="24" t="s">
        <v>14</v>
      </c>
      <c r="AR36" s="24" t="s">
        <v>15</v>
      </c>
      <c r="AS36" s="24" t="s">
        <v>16</v>
      </c>
      <c r="AT36" s="5"/>
      <c r="AU36" s="24" t="s">
        <v>29</v>
      </c>
      <c r="AV36" s="24" t="s">
        <v>30</v>
      </c>
      <c r="AW36" s="24" t="s">
        <v>31</v>
      </c>
      <c r="AX36" s="24" t="s">
        <v>32</v>
      </c>
      <c r="AY36" s="24" t="s">
        <v>33</v>
      </c>
      <c r="AZ36" s="24" t="s">
        <v>34</v>
      </c>
      <c r="BA36" s="24" t="s">
        <v>35</v>
      </c>
      <c r="BB36" s="24" t="s">
        <v>36</v>
      </c>
      <c r="BC36" s="24" t="s">
        <v>37</v>
      </c>
      <c r="BD36" s="24" t="s">
        <v>38</v>
      </c>
      <c r="BE36" s="24" t="s">
        <v>39</v>
      </c>
      <c r="BF36" s="24" t="s">
        <v>40</v>
      </c>
      <c r="BG36" s="24" t="s">
        <v>40</v>
      </c>
      <c r="BH36" s="5"/>
      <c r="BI36" s="5"/>
      <c r="BJ36" s="5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</row>
    <row r="37">
      <c r="A37" s="28"/>
      <c r="B37" s="97" t="s">
        <v>41</v>
      </c>
      <c r="C37" s="98"/>
      <c r="D37" s="99">
        <f t="shared" ref="D37:O37" si="98">iferror(sumproduct(D25:D36*$C25:$C36*(D25:D36&lt;&gt;"")*($C25:$C36&lt;&gt;""))/sumproduct($C25:$C36*(D25:D36&lt;&gt;"")*($C25:$C36&lt;&gt;"")),"")</f>
        <v>1.112185019</v>
      </c>
      <c r="E37" s="99">
        <f t="shared" si="98"/>
        <v>1.214411248</v>
      </c>
      <c r="F37" s="99">
        <f t="shared" si="98"/>
        <v>1.307106599</v>
      </c>
      <c r="G37" s="99">
        <f t="shared" si="98"/>
        <v>1.311389072</v>
      </c>
      <c r="H37" s="99">
        <f t="shared" si="98"/>
        <v>1.365409966</v>
      </c>
      <c r="I37" s="99">
        <f t="shared" si="98"/>
        <v>1.321856287</v>
      </c>
      <c r="J37" s="99">
        <f t="shared" si="98"/>
        <v>1.368953881</v>
      </c>
      <c r="K37" s="99">
        <f t="shared" si="98"/>
        <v>1.680504467</v>
      </c>
      <c r="L37" s="99">
        <f t="shared" si="98"/>
        <v>1.910928144</v>
      </c>
      <c r="M37" s="99">
        <f t="shared" si="98"/>
        <v>1.876247505</v>
      </c>
      <c r="N37" s="99">
        <f t="shared" si="98"/>
        <v>1.806886228</v>
      </c>
      <c r="O37" s="99">
        <f t="shared" si="98"/>
        <v>2.25748503</v>
      </c>
      <c r="P37" s="80"/>
      <c r="Q37" s="63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69">
        <v>1.0</v>
      </c>
      <c r="AH37" s="69">
        <f t="shared" ref="AH37:AS37" si="99">sumproduct(AH23:AH34*(AH23:AH34&lt;&gt;"")*($AG23:$AG34&lt;&gt;""))/sumproduct($AG23:$AG34*(AH23:AH34&lt;&gt;"")*($AG23:$AG34&lt;&gt;""))</f>
        <v>1.112185019</v>
      </c>
      <c r="AI37" s="69">
        <f t="shared" si="99"/>
        <v>1.214411248</v>
      </c>
      <c r="AJ37" s="69">
        <f t="shared" si="99"/>
        <v>1.285132819</v>
      </c>
      <c r="AK37" s="69">
        <f t="shared" si="99"/>
        <v>1.311389072</v>
      </c>
      <c r="AL37" s="69">
        <f t="shared" si="99"/>
        <v>1.365409966</v>
      </c>
      <c r="AM37" s="69">
        <f t="shared" si="99"/>
        <v>1.321856287</v>
      </c>
      <c r="AN37" s="69">
        <f t="shared" si="99"/>
        <v>1.368953881</v>
      </c>
      <c r="AO37" s="69">
        <f t="shared" si="99"/>
        <v>1.680504467</v>
      </c>
      <c r="AP37" s="69">
        <f t="shared" si="99"/>
        <v>1.910928144</v>
      </c>
      <c r="AQ37" s="69">
        <f t="shared" si="99"/>
        <v>1.876247505</v>
      </c>
      <c r="AR37" s="69">
        <f t="shared" si="99"/>
        <v>1.806886228</v>
      </c>
      <c r="AS37" s="69">
        <f t="shared" si="99"/>
        <v>2.25748503</v>
      </c>
      <c r="AT37" s="5"/>
      <c r="AU37" s="70" t="str">
        <f t="shared" ref="AU37:BG37" si="100">iferror(sumproduct(AU22:AU33*AG22:AG33*(AU22:AU33&lt;&gt;"")*(AG22:AG33&lt;&gt;""))/sumproduct(AG22:AG33*(AU22:AU33&lt;&gt;"")*(AG22:AG33&lt;&gt;"")),"")</f>
        <v/>
      </c>
      <c r="AV37" s="70" t="str">
        <f t="shared" si="100"/>
        <v/>
      </c>
      <c r="AW37" s="70" t="str">
        <f t="shared" si="100"/>
        <v/>
      </c>
      <c r="AX37" s="70" t="str">
        <f t="shared" si="100"/>
        <v/>
      </c>
      <c r="AY37" s="70" t="str">
        <f t="shared" si="100"/>
        <v/>
      </c>
      <c r="AZ37" s="70" t="str">
        <f t="shared" si="100"/>
        <v/>
      </c>
      <c r="BA37" s="70" t="str">
        <f t="shared" si="100"/>
        <v/>
      </c>
      <c r="BB37" s="70" t="str">
        <f t="shared" si="100"/>
        <v/>
      </c>
      <c r="BC37" s="70" t="str">
        <f t="shared" si="100"/>
        <v/>
      </c>
      <c r="BD37" s="70" t="str">
        <f t="shared" si="100"/>
        <v/>
      </c>
      <c r="BE37" s="70" t="str">
        <f t="shared" si="100"/>
        <v/>
      </c>
      <c r="BF37" s="70" t="str">
        <f t="shared" si="100"/>
        <v/>
      </c>
      <c r="BG37" s="70" t="str">
        <f t="shared" si="100"/>
        <v/>
      </c>
      <c r="BH37" s="5"/>
      <c r="BI37" s="5"/>
      <c r="BJ37" s="5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</row>
    <row r="38">
      <c r="A38" s="28"/>
      <c r="B38" s="19"/>
      <c r="C38" s="19"/>
      <c r="D38" s="19"/>
      <c r="E38" s="19"/>
      <c r="F38" s="19"/>
      <c r="G38" s="19"/>
      <c r="H38" s="19"/>
      <c r="I38" s="19"/>
      <c r="J38" s="100"/>
      <c r="K38" s="100"/>
      <c r="L38" s="100"/>
      <c r="M38" s="101" t="s">
        <v>42</v>
      </c>
      <c r="N38" s="102" t="s">
        <v>43</v>
      </c>
      <c r="O38" s="19"/>
      <c r="P38" s="62"/>
      <c r="Q38" s="63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24"/>
      <c r="AU38" s="71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5"/>
      <c r="BG38" s="5"/>
      <c r="BH38" s="5"/>
      <c r="BI38" s="5"/>
      <c r="BJ38" s="5"/>
      <c r="BK38" s="7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7"/>
      <c r="BX38" s="7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104"/>
      <c r="N39" s="105"/>
      <c r="O39" s="28"/>
      <c r="P39" s="62"/>
      <c r="Q39" s="63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73" t="s">
        <v>22</v>
      </c>
      <c r="AU39" s="74">
        <f>iferror(sumproduct(AG37:AS37*AU37:BG37),"")</f>
        <v>0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7"/>
      <c r="BL39" s="103"/>
      <c r="BM39" s="103"/>
      <c r="BN39" s="103"/>
      <c r="BO39" s="103"/>
      <c r="BP39" s="103"/>
      <c r="BQ39" s="103"/>
      <c r="BR39" s="103"/>
      <c r="BS39" s="103"/>
      <c r="BT39" s="103"/>
      <c r="BU39" s="103"/>
      <c r="BV39" s="103"/>
      <c r="BW39" s="7"/>
      <c r="BX39" s="7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</row>
    <row r="40">
      <c r="A40" s="28"/>
      <c r="B40" s="76"/>
      <c r="C40" s="28"/>
      <c r="D40" s="28"/>
      <c r="E40" s="28"/>
      <c r="F40" s="28"/>
      <c r="G40" s="28"/>
      <c r="H40" s="28"/>
      <c r="I40" s="28"/>
      <c r="J40" s="29"/>
      <c r="K40" s="29"/>
      <c r="L40" s="29"/>
      <c r="M40" s="29"/>
      <c r="N40" s="29"/>
      <c r="O40" s="28"/>
      <c r="P40" s="62"/>
      <c r="Q40" s="63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7"/>
      <c r="BL40" s="103"/>
      <c r="BM40" s="103"/>
      <c r="BN40" s="103"/>
      <c r="BO40" s="103"/>
      <c r="BP40" s="103"/>
      <c r="BQ40" s="103"/>
      <c r="BR40" s="103"/>
      <c r="BS40" s="103"/>
      <c r="BT40" s="103"/>
      <c r="BU40" s="103"/>
      <c r="BV40" s="103"/>
      <c r="BW40" s="7"/>
      <c r="BX40" s="7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</row>
    <row r="41">
      <c r="A41" s="28"/>
      <c r="B41" s="106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62"/>
      <c r="Q41" s="63"/>
      <c r="R41" s="23"/>
      <c r="S41" s="24" t="s">
        <v>5</v>
      </c>
      <c r="T41" s="24" t="s">
        <v>6</v>
      </c>
      <c r="U41" s="24" t="s">
        <v>7</v>
      </c>
      <c r="V41" s="24" t="s">
        <v>8</v>
      </c>
      <c r="W41" s="24" t="s">
        <v>9</v>
      </c>
      <c r="X41" s="24" t="s">
        <v>10</v>
      </c>
      <c r="Y41" s="24" t="s">
        <v>11</v>
      </c>
      <c r="Z41" s="24" t="s">
        <v>12</v>
      </c>
      <c r="AA41" s="24" t="s">
        <v>13</v>
      </c>
      <c r="AB41" s="24" t="s">
        <v>14</v>
      </c>
      <c r="AC41" s="24" t="s">
        <v>15</v>
      </c>
      <c r="AD41" s="24" t="s">
        <v>16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9"/>
      <c r="N42" s="29"/>
      <c r="O42" s="29"/>
      <c r="P42" s="62"/>
      <c r="Q42" s="63"/>
      <c r="R42" s="23" t="str">
        <f t="shared" ref="R42:R53" si="104">text(datevalue(right(BK42,10)),"MMM YYYY")</f>
        <v>#VALUE!</v>
      </c>
      <c r="S42" s="31">
        <f t="shared" ref="S42:AD42" si="101">if(or($AG42="",AH42=""),"",iferror(AH42/$AG42,""))</f>
        <v>1</v>
      </c>
      <c r="T42" s="31">
        <f t="shared" si="101"/>
        <v>1</v>
      </c>
      <c r="U42" s="31">
        <f t="shared" si="101"/>
        <v>1</v>
      </c>
      <c r="V42" s="31">
        <f t="shared" si="101"/>
        <v>1.69760479</v>
      </c>
      <c r="W42" s="31">
        <f t="shared" si="101"/>
        <v>2.25748503</v>
      </c>
      <c r="X42" s="31">
        <f t="shared" si="101"/>
        <v>2.25748503</v>
      </c>
      <c r="Y42" s="31">
        <f t="shared" si="101"/>
        <v>2.25748503</v>
      </c>
      <c r="Z42" s="31">
        <f t="shared" si="101"/>
        <v>2.25748503</v>
      </c>
      <c r="AA42" s="31">
        <f t="shared" si="101"/>
        <v>2.25748503</v>
      </c>
      <c r="AB42" s="31">
        <f t="shared" si="101"/>
        <v>2.25748503</v>
      </c>
      <c r="AC42" s="31">
        <f t="shared" si="101"/>
        <v>2.25748503</v>
      </c>
      <c r="AD42" s="31">
        <f t="shared" si="101"/>
        <v>2.25748503</v>
      </c>
      <c r="AE42" s="5"/>
      <c r="AF42" s="5"/>
      <c r="AG42" s="32">
        <f t="shared" ref="AG42:AG53" si="106">offset(BL42,0,$BJ23)</f>
        <v>334</v>
      </c>
      <c r="AH42" s="32">
        <f t="shared" ref="AH42:AS42" si="102">iferror(if($BJ23+AH$2&gt;12,"", if(offset(BM42,0,$BJ23)="","",offset(BM42,0,$BJ23))))</f>
        <v>334</v>
      </c>
      <c r="AI42" s="32">
        <f t="shared" si="102"/>
        <v>334</v>
      </c>
      <c r="AJ42" s="32">
        <f t="shared" si="102"/>
        <v>334</v>
      </c>
      <c r="AK42" s="32">
        <f t="shared" si="102"/>
        <v>567</v>
      </c>
      <c r="AL42" s="32">
        <f t="shared" si="102"/>
        <v>754</v>
      </c>
      <c r="AM42" s="32">
        <f t="shared" si="102"/>
        <v>754</v>
      </c>
      <c r="AN42" s="32">
        <f t="shared" si="102"/>
        <v>754</v>
      </c>
      <c r="AO42" s="32">
        <f t="shared" si="102"/>
        <v>754</v>
      </c>
      <c r="AP42" s="32">
        <f t="shared" si="102"/>
        <v>754</v>
      </c>
      <c r="AQ42" s="32">
        <f t="shared" si="102"/>
        <v>754</v>
      </c>
      <c r="AR42" s="32">
        <f t="shared" si="102"/>
        <v>754</v>
      </c>
      <c r="AS42" s="32">
        <f t="shared" si="102"/>
        <v>754</v>
      </c>
      <c r="AT42" s="4"/>
      <c r="AU42" s="33">
        <f t="shared" ref="AU42:BG42" si="103">iferror(if($BJ42+AG$2&gt;12,"", if(offset(BY42,0,$BJ42)="","",offset(BY42,0,$BJ42)/AG42)))</f>
        <v>2.25748503</v>
      </c>
      <c r="AV42" s="33">
        <f t="shared" si="103"/>
        <v>2.25748503</v>
      </c>
      <c r="AW42" s="33">
        <f t="shared" si="103"/>
        <v>2.25748503</v>
      </c>
      <c r="AX42" s="33">
        <f t="shared" si="103"/>
        <v>2.25748503</v>
      </c>
      <c r="AY42" s="33">
        <f t="shared" si="103"/>
        <v>1.329805996</v>
      </c>
      <c r="AZ42" s="33">
        <f t="shared" si="103"/>
        <v>1</v>
      </c>
      <c r="BA42" s="33">
        <f t="shared" si="103"/>
        <v>1</v>
      </c>
      <c r="BB42" s="33">
        <f t="shared" si="103"/>
        <v>1</v>
      </c>
      <c r="BC42" s="33">
        <f t="shared" si="103"/>
        <v>1</v>
      </c>
      <c r="BD42" s="33">
        <f t="shared" si="103"/>
        <v>1</v>
      </c>
      <c r="BE42" s="33">
        <f t="shared" si="103"/>
        <v>1</v>
      </c>
      <c r="BF42" s="33">
        <f t="shared" si="103"/>
        <v>1</v>
      </c>
      <c r="BG42" s="33">
        <f t="shared" si="103"/>
        <v>1</v>
      </c>
      <c r="BH42" s="4"/>
      <c r="BI42" s="4"/>
      <c r="BJ42" s="34">
        <v>0.0</v>
      </c>
      <c r="BK42" s="6"/>
      <c r="BL42" s="6">
        <v>334.0</v>
      </c>
      <c r="BM42" s="6">
        <v>334.0</v>
      </c>
      <c r="BN42" s="6">
        <v>334.0</v>
      </c>
      <c r="BO42" s="6">
        <v>334.0</v>
      </c>
      <c r="BP42" s="6">
        <v>567.0</v>
      </c>
      <c r="BQ42" s="6">
        <v>754.0</v>
      </c>
      <c r="BR42" s="6">
        <v>754.0</v>
      </c>
      <c r="BS42" s="6">
        <v>754.0</v>
      </c>
      <c r="BT42" s="6">
        <v>754.0</v>
      </c>
      <c r="BU42" s="6">
        <v>754.0</v>
      </c>
      <c r="BV42" s="6">
        <v>754.0</v>
      </c>
      <c r="BW42" s="6">
        <v>754.0</v>
      </c>
      <c r="BX42" s="6">
        <v>754.0</v>
      </c>
      <c r="BY42" s="27">
        <v>754.0</v>
      </c>
      <c r="BZ42" s="27">
        <v>754.0</v>
      </c>
      <c r="CA42" s="27">
        <v>754.0</v>
      </c>
      <c r="CB42" s="27">
        <v>754.0</v>
      </c>
      <c r="CC42" s="27">
        <v>754.0</v>
      </c>
      <c r="CD42" s="27">
        <v>754.0</v>
      </c>
      <c r="CE42" s="27">
        <v>754.0</v>
      </c>
      <c r="CF42" s="27">
        <v>754.0</v>
      </c>
      <c r="CG42" s="27">
        <v>754.0</v>
      </c>
      <c r="CH42" s="27">
        <v>754.0</v>
      </c>
      <c r="CI42" s="27">
        <v>754.0</v>
      </c>
      <c r="CJ42" s="27">
        <v>754.0</v>
      </c>
      <c r="CK42" s="27">
        <v>754.0</v>
      </c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9"/>
      <c r="N43" s="29"/>
      <c r="O43" s="29"/>
      <c r="P43" s="62"/>
      <c r="Q43" s="63"/>
      <c r="R43" s="23" t="str">
        <f t="shared" si="104"/>
        <v>#VALUE!</v>
      </c>
      <c r="S43" s="31">
        <f t="shared" ref="S43:AD43" si="105">if(or($AG43="",AH43=""),"",iferror(AH43/$AG43,""))</f>
        <v>1</v>
      </c>
      <c r="T43" s="31">
        <f t="shared" si="105"/>
        <v>1</v>
      </c>
      <c r="U43" s="31">
        <f t="shared" si="105"/>
        <v>1.69760479</v>
      </c>
      <c r="V43" s="31">
        <f t="shared" si="105"/>
        <v>2.28742515</v>
      </c>
      <c r="W43" s="31">
        <f t="shared" si="105"/>
        <v>2.28742515</v>
      </c>
      <c r="X43" s="31">
        <f t="shared" si="105"/>
        <v>2.28742515</v>
      </c>
      <c r="Y43" s="31">
        <f t="shared" si="105"/>
        <v>2.28742515</v>
      </c>
      <c r="Z43" s="31">
        <f t="shared" si="105"/>
        <v>2.28742515</v>
      </c>
      <c r="AA43" s="31">
        <f t="shared" si="105"/>
        <v>1.356287425</v>
      </c>
      <c r="AB43" s="31">
        <f t="shared" si="105"/>
        <v>1.356287425</v>
      </c>
      <c r="AC43" s="31">
        <f t="shared" si="105"/>
        <v>1.356287425</v>
      </c>
      <c r="AD43" s="31" t="str">
        <f t="shared" si="105"/>
        <v/>
      </c>
      <c r="AE43" s="5"/>
      <c r="AF43" s="5"/>
      <c r="AG43" s="32">
        <f t="shared" si="106"/>
        <v>334</v>
      </c>
      <c r="AH43" s="32">
        <f t="shared" ref="AH43:AS43" si="107">iferror(if($BJ24+AH$2&gt;12,"", if(offset(BM43,0,$BJ24)="","",offset(BM43,0,$BJ24))))</f>
        <v>334</v>
      </c>
      <c r="AI43" s="32">
        <f t="shared" si="107"/>
        <v>334</v>
      </c>
      <c r="AJ43" s="32">
        <f t="shared" si="107"/>
        <v>567</v>
      </c>
      <c r="AK43" s="32">
        <f t="shared" si="107"/>
        <v>764</v>
      </c>
      <c r="AL43" s="32">
        <f t="shared" si="107"/>
        <v>764</v>
      </c>
      <c r="AM43" s="32">
        <f t="shared" si="107"/>
        <v>764</v>
      </c>
      <c r="AN43" s="32">
        <f t="shared" si="107"/>
        <v>764</v>
      </c>
      <c r="AO43" s="32">
        <f t="shared" si="107"/>
        <v>764</v>
      </c>
      <c r="AP43" s="32">
        <f t="shared" si="107"/>
        <v>453</v>
      </c>
      <c r="AQ43" s="32">
        <f t="shared" si="107"/>
        <v>453</v>
      </c>
      <c r="AR43" s="32">
        <f t="shared" si="107"/>
        <v>453</v>
      </c>
      <c r="AS43" s="32" t="str">
        <f t="shared" si="107"/>
        <v/>
      </c>
      <c r="AT43" s="4"/>
      <c r="AU43" s="33">
        <f t="shared" ref="AU43:BG43" si="108">iferror(if($BJ43+AG$2&gt;12,"", if(offset(BY43,0,$BJ43)="","",offset(BY43,0,$BJ43)/AG43)))</f>
        <v>2.28742515</v>
      </c>
      <c r="AV43" s="33">
        <f t="shared" si="108"/>
        <v>2.28742515</v>
      </c>
      <c r="AW43" s="33">
        <f t="shared" si="108"/>
        <v>2.28742515</v>
      </c>
      <c r="AX43" s="33">
        <f t="shared" si="108"/>
        <v>0.7989417989</v>
      </c>
      <c r="AY43" s="33">
        <f t="shared" si="108"/>
        <v>0.5929319372</v>
      </c>
      <c r="AZ43" s="33">
        <f t="shared" si="108"/>
        <v>0.5929319372</v>
      </c>
      <c r="BA43" s="33">
        <f t="shared" si="108"/>
        <v>1</v>
      </c>
      <c r="BB43" s="33">
        <f t="shared" si="108"/>
        <v>1</v>
      </c>
      <c r="BC43" s="33">
        <f t="shared" si="108"/>
        <v>1</v>
      </c>
      <c r="BD43" s="33">
        <f t="shared" si="108"/>
        <v>1</v>
      </c>
      <c r="BE43" s="33">
        <f t="shared" si="108"/>
        <v>1</v>
      </c>
      <c r="BF43" s="33">
        <f t="shared" si="108"/>
        <v>1</v>
      </c>
      <c r="BG43" s="33" t="str">
        <f t="shared" si="108"/>
        <v/>
      </c>
      <c r="BH43" s="4"/>
      <c r="BI43" s="4"/>
      <c r="BJ43" s="34">
        <f t="shared" ref="BJ43:BJ53" si="112">BJ42+1</f>
        <v>1</v>
      </c>
      <c r="BK43" s="6"/>
      <c r="BL43" s="6">
        <v>334.0</v>
      </c>
      <c r="BM43" s="6">
        <v>334.0</v>
      </c>
      <c r="BN43" s="6">
        <v>334.0</v>
      </c>
      <c r="BO43" s="6">
        <v>334.0</v>
      </c>
      <c r="BP43" s="6">
        <v>567.0</v>
      </c>
      <c r="BQ43" s="6">
        <v>764.0</v>
      </c>
      <c r="BR43" s="6">
        <v>764.0</v>
      </c>
      <c r="BS43" s="6">
        <v>764.0</v>
      </c>
      <c r="BT43" s="6">
        <v>764.0</v>
      </c>
      <c r="BU43" s="6">
        <v>764.0</v>
      </c>
      <c r="BV43" s="6">
        <v>453.0</v>
      </c>
      <c r="BW43" s="6">
        <v>453.0</v>
      </c>
      <c r="BX43" s="6">
        <v>453.0</v>
      </c>
      <c r="BY43" s="27">
        <v>764.0</v>
      </c>
      <c r="BZ43" s="27">
        <v>764.0</v>
      </c>
      <c r="CA43" s="27">
        <v>764.0</v>
      </c>
      <c r="CB43" s="27">
        <v>764.0</v>
      </c>
      <c r="CC43" s="27">
        <v>453.0</v>
      </c>
      <c r="CD43" s="27">
        <v>453.0</v>
      </c>
      <c r="CE43" s="27">
        <v>453.0</v>
      </c>
      <c r="CF43" s="27">
        <v>764.0</v>
      </c>
      <c r="CG43" s="27">
        <v>764.0</v>
      </c>
      <c r="CH43" s="27">
        <v>764.0</v>
      </c>
      <c r="CI43" s="27">
        <v>453.0</v>
      </c>
      <c r="CJ43" s="27">
        <v>453.0</v>
      </c>
      <c r="CK43" s="27">
        <v>453.0</v>
      </c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9"/>
      <c r="N44" s="29"/>
      <c r="O44" s="29"/>
      <c r="P44" s="62"/>
      <c r="Q44" s="63"/>
      <c r="R44" s="23" t="str">
        <f t="shared" si="104"/>
        <v>#VALUE!</v>
      </c>
      <c r="S44" s="31">
        <f t="shared" ref="S44:AD44" si="109">if(or($AG44="",AH44=""),"",iferror(AH44/$AG44,""))</f>
        <v>1</v>
      </c>
      <c r="T44" s="31">
        <f t="shared" si="109"/>
        <v>1</v>
      </c>
      <c r="U44" s="31">
        <f t="shared" si="109"/>
        <v>1</v>
      </c>
      <c r="V44" s="31">
        <f t="shared" si="109"/>
        <v>1</v>
      </c>
      <c r="W44" s="31">
        <f t="shared" si="109"/>
        <v>1</v>
      </c>
      <c r="X44" s="31">
        <f t="shared" si="109"/>
        <v>1</v>
      </c>
      <c r="Y44" s="31">
        <f t="shared" si="109"/>
        <v>1</v>
      </c>
      <c r="Z44" s="31">
        <f t="shared" si="109"/>
        <v>1</v>
      </c>
      <c r="AA44" s="31">
        <f t="shared" si="109"/>
        <v>2.01497006</v>
      </c>
      <c r="AB44" s="31">
        <f t="shared" si="109"/>
        <v>2.01497006</v>
      </c>
      <c r="AC44" s="31" t="str">
        <f t="shared" si="109"/>
        <v/>
      </c>
      <c r="AD44" s="31" t="str">
        <f t="shared" si="109"/>
        <v/>
      </c>
      <c r="AE44" s="5"/>
      <c r="AF44" s="5"/>
      <c r="AG44" s="32">
        <f t="shared" si="106"/>
        <v>334</v>
      </c>
      <c r="AH44" s="32">
        <f t="shared" ref="AH44:AS44" si="110">iferror(if($BJ25+AH$2&gt;12,"", if(offset(BM44,0,$BJ25)="","",offset(BM44,0,$BJ25))))</f>
        <v>334</v>
      </c>
      <c r="AI44" s="32">
        <f t="shared" si="110"/>
        <v>334</v>
      </c>
      <c r="AJ44" s="32">
        <f t="shared" si="110"/>
        <v>334</v>
      </c>
      <c r="AK44" s="32">
        <f t="shared" si="110"/>
        <v>334</v>
      </c>
      <c r="AL44" s="32">
        <f t="shared" si="110"/>
        <v>334</v>
      </c>
      <c r="AM44" s="32">
        <f t="shared" si="110"/>
        <v>334</v>
      </c>
      <c r="AN44" s="32">
        <f t="shared" si="110"/>
        <v>334</v>
      </c>
      <c r="AO44" s="32">
        <f t="shared" si="110"/>
        <v>334</v>
      </c>
      <c r="AP44" s="32">
        <f t="shared" si="110"/>
        <v>673</v>
      </c>
      <c r="AQ44" s="32">
        <f t="shared" si="110"/>
        <v>673</v>
      </c>
      <c r="AR44" s="32" t="str">
        <f t="shared" si="110"/>
        <v/>
      </c>
      <c r="AS44" s="32" t="str">
        <f t="shared" si="110"/>
        <v/>
      </c>
      <c r="AT44" s="4"/>
      <c r="AU44" s="33">
        <f t="shared" ref="AU44:BG44" si="111">iferror(if($BJ44+AG$2&gt;12,"", if(offset(BY44,0,$BJ44)="","",offset(BY44,0,$BJ44)/AG44)))</f>
        <v>1</v>
      </c>
      <c r="AV44" s="33">
        <f t="shared" si="111"/>
        <v>1</v>
      </c>
      <c r="AW44" s="33">
        <f t="shared" si="111"/>
        <v>1</v>
      </c>
      <c r="AX44" s="33">
        <f t="shared" si="111"/>
        <v>2.01497006</v>
      </c>
      <c r="AY44" s="33">
        <f t="shared" si="111"/>
        <v>2.01497006</v>
      </c>
      <c r="AZ44" s="33">
        <f t="shared" si="111"/>
        <v>1</v>
      </c>
      <c r="BA44" s="33">
        <f t="shared" si="111"/>
        <v>1</v>
      </c>
      <c r="BB44" s="33">
        <f t="shared" si="111"/>
        <v>1</v>
      </c>
      <c r="BC44" s="33">
        <f t="shared" si="111"/>
        <v>1</v>
      </c>
      <c r="BD44" s="33">
        <f t="shared" si="111"/>
        <v>1</v>
      </c>
      <c r="BE44" s="33">
        <f t="shared" si="111"/>
        <v>1</v>
      </c>
      <c r="BF44" s="33" t="str">
        <f t="shared" si="111"/>
        <v/>
      </c>
      <c r="BG44" s="33" t="str">
        <f t="shared" si="111"/>
        <v/>
      </c>
      <c r="BH44" s="4"/>
      <c r="BI44" s="4"/>
      <c r="BJ44" s="34">
        <f t="shared" si="112"/>
        <v>2</v>
      </c>
      <c r="BK44" s="6"/>
      <c r="BL44" s="6">
        <v>334.0</v>
      </c>
      <c r="BM44" s="6">
        <v>334.0</v>
      </c>
      <c r="BN44" s="6">
        <v>334.0</v>
      </c>
      <c r="BO44" s="6">
        <v>334.0</v>
      </c>
      <c r="BP44" s="6">
        <v>334.0</v>
      </c>
      <c r="BQ44" s="6">
        <v>334.0</v>
      </c>
      <c r="BR44" s="6">
        <v>334.0</v>
      </c>
      <c r="BS44" s="6">
        <v>334.0</v>
      </c>
      <c r="BT44" s="6">
        <v>334.0</v>
      </c>
      <c r="BU44" s="6">
        <v>334.0</v>
      </c>
      <c r="BV44" s="6">
        <v>334.0</v>
      </c>
      <c r="BW44" s="6">
        <v>673.0</v>
      </c>
      <c r="BX44" s="6">
        <v>673.0</v>
      </c>
      <c r="BY44" s="27">
        <v>334.0</v>
      </c>
      <c r="BZ44" s="27">
        <v>334.0</v>
      </c>
      <c r="CA44" s="27">
        <v>334.0</v>
      </c>
      <c r="CB44" s="27">
        <v>334.0</v>
      </c>
      <c r="CC44" s="27">
        <v>334.0</v>
      </c>
      <c r="CD44" s="27">
        <v>673.0</v>
      </c>
      <c r="CE44" s="27">
        <v>673.0</v>
      </c>
      <c r="CF44" s="27">
        <v>334.0</v>
      </c>
      <c r="CG44" s="27">
        <v>334.0</v>
      </c>
      <c r="CH44" s="27">
        <v>334.0</v>
      </c>
      <c r="CI44" s="27">
        <v>334.0</v>
      </c>
      <c r="CJ44" s="27">
        <v>673.0</v>
      </c>
      <c r="CK44" s="27">
        <v>673.0</v>
      </c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9"/>
      <c r="N45" s="29"/>
      <c r="O45" s="29"/>
      <c r="P45" s="62"/>
      <c r="Q45" s="63"/>
      <c r="R45" s="23" t="str">
        <f t="shared" si="104"/>
        <v>#VALUE!</v>
      </c>
      <c r="S45" s="31">
        <f t="shared" ref="S45:AD45" si="113">if(or($AG45="",AH45=""),"",iferror(AH45/$AG45,""))</f>
        <v>1.69760479</v>
      </c>
      <c r="T45" s="31">
        <f t="shared" si="113"/>
        <v>2.28742515</v>
      </c>
      <c r="U45" s="31">
        <f t="shared" si="113"/>
        <v>2.28742515</v>
      </c>
      <c r="V45" s="31">
        <f t="shared" si="113"/>
        <v>2.28742515</v>
      </c>
      <c r="W45" s="31">
        <f t="shared" si="113"/>
        <v>2.28742515</v>
      </c>
      <c r="X45" s="31">
        <f t="shared" si="113"/>
        <v>2.28742515</v>
      </c>
      <c r="Y45" s="31">
        <f t="shared" si="113"/>
        <v>1.356287425</v>
      </c>
      <c r="Z45" s="31">
        <f t="shared" si="113"/>
        <v>2.01497006</v>
      </c>
      <c r="AA45" s="31">
        <f t="shared" si="113"/>
        <v>2.01497006</v>
      </c>
      <c r="AB45" s="31" t="str">
        <f t="shared" si="113"/>
        <v/>
      </c>
      <c r="AC45" s="31" t="str">
        <f t="shared" si="113"/>
        <v/>
      </c>
      <c r="AD45" s="31" t="str">
        <f t="shared" si="113"/>
        <v/>
      </c>
      <c r="AE45" s="5"/>
      <c r="AF45" s="5"/>
      <c r="AG45" s="32">
        <f t="shared" si="106"/>
        <v>334</v>
      </c>
      <c r="AH45" s="32">
        <f t="shared" ref="AH45:AS45" si="114">iferror(if($BJ26+AH$2&gt;12,"", if(offset(BM45,0,$BJ26)="","",offset(BM45,0,$BJ26))))</f>
        <v>567</v>
      </c>
      <c r="AI45" s="32">
        <f t="shared" si="114"/>
        <v>764</v>
      </c>
      <c r="AJ45" s="32">
        <f t="shared" si="114"/>
        <v>764</v>
      </c>
      <c r="AK45" s="32">
        <f t="shared" si="114"/>
        <v>764</v>
      </c>
      <c r="AL45" s="32">
        <f t="shared" si="114"/>
        <v>764</v>
      </c>
      <c r="AM45" s="32">
        <f t="shared" si="114"/>
        <v>764</v>
      </c>
      <c r="AN45" s="32">
        <f t="shared" si="114"/>
        <v>453</v>
      </c>
      <c r="AO45" s="32">
        <f t="shared" si="114"/>
        <v>673</v>
      </c>
      <c r="AP45" s="32">
        <f t="shared" si="114"/>
        <v>673</v>
      </c>
      <c r="AQ45" s="32" t="str">
        <f t="shared" si="114"/>
        <v/>
      </c>
      <c r="AR45" s="32" t="str">
        <f t="shared" si="114"/>
        <v/>
      </c>
      <c r="AS45" s="32" t="str">
        <f t="shared" si="114"/>
        <v/>
      </c>
      <c r="AT45" s="4"/>
      <c r="AU45" s="33">
        <f t="shared" ref="AU45:BG45" si="115">iferror(if($BJ45+AG$2&gt;12,"", if(offset(BY45,0,$BJ45)="","",offset(BY45,0,$BJ45)/AG45)))</f>
        <v>2.28742515</v>
      </c>
      <c r="AV45" s="33">
        <f t="shared" si="115"/>
        <v>0.7989417989</v>
      </c>
      <c r="AW45" s="33">
        <f t="shared" si="115"/>
        <v>0.8808900524</v>
      </c>
      <c r="AX45" s="33">
        <f t="shared" si="115"/>
        <v>0.8808900524</v>
      </c>
      <c r="AY45" s="33">
        <f t="shared" si="115"/>
        <v>1</v>
      </c>
      <c r="AZ45" s="33">
        <f t="shared" si="115"/>
        <v>1</v>
      </c>
      <c r="BA45" s="33">
        <f t="shared" si="115"/>
        <v>1</v>
      </c>
      <c r="BB45" s="33">
        <f t="shared" si="115"/>
        <v>1</v>
      </c>
      <c r="BC45" s="33">
        <f t="shared" si="115"/>
        <v>1</v>
      </c>
      <c r="BD45" s="33">
        <f t="shared" si="115"/>
        <v>1</v>
      </c>
      <c r="BE45" s="33" t="str">
        <f t="shared" si="115"/>
        <v/>
      </c>
      <c r="BF45" s="33" t="str">
        <f t="shared" si="115"/>
        <v/>
      </c>
      <c r="BG45" s="33" t="str">
        <f t="shared" si="115"/>
        <v/>
      </c>
      <c r="BH45" s="4"/>
      <c r="BI45" s="4"/>
      <c r="BJ45" s="34">
        <f t="shared" si="112"/>
        <v>3</v>
      </c>
      <c r="BK45" s="6"/>
      <c r="BL45" s="6">
        <v>334.0</v>
      </c>
      <c r="BM45" s="6">
        <v>334.0</v>
      </c>
      <c r="BN45" s="6">
        <v>334.0</v>
      </c>
      <c r="BO45" s="6">
        <v>334.0</v>
      </c>
      <c r="BP45" s="6">
        <v>567.0</v>
      </c>
      <c r="BQ45" s="6">
        <v>764.0</v>
      </c>
      <c r="BR45" s="6">
        <v>764.0</v>
      </c>
      <c r="BS45" s="6">
        <v>764.0</v>
      </c>
      <c r="BT45" s="6">
        <v>764.0</v>
      </c>
      <c r="BU45" s="6">
        <v>764.0</v>
      </c>
      <c r="BV45" s="6">
        <v>453.0</v>
      </c>
      <c r="BW45" s="6">
        <v>673.0</v>
      </c>
      <c r="BX45" s="6">
        <v>673.0</v>
      </c>
      <c r="BY45" s="27">
        <v>764.0</v>
      </c>
      <c r="BZ45" s="27">
        <v>764.0</v>
      </c>
      <c r="CA45" s="27">
        <v>764.0</v>
      </c>
      <c r="CB45" s="27">
        <v>764.0</v>
      </c>
      <c r="CC45" s="27">
        <v>453.0</v>
      </c>
      <c r="CD45" s="27">
        <v>673.0</v>
      </c>
      <c r="CE45" s="27">
        <v>673.0</v>
      </c>
      <c r="CF45" s="27">
        <v>764.0</v>
      </c>
      <c r="CG45" s="27">
        <v>764.0</v>
      </c>
      <c r="CH45" s="27">
        <v>764.0</v>
      </c>
      <c r="CI45" s="27">
        <v>453.0</v>
      </c>
      <c r="CJ45" s="27">
        <v>673.0</v>
      </c>
      <c r="CK45" s="27">
        <v>673.0</v>
      </c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9"/>
      <c r="N46" s="29"/>
      <c r="O46" s="29"/>
      <c r="P46" s="62"/>
      <c r="Q46" s="63"/>
      <c r="R46" s="23" t="str">
        <f t="shared" si="104"/>
        <v>#VALUE!</v>
      </c>
      <c r="S46" s="31">
        <f t="shared" ref="S46:AD46" si="116">if(or($AG46="",AH46=""),"",iferror(AH46/$AG46,""))</f>
        <v>1.347442681</v>
      </c>
      <c r="T46" s="31">
        <f t="shared" si="116"/>
        <v>1.347442681</v>
      </c>
      <c r="U46" s="31">
        <f t="shared" si="116"/>
        <v>1.347442681</v>
      </c>
      <c r="V46" s="31">
        <f t="shared" si="116"/>
        <v>1.347442681</v>
      </c>
      <c r="W46" s="31">
        <f t="shared" si="116"/>
        <v>1.347442681</v>
      </c>
      <c r="X46" s="31">
        <f t="shared" si="116"/>
        <v>0.7989417989</v>
      </c>
      <c r="Y46" s="31">
        <f t="shared" si="116"/>
        <v>1.186948854</v>
      </c>
      <c r="Z46" s="31">
        <f t="shared" si="116"/>
        <v>1.186948854</v>
      </c>
      <c r="AA46" s="31" t="str">
        <f t="shared" si="116"/>
        <v/>
      </c>
      <c r="AB46" s="31" t="str">
        <f t="shared" si="116"/>
        <v/>
      </c>
      <c r="AC46" s="31" t="str">
        <f t="shared" si="116"/>
        <v/>
      </c>
      <c r="AD46" s="31" t="str">
        <f t="shared" si="116"/>
        <v/>
      </c>
      <c r="AE46" s="5"/>
      <c r="AF46" s="5"/>
      <c r="AG46" s="32">
        <f t="shared" si="106"/>
        <v>567</v>
      </c>
      <c r="AH46" s="32">
        <f t="shared" ref="AH46:AS46" si="117">iferror(if($BJ27+AH$2&gt;12,"", if(offset(BM46,0,$BJ27)="","",offset(BM46,0,$BJ27))))</f>
        <v>764</v>
      </c>
      <c r="AI46" s="32">
        <f t="shared" si="117"/>
        <v>764</v>
      </c>
      <c r="AJ46" s="32">
        <f t="shared" si="117"/>
        <v>764</v>
      </c>
      <c r="AK46" s="32">
        <f t="shared" si="117"/>
        <v>764</v>
      </c>
      <c r="AL46" s="32">
        <f t="shared" si="117"/>
        <v>764</v>
      </c>
      <c r="AM46" s="32">
        <f t="shared" si="117"/>
        <v>453</v>
      </c>
      <c r="AN46" s="32">
        <f t="shared" si="117"/>
        <v>673</v>
      </c>
      <c r="AO46" s="32">
        <f t="shared" si="117"/>
        <v>673</v>
      </c>
      <c r="AP46" s="32" t="str">
        <f t="shared" si="117"/>
        <v/>
      </c>
      <c r="AQ46" s="32" t="str">
        <f t="shared" si="117"/>
        <v/>
      </c>
      <c r="AR46" s="32" t="str">
        <f t="shared" si="117"/>
        <v/>
      </c>
      <c r="AS46" s="32" t="str">
        <f t="shared" si="117"/>
        <v/>
      </c>
      <c r="AT46" s="4"/>
      <c r="AU46" s="33">
        <f t="shared" ref="AU46:BG46" si="118">iferror(if($BJ46+AG$2&gt;12,"", if(offset(BY46,0,$BJ46)="","",offset(BY46,0,$BJ46)/AG46)))</f>
        <v>0.7989417989</v>
      </c>
      <c r="AV46" s="33">
        <f t="shared" si="118"/>
        <v>0.8808900524</v>
      </c>
      <c r="AW46" s="33">
        <f t="shared" si="118"/>
        <v>0.8808900524</v>
      </c>
      <c r="AX46" s="33">
        <f t="shared" si="118"/>
        <v>1</v>
      </c>
      <c r="AY46" s="33">
        <f t="shared" si="118"/>
        <v>1</v>
      </c>
      <c r="AZ46" s="33">
        <f t="shared" si="118"/>
        <v>1</v>
      </c>
      <c r="BA46" s="33">
        <f t="shared" si="118"/>
        <v>1</v>
      </c>
      <c r="BB46" s="33">
        <f t="shared" si="118"/>
        <v>1</v>
      </c>
      <c r="BC46" s="33">
        <f t="shared" si="118"/>
        <v>1</v>
      </c>
      <c r="BD46" s="33" t="str">
        <f t="shared" si="118"/>
        <v/>
      </c>
      <c r="BE46" s="33" t="str">
        <f t="shared" si="118"/>
        <v/>
      </c>
      <c r="BF46" s="33" t="str">
        <f t="shared" si="118"/>
        <v/>
      </c>
      <c r="BG46" s="33" t="str">
        <f t="shared" si="118"/>
        <v/>
      </c>
      <c r="BH46" s="4"/>
      <c r="BI46" s="4"/>
      <c r="BJ46" s="34">
        <f t="shared" si="112"/>
        <v>4</v>
      </c>
      <c r="BK46" s="6"/>
      <c r="BL46" s="6">
        <v>334.0</v>
      </c>
      <c r="BM46" s="6">
        <v>334.0</v>
      </c>
      <c r="BN46" s="6">
        <v>334.0</v>
      </c>
      <c r="BO46" s="6">
        <v>334.0</v>
      </c>
      <c r="BP46" s="6">
        <v>567.0</v>
      </c>
      <c r="BQ46" s="6">
        <v>764.0</v>
      </c>
      <c r="BR46" s="6">
        <v>764.0</v>
      </c>
      <c r="BS46" s="6">
        <v>764.0</v>
      </c>
      <c r="BT46" s="6">
        <v>764.0</v>
      </c>
      <c r="BU46" s="6">
        <v>764.0</v>
      </c>
      <c r="BV46" s="6">
        <v>453.0</v>
      </c>
      <c r="BW46" s="6">
        <v>673.0</v>
      </c>
      <c r="BX46" s="6">
        <v>673.0</v>
      </c>
      <c r="BY46" s="27">
        <v>764.0</v>
      </c>
      <c r="BZ46" s="27">
        <v>764.0</v>
      </c>
      <c r="CA46" s="27">
        <v>764.0</v>
      </c>
      <c r="CB46" s="27">
        <v>764.0</v>
      </c>
      <c r="CC46" s="27">
        <v>453.0</v>
      </c>
      <c r="CD46" s="27">
        <v>673.0</v>
      </c>
      <c r="CE46" s="27">
        <v>673.0</v>
      </c>
      <c r="CF46" s="27">
        <v>764.0</v>
      </c>
      <c r="CG46" s="27">
        <v>764.0</v>
      </c>
      <c r="CH46" s="27">
        <v>764.0</v>
      </c>
      <c r="CI46" s="27">
        <v>453.0</v>
      </c>
      <c r="CJ46" s="27">
        <v>673.0</v>
      </c>
      <c r="CK46" s="27">
        <v>673.0</v>
      </c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62"/>
      <c r="Q47" s="63"/>
      <c r="R47" s="23" t="str">
        <f t="shared" si="104"/>
        <v>#VALUE!</v>
      </c>
      <c r="S47" s="31">
        <f t="shared" ref="S47:AD47" si="119">if(or($AG47="",AH47=""),"",iferror(AH47/$AG47,""))</f>
        <v>1</v>
      </c>
      <c r="T47" s="31">
        <f t="shared" si="119"/>
        <v>1</v>
      </c>
      <c r="U47" s="31">
        <f t="shared" si="119"/>
        <v>1</v>
      </c>
      <c r="V47" s="31">
        <f t="shared" si="119"/>
        <v>1</v>
      </c>
      <c r="W47" s="31">
        <f t="shared" si="119"/>
        <v>0.5929319372</v>
      </c>
      <c r="X47" s="31">
        <f t="shared" si="119"/>
        <v>0.8808900524</v>
      </c>
      <c r="Y47" s="31">
        <f t="shared" si="119"/>
        <v>0.8808900524</v>
      </c>
      <c r="Z47" s="31" t="str">
        <f t="shared" si="119"/>
        <v/>
      </c>
      <c r="AA47" s="31" t="str">
        <f t="shared" si="119"/>
        <v/>
      </c>
      <c r="AB47" s="31" t="str">
        <f t="shared" si="119"/>
        <v/>
      </c>
      <c r="AC47" s="31" t="str">
        <f t="shared" si="119"/>
        <v/>
      </c>
      <c r="AD47" s="31" t="str">
        <f t="shared" si="119"/>
        <v/>
      </c>
      <c r="AE47" s="5"/>
      <c r="AF47" s="5"/>
      <c r="AG47" s="32">
        <f t="shared" si="106"/>
        <v>764</v>
      </c>
      <c r="AH47" s="32">
        <f t="shared" ref="AH47:AS47" si="120">iferror(if($BJ28+AH$2&gt;12,"", if(offset(BM47,0,$BJ28)="","",offset(BM47,0,$BJ28))))</f>
        <v>764</v>
      </c>
      <c r="AI47" s="32">
        <f t="shared" si="120"/>
        <v>764</v>
      </c>
      <c r="AJ47" s="32">
        <f t="shared" si="120"/>
        <v>764</v>
      </c>
      <c r="AK47" s="32">
        <f t="shared" si="120"/>
        <v>764</v>
      </c>
      <c r="AL47" s="32">
        <f t="shared" si="120"/>
        <v>453</v>
      </c>
      <c r="AM47" s="32">
        <f t="shared" si="120"/>
        <v>673</v>
      </c>
      <c r="AN47" s="32">
        <f t="shared" si="120"/>
        <v>673</v>
      </c>
      <c r="AO47" s="32" t="str">
        <f t="shared" si="120"/>
        <v/>
      </c>
      <c r="AP47" s="32" t="str">
        <f t="shared" si="120"/>
        <v/>
      </c>
      <c r="AQ47" s="32" t="str">
        <f t="shared" si="120"/>
        <v/>
      </c>
      <c r="AR47" s="32" t="str">
        <f t="shared" si="120"/>
        <v/>
      </c>
      <c r="AS47" s="32" t="str">
        <f t="shared" si="120"/>
        <v/>
      </c>
      <c r="AT47" s="4"/>
      <c r="AU47" s="33">
        <f t="shared" ref="AU47:BG47" si="121">iferror(if($BJ47+AG$2&gt;12,"", if(offset(BY47,0,$BJ47)="","",offset(BY47,0,$BJ47)/AG47)))</f>
        <v>0.8808900524</v>
      </c>
      <c r="AV47" s="33">
        <f t="shared" si="121"/>
        <v>0.8808900524</v>
      </c>
      <c r="AW47" s="33">
        <f t="shared" si="121"/>
        <v>1</v>
      </c>
      <c r="AX47" s="33">
        <f t="shared" si="121"/>
        <v>1</v>
      </c>
      <c r="AY47" s="33">
        <f t="shared" si="121"/>
        <v>1</v>
      </c>
      <c r="AZ47" s="33">
        <f t="shared" si="121"/>
        <v>1</v>
      </c>
      <c r="BA47" s="33">
        <f t="shared" si="121"/>
        <v>1</v>
      </c>
      <c r="BB47" s="33">
        <f t="shared" si="121"/>
        <v>1</v>
      </c>
      <c r="BC47" s="33" t="str">
        <f t="shared" si="121"/>
        <v/>
      </c>
      <c r="BD47" s="33" t="str">
        <f t="shared" si="121"/>
        <v/>
      </c>
      <c r="BE47" s="33" t="str">
        <f t="shared" si="121"/>
        <v/>
      </c>
      <c r="BF47" s="33" t="str">
        <f t="shared" si="121"/>
        <v/>
      </c>
      <c r="BG47" s="33" t="str">
        <f t="shared" si="121"/>
        <v/>
      </c>
      <c r="BH47" s="4"/>
      <c r="BI47" s="4"/>
      <c r="BJ47" s="34">
        <f t="shared" si="112"/>
        <v>5</v>
      </c>
      <c r="BK47" s="6"/>
      <c r="BL47" s="6">
        <v>111.0</v>
      </c>
      <c r="BM47" s="6">
        <v>111.0</v>
      </c>
      <c r="BN47" s="6">
        <v>111.0</v>
      </c>
      <c r="BO47" s="6">
        <v>111.0</v>
      </c>
      <c r="BP47" s="6">
        <v>567.0</v>
      </c>
      <c r="BQ47" s="6">
        <v>764.0</v>
      </c>
      <c r="BR47" s="6">
        <v>764.0</v>
      </c>
      <c r="BS47" s="6">
        <v>764.0</v>
      </c>
      <c r="BT47" s="6">
        <v>764.0</v>
      </c>
      <c r="BU47" s="6">
        <v>764.0</v>
      </c>
      <c r="BV47" s="6">
        <v>453.0</v>
      </c>
      <c r="BW47" s="6">
        <v>673.0</v>
      </c>
      <c r="BX47" s="6">
        <v>673.0</v>
      </c>
      <c r="BY47" s="27">
        <v>764.0</v>
      </c>
      <c r="BZ47" s="27">
        <v>764.0</v>
      </c>
      <c r="CA47" s="27">
        <v>764.0</v>
      </c>
      <c r="CB47" s="27">
        <v>764.0</v>
      </c>
      <c r="CC47" s="27">
        <v>453.0</v>
      </c>
      <c r="CD47" s="27">
        <v>673.0</v>
      </c>
      <c r="CE47" s="27">
        <v>673.0</v>
      </c>
      <c r="CF47" s="27">
        <v>764.0</v>
      </c>
      <c r="CG47" s="27">
        <v>764.0</v>
      </c>
      <c r="CH47" s="27">
        <v>764.0</v>
      </c>
      <c r="CI47" s="27">
        <v>453.0</v>
      </c>
      <c r="CJ47" s="27">
        <v>673.0</v>
      </c>
      <c r="CK47" s="27">
        <v>673.0</v>
      </c>
    </row>
    <row r="48">
      <c r="A48" s="28"/>
      <c r="B48" s="29"/>
      <c r="C48" s="29"/>
      <c r="D48" s="29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62"/>
      <c r="Q48" s="63"/>
      <c r="R48" s="23" t="str">
        <f t="shared" si="104"/>
        <v>#VALUE!</v>
      </c>
      <c r="S48" s="31">
        <f t="shared" ref="S48:AD48" si="122">if(or($AG48="",AH48=""),"",iferror(AH48/$AG48,""))</f>
        <v>1</v>
      </c>
      <c r="T48" s="31">
        <f t="shared" si="122"/>
        <v>1</v>
      </c>
      <c r="U48" s="31">
        <f t="shared" si="122"/>
        <v>1</v>
      </c>
      <c r="V48" s="31">
        <f t="shared" si="122"/>
        <v>1</v>
      </c>
      <c r="W48" s="31">
        <f t="shared" si="122"/>
        <v>1</v>
      </c>
      <c r="X48" s="31">
        <f t="shared" si="122"/>
        <v>1</v>
      </c>
      <c r="Y48" s="31" t="str">
        <f t="shared" si="122"/>
        <v/>
      </c>
      <c r="Z48" s="31" t="str">
        <f t="shared" si="122"/>
        <v/>
      </c>
      <c r="AA48" s="31" t="str">
        <f t="shared" si="122"/>
        <v/>
      </c>
      <c r="AB48" s="31" t="str">
        <f t="shared" si="122"/>
        <v/>
      </c>
      <c r="AC48" s="31" t="str">
        <f t="shared" si="122"/>
        <v/>
      </c>
      <c r="AD48" s="31" t="str">
        <f t="shared" si="122"/>
        <v/>
      </c>
      <c r="AE48" s="5"/>
      <c r="AF48" s="5"/>
      <c r="AG48" s="32">
        <f t="shared" si="106"/>
        <v>673</v>
      </c>
      <c r="AH48" s="32">
        <f t="shared" ref="AH48:AS48" si="123">iferror(if($BJ29+AH$2&gt;12,"", if(offset(BM48,0,$BJ29)="","",offset(BM48,0,$BJ29))))</f>
        <v>673</v>
      </c>
      <c r="AI48" s="32">
        <f t="shared" si="123"/>
        <v>673</v>
      </c>
      <c r="AJ48" s="32">
        <f t="shared" si="123"/>
        <v>673</v>
      </c>
      <c r="AK48" s="32">
        <f t="shared" si="123"/>
        <v>673</v>
      </c>
      <c r="AL48" s="32">
        <f t="shared" si="123"/>
        <v>673</v>
      </c>
      <c r="AM48" s="32">
        <f t="shared" si="123"/>
        <v>673</v>
      </c>
      <c r="AN48" s="32" t="str">
        <f t="shared" si="123"/>
        <v/>
      </c>
      <c r="AO48" s="32" t="str">
        <f t="shared" si="123"/>
        <v/>
      </c>
      <c r="AP48" s="32" t="str">
        <f t="shared" si="123"/>
        <v/>
      </c>
      <c r="AQ48" s="32" t="str">
        <f t="shared" si="123"/>
        <v/>
      </c>
      <c r="AR48" s="32" t="str">
        <f t="shared" si="123"/>
        <v/>
      </c>
      <c r="AS48" s="32" t="str">
        <f t="shared" si="123"/>
        <v/>
      </c>
      <c r="AT48" s="4"/>
      <c r="AU48" s="33">
        <f t="shared" ref="AU48:BG48" si="124">iferror(if($BJ48+AG$2&gt;12,"", if(offset(BY48,0,$BJ48)="","",offset(BY48,0,$BJ48)/AG48)))</f>
        <v>1</v>
      </c>
      <c r="AV48" s="33">
        <f t="shared" si="124"/>
        <v>1</v>
      </c>
      <c r="AW48" s="33">
        <f t="shared" si="124"/>
        <v>1</v>
      </c>
      <c r="AX48" s="33">
        <f t="shared" si="124"/>
        <v>1</v>
      </c>
      <c r="AY48" s="33">
        <f t="shared" si="124"/>
        <v>1</v>
      </c>
      <c r="AZ48" s="33">
        <f t="shared" si="124"/>
        <v>1</v>
      </c>
      <c r="BA48" s="33">
        <f t="shared" si="124"/>
        <v>1</v>
      </c>
      <c r="BB48" s="33" t="str">
        <f t="shared" si="124"/>
        <v/>
      </c>
      <c r="BC48" s="33" t="str">
        <f t="shared" si="124"/>
        <v/>
      </c>
      <c r="BD48" s="33" t="str">
        <f t="shared" si="124"/>
        <v/>
      </c>
      <c r="BE48" s="33" t="str">
        <f t="shared" si="124"/>
        <v/>
      </c>
      <c r="BF48" s="33" t="str">
        <f t="shared" si="124"/>
        <v/>
      </c>
      <c r="BG48" s="33" t="str">
        <f t="shared" si="124"/>
        <v/>
      </c>
      <c r="BH48" s="4"/>
      <c r="BI48" s="4"/>
      <c r="BJ48" s="34">
        <f t="shared" si="112"/>
        <v>6</v>
      </c>
      <c r="BK48" s="6"/>
      <c r="BL48" s="6">
        <v>111.0</v>
      </c>
      <c r="BM48" s="6">
        <v>111.0</v>
      </c>
      <c r="BN48" s="6">
        <v>111.0</v>
      </c>
      <c r="BO48" s="6">
        <v>111.0</v>
      </c>
      <c r="BP48" s="6">
        <v>673.0</v>
      </c>
      <c r="BQ48" s="6">
        <v>673.0</v>
      </c>
      <c r="BR48" s="6">
        <v>673.0</v>
      </c>
      <c r="BS48" s="6">
        <v>673.0</v>
      </c>
      <c r="BT48" s="6">
        <v>673.0</v>
      </c>
      <c r="BU48" s="6">
        <v>673.0</v>
      </c>
      <c r="BV48" s="6">
        <v>673.0</v>
      </c>
      <c r="BW48" s="6">
        <v>673.0</v>
      </c>
      <c r="BX48" s="6">
        <v>673.0</v>
      </c>
      <c r="BY48" s="27">
        <v>673.0</v>
      </c>
      <c r="BZ48" s="27">
        <v>673.0</v>
      </c>
      <c r="CA48" s="27">
        <v>673.0</v>
      </c>
      <c r="CB48" s="27">
        <v>673.0</v>
      </c>
      <c r="CC48" s="27">
        <v>673.0</v>
      </c>
      <c r="CD48" s="27">
        <v>673.0</v>
      </c>
      <c r="CE48" s="27">
        <v>673.0</v>
      </c>
      <c r="CF48" s="27">
        <v>673.0</v>
      </c>
      <c r="CG48" s="27">
        <v>673.0</v>
      </c>
      <c r="CH48" s="27">
        <v>673.0</v>
      </c>
      <c r="CI48" s="27">
        <v>673.0</v>
      </c>
      <c r="CJ48" s="27">
        <v>673.0</v>
      </c>
      <c r="CK48" s="27">
        <v>673.0</v>
      </c>
    </row>
    <row r="49">
      <c r="A49" s="28"/>
      <c r="B49" s="29"/>
      <c r="C49" s="29"/>
      <c r="D49" s="29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62"/>
      <c r="Q49" s="63"/>
      <c r="R49" s="23" t="str">
        <f t="shared" si="104"/>
        <v>#VALUE!</v>
      </c>
      <c r="S49" s="31">
        <f t="shared" ref="S49:AD49" si="125">if(or($AG49="",AH49=""),"",iferror(AH49/$AG49,""))</f>
        <v>1</v>
      </c>
      <c r="T49" s="31">
        <f t="shared" si="125"/>
        <v>1</v>
      </c>
      <c r="U49" s="31">
        <f t="shared" si="125"/>
        <v>1</v>
      </c>
      <c r="V49" s="31">
        <f t="shared" si="125"/>
        <v>1.485651214</v>
      </c>
      <c r="W49" s="31">
        <f t="shared" si="125"/>
        <v>1.485651214</v>
      </c>
      <c r="X49" s="31" t="str">
        <f t="shared" si="125"/>
        <v/>
      </c>
      <c r="Y49" s="31" t="str">
        <f t="shared" si="125"/>
        <v/>
      </c>
      <c r="Z49" s="31" t="str">
        <f t="shared" si="125"/>
        <v/>
      </c>
      <c r="AA49" s="31" t="str">
        <f t="shared" si="125"/>
        <v/>
      </c>
      <c r="AB49" s="31" t="str">
        <f t="shared" si="125"/>
        <v/>
      </c>
      <c r="AC49" s="31" t="str">
        <f t="shared" si="125"/>
        <v/>
      </c>
      <c r="AD49" s="31" t="str">
        <f t="shared" si="125"/>
        <v/>
      </c>
      <c r="AE49" s="5"/>
      <c r="AF49" s="5"/>
      <c r="AG49" s="32">
        <f t="shared" si="106"/>
        <v>453</v>
      </c>
      <c r="AH49" s="32">
        <f t="shared" ref="AH49:AS49" si="126">iferror(if($BJ30+AH$2&gt;12,"", if(offset(BM49,0,$BJ30)="","",offset(BM49,0,$BJ30))))</f>
        <v>453</v>
      </c>
      <c r="AI49" s="32">
        <f t="shared" si="126"/>
        <v>453</v>
      </c>
      <c r="AJ49" s="32">
        <f t="shared" si="126"/>
        <v>453</v>
      </c>
      <c r="AK49" s="32">
        <f t="shared" si="126"/>
        <v>673</v>
      </c>
      <c r="AL49" s="32">
        <f t="shared" si="126"/>
        <v>673</v>
      </c>
      <c r="AM49" s="32" t="str">
        <f t="shared" si="126"/>
        <v/>
      </c>
      <c r="AN49" s="32" t="str">
        <f t="shared" si="126"/>
        <v/>
      </c>
      <c r="AO49" s="32" t="str">
        <f t="shared" si="126"/>
        <v/>
      </c>
      <c r="AP49" s="32" t="str">
        <f t="shared" si="126"/>
        <v/>
      </c>
      <c r="AQ49" s="32" t="str">
        <f t="shared" si="126"/>
        <v/>
      </c>
      <c r="AR49" s="32" t="str">
        <f t="shared" si="126"/>
        <v/>
      </c>
      <c r="AS49" s="32" t="str">
        <f t="shared" si="126"/>
        <v/>
      </c>
      <c r="AT49" s="4"/>
      <c r="AU49" s="33">
        <f t="shared" ref="AU49:BG49" si="127">iferror(if($BJ49+AG$2&gt;12,"", if(offset(BY49,0,$BJ49)="","",offset(BY49,0,$BJ49)/AG49)))</f>
        <v>1</v>
      </c>
      <c r="AV49" s="33">
        <f t="shared" si="127"/>
        <v>1</v>
      </c>
      <c r="AW49" s="33">
        <f t="shared" si="127"/>
        <v>1</v>
      </c>
      <c r="AX49" s="33">
        <f t="shared" si="127"/>
        <v>1</v>
      </c>
      <c r="AY49" s="33">
        <f t="shared" si="127"/>
        <v>1</v>
      </c>
      <c r="AZ49" s="33">
        <f t="shared" si="127"/>
        <v>1</v>
      </c>
      <c r="BA49" s="33" t="str">
        <f t="shared" si="127"/>
        <v/>
      </c>
      <c r="BB49" s="33" t="str">
        <f t="shared" si="127"/>
        <v/>
      </c>
      <c r="BC49" s="33" t="str">
        <f t="shared" si="127"/>
        <v/>
      </c>
      <c r="BD49" s="33" t="str">
        <f t="shared" si="127"/>
        <v/>
      </c>
      <c r="BE49" s="33" t="str">
        <f t="shared" si="127"/>
        <v/>
      </c>
      <c r="BF49" s="33" t="str">
        <f t="shared" si="127"/>
        <v/>
      </c>
      <c r="BG49" s="33" t="str">
        <f t="shared" si="127"/>
        <v/>
      </c>
      <c r="BH49" s="4"/>
      <c r="BI49" s="4"/>
      <c r="BJ49" s="34">
        <f t="shared" si="112"/>
        <v>7</v>
      </c>
      <c r="BK49" s="6"/>
      <c r="BL49" s="6">
        <v>111.0</v>
      </c>
      <c r="BM49" s="6">
        <v>111.0</v>
      </c>
      <c r="BN49" s="6">
        <v>111.0</v>
      </c>
      <c r="BO49" s="6">
        <v>111.0</v>
      </c>
      <c r="BP49" s="6">
        <v>453.0</v>
      </c>
      <c r="BQ49" s="6">
        <v>453.0</v>
      </c>
      <c r="BR49" s="6">
        <v>453.0</v>
      </c>
      <c r="BS49" s="6">
        <v>453.0</v>
      </c>
      <c r="BT49" s="6">
        <v>453.0</v>
      </c>
      <c r="BU49" s="6">
        <v>453.0</v>
      </c>
      <c r="BV49" s="6">
        <v>453.0</v>
      </c>
      <c r="BW49" s="6">
        <v>673.0</v>
      </c>
      <c r="BX49" s="6">
        <v>673.0</v>
      </c>
      <c r="BY49" s="27">
        <v>453.0</v>
      </c>
      <c r="BZ49" s="27">
        <v>453.0</v>
      </c>
      <c r="CA49" s="27">
        <v>453.0</v>
      </c>
      <c r="CB49" s="27">
        <v>453.0</v>
      </c>
      <c r="CC49" s="27">
        <v>453.0</v>
      </c>
      <c r="CD49" s="27">
        <v>673.0</v>
      </c>
      <c r="CE49" s="27">
        <v>673.0</v>
      </c>
      <c r="CF49" s="27">
        <v>453.0</v>
      </c>
      <c r="CG49" s="27">
        <v>453.0</v>
      </c>
      <c r="CH49" s="27">
        <v>453.0</v>
      </c>
      <c r="CI49" s="27">
        <v>453.0</v>
      </c>
      <c r="CJ49" s="27">
        <v>673.0</v>
      </c>
      <c r="CK49" s="27">
        <v>673.0</v>
      </c>
    </row>
    <row r="50">
      <c r="A50" s="28"/>
      <c r="B50" s="29"/>
      <c r="C50" s="29"/>
      <c r="D50" s="29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62"/>
      <c r="Q50" s="63"/>
      <c r="R50" s="23" t="str">
        <f t="shared" si="104"/>
        <v>#VALUE!</v>
      </c>
      <c r="S50" s="31">
        <f t="shared" ref="S50:AD50" si="128">if(or($AG50="",AH50=""),"",iferror(AH50/$AG50,""))</f>
        <v>1</v>
      </c>
      <c r="T50" s="31">
        <f t="shared" si="128"/>
        <v>0.5929319372</v>
      </c>
      <c r="U50" s="31">
        <f t="shared" si="128"/>
        <v>0.8808900524</v>
      </c>
      <c r="V50" s="31">
        <f t="shared" si="128"/>
        <v>0.8808900524</v>
      </c>
      <c r="W50" s="31" t="str">
        <f t="shared" si="128"/>
        <v/>
      </c>
      <c r="X50" s="31" t="str">
        <f t="shared" si="128"/>
        <v/>
      </c>
      <c r="Y50" s="31" t="str">
        <f t="shared" si="128"/>
        <v/>
      </c>
      <c r="Z50" s="31" t="str">
        <f t="shared" si="128"/>
        <v/>
      </c>
      <c r="AA50" s="31" t="str">
        <f t="shared" si="128"/>
        <v/>
      </c>
      <c r="AB50" s="31" t="str">
        <f t="shared" si="128"/>
        <v/>
      </c>
      <c r="AC50" s="31" t="str">
        <f t="shared" si="128"/>
        <v/>
      </c>
      <c r="AD50" s="31" t="str">
        <f t="shared" si="128"/>
        <v/>
      </c>
      <c r="AE50" s="5"/>
      <c r="AF50" s="5"/>
      <c r="AG50" s="32">
        <f t="shared" si="106"/>
        <v>764</v>
      </c>
      <c r="AH50" s="32">
        <f t="shared" ref="AH50:AS50" si="129">iferror(if($BJ31+AH$2&gt;12,"", if(offset(BM50,0,$BJ31)="","",offset(BM50,0,$BJ31))))</f>
        <v>764</v>
      </c>
      <c r="AI50" s="32">
        <f t="shared" si="129"/>
        <v>453</v>
      </c>
      <c r="AJ50" s="32">
        <f t="shared" si="129"/>
        <v>673</v>
      </c>
      <c r="AK50" s="32">
        <f t="shared" si="129"/>
        <v>673</v>
      </c>
      <c r="AL50" s="32" t="str">
        <f t="shared" si="129"/>
        <v/>
      </c>
      <c r="AM50" s="32" t="str">
        <f t="shared" si="129"/>
        <v/>
      </c>
      <c r="AN50" s="32" t="str">
        <f t="shared" si="129"/>
        <v/>
      </c>
      <c r="AO50" s="32" t="str">
        <f t="shared" si="129"/>
        <v/>
      </c>
      <c r="AP50" s="32" t="str">
        <f t="shared" si="129"/>
        <v/>
      </c>
      <c r="AQ50" s="32" t="str">
        <f t="shared" si="129"/>
        <v/>
      </c>
      <c r="AR50" s="32" t="str">
        <f t="shared" si="129"/>
        <v/>
      </c>
      <c r="AS50" s="32" t="str">
        <f t="shared" si="129"/>
        <v/>
      </c>
      <c r="AT50" s="4"/>
      <c r="AU50" s="33">
        <f t="shared" ref="AU50:BG50" si="130">iferror(if($BJ50+AG$2&gt;12,"", if(offset(BY50,0,$BJ50)="","",offset(BY50,0,$BJ50)/AG50)))</f>
        <v>1</v>
      </c>
      <c r="AV50" s="33">
        <f t="shared" si="130"/>
        <v>1</v>
      </c>
      <c r="AW50" s="33">
        <f t="shared" si="130"/>
        <v>1</v>
      </c>
      <c r="AX50" s="33">
        <f t="shared" si="130"/>
        <v>1</v>
      </c>
      <c r="AY50" s="33">
        <f t="shared" si="130"/>
        <v>1</v>
      </c>
      <c r="AZ50" s="33" t="str">
        <f t="shared" si="130"/>
        <v/>
      </c>
      <c r="BA50" s="33" t="str">
        <f t="shared" si="130"/>
        <v/>
      </c>
      <c r="BB50" s="33" t="str">
        <f t="shared" si="130"/>
        <v/>
      </c>
      <c r="BC50" s="33" t="str">
        <f t="shared" si="130"/>
        <v/>
      </c>
      <c r="BD50" s="33" t="str">
        <f t="shared" si="130"/>
        <v/>
      </c>
      <c r="BE50" s="33" t="str">
        <f t="shared" si="130"/>
        <v/>
      </c>
      <c r="BF50" s="33" t="str">
        <f t="shared" si="130"/>
        <v/>
      </c>
      <c r="BG50" s="33" t="str">
        <f t="shared" si="130"/>
        <v/>
      </c>
      <c r="BH50" s="4"/>
      <c r="BI50" s="4"/>
      <c r="BJ50" s="34">
        <f t="shared" si="112"/>
        <v>8</v>
      </c>
      <c r="BK50" s="6"/>
      <c r="BL50" s="6">
        <v>111.0</v>
      </c>
      <c r="BM50" s="6">
        <v>111.0</v>
      </c>
      <c r="BN50" s="6">
        <v>111.0</v>
      </c>
      <c r="BO50" s="6">
        <v>111.0</v>
      </c>
      <c r="BP50" s="6">
        <v>567.0</v>
      </c>
      <c r="BQ50" s="6">
        <v>764.0</v>
      </c>
      <c r="BR50" s="6">
        <v>764.0</v>
      </c>
      <c r="BS50" s="6">
        <v>764.0</v>
      </c>
      <c r="BT50" s="6">
        <v>764.0</v>
      </c>
      <c r="BU50" s="6">
        <v>764.0</v>
      </c>
      <c r="BV50" s="6">
        <v>453.0</v>
      </c>
      <c r="BW50" s="6">
        <v>673.0</v>
      </c>
      <c r="BX50" s="6">
        <v>673.0</v>
      </c>
      <c r="BY50" s="27">
        <v>764.0</v>
      </c>
      <c r="BZ50" s="27">
        <v>764.0</v>
      </c>
      <c r="CA50" s="27">
        <v>764.0</v>
      </c>
      <c r="CB50" s="27">
        <v>764.0</v>
      </c>
      <c r="CC50" s="27">
        <v>453.0</v>
      </c>
      <c r="CD50" s="27">
        <v>673.0</v>
      </c>
      <c r="CE50" s="27">
        <v>673.0</v>
      </c>
      <c r="CF50" s="27">
        <v>764.0</v>
      </c>
      <c r="CG50" s="27">
        <v>764.0</v>
      </c>
      <c r="CH50" s="27">
        <v>764.0</v>
      </c>
      <c r="CI50" s="27">
        <v>453.0</v>
      </c>
      <c r="CJ50" s="27">
        <v>673.0</v>
      </c>
      <c r="CK50" s="27">
        <v>673.0</v>
      </c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62"/>
      <c r="Q51" s="63"/>
      <c r="R51" s="23" t="str">
        <f t="shared" si="104"/>
        <v>#VALUE!</v>
      </c>
      <c r="S51" s="31">
        <f t="shared" ref="S51:AD51" si="131">if(or($AG51="",AH51=""),"",iferror(AH51/$AG51,""))</f>
        <v>1</v>
      </c>
      <c r="T51" s="31">
        <f t="shared" si="131"/>
        <v>6.063063063</v>
      </c>
      <c r="U51" s="31">
        <f t="shared" si="131"/>
        <v>6.063063063</v>
      </c>
      <c r="V51" s="31" t="str">
        <f t="shared" si="131"/>
        <v/>
      </c>
      <c r="W51" s="31" t="str">
        <f t="shared" si="131"/>
        <v/>
      </c>
      <c r="X51" s="31" t="str">
        <f t="shared" si="131"/>
        <v/>
      </c>
      <c r="Y51" s="31" t="str">
        <f t="shared" si="131"/>
        <v/>
      </c>
      <c r="Z51" s="31" t="str">
        <f t="shared" si="131"/>
        <v/>
      </c>
      <c r="AA51" s="31" t="str">
        <f t="shared" si="131"/>
        <v/>
      </c>
      <c r="AB51" s="31" t="str">
        <f t="shared" si="131"/>
        <v/>
      </c>
      <c r="AC51" s="31" t="str">
        <f t="shared" si="131"/>
        <v/>
      </c>
      <c r="AD51" s="31" t="str">
        <f t="shared" si="131"/>
        <v/>
      </c>
      <c r="AE51" s="5"/>
      <c r="AF51" s="5"/>
      <c r="AG51" s="32">
        <f t="shared" si="106"/>
        <v>111</v>
      </c>
      <c r="AH51" s="32">
        <f t="shared" ref="AH51:AS51" si="132">iferror(if($BJ32+AH$2&gt;12,"", if(offset(BM51,0,$BJ32)="","",offset(BM51,0,$BJ32))))</f>
        <v>111</v>
      </c>
      <c r="AI51" s="32">
        <f t="shared" si="132"/>
        <v>673</v>
      </c>
      <c r="AJ51" s="32">
        <f t="shared" si="132"/>
        <v>673</v>
      </c>
      <c r="AK51" s="32" t="str">
        <f t="shared" si="132"/>
        <v/>
      </c>
      <c r="AL51" s="32" t="str">
        <f t="shared" si="132"/>
        <v/>
      </c>
      <c r="AM51" s="32" t="str">
        <f t="shared" si="132"/>
        <v/>
      </c>
      <c r="AN51" s="32" t="str">
        <f t="shared" si="132"/>
        <v/>
      </c>
      <c r="AO51" s="32" t="str">
        <f t="shared" si="132"/>
        <v/>
      </c>
      <c r="AP51" s="32" t="str">
        <f t="shared" si="132"/>
        <v/>
      </c>
      <c r="AQ51" s="32" t="str">
        <f t="shared" si="132"/>
        <v/>
      </c>
      <c r="AR51" s="32" t="str">
        <f t="shared" si="132"/>
        <v/>
      </c>
      <c r="AS51" s="32" t="str">
        <f t="shared" si="132"/>
        <v/>
      </c>
      <c r="AT51" s="4"/>
      <c r="AU51" s="33">
        <f t="shared" ref="AU51:BG51" si="133">iferror(if($BJ51+AG$2&gt;12,"", if(offset(BY51,0,$BJ51)="","",offset(BY51,0,$BJ51)/AG51)))</f>
        <v>1</v>
      </c>
      <c r="AV51" s="33">
        <f t="shared" si="133"/>
        <v>1</v>
      </c>
      <c r="AW51" s="33">
        <f t="shared" si="133"/>
        <v>1</v>
      </c>
      <c r="AX51" s="33">
        <f t="shared" si="133"/>
        <v>1</v>
      </c>
      <c r="AY51" s="33" t="str">
        <f t="shared" si="133"/>
        <v/>
      </c>
      <c r="AZ51" s="33" t="str">
        <f t="shared" si="133"/>
        <v/>
      </c>
      <c r="BA51" s="33" t="str">
        <f t="shared" si="133"/>
        <v/>
      </c>
      <c r="BB51" s="33" t="str">
        <f t="shared" si="133"/>
        <v/>
      </c>
      <c r="BC51" s="33" t="str">
        <f t="shared" si="133"/>
        <v/>
      </c>
      <c r="BD51" s="33" t="str">
        <f t="shared" si="133"/>
        <v/>
      </c>
      <c r="BE51" s="33" t="str">
        <f t="shared" si="133"/>
        <v/>
      </c>
      <c r="BF51" s="33" t="str">
        <f t="shared" si="133"/>
        <v/>
      </c>
      <c r="BG51" s="33" t="str">
        <f t="shared" si="133"/>
        <v/>
      </c>
      <c r="BH51" s="4"/>
      <c r="BI51" s="4"/>
      <c r="BJ51" s="34">
        <f t="shared" si="112"/>
        <v>9</v>
      </c>
      <c r="BK51" s="6"/>
      <c r="BL51" s="6">
        <v>111.0</v>
      </c>
      <c r="BM51" s="6">
        <v>111.0</v>
      </c>
      <c r="BN51" s="6">
        <v>111.0</v>
      </c>
      <c r="BO51" s="6">
        <v>111.0</v>
      </c>
      <c r="BP51" s="6">
        <v>111.0</v>
      </c>
      <c r="BQ51" s="6">
        <v>111.0</v>
      </c>
      <c r="BR51" s="6">
        <v>111.0</v>
      </c>
      <c r="BS51" s="6">
        <v>111.0</v>
      </c>
      <c r="BT51" s="6">
        <v>111.0</v>
      </c>
      <c r="BU51" s="6">
        <v>111.0</v>
      </c>
      <c r="BV51" s="6">
        <v>111.0</v>
      </c>
      <c r="BW51" s="6">
        <v>673.0</v>
      </c>
      <c r="BX51" s="6">
        <v>673.0</v>
      </c>
      <c r="BY51" s="27">
        <v>111.0</v>
      </c>
      <c r="BZ51" s="27">
        <v>111.0</v>
      </c>
      <c r="CA51" s="27">
        <v>111.0</v>
      </c>
      <c r="CB51" s="27">
        <v>111.0</v>
      </c>
      <c r="CC51" s="27">
        <v>111.0</v>
      </c>
      <c r="CD51" s="27">
        <v>673.0</v>
      </c>
      <c r="CE51" s="27">
        <v>673.0</v>
      </c>
      <c r="CF51" s="27">
        <v>111.0</v>
      </c>
      <c r="CG51" s="27">
        <v>111.0</v>
      </c>
      <c r="CH51" s="27">
        <v>111.0</v>
      </c>
      <c r="CI51" s="27">
        <v>111.0</v>
      </c>
      <c r="CJ51" s="27">
        <v>673.0</v>
      </c>
      <c r="CK51" s="27">
        <v>673.0</v>
      </c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62"/>
      <c r="Q52" s="63"/>
      <c r="R52" s="23" t="str">
        <f t="shared" si="104"/>
        <v>#VALUE!</v>
      </c>
      <c r="S52" s="31">
        <f t="shared" ref="S52:AD52" si="134">if(or($AG52="",AH52=""),"",iferror(AH52/$AG52,""))</f>
        <v>1.485651214</v>
      </c>
      <c r="T52" s="31">
        <f t="shared" si="134"/>
        <v>1.485651214</v>
      </c>
      <c r="U52" s="31" t="str">
        <f t="shared" si="134"/>
        <v/>
      </c>
      <c r="V52" s="31" t="str">
        <f t="shared" si="134"/>
        <v/>
      </c>
      <c r="W52" s="31" t="str">
        <f t="shared" si="134"/>
        <v/>
      </c>
      <c r="X52" s="31" t="str">
        <f t="shared" si="134"/>
        <v/>
      </c>
      <c r="Y52" s="31" t="str">
        <f t="shared" si="134"/>
        <v/>
      </c>
      <c r="Z52" s="31" t="str">
        <f t="shared" si="134"/>
        <v/>
      </c>
      <c r="AA52" s="31" t="str">
        <f t="shared" si="134"/>
        <v/>
      </c>
      <c r="AB52" s="31" t="str">
        <f t="shared" si="134"/>
        <v/>
      </c>
      <c r="AC52" s="31" t="str">
        <f t="shared" si="134"/>
        <v/>
      </c>
      <c r="AD52" s="31" t="str">
        <f t="shared" si="134"/>
        <v/>
      </c>
      <c r="AE52" s="5"/>
      <c r="AF52" s="5"/>
      <c r="AG52" s="32">
        <f t="shared" si="106"/>
        <v>453</v>
      </c>
      <c r="AH52" s="32">
        <f t="shared" ref="AH52:AS52" si="135">iferror(if($BJ33+AH$2&gt;12,"", if(offset(BM52,0,$BJ33)="","",offset(BM52,0,$BJ33))))</f>
        <v>673</v>
      </c>
      <c r="AI52" s="32">
        <f t="shared" si="135"/>
        <v>673</v>
      </c>
      <c r="AJ52" s="32" t="str">
        <f t="shared" si="135"/>
        <v/>
      </c>
      <c r="AK52" s="32" t="str">
        <f t="shared" si="135"/>
        <v/>
      </c>
      <c r="AL52" s="32" t="str">
        <f t="shared" si="135"/>
        <v/>
      </c>
      <c r="AM52" s="32" t="str">
        <f t="shared" si="135"/>
        <v/>
      </c>
      <c r="AN52" s="32" t="str">
        <f t="shared" si="135"/>
        <v/>
      </c>
      <c r="AO52" s="32" t="str">
        <f t="shared" si="135"/>
        <v/>
      </c>
      <c r="AP52" s="32" t="str">
        <f t="shared" si="135"/>
        <v/>
      </c>
      <c r="AQ52" s="32" t="str">
        <f t="shared" si="135"/>
        <v/>
      </c>
      <c r="AR52" s="32" t="str">
        <f t="shared" si="135"/>
        <v/>
      </c>
      <c r="AS52" s="32" t="str">
        <f t="shared" si="135"/>
        <v/>
      </c>
      <c r="AT52" s="4"/>
      <c r="AU52" s="33">
        <f t="shared" ref="AU52:BG52" si="136">iferror(if($BJ52+AG$2&gt;12,"", if(offset(BY52,0,$BJ52)="","",offset(BY52,0,$BJ52)/AG52)))</f>
        <v>1</v>
      </c>
      <c r="AV52" s="33">
        <f t="shared" si="136"/>
        <v>1</v>
      </c>
      <c r="AW52" s="33">
        <f t="shared" si="136"/>
        <v>1</v>
      </c>
      <c r="AX52" s="33" t="str">
        <f t="shared" si="136"/>
        <v/>
      </c>
      <c r="AY52" s="33" t="str">
        <f t="shared" si="136"/>
        <v/>
      </c>
      <c r="AZ52" s="33" t="str">
        <f t="shared" si="136"/>
        <v/>
      </c>
      <c r="BA52" s="33" t="str">
        <f t="shared" si="136"/>
        <v/>
      </c>
      <c r="BB52" s="33" t="str">
        <f t="shared" si="136"/>
        <v/>
      </c>
      <c r="BC52" s="33" t="str">
        <f t="shared" si="136"/>
        <v/>
      </c>
      <c r="BD52" s="33" t="str">
        <f t="shared" si="136"/>
        <v/>
      </c>
      <c r="BE52" s="33" t="str">
        <f t="shared" si="136"/>
        <v/>
      </c>
      <c r="BF52" s="33" t="str">
        <f t="shared" si="136"/>
        <v/>
      </c>
      <c r="BG52" s="33" t="str">
        <f t="shared" si="136"/>
        <v/>
      </c>
      <c r="BH52" s="4"/>
      <c r="BI52" s="4"/>
      <c r="BJ52" s="34">
        <f t="shared" si="112"/>
        <v>10</v>
      </c>
      <c r="BK52" s="6"/>
      <c r="BL52" s="6">
        <v>111.0</v>
      </c>
      <c r="BM52" s="6">
        <v>111.0</v>
      </c>
      <c r="BN52" s="6">
        <v>111.0</v>
      </c>
      <c r="BO52" s="6">
        <v>111.0</v>
      </c>
      <c r="BP52" s="6">
        <v>567.0</v>
      </c>
      <c r="BQ52" s="6">
        <v>764.0</v>
      </c>
      <c r="BR52" s="6">
        <v>764.0</v>
      </c>
      <c r="BS52" s="6">
        <v>764.0</v>
      </c>
      <c r="BT52" s="6">
        <v>764.0</v>
      </c>
      <c r="BU52" s="6">
        <v>764.0</v>
      </c>
      <c r="BV52" s="6">
        <v>453.0</v>
      </c>
      <c r="BW52" s="6">
        <v>673.0</v>
      </c>
      <c r="BX52" s="6">
        <v>673.0</v>
      </c>
      <c r="BY52" s="27">
        <v>764.0</v>
      </c>
      <c r="BZ52" s="27">
        <v>764.0</v>
      </c>
      <c r="CA52" s="27">
        <v>764.0</v>
      </c>
      <c r="CB52" s="27">
        <v>764.0</v>
      </c>
      <c r="CC52" s="27">
        <v>453.0</v>
      </c>
      <c r="CD52" s="27">
        <v>673.0</v>
      </c>
      <c r="CE52" s="27">
        <v>673.0</v>
      </c>
      <c r="CF52" s="27">
        <v>764.0</v>
      </c>
      <c r="CG52" s="27">
        <v>764.0</v>
      </c>
      <c r="CH52" s="27">
        <v>764.0</v>
      </c>
      <c r="CI52" s="27">
        <v>453.0</v>
      </c>
      <c r="CJ52" s="27">
        <v>673.0</v>
      </c>
      <c r="CK52" s="27">
        <v>673.0</v>
      </c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62"/>
      <c r="Q53" s="63"/>
      <c r="R53" s="23" t="str">
        <f t="shared" si="104"/>
        <v>#VALUE!</v>
      </c>
      <c r="S53" s="31">
        <f t="shared" ref="S53:AD53" si="137">if(or($AG53="",AH53=""),"",iferror(AH53/$AG53,""))</f>
        <v>1</v>
      </c>
      <c r="T53" s="31" t="str">
        <f t="shared" si="137"/>
        <v/>
      </c>
      <c r="U53" s="31" t="str">
        <f t="shared" si="137"/>
        <v/>
      </c>
      <c r="V53" s="31" t="str">
        <f t="shared" si="137"/>
        <v/>
      </c>
      <c r="W53" s="31" t="str">
        <f t="shared" si="137"/>
        <v/>
      </c>
      <c r="X53" s="31" t="str">
        <f t="shared" si="137"/>
        <v/>
      </c>
      <c r="Y53" s="31" t="str">
        <f t="shared" si="137"/>
        <v/>
      </c>
      <c r="Z53" s="31" t="str">
        <f t="shared" si="137"/>
        <v/>
      </c>
      <c r="AA53" s="31" t="str">
        <f t="shared" si="137"/>
        <v/>
      </c>
      <c r="AB53" s="31" t="str">
        <f t="shared" si="137"/>
        <v/>
      </c>
      <c r="AC53" s="31" t="str">
        <f t="shared" si="137"/>
        <v/>
      </c>
      <c r="AD53" s="31" t="str">
        <f t="shared" si="137"/>
        <v/>
      </c>
      <c r="AE53" s="5"/>
      <c r="AF53" s="5"/>
      <c r="AG53" s="32">
        <f t="shared" si="106"/>
        <v>673</v>
      </c>
      <c r="AH53" s="32">
        <f t="shared" ref="AH53:AS53" si="138">iferror(if($BJ34+AH$2&gt;12,"", if(offset(BM53,0,$BJ34)="","",offset(BM53,0,$BJ34))))</f>
        <v>673</v>
      </c>
      <c r="AI53" s="32" t="str">
        <f t="shared" si="138"/>
        <v/>
      </c>
      <c r="AJ53" s="32" t="str">
        <f t="shared" si="138"/>
        <v/>
      </c>
      <c r="AK53" s="32" t="str">
        <f t="shared" si="138"/>
        <v/>
      </c>
      <c r="AL53" s="32" t="str">
        <f t="shared" si="138"/>
        <v/>
      </c>
      <c r="AM53" s="32" t="str">
        <f t="shared" si="138"/>
        <v/>
      </c>
      <c r="AN53" s="32" t="str">
        <f t="shared" si="138"/>
        <v/>
      </c>
      <c r="AO53" s="32" t="str">
        <f t="shared" si="138"/>
        <v/>
      </c>
      <c r="AP53" s="32" t="str">
        <f t="shared" si="138"/>
        <v/>
      </c>
      <c r="AQ53" s="32" t="str">
        <f t="shared" si="138"/>
        <v/>
      </c>
      <c r="AR53" s="32" t="str">
        <f t="shared" si="138"/>
        <v/>
      </c>
      <c r="AS53" s="32" t="str">
        <f t="shared" si="138"/>
        <v/>
      </c>
      <c r="AT53" s="5"/>
      <c r="AU53" s="33">
        <f t="shared" ref="AU53:BG53" si="139">iferror(if($BJ53+AG$2&gt;12,"", if(offset(BY53,0,$BJ53)="","",offset(BY53,0,$BJ53)/AG53)))</f>
        <v>1</v>
      </c>
      <c r="AV53" s="33">
        <f t="shared" si="139"/>
        <v>1</v>
      </c>
      <c r="AW53" s="33" t="str">
        <f t="shared" si="139"/>
        <v/>
      </c>
      <c r="AX53" s="33" t="str">
        <f t="shared" si="139"/>
        <v/>
      </c>
      <c r="AY53" s="33" t="str">
        <f t="shared" si="139"/>
        <v/>
      </c>
      <c r="AZ53" s="33" t="str">
        <f t="shared" si="139"/>
        <v/>
      </c>
      <c r="BA53" s="33" t="str">
        <f t="shared" si="139"/>
        <v/>
      </c>
      <c r="BB53" s="33" t="str">
        <f t="shared" si="139"/>
        <v/>
      </c>
      <c r="BC53" s="33" t="str">
        <f t="shared" si="139"/>
        <v/>
      </c>
      <c r="BD53" s="33" t="str">
        <f t="shared" si="139"/>
        <v/>
      </c>
      <c r="BE53" s="33" t="str">
        <f t="shared" si="139"/>
        <v/>
      </c>
      <c r="BF53" s="33" t="str">
        <f t="shared" si="139"/>
        <v/>
      </c>
      <c r="BG53" s="33" t="str">
        <f t="shared" si="139"/>
        <v/>
      </c>
      <c r="BH53" s="4"/>
      <c r="BI53" s="4"/>
      <c r="BJ53" s="34">
        <f t="shared" si="112"/>
        <v>11</v>
      </c>
      <c r="BK53" s="6"/>
      <c r="BL53" s="6">
        <v>111.0</v>
      </c>
      <c r="BM53" s="6">
        <v>111.0</v>
      </c>
      <c r="BN53" s="6">
        <v>111.0</v>
      </c>
      <c r="BO53" s="6">
        <v>111.0</v>
      </c>
      <c r="BP53" s="6">
        <v>567.0</v>
      </c>
      <c r="BQ53" s="6">
        <v>764.0</v>
      </c>
      <c r="BR53" s="6">
        <v>764.0</v>
      </c>
      <c r="BS53" s="6">
        <v>764.0</v>
      </c>
      <c r="BT53" s="6">
        <v>764.0</v>
      </c>
      <c r="BU53" s="6">
        <v>764.0</v>
      </c>
      <c r="BV53" s="6">
        <v>453.0</v>
      </c>
      <c r="BW53" s="6">
        <v>673.0</v>
      </c>
      <c r="BX53" s="6">
        <v>673.0</v>
      </c>
      <c r="BY53" s="27">
        <v>764.0</v>
      </c>
      <c r="BZ53" s="27">
        <v>764.0</v>
      </c>
      <c r="CA53" s="27">
        <v>764.0</v>
      </c>
      <c r="CB53" s="27">
        <v>764.0</v>
      </c>
      <c r="CC53" s="27">
        <v>453.0</v>
      </c>
      <c r="CD53" s="27">
        <v>673.0</v>
      </c>
      <c r="CE53" s="27">
        <v>673.0</v>
      </c>
      <c r="CF53" s="27">
        <v>764.0</v>
      </c>
      <c r="CG53" s="27">
        <v>764.0</v>
      </c>
      <c r="CH53" s="27">
        <v>764.0</v>
      </c>
      <c r="CI53" s="27">
        <v>453.0</v>
      </c>
      <c r="CJ53" s="27">
        <v>673.0</v>
      </c>
      <c r="CK53" s="27">
        <v>673.0</v>
      </c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62"/>
      <c r="Q54" s="63"/>
      <c r="R54" s="107"/>
      <c r="S54" s="108"/>
      <c r="T54" s="108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25" t="str">
        <f t="shared" ref="AH54:AS54" si="140">iferror(if(offset(BM54,0,$BJ34)="","",offset(BM54,0,$BJ34)),"")</f>
        <v/>
      </c>
      <c r="AI54" s="25" t="str">
        <f t="shared" si="140"/>
        <v/>
      </c>
      <c r="AJ54" s="25" t="str">
        <f t="shared" si="140"/>
        <v/>
      </c>
      <c r="AK54" s="25" t="str">
        <f t="shared" si="140"/>
        <v/>
      </c>
      <c r="AL54" s="25" t="str">
        <f t="shared" si="140"/>
        <v/>
      </c>
      <c r="AM54" s="25" t="str">
        <f t="shared" si="140"/>
        <v/>
      </c>
      <c r="AN54" s="25" t="str">
        <f t="shared" si="140"/>
        <v/>
      </c>
      <c r="AO54" s="25" t="str">
        <f t="shared" si="140"/>
        <v/>
      </c>
      <c r="AP54" s="25" t="str">
        <f t="shared" si="140"/>
        <v/>
      </c>
      <c r="AQ54" s="25" t="str">
        <f t="shared" si="140"/>
        <v/>
      </c>
      <c r="AR54" s="25" t="str">
        <f t="shared" si="140"/>
        <v/>
      </c>
      <c r="AS54" s="25" t="str">
        <f t="shared" si="140"/>
        <v/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62"/>
      <c r="Q55" s="63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68"/>
      <c r="AH55" s="24" t="s">
        <v>5</v>
      </c>
      <c r="AI55" s="24" t="s">
        <v>6</v>
      </c>
      <c r="AJ55" s="24" t="s">
        <v>7</v>
      </c>
      <c r="AK55" s="24" t="s">
        <v>8</v>
      </c>
      <c r="AL55" s="24" t="s">
        <v>9</v>
      </c>
      <c r="AM55" s="24" t="s">
        <v>10</v>
      </c>
      <c r="AN55" s="24" t="s">
        <v>11</v>
      </c>
      <c r="AO55" s="24" t="s">
        <v>12</v>
      </c>
      <c r="AP55" s="24" t="s">
        <v>13</v>
      </c>
      <c r="AQ55" s="24" t="s">
        <v>14</v>
      </c>
      <c r="AR55" s="24" t="s">
        <v>15</v>
      </c>
      <c r="AS55" s="24" t="s">
        <v>16</v>
      </c>
      <c r="AT55" s="5"/>
      <c r="AU55" s="24" t="s">
        <v>29</v>
      </c>
      <c r="AV55" s="24" t="s">
        <v>30</v>
      </c>
      <c r="AW55" s="24" t="s">
        <v>31</v>
      </c>
      <c r="AX55" s="24" t="s">
        <v>32</v>
      </c>
      <c r="AY55" s="24" t="s">
        <v>33</v>
      </c>
      <c r="AZ55" s="24" t="s">
        <v>34</v>
      </c>
      <c r="BA55" s="24" t="s">
        <v>35</v>
      </c>
      <c r="BB55" s="24" t="s">
        <v>36</v>
      </c>
      <c r="BC55" s="24" t="s">
        <v>37</v>
      </c>
      <c r="BD55" s="24" t="s">
        <v>38</v>
      </c>
      <c r="BE55" s="24" t="s">
        <v>39</v>
      </c>
      <c r="BF55" s="24" t="s">
        <v>40</v>
      </c>
      <c r="BG55" s="24" t="s">
        <v>40</v>
      </c>
      <c r="BH55" s="5"/>
      <c r="BI55" s="5"/>
      <c r="BJ55" s="5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62"/>
      <c r="Q56" s="63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69">
        <v>1.0</v>
      </c>
      <c r="AH56" s="69">
        <f t="shared" ref="AH56:AS56" si="141">iferror(sumproduct(AH42:AH53*(AH42:AH53&lt;&gt;"")*($AG42:$AG53&lt;&gt;""))/sumproduct($AG42:$AG53*(AH42:AH53&lt;&gt;"")*($AG42:$AG53&lt;&gt;"")),"")</f>
        <v>1.112185019</v>
      </c>
      <c r="AI56" s="69">
        <f t="shared" si="141"/>
        <v>1.214411248</v>
      </c>
      <c r="AJ56" s="69">
        <f t="shared" si="141"/>
        <v>1.285132819</v>
      </c>
      <c r="AK56" s="69">
        <f t="shared" si="141"/>
        <v>1.311389072</v>
      </c>
      <c r="AL56" s="69">
        <f t="shared" si="141"/>
        <v>1.365409966</v>
      </c>
      <c r="AM56" s="69">
        <f t="shared" si="141"/>
        <v>1.321856287</v>
      </c>
      <c r="AN56" s="69">
        <f t="shared" si="141"/>
        <v>1.368953881</v>
      </c>
      <c r="AO56" s="69">
        <f t="shared" si="141"/>
        <v>1.680504467</v>
      </c>
      <c r="AP56" s="69">
        <f t="shared" si="141"/>
        <v>1.910928144</v>
      </c>
      <c r="AQ56" s="69">
        <f t="shared" si="141"/>
        <v>1.876247505</v>
      </c>
      <c r="AR56" s="69">
        <f t="shared" si="141"/>
        <v>1.806886228</v>
      </c>
      <c r="AS56" s="69">
        <f t="shared" si="141"/>
        <v>2.25748503</v>
      </c>
      <c r="AT56" s="5"/>
      <c r="AU56" s="70">
        <f t="shared" ref="AU56:BG56" si="142">iferror(sumproduct(AU41:AU52*AG41:AG52*(AU41:AU52&lt;&gt;"")*(AG41:AG52&lt;&gt;""))/sumproduct(AG41:AG52*(AU41:AU52&lt;&gt;"")*(AG41:AG52&lt;&gt;"")),"")</f>
        <v>1.209919938</v>
      </c>
      <c r="AV56" s="70">
        <f t="shared" si="142"/>
        <v>1.095997228</v>
      </c>
      <c r="AW56" s="70">
        <f t="shared" si="142"/>
        <v>1.107412767</v>
      </c>
      <c r="AX56" s="70">
        <f t="shared" si="142"/>
        <v>1.092348725</v>
      </c>
      <c r="AY56" s="70">
        <f t="shared" si="142"/>
        <v>1.035977242</v>
      </c>
      <c r="AZ56" s="70">
        <f t="shared" si="142"/>
        <v>0.9399497973</v>
      </c>
      <c r="BA56" s="70">
        <f t="shared" si="142"/>
        <v>1</v>
      </c>
      <c r="BB56" s="70">
        <f t="shared" si="142"/>
        <v>1</v>
      </c>
      <c r="BC56" s="70">
        <f t="shared" si="142"/>
        <v>1</v>
      </c>
      <c r="BD56" s="70">
        <f t="shared" si="142"/>
        <v>1</v>
      </c>
      <c r="BE56" s="70">
        <f t="shared" si="142"/>
        <v>1</v>
      </c>
      <c r="BF56" s="70">
        <f t="shared" si="142"/>
        <v>1</v>
      </c>
      <c r="BG56" s="70">
        <f t="shared" si="142"/>
        <v>1</v>
      </c>
      <c r="BH56" s="5"/>
      <c r="BI56" s="5"/>
      <c r="BJ56" s="5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62"/>
      <c r="Q57" s="63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24"/>
      <c r="AU57" s="71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5"/>
      <c r="BG57" s="5"/>
      <c r="BH57" s="5"/>
      <c r="BI57" s="5"/>
      <c r="BJ57" s="5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62"/>
      <c r="Q58" s="63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73" t="s">
        <v>22</v>
      </c>
      <c r="AU58" s="74">
        <f>iferror(sumproduct(AG56:AS56*AU56:BG56),"")</f>
        <v>20.04238695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62"/>
      <c r="Q59" s="63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62"/>
      <c r="Q60" s="63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</row>
    <row r="61">
      <c r="A61" s="28"/>
      <c r="B61" s="28"/>
      <c r="C61" s="29"/>
      <c r="D61" s="29"/>
      <c r="E61" s="29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62"/>
      <c r="Q61" s="63"/>
      <c r="R61" s="23"/>
      <c r="S61" s="24" t="s">
        <v>5</v>
      </c>
      <c r="T61" s="24" t="s">
        <v>6</v>
      </c>
      <c r="U61" s="24" t="s">
        <v>7</v>
      </c>
      <c r="V61" s="24" t="s">
        <v>8</v>
      </c>
      <c r="W61" s="24" t="s">
        <v>9</v>
      </c>
      <c r="X61" s="24" t="s">
        <v>10</v>
      </c>
      <c r="Y61" s="24" t="s">
        <v>11</v>
      </c>
      <c r="Z61" s="24" t="s">
        <v>12</v>
      </c>
      <c r="AA61" s="24" t="s">
        <v>13</v>
      </c>
      <c r="AB61" s="24" t="s">
        <v>14</v>
      </c>
      <c r="AC61" s="24" t="s">
        <v>15</v>
      </c>
      <c r="AD61" s="24" t="s">
        <v>16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</row>
    <row r="62">
      <c r="A62" s="28"/>
      <c r="B62" s="28"/>
      <c r="C62" s="29"/>
      <c r="D62" s="29"/>
      <c r="E62" s="29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62"/>
      <c r="Q62" s="63"/>
      <c r="R62" s="23" t="str">
        <f t="shared" ref="R62:R73" si="146">text(datevalue(right(BK62,10)),"MMM YYYY")</f>
        <v>#VALUE!</v>
      </c>
      <c r="S62" s="31">
        <f t="shared" ref="S62:AD62" si="143">if(or($AG62="",AH62=""),"",iferror(AH62/$AG62,""))</f>
        <v>1</v>
      </c>
      <c r="T62" s="31">
        <f t="shared" si="143"/>
        <v>1</v>
      </c>
      <c r="U62" s="31">
        <f t="shared" si="143"/>
        <v>1</v>
      </c>
      <c r="V62" s="31">
        <f t="shared" si="143"/>
        <v>1.69760479</v>
      </c>
      <c r="W62" s="31">
        <f t="shared" si="143"/>
        <v>2.25748503</v>
      </c>
      <c r="X62" s="31">
        <f t="shared" si="143"/>
        <v>2.25748503</v>
      </c>
      <c r="Y62" s="31">
        <f t="shared" si="143"/>
        <v>2.25748503</v>
      </c>
      <c r="Z62" s="31">
        <f t="shared" si="143"/>
        <v>2.25748503</v>
      </c>
      <c r="AA62" s="31">
        <f t="shared" si="143"/>
        <v>2.25748503</v>
      </c>
      <c r="AB62" s="31">
        <f t="shared" si="143"/>
        <v>2.25748503</v>
      </c>
      <c r="AC62" s="31">
        <f t="shared" si="143"/>
        <v>2.25748503</v>
      </c>
      <c r="AD62" s="31">
        <f t="shared" si="143"/>
        <v>2.25748503</v>
      </c>
      <c r="AE62" s="5"/>
      <c r="AF62" s="5"/>
      <c r="AG62" s="32">
        <f t="shared" ref="AG62:AG73" si="148">offset(BL62,0,$BJ42)</f>
        <v>334</v>
      </c>
      <c r="AH62" s="32">
        <f t="shared" ref="AH62:AS62" si="144">iferror(if($BJ42+AH$2&gt;12,"", if(offset(BM62,0,$BJ42)="","",offset(BM62,0,$BJ42))))</f>
        <v>334</v>
      </c>
      <c r="AI62" s="32">
        <f t="shared" si="144"/>
        <v>334</v>
      </c>
      <c r="AJ62" s="32">
        <f t="shared" si="144"/>
        <v>334</v>
      </c>
      <c r="AK62" s="32">
        <f t="shared" si="144"/>
        <v>567</v>
      </c>
      <c r="AL62" s="32">
        <f t="shared" si="144"/>
        <v>754</v>
      </c>
      <c r="AM62" s="32">
        <f t="shared" si="144"/>
        <v>754</v>
      </c>
      <c r="AN62" s="32">
        <f t="shared" si="144"/>
        <v>754</v>
      </c>
      <c r="AO62" s="32">
        <f t="shared" si="144"/>
        <v>754</v>
      </c>
      <c r="AP62" s="32">
        <f t="shared" si="144"/>
        <v>754</v>
      </c>
      <c r="AQ62" s="32">
        <f t="shared" si="144"/>
        <v>754</v>
      </c>
      <c r="AR62" s="32">
        <f t="shared" si="144"/>
        <v>754</v>
      </c>
      <c r="AS62" s="32">
        <f t="shared" si="144"/>
        <v>754</v>
      </c>
      <c r="AT62" s="4"/>
      <c r="AU62" s="33">
        <f t="shared" ref="AU62:BG62" si="145">iferror(if($BJ62+AG$2&gt;12,"", if(offset(BY62,0,$BJ62)="","",offset(BY62,0,$BJ62)/AG62)))</f>
        <v>2.25748503</v>
      </c>
      <c r="AV62" s="33">
        <f t="shared" si="145"/>
        <v>2.25748503</v>
      </c>
      <c r="AW62" s="33">
        <f t="shared" si="145"/>
        <v>2.25748503</v>
      </c>
      <c r="AX62" s="33">
        <f t="shared" si="145"/>
        <v>2.25748503</v>
      </c>
      <c r="AY62" s="33">
        <f t="shared" si="145"/>
        <v>1.329805996</v>
      </c>
      <c r="AZ62" s="33">
        <f t="shared" si="145"/>
        <v>1</v>
      </c>
      <c r="BA62" s="33">
        <f t="shared" si="145"/>
        <v>1</v>
      </c>
      <c r="BB62" s="33">
        <f t="shared" si="145"/>
        <v>1</v>
      </c>
      <c r="BC62" s="33">
        <f t="shared" si="145"/>
        <v>1</v>
      </c>
      <c r="BD62" s="33">
        <f t="shared" si="145"/>
        <v>1</v>
      </c>
      <c r="BE62" s="33">
        <f t="shared" si="145"/>
        <v>1</v>
      </c>
      <c r="BF62" s="33">
        <f t="shared" si="145"/>
        <v>1</v>
      </c>
      <c r="BG62" s="33">
        <f t="shared" si="145"/>
        <v>1</v>
      </c>
      <c r="BH62" s="4"/>
      <c r="BI62" s="4"/>
      <c r="BJ62" s="34">
        <v>0.0</v>
      </c>
      <c r="BK62" s="6">
        <v>334.0</v>
      </c>
      <c r="BL62" s="6">
        <v>334.0</v>
      </c>
      <c r="BM62" s="6">
        <v>334.0</v>
      </c>
      <c r="BN62" s="6">
        <v>334.0</v>
      </c>
      <c r="BO62" s="6">
        <v>334.0</v>
      </c>
      <c r="BP62" s="6">
        <v>567.0</v>
      </c>
      <c r="BQ62" s="6">
        <v>754.0</v>
      </c>
      <c r="BR62" s="6">
        <v>754.0</v>
      </c>
      <c r="BS62" s="6">
        <v>754.0</v>
      </c>
      <c r="BT62" s="6">
        <v>754.0</v>
      </c>
      <c r="BU62" s="6">
        <v>754.0</v>
      </c>
      <c r="BV62" s="6">
        <v>754.0</v>
      </c>
      <c r="BW62" s="6">
        <v>754.0</v>
      </c>
      <c r="BX62" s="6">
        <v>754.0</v>
      </c>
      <c r="BY62" s="27">
        <v>754.0</v>
      </c>
      <c r="BZ62" s="27">
        <v>754.0</v>
      </c>
      <c r="CA62" s="27">
        <v>754.0</v>
      </c>
      <c r="CB62" s="27">
        <v>754.0</v>
      </c>
      <c r="CC62" s="27">
        <v>754.0</v>
      </c>
      <c r="CD62" s="27">
        <v>754.0</v>
      </c>
      <c r="CE62" s="27">
        <v>754.0</v>
      </c>
      <c r="CF62" s="27">
        <v>754.0</v>
      </c>
      <c r="CG62" s="27">
        <v>754.0</v>
      </c>
      <c r="CH62" s="27">
        <v>754.0</v>
      </c>
      <c r="CI62" s="27">
        <v>754.0</v>
      </c>
      <c r="CJ62" s="27">
        <v>754.0</v>
      </c>
      <c r="CK62" s="27">
        <v>754.0</v>
      </c>
    </row>
    <row r="63">
      <c r="A63" s="28"/>
      <c r="B63" s="76" t="s">
        <v>44</v>
      </c>
      <c r="C63" s="29"/>
      <c r="D63" s="29"/>
      <c r="E63" s="29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62"/>
      <c r="Q63" s="63"/>
      <c r="R63" s="23" t="str">
        <f t="shared" si="146"/>
        <v>#VALUE!</v>
      </c>
      <c r="S63" s="31">
        <f t="shared" ref="S63:AD63" si="147">if(or($AG63="",AH63=""),"",iferror(AH63/$AG63,""))</f>
        <v>1</v>
      </c>
      <c r="T63" s="31">
        <f t="shared" si="147"/>
        <v>1</v>
      </c>
      <c r="U63" s="31">
        <f t="shared" si="147"/>
        <v>1.69760479</v>
      </c>
      <c r="V63" s="31">
        <f t="shared" si="147"/>
        <v>2.28742515</v>
      </c>
      <c r="W63" s="31">
        <f t="shared" si="147"/>
        <v>2.28742515</v>
      </c>
      <c r="X63" s="31">
        <f t="shared" si="147"/>
        <v>2.28742515</v>
      </c>
      <c r="Y63" s="31">
        <f t="shared" si="147"/>
        <v>2.28742515</v>
      </c>
      <c r="Z63" s="31">
        <f t="shared" si="147"/>
        <v>2.28742515</v>
      </c>
      <c r="AA63" s="31">
        <f t="shared" si="147"/>
        <v>1.356287425</v>
      </c>
      <c r="AB63" s="31">
        <f t="shared" si="147"/>
        <v>1.356287425</v>
      </c>
      <c r="AC63" s="31">
        <f t="shared" si="147"/>
        <v>1.356287425</v>
      </c>
      <c r="AD63" s="31" t="str">
        <f t="shared" si="147"/>
        <v/>
      </c>
      <c r="AE63" s="5"/>
      <c r="AF63" s="5"/>
      <c r="AG63" s="32">
        <f t="shared" si="148"/>
        <v>334</v>
      </c>
      <c r="AH63" s="32">
        <f t="shared" ref="AH63:AS63" si="149">iferror(if($BJ43+AH$2&gt;12,"", if(offset(BM63,0,$BJ43)="","",offset(BM63,0,$BJ43))))</f>
        <v>334</v>
      </c>
      <c r="AI63" s="32">
        <f t="shared" si="149"/>
        <v>334</v>
      </c>
      <c r="AJ63" s="32">
        <f t="shared" si="149"/>
        <v>567</v>
      </c>
      <c r="AK63" s="32">
        <f t="shared" si="149"/>
        <v>764</v>
      </c>
      <c r="AL63" s="32">
        <f t="shared" si="149"/>
        <v>764</v>
      </c>
      <c r="AM63" s="32">
        <f t="shared" si="149"/>
        <v>764</v>
      </c>
      <c r="AN63" s="32">
        <f t="shared" si="149"/>
        <v>764</v>
      </c>
      <c r="AO63" s="32">
        <f t="shared" si="149"/>
        <v>764</v>
      </c>
      <c r="AP63" s="32">
        <f t="shared" si="149"/>
        <v>453</v>
      </c>
      <c r="AQ63" s="32">
        <f t="shared" si="149"/>
        <v>453</v>
      </c>
      <c r="AR63" s="32">
        <f t="shared" si="149"/>
        <v>453</v>
      </c>
      <c r="AS63" s="32" t="str">
        <f t="shared" si="149"/>
        <v/>
      </c>
      <c r="AT63" s="4"/>
      <c r="AU63" s="33">
        <f t="shared" ref="AU63:BG63" si="150">iferror(if($BJ63+AG$2&gt;12,"", if(offset(BY63,0,$BJ63)="","",offset(BY63,0,$BJ63)/AG63)))</f>
        <v>2.28742515</v>
      </c>
      <c r="AV63" s="33">
        <f t="shared" si="150"/>
        <v>2.28742515</v>
      </c>
      <c r="AW63" s="33">
        <f t="shared" si="150"/>
        <v>2.28742515</v>
      </c>
      <c r="AX63" s="33">
        <f t="shared" si="150"/>
        <v>0.7989417989</v>
      </c>
      <c r="AY63" s="33">
        <f t="shared" si="150"/>
        <v>0.5929319372</v>
      </c>
      <c r="AZ63" s="33">
        <f t="shared" si="150"/>
        <v>0.5929319372</v>
      </c>
      <c r="BA63" s="33">
        <f t="shared" si="150"/>
        <v>1</v>
      </c>
      <c r="BB63" s="33">
        <f t="shared" si="150"/>
        <v>1</v>
      </c>
      <c r="BC63" s="33">
        <f t="shared" si="150"/>
        <v>1</v>
      </c>
      <c r="BD63" s="33">
        <f t="shared" si="150"/>
        <v>1</v>
      </c>
      <c r="BE63" s="33">
        <f t="shared" si="150"/>
        <v>1</v>
      </c>
      <c r="BF63" s="33">
        <f t="shared" si="150"/>
        <v>1</v>
      </c>
      <c r="BG63" s="33" t="str">
        <f t="shared" si="150"/>
        <v/>
      </c>
      <c r="BH63" s="4"/>
      <c r="BI63" s="4"/>
      <c r="BJ63" s="34">
        <f t="shared" ref="BJ63:BJ73" si="154">BJ62+1</f>
        <v>1</v>
      </c>
      <c r="BK63" s="6">
        <v>334.0</v>
      </c>
      <c r="BL63" s="6">
        <v>334.0</v>
      </c>
      <c r="BM63" s="6">
        <v>334.0</v>
      </c>
      <c r="BN63" s="6">
        <v>334.0</v>
      </c>
      <c r="BO63" s="6">
        <v>334.0</v>
      </c>
      <c r="BP63" s="6">
        <v>567.0</v>
      </c>
      <c r="BQ63" s="6">
        <v>764.0</v>
      </c>
      <c r="BR63" s="6">
        <v>764.0</v>
      </c>
      <c r="BS63" s="6">
        <v>764.0</v>
      </c>
      <c r="BT63" s="6">
        <v>764.0</v>
      </c>
      <c r="BU63" s="6">
        <v>764.0</v>
      </c>
      <c r="BV63" s="6">
        <v>453.0</v>
      </c>
      <c r="BW63" s="6">
        <v>453.0</v>
      </c>
      <c r="BX63" s="6">
        <v>453.0</v>
      </c>
      <c r="BY63" s="27">
        <v>764.0</v>
      </c>
      <c r="BZ63" s="27">
        <v>764.0</v>
      </c>
      <c r="CA63" s="27">
        <v>764.0</v>
      </c>
      <c r="CB63" s="27">
        <v>764.0</v>
      </c>
      <c r="CC63" s="27">
        <v>453.0</v>
      </c>
      <c r="CD63" s="27">
        <v>453.0</v>
      </c>
      <c r="CE63" s="27">
        <v>453.0</v>
      </c>
      <c r="CF63" s="27">
        <v>764.0</v>
      </c>
      <c r="CG63" s="27">
        <v>764.0</v>
      </c>
      <c r="CH63" s="27">
        <v>764.0</v>
      </c>
      <c r="CI63" s="27">
        <v>453.0</v>
      </c>
      <c r="CJ63" s="27">
        <v>453.0</v>
      </c>
      <c r="CK63" s="27">
        <v>453.0</v>
      </c>
    </row>
    <row r="64">
      <c r="A64" s="28"/>
      <c r="B64" s="29"/>
      <c r="C64" s="29"/>
      <c r="D64" s="29"/>
      <c r="E64" s="29"/>
      <c r="F64" s="28"/>
      <c r="G64" s="28"/>
      <c r="H64" s="28"/>
      <c r="I64" s="28"/>
      <c r="J64" s="28"/>
      <c r="K64" s="28"/>
      <c r="L64" s="109"/>
      <c r="M64" s="109"/>
      <c r="N64" s="109"/>
      <c r="O64" s="28"/>
      <c r="P64" s="62"/>
      <c r="Q64" s="63"/>
      <c r="R64" s="23" t="str">
        <f t="shared" si="146"/>
        <v>#VALUE!</v>
      </c>
      <c r="S64" s="31">
        <f t="shared" ref="S64:AD64" si="151">if(or($AG64="",AH64=""),"",iferror(AH64/$AG64,""))</f>
        <v>1</v>
      </c>
      <c r="T64" s="31">
        <f t="shared" si="151"/>
        <v>1</v>
      </c>
      <c r="U64" s="31">
        <f t="shared" si="151"/>
        <v>1</v>
      </c>
      <c r="V64" s="31">
        <f t="shared" si="151"/>
        <v>1</v>
      </c>
      <c r="W64" s="31">
        <f t="shared" si="151"/>
        <v>1</v>
      </c>
      <c r="X64" s="31">
        <f t="shared" si="151"/>
        <v>1</v>
      </c>
      <c r="Y64" s="31">
        <f t="shared" si="151"/>
        <v>1</v>
      </c>
      <c r="Z64" s="31">
        <f t="shared" si="151"/>
        <v>1</v>
      </c>
      <c r="AA64" s="31">
        <f t="shared" si="151"/>
        <v>2.01497006</v>
      </c>
      <c r="AB64" s="31">
        <f t="shared" si="151"/>
        <v>2.01497006</v>
      </c>
      <c r="AC64" s="31" t="str">
        <f t="shared" si="151"/>
        <v/>
      </c>
      <c r="AD64" s="31" t="str">
        <f t="shared" si="151"/>
        <v/>
      </c>
      <c r="AE64" s="5"/>
      <c r="AF64" s="5"/>
      <c r="AG64" s="32">
        <f t="shared" si="148"/>
        <v>334</v>
      </c>
      <c r="AH64" s="32">
        <f t="shared" ref="AH64:AS64" si="152">iferror(if($BJ44+AH$2&gt;12,"", if(offset(BM64,0,$BJ44)="","",offset(BM64,0,$BJ44))))</f>
        <v>334</v>
      </c>
      <c r="AI64" s="32">
        <f t="shared" si="152"/>
        <v>334</v>
      </c>
      <c r="AJ64" s="32">
        <f t="shared" si="152"/>
        <v>334</v>
      </c>
      <c r="AK64" s="32">
        <f t="shared" si="152"/>
        <v>334</v>
      </c>
      <c r="AL64" s="32">
        <f t="shared" si="152"/>
        <v>334</v>
      </c>
      <c r="AM64" s="32">
        <f t="shared" si="152"/>
        <v>334</v>
      </c>
      <c r="AN64" s="32">
        <f t="shared" si="152"/>
        <v>334</v>
      </c>
      <c r="AO64" s="32">
        <f t="shared" si="152"/>
        <v>334</v>
      </c>
      <c r="AP64" s="32">
        <f t="shared" si="152"/>
        <v>673</v>
      </c>
      <c r="AQ64" s="32">
        <f t="shared" si="152"/>
        <v>673</v>
      </c>
      <c r="AR64" s="32" t="str">
        <f t="shared" si="152"/>
        <v/>
      </c>
      <c r="AS64" s="32" t="str">
        <f t="shared" si="152"/>
        <v/>
      </c>
      <c r="AT64" s="4"/>
      <c r="AU64" s="33">
        <f t="shared" ref="AU64:BG64" si="153">iferror(if($BJ64+AG$2&gt;12,"", if(offset(BY64,0,$BJ64)="","",offset(BY64,0,$BJ64)/AG64)))</f>
        <v>1</v>
      </c>
      <c r="AV64" s="33">
        <f t="shared" si="153"/>
        <v>1</v>
      </c>
      <c r="AW64" s="33">
        <f t="shared" si="153"/>
        <v>1</v>
      </c>
      <c r="AX64" s="33">
        <f t="shared" si="153"/>
        <v>2.01497006</v>
      </c>
      <c r="AY64" s="33">
        <f t="shared" si="153"/>
        <v>2.01497006</v>
      </c>
      <c r="AZ64" s="33">
        <f t="shared" si="153"/>
        <v>1</v>
      </c>
      <c r="BA64" s="33">
        <f t="shared" si="153"/>
        <v>1</v>
      </c>
      <c r="BB64" s="33">
        <f t="shared" si="153"/>
        <v>1</v>
      </c>
      <c r="BC64" s="33">
        <f t="shared" si="153"/>
        <v>1</v>
      </c>
      <c r="BD64" s="33">
        <f t="shared" si="153"/>
        <v>1</v>
      </c>
      <c r="BE64" s="33">
        <f t="shared" si="153"/>
        <v>1</v>
      </c>
      <c r="BF64" s="33" t="str">
        <f t="shared" si="153"/>
        <v/>
      </c>
      <c r="BG64" s="33" t="str">
        <f t="shared" si="153"/>
        <v/>
      </c>
      <c r="BH64" s="4"/>
      <c r="BI64" s="4"/>
      <c r="BJ64" s="34">
        <f t="shared" si="154"/>
        <v>2</v>
      </c>
      <c r="BK64" s="6">
        <v>334.0</v>
      </c>
      <c r="BL64" s="6">
        <v>334.0</v>
      </c>
      <c r="BM64" s="6">
        <v>334.0</v>
      </c>
      <c r="BN64" s="6">
        <v>334.0</v>
      </c>
      <c r="BO64" s="6">
        <v>334.0</v>
      </c>
      <c r="BP64" s="6">
        <v>334.0</v>
      </c>
      <c r="BQ64" s="6">
        <v>334.0</v>
      </c>
      <c r="BR64" s="6">
        <v>334.0</v>
      </c>
      <c r="BS64" s="6">
        <v>334.0</v>
      </c>
      <c r="BT64" s="6">
        <v>334.0</v>
      </c>
      <c r="BU64" s="6">
        <v>334.0</v>
      </c>
      <c r="BV64" s="6">
        <v>334.0</v>
      </c>
      <c r="BW64" s="6">
        <v>673.0</v>
      </c>
      <c r="BX64" s="6">
        <v>673.0</v>
      </c>
      <c r="BY64" s="27">
        <v>334.0</v>
      </c>
      <c r="BZ64" s="27">
        <v>334.0</v>
      </c>
      <c r="CA64" s="27">
        <v>334.0</v>
      </c>
      <c r="CB64" s="27">
        <v>334.0</v>
      </c>
      <c r="CC64" s="27">
        <v>334.0</v>
      </c>
      <c r="CD64" s="27">
        <v>673.0</v>
      </c>
      <c r="CE64" s="27">
        <v>673.0</v>
      </c>
      <c r="CF64" s="27">
        <v>334.0</v>
      </c>
      <c r="CG64" s="27">
        <v>334.0</v>
      </c>
      <c r="CH64" s="27">
        <v>334.0</v>
      </c>
      <c r="CI64" s="27">
        <v>334.0</v>
      </c>
      <c r="CJ64" s="27">
        <v>673.0</v>
      </c>
      <c r="CK64" s="27">
        <v>673.0</v>
      </c>
    </row>
    <row r="65">
      <c r="A65" s="28"/>
      <c r="B65" s="110" t="s">
        <v>45</v>
      </c>
      <c r="C65" s="36"/>
      <c r="D65" s="36"/>
      <c r="E65" s="36"/>
      <c r="F65" s="37"/>
      <c r="G65" s="28"/>
      <c r="H65" s="111" t="s">
        <v>46</v>
      </c>
      <c r="I65" s="111" t="s">
        <v>47</v>
      </c>
      <c r="J65" s="29"/>
      <c r="K65" s="28"/>
      <c r="L65" s="112" t="s">
        <v>48</v>
      </c>
      <c r="M65" s="113"/>
      <c r="N65" s="86" t="s">
        <v>49</v>
      </c>
      <c r="O65" s="29"/>
      <c r="P65" s="62"/>
      <c r="Q65" s="63"/>
      <c r="R65" s="23" t="str">
        <f t="shared" si="146"/>
        <v>#VALUE!</v>
      </c>
      <c r="S65" s="31">
        <f t="shared" ref="S65:AD65" si="155">if(or($AG65="",AH65=""),"",iferror(AH65/$AG65,""))</f>
        <v>1.69760479</v>
      </c>
      <c r="T65" s="31">
        <f t="shared" si="155"/>
        <v>2.28742515</v>
      </c>
      <c r="U65" s="31">
        <f t="shared" si="155"/>
        <v>2.28742515</v>
      </c>
      <c r="V65" s="31">
        <f t="shared" si="155"/>
        <v>2.28742515</v>
      </c>
      <c r="W65" s="31">
        <f t="shared" si="155"/>
        <v>2.28742515</v>
      </c>
      <c r="X65" s="31">
        <f t="shared" si="155"/>
        <v>2.28742515</v>
      </c>
      <c r="Y65" s="31">
        <f t="shared" si="155"/>
        <v>1.356287425</v>
      </c>
      <c r="Z65" s="31">
        <f t="shared" si="155"/>
        <v>2.01497006</v>
      </c>
      <c r="AA65" s="31">
        <f t="shared" si="155"/>
        <v>2.01497006</v>
      </c>
      <c r="AB65" s="31" t="str">
        <f t="shared" si="155"/>
        <v/>
      </c>
      <c r="AC65" s="31" t="str">
        <f t="shared" si="155"/>
        <v/>
      </c>
      <c r="AD65" s="31" t="str">
        <f t="shared" si="155"/>
        <v/>
      </c>
      <c r="AE65" s="5"/>
      <c r="AF65" s="5"/>
      <c r="AG65" s="32">
        <f t="shared" si="148"/>
        <v>334</v>
      </c>
      <c r="AH65" s="32">
        <f t="shared" ref="AH65:AS65" si="156">iferror(if($BJ45+AH$2&gt;12,"", if(offset(BM65,0,$BJ45)="","",offset(BM65,0,$BJ45))))</f>
        <v>567</v>
      </c>
      <c r="AI65" s="32">
        <f t="shared" si="156"/>
        <v>764</v>
      </c>
      <c r="AJ65" s="32">
        <f t="shared" si="156"/>
        <v>764</v>
      </c>
      <c r="AK65" s="32">
        <f t="shared" si="156"/>
        <v>764</v>
      </c>
      <c r="AL65" s="32">
        <f t="shared" si="156"/>
        <v>764</v>
      </c>
      <c r="AM65" s="32">
        <f t="shared" si="156"/>
        <v>764</v>
      </c>
      <c r="AN65" s="32">
        <f t="shared" si="156"/>
        <v>453</v>
      </c>
      <c r="AO65" s="32">
        <f t="shared" si="156"/>
        <v>673</v>
      </c>
      <c r="AP65" s="32">
        <f t="shared" si="156"/>
        <v>673</v>
      </c>
      <c r="AQ65" s="32" t="str">
        <f t="shared" si="156"/>
        <v/>
      </c>
      <c r="AR65" s="32" t="str">
        <f t="shared" si="156"/>
        <v/>
      </c>
      <c r="AS65" s="32" t="str">
        <f t="shared" si="156"/>
        <v/>
      </c>
      <c r="AT65" s="4"/>
      <c r="AU65" s="33">
        <f t="shared" ref="AU65:BG65" si="157">iferror(if($BJ65+AG$2&gt;12,"", if(offset(BY65,0,$BJ65)="","",offset(BY65,0,$BJ65)/AG65)))</f>
        <v>2.28742515</v>
      </c>
      <c r="AV65" s="33">
        <f t="shared" si="157"/>
        <v>0.7989417989</v>
      </c>
      <c r="AW65" s="33">
        <f t="shared" si="157"/>
        <v>0.8808900524</v>
      </c>
      <c r="AX65" s="33">
        <f t="shared" si="157"/>
        <v>0.8808900524</v>
      </c>
      <c r="AY65" s="33">
        <f t="shared" si="157"/>
        <v>1</v>
      </c>
      <c r="AZ65" s="33">
        <f t="shared" si="157"/>
        <v>1</v>
      </c>
      <c r="BA65" s="33">
        <f t="shared" si="157"/>
        <v>1</v>
      </c>
      <c r="BB65" s="33">
        <f t="shared" si="157"/>
        <v>1</v>
      </c>
      <c r="BC65" s="33">
        <f t="shared" si="157"/>
        <v>1</v>
      </c>
      <c r="BD65" s="33">
        <f t="shared" si="157"/>
        <v>1</v>
      </c>
      <c r="BE65" s="33" t="str">
        <f t="shared" si="157"/>
        <v/>
      </c>
      <c r="BF65" s="33" t="str">
        <f t="shared" si="157"/>
        <v/>
      </c>
      <c r="BG65" s="33" t="str">
        <f t="shared" si="157"/>
        <v/>
      </c>
      <c r="BH65" s="4"/>
      <c r="BI65" s="4"/>
      <c r="BJ65" s="34">
        <f t="shared" si="154"/>
        <v>3</v>
      </c>
      <c r="BK65" s="6">
        <v>334.0</v>
      </c>
      <c r="BL65" s="6">
        <v>334.0</v>
      </c>
      <c r="BM65" s="6">
        <v>334.0</v>
      </c>
      <c r="BN65" s="6">
        <v>334.0</v>
      </c>
      <c r="BO65" s="6">
        <v>334.0</v>
      </c>
      <c r="BP65" s="6">
        <v>567.0</v>
      </c>
      <c r="BQ65" s="6">
        <v>764.0</v>
      </c>
      <c r="BR65" s="6">
        <v>764.0</v>
      </c>
      <c r="BS65" s="6">
        <v>764.0</v>
      </c>
      <c r="BT65" s="6">
        <v>764.0</v>
      </c>
      <c r="BU65" s="6">
        <v>764.0</v>
      </c>
      <c r="BV65" s="6">
        <v>453.0</v>
      </c>
      <c r="BW65" s="6">
        <v>673.0</v>
      </c>
      <c r="BX65" s="6">
        <v>673.0</v>
      </c>
      <c r="BY65" s="27">
        <v>764.0</v>
      </c>
      <c r="BZ65" s="27">
        <v>764.0</v>
      </c>
      <c r="CA65" s="27">
        <v>764.0</v>
      </c>
      <c r="CB65" s="27">
        <v>764.0</v>
      </c>
      <c r="CC65" s="27">
        <v>453.0</v>
      </c>
      <c r="CD65" s="27">
        <v>673.0</v>
      </c>
      <c r="CE65" s="27">
        <v>673.0</v>
      </c>
      <c r="CF65" s="27">
        <v>764.0</v>
      </c>
      <c r="CG65" s="27">
        <v>764.0</v>
      </c>
      <c r="CH65" s="27">
        <v>764.0</v>
      </c>
      <c r="CI65" s="27">
        <v>453.0</v>
      </c>
      <c r="CJ65" s="27">
        <v>673.0</v>
      </c>
      <c r="CK65" s="27">
        <v>673.0</v>
      </c>
    </row>
    <row r="66" ht="21.0" customHeight="1">
      <c r="A66" s="28"/>
      <c r="B66" s="39"/>
      <c r="F66" s="40"/>
      <c r="G66" s="111">
        <v>1.0</v>
      </c>
      <c r="H66" s="114" t="s">
        <v>50</v>
      </c>
      <c r="I66" s="115" t="s">
        <v>51</v>
      </c>
      <c r="J66" s="116"/>
      <c r="K66" s="113"/>
      <c r="L66" s="117">
        <f>iferror(AH37,"")</f>
        <v>1.112185019</v>
      </c>
      <c r="M66" s="118" t="str">
        <f>IFERROR(__xludf.DUMMYFUNCTION("iferror(sparkline(S23:S34,{""charttype"",""column"";""empty"",""zero"";""ymin"",0;""lowcolor"",""#D19599"";""highcolor"",""#A1D3A8""}),"""")"),"")</f>
        <v/>
      </c>
      <c r="N66" s="119">
        <f>AU39</f>
        <v>0</v>
      </c>
      <c r="O66" s="29"/>
      <c r="P66" s="62"/>
      <c r="Q66" s="63"/>
      <c r="R66" s="23" t="str">
        <f t="shared" si="146"/>
        <v>#VALUE!</v>
      </c>
      <c r="S66" s="31">
        <f t="shared" ref="S66:AD66" si="158">if(or($AG66="",AH66=""),"",iferror(AH66/$AG66,""))</f>
        <v>1.347442681</v>
      </c>
      <c r="T66" s="31">
        <f t="shared" si="158"/>
        <v>1.347442681</v>
      </c>
      <c r="U66" s="31">
        <f t="shared" si="158"/>
        <v>1.347442681</v>
      </c>
      <c r="V66" s="31">
        <f t="shared" si="158"/>
        <v>1.347442681</v>
      </c>
      <c r="W66" s="31">
        <f t="shared" si="158"/>
        <v>1.347442681</v>
      </c>
      <c r="X66" s="31">
        <f t="shared" si="158"/>
        <v>0.7989417989</v>
      </c>
      <c r="Y66" s="31">
        <f t="shared" si="158"/>
        <v>1.186948854</v>
      </c>
      <c r="Z66" s="31">
        <f t="shared" si="158"/>
        <v>1.186948854</v>
      </c>
      <c r="AA66" s="31" t="str">
        <f t="shared" si="158"/>
        <v/>
      </c>
      <c r="AB66" s="31" t="str">
        <f t="shared" si="158"/>
        <v/>
      </c>
      <c r="AC66" s="31" t="str">
        <f t="shared" si="158"/>
        <v/>
      </c>
      <c r="AD66" s="31" t="str">
        <f t="shared" si="158"/>
        <v/>
      </c>
      <c r="AE66" s="5"/>
      <c r="AF66" s="5"/>
      <c r="AG66" s="32">
        <f t="shared" si="148"/>
        <v>567</v>
      </c>
      <c r="AH66" s="32">
        <f t="shared" ref="AH66:AS66" si="159">iferror(if($BJ46+AH$2&gt;12,"", if(offset(BM66,0,$BJ46)="","",offset(BM66,0,$BJ46))))</f>
        <v>764</v>
      </c>
      <c r="AI66" s="32">
        <f t="shared" si="159"/>
        <v>764</v>
      </c>
      <c r="AJ66" s="32">
        <f t="shared" si="159"/>
        <v>764</v>
      </c>
      <c r="AK66" s="32">
        <f t="shared" si="159"/>
        <v>764</v>
      </c>
      <c r="AL66" s="32">
        <f t="shared" si="159"/>
        <v>764</v>
      </c>
      <c r="AM66" s="32">
        <f t="shared" si="159"/>
        <v>453</v>
      </c>
      <c r="AN66" s="32">
        <f t="shared" si="159"/>
        <v>673</v>
      </c>
      <c r="AO66" s="32">
        <f t="shared" si="159"/>
        <v>673</v>
      </c>
      <c r="AP66" s="32" t="str">
        <f t="shared" si="159"/>
        <v/>
      </c>
      <c r="AQ66" s="32" t="str">
        <f t="shared" si="159"/>
        <v/>
      </c>
      <c r="AR66" s="32" t="str">
        <f t="shared" si="159"/>
        <v/>
      </c>
      <c r="AS66" s="32" t="str">
        <f t="shared" si="159"/>
        <v/>
      </c>
      <c r="AT66" s="4"/>
      <c r="AU66" s="33">
        <f t="shared" ref="AU66:BG66" si="160">iferror(if($BJ66+AG$2&gt;12,"", if(offset(BY66,0,$BJ66)="","",offset(BY66,0,$BJ66)/AG66)))</f>
        <v>0.7989417989</v>
      </c>
      <c r="AV66" s="33">
        <f t="shared" si="160"/>
        <v>0.8808900524</v>
      </c>
      <c r="AW66" s="33">
        <f t="shared" si="160"/>
        <v>0.8808900524</v>
      </c>
      <c r="AX66" s="33">
        <f t="shared" si="160"/>
        <v>1</v>
      </c>
      <c r="AY66" s="33">
        <f t="shared" si="160"/>
        <v>1</v>
      </c>
      <c r="AZ66" s="33">
        <f t="shared" si="160"/>
        <v>1</v>
      </c>
      <c r="BA66" s="33">
        <f t="shared" si="160"/>
        <v>1</v>
      </c>
      <c r="BB66" s="33">
        <f t="shared" si="160"/>
        <v>1</v>
      </c>
      <c r="BC66" s="33">
        <f t="shared" si="160"/>
        <v>1</v>
      </c>
      <c r="BD66" s="33" t="str">
        <f t="shared" si="160"/>
        <v/>
      </c>
      <c r="BE66" s="33" t="str">
        <f t="shared" si="160"/>
        <v/>
      </c>
      <c r="BF66" s="33" t="str">
        <f t="shared" si="160"/>
        <v/>
      </c>
      <c r="BG66" s="33" t="str">
        <f t="shared" si="160"/>
        <v/>
      </c>
      <c r="BH66" s="4"/>
      <c r="BI66" s="4"/>
      <c r="BJ66" s="34">
        <f t="shared" si="154"/>
        <v>4</v>
      </c>
      <c r="BK66" s="6">
        <v>334.0</v>
      </c>
      <c r="BL66" s="6">
        <v>334.0</v>
      </c>
      <c r="BM66" s="6">
        <v>334.0</v>
      </c>
      <c r="BN66" s="6">
        <v>334.0</v>
      </c>
      <c r="BO66" s="6">
        <v>334.0</v>
      </c>
      <c r="BP66" s="6">
        <v>567.0</v>
      </c>
      <c r="BQ66" s="6">
        <v>764.0</v>
      </c>
      <c r="BR66" s="6">
        <v>764.0</v>
      </c>
      <c r="BS66" s="6">
        <v>764.0</v>
      </c>
      <c r="BT66" s="6">
        <v>764.0</v>
      </c>
      <c r="BU66" s="6">
        <v>764.0</v>
      </c>
      <c r="BV66" s="6">
        <v>453.0</v>
      </c>
      <c r="BW66" s="6">
        <v>673.0</v>
      </c>
      <c r="BX66" s="6">
        <v>673.0</v>
      </c>
      <c r="BY66" s="27">
        <v>764.0</v>
      </c>
      <c r="BZ66" s="27">
        <v>764.0</v>
      </c>
      <c r="CA66" s="27">
        <v>764.0</v>
      </c>
      <c r="CB66" s="27">
        <v>764.0</v>
      </c>
      <c r="CC66" s="27">
        <v>453.0</v>
      </c>
      <c r="CD66" s="27">
        <v>673.0</v>
      </c>
      <c r="CE66" s="27">
        <v>673.0</v>
      </c>
      <c r="CF66" s="27">
        <v>764.0</v>
      </c>
      <c r="CG66" s="27">
        <v>764.0</v>
      </c>
      <c r="CH66" s="27">
        <v>764.0</v>
      </c>
      <c r="CI66" s="27">
        <v>453.0</v>
      </c>
      <c r="CJ66" s="27">
        <v>673.0</v>
      </c>
      <c r="CK66" s="27">
        <v>673.0</v>
      </c>
    </row>
    <row r="67" ht="21.0" customHeight="1">
      <c r="A67" s="28"/>
      <c r="B67" s="41"/>
      <c r="C67" s="42"/>
      <c r="D67" s="42"/>
      <c r="E67" s="42"/>
      <c r="F67" s="43"/>
      <c r="G67" s="111">
        <v>2.0</v>
      </c>
      <c r="H67" s="120" t="s">
        <v>52</v>
      </c>
      <c r="I67" s="121" t="s">
        <v>53</v>
      </c>
      <c r="J67" s="116"/>
      <c r="K67" s="113"/>
      <c r="L67" s="117">
        <f>AH56</f>
        <v>1.112185019</v>
      </c>
      <c r="M67" s="118" t="str">
        <f>IFERROR(__xludf.DUMMYFUNCTION("iferror(sparkline(S42:S53,{""charttype"",""column"";""empty"",""zero"";""ymin"",0;""lowcolor"",""#D19599"";""highcolor"",""#A1D3A8""}),"""")"),"")</f>
        <v/>
      </c>
      <c r="N67" s="119">
        <f>AU58</f>
        <v>20.04238695</v>
      </c>
      <c r="O67" s="29"/>
      <c r="P67" s="62"/>
      <c r="Q67" s="63"/>
      <c r="R67" s="23" t="str">
        <f t="shared" si="146"/>
        <v>#VALUE!</v>
      </c>
      <c r="S67" s="31">
        <f t="shared" ref="S67:AD67" si="161">if(or($AG67="",AH67=""),"",iferror(AH67/$AG67,""))</f>
        <v>1</v>
      </c>
      <c r="T67" s="31">
        <f t="shared" si="161"/>
        <v>1</v>
      </c>
      <c r="U67" s="31">
        <f t="shared" si="161"/>
        <v>1</v>
      </c>
      <c r="V67" s="31">
        <f t="shared" si="161"/>
        <v>1</v>
      </c>
      <c r="W67" s="31">
        <f t="shared" si="161"/>
        <v>0.5929319372</v>
      </c>
      <c r="X67" s="31">
        <f t="shared" si="161"/>
        <v>0.8808900524</v>
      </c>
      <c r="Y67" s="31">
        <f t="shared" si="161"/>
        <v>0.8808900524</v>
      </c>
      <c r="Z67" s="31" t="str">
        <f t="shared" si="161"/>
        <v/>
      </c>
      <c r="AA67" s="31" t="str">
        <f t="shared" si="161"/>
        <v/>
      </c>
      <c r="AB67" s="31" t="str">
        <f t="shared" si="161"/>
        <v/>
      </c>
      <c r="AC67" s="31" t="str">
        <f t="shared" si="161"/>
        <v/>
      </c>
      <c r="AD67" s="31" t="str">
        <f t="shared" si="161"/>
        <v/>
      </c>
      <c r="AE67" s="5"/>
      <c r="AF67" s="5"/>
      <c r="AG67" s="32">
        <f t="shared" si="148"/>
        <v>764</v>
      </c>
      <c r="AH67" s="32">
        <f t="shared" ref="AH67:AS67" si="162">iferror(if($BJ47+AH$2&gt;12,"", if(offset(BM67,0,$BJ47)="","",offset(BM67,0,$BJ47))))</f>
        <v>764</v>
      </c>
      <c r="AI67" s="32">
        <f t="shared" si="162"/>
        <v>764</v>
      </c>
      <c r="AJ67" s="32">
        <f t="shared" si="162"/>
        <v>764</v>
      </c>
      <c r="AK67" s="32">
        <f t="shared" si="162"/>
        <v>764</v>
      </c>
      <c r="AL67" s="32">
        <f t="shared" si="162"/>
        <v>453</v>
      </c>
      <c r="AM67" s="32">
        <f t="shared" si="162"/>
        <v>673</v>
      </c>
      <c r="AN67" s="32">
        <f t="shared" si="162"/>
        <v>673</v>
      </c>
      <c r="AO67" s="32" t="str">
        <f t="shared" si="162"/>
        <v/>
      </c>
      <c r="AP67" s="32" t="str">
        <f t="shared" si="162"/>
        <v/>
      </c>
      <c r="AQ67" s="32" t="str">
        <f t="shared" si="162"/>
        <v/>
      </c>
      <c r="AR67" s="32" t="str">
        <f t="shared" si="162"/>
        <v/>
      </c>
      <c r="AS67" s="32" t="str">
        <f t="shared" si="162"/>
        <v/>
      </c>
      <c r="AT67" s="4"/>
      <c r="AU67" s="33">
        <f t="shared" ref="AU67:BG67" si="163">iferror(if($BJ67+AG$2&gt;12,"", if(offset(BY67,0,$BJ67)="","",offset(BY67,0,$BJ67)/AG67)))</f>
        <v>0.8808900524</v>
      </c>
      <c r="AV67" s="33">
        <f t="shared" si="163"/>
        <v>0.8808900524</v>
      </c>
      <c r="AW67" s="33">
        <f t="shared" si="163"/>
        <v>1</v>
      </c>
      <c r="AX67" s="33">
        <f t="shared" si="163"/>
        <v>1</v>
      </c>
      <c r="AY67" s="33">
        <f t="shared" si="163"/>
        <v>1</v>
      </c>
      <c r="AZ67" s="33">
        <f t="shared" si="163"/>
        <v>1</v>
      </c>
      <c r="BA67" s="33">
        <f t="shared" si="163"/>
        <v>1</v>
      </c>
      <c r="BB67" s="33">
        <f t="shared" si="163"/>
        <v>1</v>
      </c>
      <c r="BC67" s="33" t="str">
        <f t="shared" si="163"/>
        <v/>
      </c>
      <c r="BD67" s="33" t="str">
        <f t="shared" si="163"/>
        <v/>
      </c>
      <c r="BE67" s="33" t="str">
        <f t="shared" si="163"/>
        <v/>
      </c>
      <c r="BF67" s="33" t="str">
        <f t="shared" si="163"/>
        <v/>
      </c>
      <c r="BG67" s="33" t="str">
        <f t="shared" si="163"/>
        <v/>
      </c>
      <c r="BH67" s="4"/>
      <c r="BI67" s="4"/>
      <c r="BJ67" s="34">
        <f t="shared" si="154"/>
        <v>5</v>
      </c>
      <c r="BK67" s="6">
        <v>111.0</v>
      </c>
      <c r="BL67" s="6">
        <v>111.0</v>
      </c>
      <c r="BM67" s="6">
        <v>111.0</v>
      </c>
      <c r="BN67" s="6">
        <v>111.0</v>
      </c>
      <c r="BO67" s="6">
        <v>111.0</v>
      </c>
      <c r="BP67" s="6">
        <v>567.0</v>
      </c>
      <c r="BQ67" s="6">
        <v>764.0</v>
      </c>
      <c r="BR67" s="6">
        <v>764.0</v>
      </c>
      <c r="BS67" s="6">
        <v>764.0</v>
      </c>
      <c r="BT67" s="6">
        <v>764.0</v>
      </c>
      <c r="BU67" s="6">
        <v>764.0</v>
      </c>
      <c r="BV67" s="6">
        <v>453.0</v>
      </c>
      <c r="BW67" s="6">
        <v>673.0</v>
      </c>
      <c r="BX67" s="6">
        <v>673.0</v>
      </c>
      <c r="BY67" s="27">
        <v>764.0</v>
      </c>
      <c r="BZ67" s="27">
        <v>764.0</v>
      </c>
      <c r="CA67" s="27">
        <v>764.0</v>
      </c>
      <c r="CB67" s="27">
        <v>764.0</v>
      </c>
      <c r="CC67" s="27">
        <v>453.0</v>
      </c>
      <c r="CD67" s="27">
        <v>673.0</v>
      </c>
      <c r="CE67" s="27">
        <v>673.0</v>
      </c>
      <c r="CF67" s="27">
        <v>764.0</v>
      </c>
      <c r="CG67" s="27">
        <v>764.0</v>
      </c>
      <c r="CH67" s="27">
        <v>764.0</v>
      </c>
      <c r="CI67" s="27">
        <v>453.0</v>
      </c>
      <c r="CJ67" s="27">
        <v>673.0</v>
      </c>
      <c r="CK67" s="27">
        <v>673.0</v>
      </c>
    </row>
    <row r="68" ht="21.0" customHeight="1">
      <c r="A68" s="28"/>
      <c r="B68" s="122" t="str">
        <f>hyperlink("https://developers.google.com/analytics/devguides/reporting/core/v3/reference#filters","Filter syntax instructions")</f>
        <v>Filter syntax instructions</v>
      </c>
      <c r="C68" s="123"/>
      <c r="D68" s="123"/>
      <c r="E68" s="123"/>
      <c r="F68" s="123"/>
      <c r="G68" s="111">
        <v>3.0</v>
      </c>
      <c r="H68" s="124" t="s">
        <v>54</v>
      </c>
      <c r="I68" s="125" t="s">
        <v>55</v>
      </c>
      <c r="J68" s="116"/>
      <c r="K68" s="113"/>
      <c r="L68" s="91">
        <f>AH76</f>
        <v>1.112185019</v>
      </c>
      <c r="M68" s="118" t="str">
        <f>IFERROR(__xludf.DUMMYFUNCTION("iferror(sparkline(S62:S73,{""charttype"",""column"";""empty"",""zero"";""ymin"",0;""lowcolor"",""#D19599"";""highcolor"",""#A1D3A8""}),"""")"),"")</f>
        <v/>
      </c>
      <c r="N68" s="119">
        <f>AU78</f>
        <v>18.83246701</v>
      </c>
      <c r="O68" s="29"/>
      <c r="P68" s="62"/>
      <c r="Q68" s="63"/>
      <c r="R68" s="23" t="str">
        <f t="shared" si="146"/>
        <v>#VALUE!</v>
      </c>
      <c r="S68" s="31">
        <f t="shared" ref="S68:AD68" si="164">if(or($AG68="",AH68=""),"",iferror(AH68/$AG68,""))</f>
        <v>1</v>
      </c>
      <c r="T68" s="31">
        <f t="shared" si="164"/>
        <v>1</v>
      </c>
      <c r="U68" s="31">
        <f t="shared" si="164"/>
        <v>1</v>
      </c>
      <c r="V68" s="31">
        <f t="shared" si="164"/>
        <v>1</v>
      </c>
      <c r="W68" s="31">
        <f t="shared" si="164"/>
        <v>1</v>
      </c>
      <c r="X68" s="31">
        <f t="shared" si="164"/>
        <v>1</v>
      </c>
      <c r="Y68" s="31" t="str">
        <f t="shared" si="164"/>
        <v/>
      </c>
      <c r="Z68" s="31" t="str">
        <f t="shared" si="164"/>
        <v/>
      </c>
      <c r="AA68" s="31" t="str">
        <f t="shared" si="164"/>
        <v/>
      </c>
      <c r="AB68" s="31" t="str">
        <f t="shared" si="164"/>
        <v/>
      </c>
      <c r="AC68" s="31" t="str">
        <f t="shared" si="164"/>
        <v/>
      </c>
      <c r="AD68" s="31" t="str">
        <f t="shared" si="164"/>
        <v/>
      </c>
      <c r="AE68" s="5"/>
      <c r="AF68" s="5"/>
      <c r="AG68" s="32">
        <f t="shared" si="148"/>
        <v>673</v>
      </c>
      <c r="AH68" s="32">
        <f t="shared" ref="AH68:AS68" si="165">iferror(if($BJ48+AH$2&gt;12,"", if(offset(BM68,0,$BJ48)="","",offset(BM68,0,$BJ48))))</f>
        <v>673</v>
      </c>
      <c r="AI68" s="32">
        <f t="shared" si="165"/>
        <v>673</v>
      </c>
      <c r="AJ68" s="32">
        <f t="shared" si="165"/>
        <v>673</v>
      </c>
      <c r="AK68" s="32">
        <f t="shared" si="165"/>
        <v>673</v>
      </c>
      <c r="AL68" s="32">
        <f t="shared" si="165"/>
        <v>673</v>
      </c>
      <c r="AM68" s="32">
        <f t="shared" si="165"/>
        <v>673</v>
      </c>
      <c r="AN68" s="32" t="str">
        <f t="shared" si="165"/>
        <v/>
      </c>
      <c r="AO68" s="32" t="str">
        <f t="shared" si="165"/>
        <v/>
      </c>
      <c r="AP68" s="32" t="str">
        <f t="shared" si="165"/>
        <v/>
      </c>
      <c r="AQ68" s="32" t="str">
        <f t="shared" si="165"/>
        <v/>
      </c>
      <c r="AR68" s="32" t="str">
        <f t="shared" si="165"/>
        <v/>
      </c>
      <c r="AS68" s="32" t="str">
        <f t="shared" si="165"/>
        <v/>
      </c>
      <c r="AT68" s="4"/>
      <c r="AU68" s="33">
        <f t="shared" ref="AU68:BG68" si="166">iferror(if($BJ68+AG$2&gt;12,"", if(offset(BY68,0,$BJ68)="","",offset(BY68,0,$BJ68)/AG68)))</f>
        <v>1</v>
      </c>
      <c r="AV68" s="33">
        <f t="shared" si="166"/>
        <v>1</v>
      </c>
      <c r="AW68" s="33">
        <f t="shared" si="166"/>
        <v>1</v>
      </c>
      <c r="AX68" s="33">
        <f t="shared" si="166"/>
        <v>1</v>
      </c>
      <c r="AY68" s="33">
        <f t="shared" si="166"/>
        <v>1</v>
      </c>
      <c r="AZ68" s="33">
        <f t="shared" si="166"/>
        <v>1</v>
      </c>
      <c r="BA68" s="33">
        <f t="shared" si="166"/>
        <v>1</v>
      </c>
      <c r="BB68" s="33" t="str">
        <f t="shared" si="166"/>
        <v/>
      </c>
      <c r="BC68" s="33" t="str">
        <f t="shared" si="166"/>
        <v/>
      </c>
      <c r="BD68" s="33" t="str">
        <f t="shared" si="166"/>
        <v/>
      </c>
      <c r="BE68" s="33" t="str">
        <f t="shared" si="166"/>
        <v/>
      </c>
      <c r="BF68" s="33" t="str">
        <f t="shared" si="166"/>
        <v/>
      </c>
      <c r="BG68" s="33" t="str">
        <f t="shared" si="166"/>
        <v/>
      </c>
      <c r="BH68" s="4"/>
      <c r="BI68" s="4"/>
      <c r="BJ68" s="34">
        <f t="shared" si="154"/>
        <v>6</v>
      </c>
      <c r="BK68" s="6">
        <v>111.0</v>
      </c>
      <c r="BL68" s="6">
        <v>111.0</v>
      </c>
      <c r="BM68" s="6">
        <v>111.0</v>
      </c>
      <c r="BN68" s="6">
        <v>111.0</v>
      </c>
      <c r="BO68" s="6">
        <v>111.0</v>
      </c>
      <c r="BP68" s="6">
        <v>673.0</v>
      </c>
      <c r="BQ68" s="6">
        <v>673.0</v>
      </c>
      <c r="BR68" s="6">
        <v>673.0</v>
      </c>
      <c r="BS68" s="6">
        <v>673.0</v>
      </c>
      <c r="BT68" s="6">
        <v>673.0</v>
      </c>
      <c r="BU68" s="6">
        <v>673.0</v>
      </c>
      <c r="BV68" s="6">
        <v>673.0</v>
      </c>
      <c r="BW68" s="6">
        <v>673.0</v>
      </c>
      <c r="BX68" s="6">
        <v>673.0</v>
      </c>
      <c r="BY68" s="27">
        <v>673.0</v>
      </c>
      <c r="BZ68" s="27">
        <v>673.0</v>
      </c>
      <c r="CA68" s="27">
        <v>673.0</v>
      </c>
      <c r="CB68" s="27">
        <v>673.0</v>
      </c>
      <c r="CC68" s="27">
        <v>673.0</v>
      </c>
      <c r="CD68" s="27">
        <v>673.0</v>
      </c>
      <c r="CE68" s="27">
        <v>673.0</v>
      </c>
      <c r="CF68" s="27">
        <v>673.0</v>
      </c>
      <c r="CG68" s="27">
        <v>673.0</v>
      </c>
      <c r="CH68" s="27">
        <v>673.0</v>
      </c>
      <c r="CI68" s="27">
        <v>673.0</v>
      </c>
      <c r="CJ68" s="27">
        <v>673.0</v>
      </c>
      <c r="CK68" s="27">
        <v>673.0</v>
      </c>
    </row>
    <row r="69" ht="21.0" customHeight="1">
      <c r="A69" s="28"/>
      <c r="B69" s="122" t="str">
        <f>hyperlink("https://developers.google.com/analytics/devguides/reporting/core/dimsmets","List of fields for filters")</f>
        <v>List of fields for filters</v>
      </c>
      <c r="C69" s="123"/>
      <c r="D69" s="123"/>
      <c r="E69" s="123"/>
      <c r="F69" s="123"/>
      <c r="G69" s="111">
        <v>4.0</v>
      </c>
      <c r="H69" s="126" t="s">
        <v>56</v>
      </c>
      <c r="I69" s="127" t="s">
        <v>57</v>
      </c>
      <c r="J69" s="116"/>
      <c r="K69" s="113"/>
      <c r="L69" s="91">
        <f>AH96</f>
        <v>1.112185019</v>
      </c>
      <c r="M69" s="118" t="str">
        <f>IFERROR(__xludf.DUMMYFUNCTION("iferror(sparkline(S82:S93,{""charttype"",""column"";""empty"",""zero"";""ymin"",0;""lowcolor"",""#D19599"";""highcolor"",""#A1D3A8""}),"""")"),"")</f>
        <v/>
      </c>
      <c r="N69" s="119">
        <f>AU98</f>
        <v>20.04238695</v>
      </c>
      <c r="O69" s="29"/>
      <c r="P69" s="62"/>
      <c r="Q69" s="63"/>
      <c r="R69" s="23" t="str">
        <f t="shared" si="146"/>
        <v>#VALUE!</v>
      </c>
      <c r="S69" s="31">
        <f t="shared" ref="S69:AD69" si="167">if(or($AG69="",AH69=""),"",iferror(AH69/$AG69,""))</f>
        <v>1</v>
      </c>
      <c r="T69" s="31">
        <f t="shared" si="167"/>
        <v>1</v>
      </c>
      <c r="U69" s="31">
        <f t="shared" si="167"/>
        <v>1</v>
      </c>
      <c r="V69" s="31">
        <f t="shared" si="167"/>
        <v>1.485651214</v>
      </c>
      <c r="W69" s="31">
        <f t="shared" si="167"/>
        <v>1.485651214</v>
      </c>
      <c r="X69" s="31" t="str">
        <f t="shared" si="167"/>
        <v/>
      </c>
      <c r="Y69" s="31" t="str">
        <f t="shared" si="167"/>
        <v/>
      </c>
      <c r="Z69" s="31" t="str">
        <f t="shared" si="167"/>
        <v/>
      </c>
      <c r="AA69" s="31" t="str">
        <f t="shared" si="167"/>
        <v/>
      </c>
      <c r="AB69" s="31" t="str">
        <f t="shared" si="167"/>
        <v/>
      </c>
      <c r="AC69" s="31" t="str">
        <f t="shared" si="167"/>
        <v/>
      </c>
      <c r="AD69" s="31" t="str">
        <f t="shared" si="167"/>
        <v/>
      </c>
      <c r="AE69" s="5"/>
      <c r="AF69" s="5"/>
      <c r="AG69" s="32">
        <f t="shared" si="148"/>
        <v>453</v>
      </c>
      <c r="AH69" s="32">
        <f t="shared" ref="AH69:AS69" si="168">iferror(if($BJ49+AH$2&gt;12,"", if(offset(BM69,0,$BJ49)="","",offset(BM69,0,$BJ49))))</f>
        <v>453</v>
      </c>
      <c r="AI69" s="32">
        <f t="shared" si="168"/>
        <v>453</v>
      </c>
      <c r="AJ69" s="32">
        <f t="shared" si="168"/>
        <v>453</v>
      </c>
      <c r="AK69" s="32">
        <f t="shared" si="168"/>
        <v>673</v>
      </c>
      <c r="AL69" s="32">
        <f t="shared" si="168"/>
        <v>673</v>
      </c>
      <c r="AM69" s="32" t="str">
        <f t="shared" si="168"/>
        <v/>
      </c>
      <c r="AN69" s="32" t="str">
        <f t="shared" si="168"/>
        <v/>
      </c>
      <c r="AO69" s="32" t="str">
        <f t="shared" si="168"/>
        <v/>
      </c>
      <c r="AP69" s="32" t="str">
        <f t="shared" si="168"/>
        <v/>
      </c>
      <c r="AQ69" s="32" t="str">
        <f t="shared" si="168"/>
        <v/>
      </c>
      <c r="AR69" s="32" t="str">
        <f t="shared" si="168"/>
        <v/>
      </c>
      <c r="AS69" s="32" t="str">
        <f t="shared" si="168"/>
        <v/>
      </c>
      <c r="AT69" s="4"/>
      <c r="AU69" s="33">
        <f t="shared" ref="AU69:BG69" si="169">iferror(if($BJ69+AG$2&gt;12,"", if(offset(BY69,0,$BJ69)="","",offset(BY69,0,$BJ69)/AG69)))</f>
        <v>1</v>
      </c>
      <c r="AV69" s="33">
        <f t="shared" si="169"/>
        <v>1</v>
      </c>
      <c r="AW69" s="33">
        <f t="shared" si="169"/>
        <v>1</v>
      </c>
      <c r="AX69" s="33">
        <f t="shared" si="169"/>
        <v>1</v>
      </c>
      <c r="AY69" s="33">
        <f t="shared" si="169"/>
        <v>1</v>
      </c>
      <c r="AZ69" s="33">
        <f t="shared" si="169"/>
        <v>1</v>
      </c>
      <c r="BA69" s="33" t="str">
        <f t="shared" si="169"/>
        <v/>
      </c>
      <c r="BB69" s="33" t="str">
        <f t="shared" si="169"/>
        <v/>
      </c>
      <c r="BC69" s="33" t="str">
        <f t="shared" si="169"/>
        <v/>
      </c>
      <c r="BD69" s="33" t="str">
        <f t="shared" si="169"/>
        <v/>
      </c>
      <c r="BE69" s="33" t="str">
        <f t="shared" si="169"/>
        <v/>
      </c>
      <c r="BF69" s="33" t="str">
        <f t="shared" si="169"/>
        <v/>
      </c>
      <c r="BG69" s="33" t="str">
        <f t="shared" si="169"/>
        <v/>
      </c>
      <c r="BH69" s="4"/>
      <c r="BI69" s="4"/>
      <c r="BJ69" s="34">
        <f t="shared" si="154"/>
        <v>7</v>
      </c>
      <c r="BK69" s="6">
        <v>111.0</v>
      </c>
      <c r="BL69" s="6">
        <v>111.0</v>
      </c>
      <c r="BM69" s="6">
        <v>111.0</v>
      </c>
      <c r="BN69" s="6">
        <v>111.0</v>
      </c>
      <c r="BO69" s="6">
        <v>111.0</v>
      </c>
      <c r="BP69" s="6">
        <v>453.0</v>
      </c>
      <c r="BQ69" s="6">
        <v>453.0</v>
      </c>
      <c r="BR69" s="6">
        <v>453.0</v>
      </c>
      <c r="BS69" s="6">
        <v>453.0</v>
      </c>
      <c r="BT69" s="6">
        <v>453.0</v>
      </c>
      <c r="BU69" s="6">
        <v>453.0</v>
      </c>
      <c r="BV69" s="6">
        <v>453.0</v>
      </c>
      <c r="BW69" s="6">
        <v>673.0</v>
      </c>
      <c r="BX69" s="6">
        <v>673.0</v>
      </c>
      <c r="BY69" s="27">
        <v>453.0</v>
      </c>
      <c r="BZ69" s="27">
        <v>453.0</v>
      </c>
      <c r="CA69" s="27">
        <v>453.0</v>
      </c>
      <c r="CB69" s="27">
        <v>453.0</v>
      </c>
      <c r="CC69" s="27">
        <v>453.0</v>
      </c>
      <c r="CD69" s="27">
        <v>673.0</v>
      </c>
      <c r="CE69" s="27">
        <v>673.0</v>
      </c>
      <c r="CF69" s="27">
        <v>453.0</v>
      </c>
      <c r="CG69" s="27">
        <v>453.0</v>
      </c>
      <c r="CH69" s="27">
        <v>453.0</v>
      </c>
      <c r="CI69" s="27">
        <v>453.0</v>
      </c>
      <c r="CJ69" s="27">
        <v>673.0</v>
      </c>
      <c r="CK69" s="27">
        <v>673.0</v>
      </c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128" t="s">
        <v>58</v>
      </c>
      <c r="M70" s="116"/>
      <c r="N70" s="113"/>
      <c r="O70" s="129"/>
      <c r="P70" s="62"/>
      <c r="Q70" s="63"/>
      <c r="R70" s="23" t="str">
        <f t="shared" si="146"/>
        <v>#VALUE!</v>
      </c>
      <c r="S70" s="31">
        <f t="shared" ref="S70:AD70" si="170">if(or($AG70="",AH70=""),"",iferror(AH70/$AG70,""))</f>
        <v>1</v>
      </c>
      <c r="T70" s="31">
        <f t="shared" si="170"/>
        <v>0.5929319372</v>
      </c>
      <c r="U70" s="31">
        <f t="shared" si="170"/>
        <v>0.8808900524</v>
      </c>
      <c r="V70" s="31">
        <f t="shared" si="170"/>
        <v>0.8808900524</v>
      </c>
      <c r="W70" s="31" t="str">
        <f t="shared" si="170"/>
        <v/>
      </c>
      <c r="X70" s="31" t="str">
        <f t="shared" si="170"/>
        <v/>
      </c>
      <c r="Y70" s="31" t="str">
        <f t="shared" si="170"/>
        <v/>
      </c>
      <c r="Z70" s="31" t="str">
        <f t="shared" si="170"/>
        <v/>
      </c>
      <c r="AA70" s="31" t="str">
        <f t="shared" si="170"/>
        <v/>
      </c>
      <c r="AB70" s="31" t="str">
        <f t="shared" si="170"/>
        <v/>
      </c>
      <c r="AC70" s="31" t="str">
        <f t="shared" si="170"/>
        <v/>
      </c>
      <c r="AD70" s="31" t="str">
        <f t="shared" si="170"/>
        <v/>
      </c>
      <c r="AE70" s="5"/>
      <c r="AF70" s="5"/>
      <c r="AG70" s="32">
        <f t="shared" si="148"/>
        <v>764</v>
      </c>
      <c r="AH70" s="32">
        <f t="shared" ref="AH70:AS70" si="171">iferror(if($BJ50+AH$2&gt;12,"", if(offset(BM70,0,$BJ50)="","",offset(BM70,0,$BJ50))))</f>
        <v>764</v>
      </c>
      <c r="AI70" s="32">
        <f t="shared" si="171"/>
        <v>453</v>
      </c>
      <c r="AJ70" s="32">
        <f t="shared" si="171"/>
        <v>673</v>
      </c>
      <c r="AK70" s="32">
        <f t="shared" si="171"/>
        <v>673</v>
      </c>
      <c r="AL70" s="32" t="str">
        <f t="shared" si="171"/>
        <v/>
      </c>
      <c r="AM70" s="32" t="str">
        <f t="shared" si="171"/>
        <v/>
      </c>
      <c r="AN70" s="32" t="str">
        <f t="shared" si="171"/>
        <v/>
      </c>
      <c r="AO70" s="32" t="str">
        <f t="shared" si="171"/>
        <v/>
      </c>
      <c r="AP70" s="32" t="str">
        <f t="shared" si="171"/>
        <v/>
      </c>
      <c r="AQ70" s="32" t="str">
        <f t="shared" si="171"/>
        <v/>
      </c>
      <c r="AR70" s="32" t="str">
        <f t="shared" si="171"/>
        <v/>
      </c>
      <c r="AS70" s="32" t="str">
        <f t="shared" si="171"/>
        <v/>
      </c>
      <c r="AT70" s="4"/>
      <c r="AU70" s="33">
        <f t="shared" ref="AU70:BG70" si="172">iferror(if($BJ70+AG$2&gt;12,"", if(offset(BY70,0,$BJ70)="","",offset(BY70,0,$BJ70)/AG70)))</f>
        <v>1</v>
      </c>
      <c r="AV70" s="33">
        <f t="shared" si="172"/>
        <v>1</v>
      </c>
      <c r="AW70" s="33">
        <f t="shared" si="172"/>
        <v>1</v>
      </c>
      <c r="AX70" s="33">
        <f t="shared" si="172"/>
        <v>1</v>
      </c>
      <c r="AY70" s="33">
        <f t="shared" si="172"/>
        <v>1</v>
      </c>
      <c r="AZ70" s="33" t="str">
        <f t="shared" si="172"/>
        <v/>
      </c>
      <c r="BA70" s="33" t="str">
        <f t="shared" si="172"/>
        <v/>
      </c>
      <c r="BB70" s="33" t="str">
        <f t="shared" si="172"/>
        <v/>
      </c>
      <c r="BC70" s="33" t="str">
        <f t="shared" si="172"/>
        <v/>
      </c>
      <c r="BD70" s="33" t="str">
        <f t="shared" si="172"/>
        <v/>
      </c>
      <c r="BE70" s="33" t="str">
        <f t="shared" si="172"/>
        <v/>
      </c>
      <c r="BF70" s="33" t="str">
        <f t="shared" si="172"/>
        <v/>
      </c>
      <c r="BG70" s="33" t="str">
        <f t="shared" si="172"/>
        <v/>
      </c>
      <c r="BH70" s="4"/>
      <c r="BI70" s="4"/>
      <c r="BJ70" s="34">
        <f t="shared" si="154"/>
        <v>8</v>
      </c>
      <c r="BK70" s="6">
        <v>111.0</v>
      </c>
      <c r="BL70" s="6">
        <v>111.0</v>
      </c>
      <c r="BM70" s="6">
        <v>111.0</v>
      </c>
      <c r="BN70" s="6">
        <v>111.0</v>
      </c>
      <c r="BO70" s="6">
        <v>111.0</v>
      </c>
      <c r="BP70" s="6">
        <v>567.0</v>
      </c>
      <c r="BQ70" s="6">
        <v>764.0</v>
      </c>
      <c r="BR70" s="6">
        <v>764.0</v>
      </c>
      <c r="BS70" s="6">
        <v>764.0</v>
      </c>
      <c r="BT70" s="6">
        <v>764.0</v>
      </c>
      <c r="BU70" s="6">
        <v>764.0</v>
      </c>
      <c r="BV70" s="6">
        <v>453.0</v>
      </c>
      <c r="BW70" s="6">
        <v>673.0</v>
      </c>
      <c r="BX70" s="6">
        <v>673.0</v>
      </c>
      <c r="BY70" s="27">
        <v>764.0</v>
      </c>
      <c r="BZ70" s="27">
        <v>764.0</v>
      </c>
      <c r="CA70" s="27">
        <v>764.0</v>
      </c>
      <c r="CB70" s="27">
        <v>764.0</v>
      </c>
      <c r="CC70" s="27">
        <v>453.0</v>
      </c>
      <c r="CD70" s="27">
        <v>673.0</v>
      </c>
      <c r="CE70" s="27">
        <v>673.0</v>
      </c>
      <c r="CF70" s="27">
        <v>764.0</v>
      </c>
      <c r="CG70" s="27">
        <v>764.0</v>
      </c>
      <c r="CH70" s="27">
        <v>764.0</v>
      </c>
      <c r="CI70" s="27">
        <v>453.0</v>
      </c>
      <c r="CJ70" s="27">
        <v>673.0</v>
      </c>
      <c r="CK70" s="27">
        <v>673.0</v>
      </c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62"/>
      <c r="Q71" s="63"/>
      <c r="R71" s="23" t="str">
        <f t="shared" si="146"/>
        <v>#VALUE!</v>
      </c>
      <c r="S71" s="31">
        <f t="shared" ref="S71:AD71" si="173">if(or($AG71="",AH71=""),"",iferror(AH71/$AG71,""))</f>
        <v>1</v>
      </c>
      <c r="T71" s="31">
        <f t="shared" si="173"/>
        <v>6.063063063</v>
      </c>
      <c r="U71" s="31">
        <f t="shared" si="173"/>
        <v>6.063063063</v>
      </c>
      <c r="V71" s="31" t="str">
        <f t="shared" si="173"/>
        <v/>
      </c>
      <c r="W71" s="31" t="str">
        <f t="shared" si="173"/>
        <v/>
      </c>
      <c r="X71" s="31" t="str">
        <f t="shared" si="173"/>
        <v/>
      </c>
      <c r="Y71" s="31" t="str">
        <f t="shared" si="173"/>
        <v/>
      </c>
      <c r="Z71" s="31" t="str">
        <f t="shared" si="173"/>
        <v/>
      </c>
      <c r="AA71" s="31" t="str">
        <f t="shared" si="173"/>
        <v/>
      </c>
      <c r="AB71" s="31" t="str">
        <f t="shared" si="173"/>
        <v/>
      </c>
      <c r="AC71" s="31" t="str">
        <f t="shared" si="173"/>
        <v/>
      </c>
      <c r="AD71" s="31" t="str">
        <f t="shared" si="173"/>
        <v/>
      </c>
      <c r="AE71" s="5"/>
      <c r="AF71" s="5"/>
      <c r="AG71" s="32">
        <f t="shared" si="148"/>
        <v>111</v>
      </c>
      <c r="AH71" s="32">
        <f t="shared" ref="AH71:AS71" si="174">iferror(if($BJ51+AH$2&gt;12,"", if(offset(BM71,0,$BJ51)="","",offset(BM71,0,$BJ51))))</f>
        <v>111</v>
      </c>
      <c r="AI71" s="32">
        <f t="shared" si="174"/>
        <v>673</v>
      </c>
      <c r="AJ71" s="32">
        <f t="shared" si="174"/>
        <v>673</v>
      </c>
      <c r="AK71" s="32" t="str">
        <f t="shared" si="174"/>
        <v/>
      </c>
      <c r="AL71" s="32" t="str">
        <f t="shared" si="174"/>
        <v/>
      </c>
      <c r="AM71" s="32" t="str">
        <f t="shared" si="174"/>
        <v/>
      </c>
      <c r="AN71" s="32" t="str">
        <f t="shared" si="174"/>
        <v/>
      </c>
      <c r="AO71" s="32" t="str">
        <f t="shared" si="174"/>
        <v/>
      </c>
      <c r="AP71" s="32" t="str">
        <f t="shared" si="174"/>
        <v/>
      </c>
      <c r="AQ71" s="32" t="str">
        <f t="shared" si="174"/>
        <v/>
      </c>
      <c r="AR71" s="32" t="str">
        <f t="shared" si="174"/>
        <v/>
      </c>
      <c r="AS71" s="32" t="str">
        <f t="shared" si="174"/>
        <v/>
      </c>
      <c r="AT71" s="4"/>
      <c r="AU71" s="33">
        <f t="shared" ref="AU71:BG71" si="175">iferror(if($BJ71+AG$2&gt;12,"", if(offset(BY71,0,$BJ71)="","",offset(BY71,0,$BJ71)/AG71)))</f>
        <v>1</v>
      </c>
      <c r="AV71" s="33">
        <f t="shared" si="175"/>
        <v>1</v>
      </c>
      <c r="AW71" s="33">
        <f t="shared" si="175"/>
        <v>1</v>
      </c>
      <c r="AX71" s="33">
        <f t="shared" si="175"/>
        <v>1</v>
      </c>
      <c r="AY71" s="33" t="str">
        <f t="shared" si="175"/>
        <v/>
      </c>
      <c r="AZ71" s="33" t="str">
        <f t="shared" si="175"/>
        <v/>
      </c>
      <c r="BA71" s="33" t="str">
        <f t="shared" si="175"/>
        <v/>
      </c>
      <c r="BB71" s="33" t="str">
        <f t="shared" si="175"/>
        <v/>
      </c>
      <c r="BC71" s="33" t="str">
        <f t="shared" si="175"/>
        <v/>
      </c>
      <c r="BD71" s="33" t="str">
        <f t="shared" si="175"/>
        <v/>
      </c>
      <c r="BE71" s="33" t="str">
        <f t="shared" si="175"/>
        <v/>
      </c>
      <c r="BF71" s="33" t="str">
        <f t="shared" si="175"/>
        <v/>
      </c>
      <c r="BG71" s="33" t="str">
        <f t="shared" si="175"/>
        <v/>
      </c>
      <c r="BH71" s="4"/>
      <c r="BI71" s="4"/>
      <c r="BJ71" s="34">
        <f t="shared" si="154"/>
        <v>9</v>
      </c>
      <c r="BK71" s="6">
        <v>111.0</v>
      </c>
      <c r="BL71" s="6">
        <v>111.0</v>
      </c>
      <c r="BM71" s="6">
        <v>111.0</v>
      </c>
      <c r="BN71" s="6">
        <v>111.0</v>
      </c>
      <c r="BO71" s="6">
        <v>111.0</v>
      </c>
      <c r="BP71" s="6">
        <v>111.0</v>
      </c>
      <c r="BQ71" s="6">
        <v>111.0</v>
      </c>
      <c r="BR71" s="6">
        <v>111.0</v>
      </c>
      <c r="BS71" s="6">
        <v>111.0</v>
      </c>
      <c r="BT71" s="6">
        <v>111.0</v>
      </c>
      <c r="BU71" s="6">
        <v>111.0</v>
      </c>
      <c r="BV71" s="6">
        <v>111.0</v>
      </c>
      <c r="BW71" s="6">
        <v>673.0</v>
      </c>
      <c r="BX71" s="6">
        <v>673.0</v>
      </c>
      <c r="BY71" s="27">
        <v>111.0</v>
      </c>
      <c r="BZ71" s="27">
        <v>111.0</v>
      </c>
      <c r="CA71" s="27">
        <v>111.0</v>
      </c>
      <c r="CB71" s="27">
        <v>111.0</v>
      </c>
      <c r="CC71" s="27">
        <v>111.0</v>
      </c>
      <c r="CD71" s="27">
        <v>673.0</v>
      </c>
      <c r="CE71" s="27">
        <v>673.0</v>
      </c>
      <c r="CF71" s="27">
        <v>111.0</v>
      </c>
      <c r="CG71" s="27">
        <v>111.0</v>
      </c>
      <c r="CH71" s="27">
        <v>111.0</v>
      </c>
      <c r="CI71" s="27">
        <v>111.0</v>
      </c>
      <c r="CJ71" s="27">
        <v>673.0</v>
      </c>
      <c r="CK71" s="27">
        <v>673.0</v>
      </c>
    </row>
    <row r="72">
      <c r="A72" s="28"/>
      <c r="B72" s="28"/>
      <c r="C72" s="106"/>
      <c r="D72" s="106"/>
      <c r="E72" s="106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62"/>
      <c r="Q72" s="63"/>
      <c r="R72" s="23" t="str">
        <f t="shared" si="146"/>
        <v>#VALUE!</v>
      </c>
      <c r="S72" s="31">
        <f t="shared" ref="S72:AD72" si="176">if(or($AG72="",AH72=""),"",iferror(AH72/$AG72,""))</f>
        <v>1.485651214</v>
      </c>
      <c r="T72" s="31">
        <f t="shared" si="176"/>
        <v>1.485651214</v>
      </c>
      <c r="U72" s="31" t="str">
        <f t="shared" si="176"/>
        <v/>
      </c>
      <c r="V72" s="31" t="str">
        <f t="shared" si="176"/>
        <v/>
      </c>
      <c r="W72" s="31" t="str">
        <f t="shared" si="176"/>
        <v/>
      </c>
      <c r="X72" s="31" t="str">
        <f t="shared" si="176"/>
        <v/>
      </c>
      <c r="Y72" s="31" t="str">
        <f t="shared" si="176"/>
        <v/>
      </c>
      <c r="Z72" s="31" t="str">
        <f t="shared" si="176"/>
        <v/>
      </c>
      <c r="AA72" s="31" t="str">
        <f t="shared" si="176"/>
        <v/>
      </c>
      <c r="AB72" s="31" t="str">
        <f t="shared" si="176"/>
        <v/>
      </c>
      <c r="AC72" s="31" t="str">
        <f t="shared" si="176"/>
        <v/>
      </c>
      <c r="AD72" s="31" t="str">
        <f t="shared" si="176"/>
        <v/>
      </c>
      <c r="AE72" s="5"/>
      <c r="AF72" s="5"/>
      <c r="AG72" s="32">
        <f t="shared" si="148"/>
        <v>453</v>
      </c>
      <c r="AH72" s="32">
        <f t="shared" ref="AH72:AS72" si="177">iferror(if($BJ52+AH$2&gt;12,"", if(offset(BM72,0,$BJ52)="","",offset(BM72,0,$BJ52))))</f>
        <v>673</v>
      </c>
      <c r="AI72" s="32">
        <f t="shared" si="177"/>
        <v>673</v>
      </c>
      <c r="AJ72" s="32" t="str">
        <f t="shared" si="177"/>
        <v/>
      </c>
      <c r="AK72" s="32" t="str">
        <f t="shared" si="177"/>
        <v/>
      </c>
      <c r="AL72" s="32" t="str">
        <f t="shared" si="177"/>
        <v/>
      </c>
      <c r="AM72" s="32" t="str">
        <f t="shared" si="177"/>
        <v/>
      </c>
      <c r="AN72" s="32" t="str">
        <f t="shared" si="177"/>
        <v/>
      </c>
      <c r="AO72" s="32" t="str">
        <f t="shared" si="177"/>
        <v/>
      </c>
      <c r="AP72" s="32" t="str">
        <f t="shared" si="177"/>
        <v/>
      </c>
      <c r="AQ72" s="32" t="str">
        <f t="shared" si="177"/>
        <v/>
      </c>
      <c r="AR72" s="32" t="str">
        <f t="shared" si="177"/>
        <v/>
      </c>
      <c r="AS72" s="32" t="str">
        <f t="shared" si="177"/>
        <v/>
      </c>
      <c r="AT72" s="4"/>
      <c r="AU72" s="33">
        <f t="shared" ref="AU72:BG72" si="178">iferror(if($BJ72+AG$2&gt;12,"", if(offset(BY72,0,$BJ72)="","",offset(BY72,0,$BJ72)/AG72)))</f>
        <v>1</v>
      </c>
      <c r="AV72" s="33">
        <f t="shared" si="178"/>
        <v>1</v>
      </c>
      <c r="AW72" s="33">
        <f t="shared" si="178"/>
        <v>1</v>
      </c>
      <c r="AX72" s="33" t="str">
        <f t="shared" si="178"/>
        <v/>
      </c>
      <c r="AY72" s="33" t="str">
        <f t="shared" si="178"/>
        <v/>
      </c>
      <c r="AZ72" s="33" t="str">
        <f t="shared" si="178"/>
        <v/>
      </c>
      <c r="BA72" s="33" t="str">
        <f t="shared" si="178"/>
        <v/>
      </c>
      <c r="BB72" s="33" t="str">
        <f t="shared" si="178"/>
        <v/>
      </c>
      <c r="BC72" s="33" t="str">
        <f t="shared" si="178"/>
        <v/>
      </c>
      <c r="BD72" s="33" t="str">
        <f t="shared" si="178"/>
        <v/>
      </c>
      <c r="BE72" s="33" t="str">
        <f t="shared" si="178"/>
        <v/>
      </c>
      <c r="BF72" s="33" t="str">
        <f t="shared" si="178"/>
        <v/>
      </c>
      <c r="BG72" s="33" t="str">
        <f t="shared" si="178"/>
        <v/>
      </c>
      <c r="BH72" s="4"/>
      <c r="BI72" s="4"/>
      <c r="BJ72" s="34">
        <f t="shared" si="154"/>
        <v>10</v>
      </c>
      <c r="BK72" s="6">
        <v>111.0</v>
      </c>
      <c r="BL72" s="6">
        <v>111.0</v>
      </c>
      <c r="BM72" s="6">
        <v>111.0</v>
      </c>
      <c r="BN72" s="6">
        <v>111.0</v>
      </c>
      <c r="BO72" s="6">
        <v>111.0</v>
      </c>
      <c r="BP72" s="6">
        <v>567.0</v>
      </c>
      <c r="BQ72" s="6">
        <v>764.0</v>
      </c>
      <c r="BR72" s="6">
        <v>764.0</v>
      </c>
      <c r="BS72" s="6">
        <v>764.0</v>
      </c>
      <c r="BT72" s="6">
        <v>764.0</v>
      </c>
      <c r="BU72" s="6">
        <v>764.0</v>
      </c>
      <c r="BV72" s="6">
        <v>453.0</v>
      </c>
      <c r="BW72" s="6">
        <v>673.0</v>
      </c>
      <c r="BX72" s="6">
        <v>673.0</v>
      </c>
      <c r="BY72" s="27">
        <v>764.0</v>
      </c>
      <c r="BZ72" s="27">
        <v>764.0</v>
      </c>
      <c r="CA72" s="27">
        <v>764.0</v>
      </c>
      <c r="CB72" s="27">
        <v>764.0</v>
      </c>
      <c r="CC72" s="27">
        <v>453.0</v>
      </c>
      <c r="CD72" s="27">
        <v>673.0</v>
      </c>
      <c r="CE72" s="27">
        <v>673.0</v>
      </c>
      <c r="CF72" s="27">
        <v>764.0</v>
      </c>
      <c r="CG72" s="27">
        <v>764.0</v>
      </c>
      <c r="CH72" s="27">
        <v>764.0</v>
      </c>
      <c r="CI72" s="27">
        <v>453.0</v>
      </c>
      <c r="CJ72" s="27">
        <v>673.0</v>
      </c>
      <c r="CK72" s="27">
        <v>673.0</v>
      </c>
    </row>
    <row r="73">
      <c r="A73" s="28"/>
      <c r="B73" s="28"/>
      <c r="C73" s="106"/>
      <c r="D73" s="106"/>
      <c r="E73" s="106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62"/>
      <c r="Q73" s="63"/>
      <c r="R73" s="23" t="str">
        <f t="shared" si="146"/>
        <v>#VALUE!</v>
      </c>
      <c r="S73" s="31">
        <f t="shared" ref="S73:AD73" si="179">if(or($AG73="",AH73=""),"",iferror(AH73/$AG73,""))</f>
        <v>1</v>
      </c>
      <c r="T73" s="31" t="str">
        <f t="shared" si="179"/>
        <v/>
      </c>
      <c r="U73" s="31" t="str">
        <f t="shared" si="179"/>
        <v/>
      </c>
      <c r="V73" s="31" t="str">
        <f t="shared" si="179"/>
        <v/>
      </c>
      <c r="W73" s="31" t="str">
        <f t="shared" si="179"/>
        <v/>
      </c>
      <c r="X73" s="31" t="str">
        <f t="shared" si="179"/>
        <v/>
      </c>
      <c r="Y73" s="31" t="str">
        <f t="shared" si="179"/>
        <v/>
      </c>
      <c r="Z73" s="31" t="str">
        <f t="shared" si="179"/>
        <v/>
      </c>
      <c r="AA73" s="31" t="str">
        <f t="shared" si="179"/>
        <v/>
      </c>
      <c r="AB73" s="31" t="str">
        <f t="shared" si="179"/>
        <v/>
      </c>
      <c r="AC73" s="31" t="str">
        <f t="shared" si="179"/>
        <v/>
      </c>
      <c r="AD73" s="31" t="str">
        <f t="shared" si="179"/>
        <v/>
      </c>
      <c r="AE73" s="5"/>
      <c r="AF73" s="5"/>
      <c r="AG73" s="32">
        <f t="shared" si="148"/>
        <v>673</v>
      </c>
      <c r="AH73" s="32">
        <f t="shared" ref="AH73:AS73" si="180">iferror(if($BJ53+AH$2&gt;12,"", if(offset(BM73,0,$BJ53)="","",offset(BM73,0,$BJ53))))</f>
        <v>673</v>
      </c>
      <c r="AI73" s="32" t="str">
        <f t="shared" si="180"/>
        <v/>
      </c>
      <c r="AJ73" s="32" t="str">
        <f t="shared" si="180"/>
        <v/>
      </c>
      <c r="AK73" s="32" t="str">
        <f t="shared" si="180"/>
        <v/>
      </c>
      <c r="AL73" s="32" t="str">
        <f t="shared" si="180"/>
        <v/>
      </c>
      <c r="AM73" s="32" t="str">
        <f t="shared" si="180"/>
        <v/>
      </c>
      <c r="AN73" s="32" t="str">
        <f t="shared" si="180"/>
        <v/>
      </c>
      <c r="AO73" s="32" t="str">
        <f t="shared" si="180"/>
        <v/>
      </c>
      <c r="AP73" s="32" t="str">
        <f t="shared" si="180"/>
        <v/>
      </c>
      <c r="AQ73" s="32" t="str">
        <f t="shared" si="180"/>
        <v/>
      </c>
      <c r="AR73" s="32" t="str">
        <f t="shared" si="180"/>
        <v/>
      </c>
      <c r="AS73" s="32" t="str">
        <f t="shared" si="180"/>
        <v/>
      </c>
      <c r="AT73" s="5"/>
      <c r="AU73" s="33">
        <f t="shared" ref="AU73:BG73" si="181">iferror(if($BJ73+AG$2&gt;12,"", if(offset(BY73,0,$BJ73)="","",offset(BY73,0,$BJ73)/AG73)))</f>
        <v>1</v>
      </c>
      <c r="AV73" s="33">
        <f t="shared" si="181"/>
        <v>1</v>
      </c>
      <c r="AW73" s="33" t="str">
        <f t="shared" si="181"/>
        <v/>
      </c>
      <c r="AX73" s="33" t="str">
        <f t="shared" si="181"/>
        <v/>
      </c>
      <c r="AY73" s="33" t="str">
        <f t="shared" si="181"/>
        <v/>
      </c>
      <c r="AZ73" s="33" t="str">
        <f t="shared" si="181"/>
        <v/>
      </c>
      <c r="BA73" s="33" t="str">
        <f t="shared" si="181"/>
        <v/>
      </c>
      <c r="BB73" s="33" t="str">
        <f t="shared" si="181"/>
        <v/>
      </c>
      <c r="BC73" s="33" t="str">
        <f t="shared" si="181"/>
        <v/>
      </c>
      <c r="BD73" s="33" t="str">
        <f t="shared" si="181"/>
        <v/>
      </c>
      <c r="BE73" s="33" t="str">
        <f t="shared" si="181"/>
        <v/>
      </c>
      <c r="BF73" s="33" t="str">
        <f t="shared" si="181"/>
        <v/>
      </c>
      <c r="BG73" s="33" t="str">
        <f t="shared" si="181"/>
        <v/>
      </c>
      <c r="BH73" s="4"/>
      <c r="BI73" s="4"/>
      <c r="BJ73" s="34">
        <f t="shared" si="154"/>
        <v>11</v>
      </c>
      <c r="BK73" s="6">
        <v>111.0</v>
      </c>
      <c r="BL73" s="6">
        <v>111.0</v>
      </c>
      <c r="BM73" s="6">
        <v>111.0</v>
      </c>
      <c r="BN73" s="6">
        <v>111.0</v>
      </c>
      <c r="BO73" s="6">
        <v>111.0</v>
      </c>
      <c r="BP73" s="6">
        <v>567.0</v>
      </c>
      <c r="BQ73" s="6">
        <v>764.0</v>
      </c>
      <c r="BR73" s="6">
        <v>764.0</v>
      </c>
      <c r="BS73" s="6">
        <v>764.0</v>
      </c>
      <c r="BT73" s="6">
        <v>764.0</v>
      </c>
      <c r="BU73" s="6">
        <v>764.0</v>
      </c>
      <c r="BV73" s="6">
        <v>453.0</v>
      </c>
      <c r="BW73" s="6">
        <v>673.0</v>
      </c>
      <c r="BX73" s="6">
        <v>673.0</v>
      </c>
      <c r="BY73" s="27">
        <v>764.0</v>
      </c>
      <c r="BZ73" s="27">
        <v>764.0</v>
      </c>
      <c r="CA73" s="27">
        <v>764.0</v>
      </c>
      <c r="CB73" s="27">
        <v>764.0</v>
      </c>
      <c r="CC73" s="27">
        <v>453.0</v>
      </c>
      <c r="CD73" s="27">
        <v>673.0</v>
      </c>
      <c r="CE73" s="27">
        <v>673.0</v>
      </c>
      <c r="CF73" s="27">
        <v>764.0</v>
      </c>
      <c r="CG73" s="27">
        <v>764.0</v>
      </c>
      <c r="CH73" s="27">
        <v>764.0</v>
      </c>
      <c r="CI73" s="27">
        <v>453.0</v>
      </c>
      <c r="CJ73" s="27">
        <v>673.0</v>
      </c>
      <c r="CK73" s="27">
        <v>673.0</v>
      </c>
    </row>
    <row r="74">
      <c r="A74" s="28"/>
      <c r="B74" s="28"/>
      <c r="C74" s="106"/>
      <c r="D74" s="106"/>
      <c r="E74" s="106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62"/>
      <c r="Q74" s="63"/>
      <c r="R74" s="107"/>
      <c r="S74" s="108"/>
      <c r="T74" s="108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25" t="str">
        <f t="shared" ref="AH74:AS74" si="182">iferror(if(offset(BM74,0,$BJ54)="","",offset(BM74,0,$BJ54)),"")</f>
        <v/>
      </c>
      <c r="AI74" s="25" t="str">
        <f t="shared" si="182"/>
        <v/>
      </c>
      <c r="AJ74" s="25" t="str">
        <f t="shared" si="182"/>
        <v/>
      </c>
      <c r="AK74" s="25" t="str">
        <f t="shared" si="182"/>
        <v/>
      </c>
      <c r="AL74" s="25" t="str">
        <f t="shared" si="182"/>
        <v/>
      </c>
      <c r="AM74" s="25" t="str">
        <f t="shared" si="182"/>
        <v/>
      </c>
      <c r="AN74" s="25" t="str">
        <f t="shared" si="182"/>
        <v/>
      </c>
      <c r="AO74" s="25" t="str">
        <f t="shared" si="182"/>
        <v/>
      </c>
      <c r="AP74" s="25" t="str">
        <f t="shared" si="182"/>
        <v/>
      </c>
      <c r="AQ74" s="25" t="str">
        <f t="shared" si="182"/>
        <v/>
      </c>
      <c r="AR74" s="25" t="str">
        <f t="shared" si="182"/>
        <v/>
      </c>
      <c r="AS74" s="25" t="str">
        <f t="shared" si="182"/>
        <v/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</row>
    <row r="75">
      <c r="A75" s="28"/>
      <c r="B75" s="28"/>
      <c r="C75" s="106"/>
      <c r="D75" s="106"/>
      <c r="E75" s="106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62"/>
      <c r="Q75" s="63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68"/>
      <c r="AH75" s="24" t="s">
        <v>5</v>
      </c>
      <c r="AI75" s="24" t="s">
        <v>6</v>
      </c>
      <c r="AJ75" s="24" t="s">
        <v>7</v>
      </c>
      <c r="AK75" s="24" t="s">
        <v>8</v>
      </c>
      <c r="AL75" s="24" t="s">
        <v>9</v>
      </c>
      <c r="AM75" s="24" t="s">
        <v>10</v>
      </c>
      <c r="AN75" s="24" t="s">
        <v>11</v>
      </c>
      <c r="AO75" s="24" t="s">
        <v>12</v>
      </c>
      <c r="AP75" s="24" t="s">
        <v>13</v>
      </c>
      <c r="AQ75" s="24" t="s">
        <v>14</v>
      </c>
      <c r="AR75" s="24" t="s">
        <v>15</v>
      </c>
      <c r="AS75" s="24" t="s">
        <v>16</v>
      </c>
      <c r="AT75" s="5"/>
      <c r="AU75" s="24" t="s">
        <v>29</v>
      </c>
      <c r="AV75" s="24" t="s">
        <v>30</v>
      </c>
      <c r="AW75" s="24" t="s">
        <v>31</v>
      </c>
      <c r="AX75" s="24" t="s">
        <v>32</v>
      </c>
      <c r="AY75" s="24" t="s">
        <v>33</v>
      </c>
      <c r="AZ75" s="24" t="s">
        <v>34</v>
      </c>
      <c r="BA75" s="24" t="s">
        <v>35</v>
      </c>
      <c r="BB75" s="24" t="s">
        <v>36</v>
      </c>
      <c r="BC75" s="24" t="s">
        <v>37</v>
      </c>
      <c r="BD75" s="24" t="s">
        <v>38</v>
      </c>
      <c r="BE75" s="24" t="s">
        <v>39</v>
      </c>
      <c r="BF75" s="24" t="s">
        <v>40</v>
      </c>
      <c r="BG75" s="24" t="s">
        <v>40</v>
      </c>
      <c r="BH75" s="5"/>
      <c r="BI75" s="5"/>
      <c r="BJ75" s="5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</row>
    <row r="76">
      <c r="A76" s="28"/>
      <c r="B76" s="28"/>
      <c r="C76" s="106"/>
      <c r="D76" s="106"/>
      <c r="E76" s="106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62"/>
      <c r="Q76" s="63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68"/>
      <c r="AH76" s="69">
        <f t="shared" ref="AH76:AS76" si="183">iferror(sumproduct(AH62:AH73*(AH62:AH73&lt;&gt;"")*($AG62:$AG73&lt;&gt;""))/sumproduct($AG62:$AG73*(AH62:AH73&lt;&gt;"")*($AG62:$AG73&lt;&gt;"")),"")</f>
        <v>1.112185019</v>
      </c>
      <c r="AI76" s="69">
        <f t="shared" si="183"/>
        <v>1.214411248</v>
      </c>
      <c r="AJ76" s="69">
        <f t="shared" si="183"/>
        <v>1.285132819</v>
      </c>
      <c r="AK76" s="69">
        <f t="shared" si="183"/>
        <v>1.311389072</v>
      </c>
      <c r="AL76" s="69">
        <f t="shared" si="183"/>
        <v>1.365409966</v>
      </c>
      <c r="AM76" s="69">
        <f t="shared" si="183"/>
        <v>1.321856287</v>
      </c>
      <c r="AN76" s="69">
        <f t="shared" si="183"/>
        <v>1.368953881</v>
      </c>
      <c r="AO76" s="69">
        <f t="shared" si="183"/>
        <v>1.680504467</v>
      </c>
      <c r="AP76" s="69">
        <f t="shared" si="183"/>
        <v>1.910928144</v>
      </c>
      <c r="AQ76" s="69">
        <f t="shared" si="183"/>
        <v>1.876247505</v>
      </c>
      <c r="AR76" s="69">
        <f t="shared" si="183"/>
        <v>1.806886228</v>
      </c>
      <c r="AS76" s="69">
        <f t="shared" si="183"/>
        <v>2.25748503</v>
      </c>
      <c r="AT76" s="5"/>
      <c r="AU76" s="70">
        <f t="shared" ref="AU76:BG76" si="184">iferror(sumproduct(AU61:AU72*AG61:AG72*(AU61:AU72&lt;&gt;"")*(AG61:AG72&lt;&gt;""))/sumproduct(AG61:AG72*(AU61:AU72&lt;&gt;"")*(AG61:AG72&lt;&gt;"")),"")</f>
        <v>1.209919938</v>
      </c>
      <c r="AV76" s="70">
        <f t="shared" si="184"/>
        <v>1.095997228</v>
      </c>
      <c r="AW76" s="70">
        <f t="shared" si="184"/>
        <v>1.107412767</v>
      </c>
      <c r="AX76" s="70">
        <f t="shared" si="184"/>
        <v>1.092348725</v>
      </c>
      <c r="AY76" s="70">
        <f t="shared" si="184"/>
        <v>1.035977242</v>
      </c>
      <c r="AZ76" s="70">
        <f t="shared" si="184"/>
        <v>0.9399497973</v>
      </c>
      <c r="BA76" s="70">
        <f t="shared" si="184"/>
        <v>1</v>
      </c>
      <c r="BB76" s="70">
        <f t="shared" si="184"/>
        <v>1</v>
      </c>
      <c r="BC76" s="70">
        <f t="shared" si="184"/>
        <v>1</v>
      </c>
      <c r="BD76" s="70">
        <f t="shared" si="184"/>
        <v>1</v>
      </c>
      <c r="BE76" s="70">
        <f t="shared" si="184"/>
        <v>1</v>
      </c>
      <c r="BF76" s="70">
        <f t="shared" si="184"/>
        <v>1</v>
      </c>
      <c r="BG76" s="70">
        <f t="shared" si="184"/>
        <v>1</v>
      </c>
      <c r="BH76" s="5"/>
      <c r="BI76" s="5"/>
      <c r="BJ76" s="5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62"/>
      <c r="Q77" s="63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24"/>
      <c r="AU77" s="71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5"/>
      <c r="BG77" s="5"/>
      <c r="BH77" s="5"/>
      <c r="BI77" s="5"/>
      <c r="BJ77" s="5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62"/>
      <c r="Q78" s="63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73" t="s">
        <v>22</v>
      </c>
      <c r="AU78" s="74">
        <f>iferror(sumproduct(AG76:AS76*AU76:BG76),"")</f>
        <v>18.83246701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62"/>
      <c r="Q79" s="63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62"/>
      <c r="Q80" s="63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62"/>
      <c r="Q81" s="63"/>
      <c r="R81" s="23"/>
      <c r="S81" s="24" t="s">
        <v>29</v>
      </c>
      <c r="T81" s="24" t="s">
        <v>30</v>
      </c>
      <c r="U81" s="24" t="s">
        <v>31</v>
      </c>
      <c r="V81" s="24" t="s">
        <v>32</v>
      </c>
      <c r="W81" s="24" t="s">
        <v>33</v>
      </c>
      <c r="X81" s="24" t="s">
        <v>34</v>
      </c>
      <c r="Y81" s="24" t="s">
        <v>35</v>
      </c>
      <c r="Z81" s="24" t="s">
        <v>36</v>
      </c>
      <c r="AA81" s="24" t="s">
        <v>37</v>
      </c>
      <c r="AB81" s="24" t="s">
        <v>38</v>
      </c>
      <c r="AC81" s="24" t="s">
        <v>39</v>
      </c>
      <c r="AD81" s="24" t="s">
        <v>40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62"/>
      <c r="Q82" s="63"/>
      <c r="R82" s="23" t="str">
        <f t="shared" ref="R82:R93" si="188">text(datevalue(right(BK82,10)),"MMM YYYY")</f>
        <v>#VALUE!</v>
      </c>
      <c r="S82" s="31">
        <f t="shared" ref="S82:AD82" si="185">if(or($AG82="",AH82=""),"",iferror(AH82/$AG82,""))</f>
        <v>1</v>
      </c>
      <c r="T82" s="31">
        <f t="shared" si="185"/>
        <v>1</v>
      </c>
      <c r="U82" s="31">
        <f t="shared" si="185"/>
        <v>1</v>
      </c>
      <c r="V82" s="31">
        <f t="shared" si="185"/>
        <v>1.69760479</v>
      </c>
      <c r="W82" s="31">
        <f t="shared" si="185"/>
        <v>2.25748503</v>
      </c>
      <c r="X82" s="31">
        <f t="shared" si="185"/>
        <v>2.25748503</v>
      </c>
      <c r="Y82" s="31">
        <f t="shared" si="185"/>
        <v>2.25748503</v>
      </c>
      <c r="Z82" s="31">
        <f t="shared" si="185"/>
        <v>2.25748503</v>
      </c>
      <c r="AA82" s="31">
        <f t="shared" si="185"/>
        <v>2.25748503</v>
      </c>
      <c r="AB82" s="31">
        <f t="shared" si="185"/>
        <v>2.25748503</v>
      </c>
      <c r="AC82" s="31">
        <f t="shared" si="185"/>
        <v>2.25748503</v>
      </c>
      <c r="AD82" s="31">
        <f t="shared" si="185"/>
        <v>2.25748503</v>
      </c>
      <c r="AE82" s="5"/>
      <c r="AF82" s="5"/>
      <c r="AG82" s="32">
        <f t="shared" ref="AG82:AG93" si="190">offset(BL82,0,$BJ62)</f>
        <v>334</v>
      </c>
      <c r="AH82" s="32">
        <f t="shared" ref="AH82:AS82" si="186">iferror(if($BJ62+AH$2&gt;12,"", if(offset(BM82,0,$BJ62)="","",offset(BM82,0,$BJ62))))</f>
        <v>334</v>
      </c>
      <c r="AI82" s="32">
        <f t="shared" si="186"/>
        <v>334</v>
      </c>
      <c r="AJ82" s="32">
        <f t="shared" si="186"/>
        <v>334</v>
      </c>
      <c r="AK82" s="32">
        <f t="shared" si="186"/>
        <v>567</v>
      </c>
      <c r="AL82" s="32">
        <f t="shared" si="186"/>
        <v>754</v>
      </c>
      <c r="AM82" s="32">
        <f t="shared" si="186"/>
        <v>754</v>
      </c>
      <c r="AN82" s="32">
        <f t="shared" si="186"/>
        <v>754</v>
      </c>
      <c r="AO82" s="32">
        <f t="shared" si="186"/>
        <v>754</v>
      </c>
      <c r="AP82" s="32">
        <f t="shared" si="186"/>
        <v>754</v>
      </c>
      <c r="AQ82" s="32">
        <f t="shared" si="186"/>
        <v>754</v>
      </c>
      <c r="AR82" s="32">
        <f t="shared" si="186"/>
        <v>754</v>
      </c>
      <c r="AS82" s="32">
        <f t="shared" si="186"/>
        <v>754</v>
      </c>
      <c r="AT82" s="4"/>
      <c r="AU82" s="33">
        <f t="shared" ref="AU82:BG82" si="187">iferror(if($BJ82+AG$2&gt;12,"", if(offset(BY82,0,$BJ82)="","",offset(BY82,0,$BJ82)/AG82)))</f>
        <v>2.25748503</v>
      </c>
      <c r="AV82" s="33">
        <f t="shared" si="187"/>
        <v>2.25748503</v>
      </c>
      <c r="AW82" s="33">
        <f t="shared" si="187"/>
        <v>2.25748503</v>
      </c>
      <c r="AX82" s="33">
        <f t="shared" si="187"/>
        <v>2.25748503</v>
      </c>
      <c r="AY82" s="33">
        <f t="shared" si="187"/>
        <v>1.329805996</v>
      </c>
      <c r="AZ82" s="33">
        <f t="shared" si="187"/>
        <v>1</v>
      </c>
      <c r="BA82" s="33">
        <f t="shared" si="187"/>
        <v>1</v>
      </c>
      <c r="BB82" s="33">
        <f t="shared" si="187"/>
        <v>1</v>
      </c>
      <c r="BC82" s="33">
        <f t="shared" si="187"/>
        <v>1</v>
      </c>
      <c r="BD82" s="33">
        <f t="shared" si="187"/>
        <v>1</v>
      </c>
      <c r="BE82" s="33">
        <f t="shared" si="187"/>
        <v>1</v>
      </c>
      <c r="BF82" s="33">
        <f t="shared" si="187"/>
        <v>1</v>
      </c>
      <c r="BG82" s="33">
        <f t="shared" si="187"/>
        <v>1</v>
      </c>
      <c r="BH82" s="5"/>
      <c r="BI82" s="5"/>
      <c r="BJ82" s="34">
        <v>0.0</v>
      </c>
      <c r="BK82" s="6">
        <v>334.0</v>
      </c>
      <c r="BL82" s="6">
        <v>334.0</v>
      </c>
      <c r="BM82" s="6">
        <v>334.0</v>
      </c>
      <c r="BN82" s="6">
        <v>334.0</v>
      </c>
      <c r="BO82" s="6">
        <v>334.0</v>
      </c>
      <c r="BP82" s="6">
        <v>567.0</v>
      </c>
      <c r="BQ82" s="6">
        <v>754.0</v>
      </c>
      <c r="BR82" s="6">
        <v>754.0</v>
      </c>
      <c r="BS82" s="6">
        <v>754.0</v>
      </c>
      <c r="BT82" s="6">
        <v>754.0</v>
      </c>
      <c r="BU82" s="6">
        <v>754.0</v>
      </c>
      <c r="BV82" s="6">
        <v>754.0</v>
      </c>
      <c r="BW82" s="6">
        <v>754.0</v>
      </c>
      <c r="BX82" s="6">
        <v>754.0</v>
      </c>
      <c r="BY82" s="27">
        <v>754.0</v>
      </c>
      <c r="BZ82" s="27">
        <v>754.0</v>
      </c>
      <c r="CA82" s="27">
        <v>754.0</v>
      </c>
      <c r="CB82" s="27">
        <v>754.0</v>
      </c>
      <c r="CC82" s="27">
        <v>754.0</v>
      </c>
      <c r="CD82" s="27">
        <v>754.0</v>
      </c>
      <c r="CE82" s="27">
        <v>754.0</v>
      </c>
      <c r="CF82" s="27">
        <v>754.0</v>
      </c>
      <c r="CG82" s="27">
        <v>754.0</v>
      </c>
      <c r="CH82" s="27">
        <v>754.0</v>
      </c>
      <c r="CI82" s="27">
        <v>754.0</v>
      </c>
      <c r="CJ82" s="27">
        <v>754.0</v>
      </c>
      <c r="CK82" s="27">
        <v>754.0</v>
      </c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62"/>
      <c r="Q83" s="63"/>
      <c r="R83" s="23" t="str">
        <f t="shared" si="188"/>
        <v>#VALUE!</v>
      </c>
      <c r="S83" s="31">
        <f t="shared" ref="S83:AD83" si="189">if(or($AG83="",AH83=""),"",iferror(AH83/$AG83,""))</f>
        <v>1</v>
      </c>
      <c r="T83" s="31">
        <f t="shared" si="189"/>
        <v>1</v>
      </c>
      <c r="U83" s="31">
        <f t="shared" si="189"/>
        <v>1.69760479</v>
      </c>
      <c r="V83" s="31">
        <f t="shared" si="189"/>
        <v>2.28742515</v>
      </c>
      <c r="W83" s="31">
        <f t="shared" si="189"/>
        <v>2.28742515</v>
      </c>
      <c r="X83" s="31">
        <f t="shared" si="189"/>
        <v>2.28742515</v>
      </c>
      <c r="Y83" s="31">
        <f t="shared" si="189"/>
        <v>2.28742515</v>
      </c>
      <c r="Z83" s="31">
        <f t="shared" si="189"/>
        <v>2.28742515</v>
      </c>
      <c r="AA83" s="31">
        <f t="shared" si="189"/>
        <v>1.356287425</v>
      </c>
      <c r="AB83" s="31">
        <f t="shared" si="189"/>
        <v>1.356287425</v>
      </c>
      <c r="AC83" s="31">
        <f t="shared" si="189"/>
        <v>1.356287425</v>
      </c>
      <c r="AD83" s="31" t="str">
        <f t="shared" si="189"/>
        <v/>
      </c>
      <c r="AE83" s="5"/>
      <c r="AF83" s="5"/>
      <c r="AG83" s="32">
        <f t="shared" si="190"/>
        <v>334</v>
      </c>
      <c r="AH83" s="32">
        <f t="shared" ref="AH83:AS83" si="191">iferror(if($BJ63+AH$2&gt;12,"", if(offset(BM83,0,$BJ63)="","",offset(BM83,0,$BJ63))))</f>
        <v>334</v>
      </c>
      <c r="AI83" s="32">
        <f t="shared" si="191"/>
        <v>334</v>
      </c>
      <c r="AJ83" s="32">
        <f t="shared" si="191"/>
        <v>567</v>
      </c>
      <c r="AK83" s="32">
        <f t="shared" si="191"/>
        <v>764</v>
      </c>
      <c r="AL83" s="32">
        <f t="shared" si="191"/>
        <v>764</v>
      </c>
      <c r="AM83" s="32">
        <f t="shared" si="191"/>
        <v>764</v>
      </c>
      <c r="AN83" s="32">
        <f t="shared" si="191"/>
        <v>764</v>
      </c>
      <c r="AO83" s="32">
        <f t="shared" si="191"/>
        <v>764</v>
      </c>
      <c r="AP83" s="32">
        <f t="shared" si="191"/>
        <v>453</v>
      </c>
      <c r="AQ83" s="32">
        <f t="shared" si="191"/>
        <v>453</v>
      </c>
      <c r="AR83" s="32">
        <f t="shared" si="191"/>
        <v>453</v>
      </c>
      <c r="AS83" s="32" t="str">
        <f t="shared" si="191"/>
        <v/>
      </c>
      <c r="AT83" s="4"/>
      <c r="AU83" s="33">
        <f t="shared" ref="AU83:BG83" si="192">iferror(if($BJ83+AG$2&gt;12,"", if(offset(BY83,0,$BJ83)="","",offset(BY83,0,$BJ83)/AG83)))</f>
        <v>2.28742515</v>
      </c>
      <c r="AV83" s="33">
        <f t="shared" si="192"/>
        <v>2.28742515</v>
      </c>
      <c r="AW83" s="33">
        <f t="shared" si="192"/>
        <v>2.28742515</v>
      </c>
      <c r="AX83" s="33">
        <f t="shared" si="192"/>
        <v>0.7989417989</v>
      </c>
      <c r="AY83" s="33">
        <f t="shared" si="192"/>
        <v>0.5929319372</v>
      </c>
      <c r="AZ83" s="33">
        <f t="shared" si="192"/>
        <v>0.5929319372</v>
      </c>
      <c r="BA83" s="33">
        <f t="shared" si="192"/>
        <v>1</v>
      </c>
      <c r="BB83" s="33">
        <f t="shared" si="192"/>
        <v>1</v>
      </c>
      <c r="BC83" s="33">
        <f t="shared" si="192"/>
        <v>1</v>
      </c>
      <c r="BD83" s="33">
        <f t="shared" si="192"/>
        <v>1</v>
      </c>
      <c r="BE83" s="33">
        <f t="shared" si="192"/>
        <v>1</v>
      </c>
      <c r="BF83" s="33">
        <f t="shared" si="192"/>
        <v>1</v>
      </c>
      <c r="BG83" s="33" t="str">
        <f t="shared" si="192"/>
        <v/>
      </c>
      <c r="BH83" s="5"/>
      <c r="BI83" s="5"/>
      <c r="BJ83" s="34">
        <f t="shared" ref="BJ83:BJ93" si="196">BJ82+1</f>
        <v>1</v>
      </c>
      <c r="BK83" s="6">
        <v>334.0</v>
      </c>
      <c r="BL83" s="6">
        <v>334.0</v>
      </c>
      <c r="BM83" s="6">
        <v>334.0</v>
      </c>
      <c r="BN83" s="6">
        <v>334.0</v>
      </c>
      <c r="BO83" s="6">
        <v>334.0</v>
      </c>
      <c r="BP83" s="6">
        <v>567.0</v>
      </c>
      <c r="BQ83" s="6">
        <v>764.0</v>
      </c>
      <c r="BR83" s="6">
        <v>764.0</v>
      </c>
      <c r="BS83" s="6">
        <v>764.0</v>
      </c>
      <c r="BT83" s="6">
        <v>764.0</v>
      </c>
      <c r="BU83" s="6">
        <v>764.0</v>
      </c>
      <c r="BV83" s="6">
        <v>453.0</v>
      </c>
      <c r="BW83" s="6">
        <v>453.0</v>
      </c>
      <c r="BX83" s="6">
        <v>453.0</v>
      </c>
      <c r="BY83" s="27">
        <v>764.0</v>
      </c>
      <c r="BZ83" s="27">
        <v>764.0</v>
      </c>
      <c r="CA83" s="27">
        <v>764.0</v>
      </c>
      <c r="CB83" s="27">
        <v>764.0</v>
      </c>
      <c r="CC83" s="27">
        <v>453.0</v>
      </c>
      <c r="CD83" s="27">
        <v>453.0</v>
      </c>
      <c r="CE83" s="27">
        <v>453.0</v>
      </c>
      <c r="CF83" s="27">
        <v>764.0</v>
      </c>
      <c r="CG83" s="27">
        <v>764.0</v>
      </c>
      <c r="CH83" s="27">
        <v>764.0</v>
      </c>
      <c r="CI83" s="27">
        <v>453.0</v>
      </c>
      <c r="CJ83" s="27">
        <v>453.0</v>
      </c>
      <c r="CK83" s="27">
        <v>453.0</v>
      </c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62"/>
      <c r="Q84" s="63"/>
      <c r="R84" s="23" t="str">
        <f t="shared" si="188"/>
        <v>#VALUE!</v>
      </c>
      <c r="S84" s="31">
        <f t="shared" ref="S84:AD84" si="193">if(or($AG84="",AH84=""),"",iferror(AH84/$AG84,""))</f>
        <v>1</v>
      </c>
      <c r="T84" s="31">
        <f t="shared" si="193"/>
        <v>1</v>
      </c>
      <c r="U84" s="31">
        <f t="shared" si="193"/>
        <v>1</v>
      </c>
      <c r="V84" s="31">
        <f t="shared" si="193"/>
        <v>1</v>
      </c>
      <c r="W84" s="31">
        <f t="shared" si="193"/>
        <v>1</v>
      </c>
      <c r="X84" s="31">
        <f t="shared" si="193"/>
        <v>1</v>
      </c>
      <c r="Y84" s="31">
        <f t="shared" si="193"/>
        <v>1</v>
      </c>
      <c r="Z84" s="31">
        <f t="shared" si="193"/>
        <v>1</v>
      </c>
      <c r="AA84" s="31">
        <f t="shared" si="193"/>
        <v>2.01497006</v>
      </c>
      <c r="AB84" s="31">
        <f t="shared" si="193"/>
        <v>2.01497006</v>
      </c>
      <c r="AC84" s="31" t="str">
        <f t="shared" si="193"/>
        <v/>
      </c>
      <c r="AD84" s="31" t="str">
        <f t="shared" si="193"/>
        <v/>
      </c>
      <c r="AE84" s="5"/>
      <c r="AF84" s="5"/>
      <c r="AG84" s="32">
        <f t="shared" si="190"/>
        <v>334</v>
      </c>
      <c r="AH84" s="32">
        <f t="shared" ref="AH84:AS84" si="194">iferror(if($BJ64+AH$2&gt;12,"", if(offset(BM84,0,$BJ64)="","",offset(BM84,0,$BJ64))))</f>
        <v>334</v>
      </c>
      <c r="AI84" s="32">
        <f t="shared" si="194"/>
        <v>334</v>
      </c>
      <c r="AJ84" s="32">
        <f t="shared" si="194"/>
        <v>334</v>
      </c>
      <c r="AK84" s="32">
        <f t="shared" si="194"/>
        <v>334</v>
      </c>
      <c r="AL84" s="32">
        <f t="shared" si="194"/>
        <v>334</v>
      </c>
      <c r="AM84" s="32">
        <f t="shared" si="194"/>
        <v>334</v>
      </c>
      <c r="AN84" s="32">
        <f t="shared" si="194"/>
        <v>334</v>
      </c>
      <c r="AO84" s="32">
        <f t="shared" si="194"/>
        <v>334</v>
      </c>
      <c r="AP84" s="32">
        <f t="shared" si="194"/>
        <v>673</v>
      </c>
      <c r="AQ84" s="32">
        <f t="shared" si="194"/>
        <v>673</v>
      </c>
      <c r="AR84" s="32" t="str">
        <f t="shared" si="194"/>
        <v/>
      </c>
      <c r="AS84" s="32" t="str">
        <f t="shared" si="194"/>
        <v/>
      </c>
      <c r="AT84" s="4"/>
      <c r="AU84" s="33">
        <f t="shared" ref="AU84:BG84" si="195">iferror(if($BJ84+AG$2&gt;12,"", if(offset(BY84,0,$BJ84)="","",offset(BY84,0,$BJ84)/AG84)))</f>
        <v>1</v>
      </c>
      <c r="AV84" s="33">
        <f t="shared" si="195"/>
        <v>1</v>
      </c>
      <c r="AW84" s="33">
        <f t="shared" si="195"/>
        <v>1</v>
      </c>
      <c r="AX84" s="33">
        <f t="shared" si="195"/>
        <v>2.01497006</v>
      </c>
      <c r="AY84" s="33">
        <f t="shared" si="195"/>
        <v>2.01497006</v>
      </c>
      <c r="AZ84" s="33">
        <f t="shared" si="195"/>
        <v>1</v>
      </c>
      <c r="BA84" s="33">
        <f t="shared" si="195"/>
        <v>1</v>
      </c>
      <c r="BB84" s="33">
        <f t="shared" si="195"/>
        <v>1</v>
      </c>
      <c r="BC84" s="33">
        <f t="shared" si="195"/>
        <v>1</v>
      </c>
      <c r="BD84" s="33">
        <f t="shared" si="195"/>
        <v>1</v>
      </c>
      <c r="BE84" s="33">
        <f t="shared" si="195"/>
        <v>1</v>
      </c>
      <c r="BF84" s="33" t="str">
        <f t="shared" si="195"/>
        <v/>
      </c>
      <c r="BG84" s="33" t="str">
        <f t="shared" si="195"/>
        <v/>
      </c>
      <c r="BH84" s="5"/>
      <c r="BI84" s="5"/>
      <c r="BJ84" s="34">
        <f t="shared" si="196"/>
        <v>2</v>
      </c>
      <c r="BK84" s="6">
        <v>334.0</v>
      </c>
      <c r="BL84" s="6">
        <v>334.0</v>
      </c>
      <c r="BM84" s="6">
        <v>334.0</v>
      </c>
      <c r="BN84" s="6">
        <v>334.0</v>
      </c>
      <c r="BO84" s="6">
        <v>334.0</v>
      </c>
      <c r="BP84" s="6">
        <v>334.0</v>
      </c>
      <c r="BQ84" s="6">
        <v>334.0</v>
      </c>
      <c r="BR84" s="6">
        <v>334.0</v>
      </c>
      <c r="BS84" s="6">
        <v>334.0</v>
      </c>
      <c r="BT84" s="6">
        <v>334.0</v>
      </c>
      <c r="BU84" s="6">
        <v>334.0</v>
      </c>
      <c r="BV84" s="6">
        <v>334.0</v>
      </c>
      <c r="BW84" s="6">
        <v>673.0</v>
      </c>
      <c r="BX84" s="6">
        <v>673.0</v>
      </c>
      <c r="BY84" s="27">
        <v>334.0</v>
      </c>
      <c r="BZ84" s="27">
        <v>334.0</v>
      </c>
      <c r="CA84" s="27">
        <v>334.0</v>
      </c>
      <c r="CB84" s="27">
        <v>334.0</v>
      </c>
      <c r="CC84" s="27">
        <v>334.0</v>
      </c>
      <c r="CD84" s="27">
        <v>673.0</v>
      </c>
      <c r="CE84" s="27">
        <v>673.0</v>
      </c>
      <c r="CF84" s="27">
        <v>334.0</v>
      </c>
      <c r="CG84" s="27">
        <v>334.0</v>
      </c>
      <c r="CH84" s="27">
        <v>334.0</v>
      </c>
      <c r="CI84" s="27">
        <v>334.0</v>
      </c>
      <c r="CJ84" s="27">
        <v>673.0</v>
      </c>
      <c r="CK84" s="27">
        <v>673.0</v>
      </c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62"/>
      <c r="Q85" s="63"/>
      <c r="R85" s="23" t="str">
        <f t="shared" si="188"/>
        <v>#VALUE!</v>
      </c>
      <c r="S85" s="31">
        <f t="shared" ref="S85:AD85" si="197">if(or($AG85="",AH85=""),"",iferror(AH85/$AG85,""))</f>
        <v>1.69760479</v>
      </c>
      <c r="T85" s="31">
        <f t="shared" si="197"/>
        <v>2.28742515</v>
      </c>
      <c r="U85" s="31">
        <f t="shared" si="197"/>
        <v>2.28742515</v>
      </c>
      <c r="V85" s="31">
        <f t="shared" si="197"/>
        <v>2.28742515</v>
      </c>
      <c r="W85" s="31">
        <f t="shared" si="197"/>
        <v>2.28742515</v>
      </c>
      <c r="X85" s="31">
        <f t="shared" si="197"/>
        <v>2.28742515</v>
      </c>
      <c r="Y85" s="31">
        <f t="shared" si="197"/>
        <v>1.356287425</v>
      </c>
      <c r="Z85" s="31">
        <f t="shared" si="197"/>
        <v>2.01497006</v>
      </c>
      <c r="AA85" s="31">
        <f t="shared" si="197"/>
        <v>2.01497006</v>
      </c>
      <c r="AB85" s="31" t="str">
        <f t="shared" si="197"/>
        <v/>
      </c>
      <c r="AC85" s="31" t="str">
        <f t="shared" si="197"/>
        <v/>
      </c>
      <c r="AD85" s="31" t="str">
        <f t="shared" si="197"/>
        <v/>
      </c>
      <c r="AE85" s="5"/>
      <c r="AF85" s="5"/>
      <c r="AG85" s="32">
        <f t="shared" si="190"/>
        <v>334</v>
      </c>
      <c r="AH85" s="32">
        <f t="shared" ref="AH85:AS85" si="198">iferror(if($BJ65+AH$2&gt;12,"", if(offset(BM85,0,$BJ65)="","",offset(BM85,0,$BJ65))))</f>
        <v>567</v>
      </c>
      <c r="AI85" s="32">
        <f t="shared" si="198"/>
        <v>764</v>
      </c>
      <c r="AJ85" s="32">
        <f t="shared" si="198"/>
        <v>764</v>
      </c>
      <c r="AK85" s="32">
        <f t="shared" si="198"/>
        <v>764</v>
      </c>
      <c r="AL85" s="32">
        <f t="shared" si="198"/>
        <v>764</v>
      </c>
      <c r="AM85" s="32">
        <f t="shared" si="198"/>
        <v>764</v>
      </c>
      <c r="AN85" s="32">
        <f t="shared" si="198"/>
        <v>453</v>
      </c>
      <c r="AO85" s="32">
        <f t="shared" si="198"/>
        <v>673</v>
      </c>
      <c r="AP85" s="32">
        <f t="shared" si="198"/>
        <v>673</v>
      </c>
      <c r="AQ85" s="32" t="str">
        <f t="shared" si="198"/>
        <v/>
      </c>
      <c r="AR85" s="32" t="str">
        <f t="shared" si="198"/>
        <v/>
      </c>
      <c r="AS85" s="32" t="str">
        <f t="shared" si="198"/>
        <v/>
      </c>
      <c r="AT85" s="4"/>
      <c r="AU85" s="33">
        <f t="shared" ref="AU85:BG85" si="199">iferror(if($BJ85+AG$2&gt;12,"", if(offset(BY85,0,$BJ85)="","",offset(BY85,0,$BJ85)/AG85)))</f>
        <v>2.28742515</v>
      </c>
      <c r="AV85" s="33">
        <f t="shared" si="199"/>
        <v>0.7989417989</v>
      </c>
      <c r="AW85" s="33">
        <f t="shared" si="199"/>
        <v>0.8808900524</v>
      </c>
      <c r="AX85" s="33">
        <f t="shared" si="199"/>
        <v>0.8808900524</v>
      </c>
      <c r="AY85" s="33">
        <f t="shared" si="199"/>
        <v>1</v>
      </c>
      <c r="AZ85" s="33">
        <f t="shared" si="199"/>
        <v>1</v>
      </c>
      <c r="BA85" s="33">
        <f t="shared" si="199"/>
        <v>1</v>
      </c>
      <c r="BB85" s="33">
        <f t="shared" si="199"/>
        <v>1</v>
      </c>
      <c r="BC85" s="33">
        <f t="shared" si="199"/>
        <v>1</v>
      </c>
      <c r="BD85" s="33">
        <f t="shared" si="199"/>
        <v>1</v>
      </c>
      <c r="BE85" s="33" t="str">
        <f t="shared" si="199"/>
        <v/>
      </c>
      <c r="BF85" s="33" t="str">
        <f t="shared" si="199"/>
        <v/>
      </c>
      <c r="BG85" s="33" t="str">
        <f t="shared" si="199"/>
        <v/>
      </c>
      <c r="BH85" s="5"/>
      <c r="BI85" s="5"/>
      <c r="BJ85" s="34">
        <f t="shared" si="196"/>
        <v>3</v>
      </c>
      <c r="BK85" s="6">
        <v>334.0</v>
      </c>
      <c r="BL85" s="6">
        <v>334.0</v>
      </c>
      <c r="BM85" s="6">
        <v>334.0</v>
      </c>
      <c r="BN85" s="6">
        <v>334.0</v>
      </c>
      <c r="BO85" s="6">
        <v>334.0</v>
      </c>
      <c r="BP85" s="6">
        <v>567.0</v>
      </c>
      <c r="BQ85" s="6">
        <v>764.0</v>
      </c>
      <c r="BR85" s="6">
        <v>764.0</v>
      </c>
      <c r="BS85" s="6">
        <v>764.0</v>
      </c>
      <c r="BT85" s="6">
        <v>764.0</v>
      </c>
      <c r="BU85" s="6">
        <v>764.0</v>
      </c>
      <c r="BV85" s="6">
        <v>453.0</v>
      </c>
      <c r="BW85" s="6">
        <v>673.0</v>
      </c>
      <c r="BX85" s="6">
        <v>673.0</v>
      </c>
      <c r="BY85" s="27">
        <v>764.0</v>
      </c>
      <c r="BZ85" s="27">
        <v>764.0</v>
      </c>
      <c r="CA85" s="27">
        <v>764.0</v>
      </c>
      <c r="CB85" s="27">
        <v>764.0</v>
      </c>
      <c r="CC85" s="27">
        <v>453.0</v>
      </c>
      <c r="CD85" s="27">
        <v>673.0</v>
      </c>
      <c r="CE85" s="27">
        <v>673.0</v>
      </c>
      <c r="CF85" s="27">
        <v>764.0</v>
      </c>
      <c r="CG85" s="27">
        <v>764.0</v>
      </c>
      <c r="CH85" s="27">
        <v>764.0</v>
      </c>
      <c r="CI85" s="27">
        <v>453.0</v>
      </c>
      <c r="CJ85" s="27">
        <v>673.0</v>
      </c>
      <c r="CK85" s="27">
        <v>673.0</v>
      </c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62"/>
      <c r="Q86" s="63"/>
      <c r="R86" s="23" t="str">
        <f t="shared" si="188"/>
        <v>#VALUE!</v>
      </c>
      <c r="S86" s="31">
        <f t="shared" ref="S86:AD86" si="200">if(or($AG86="",AH86=""),"",iferror(AH86/$AG86,""))</f>
        <v>1.347442681</v>
      </c>
      <c r="T86" s="31">
        <f t="shared" si="200"/>
        <v>1.347442681</v>
      </c>
      <c r="U86" s="31">
        <f t="shared" si="200"/>
        <v>1.347442681</v>
      </c>
      <c r="V86" s="31">
        <f t="shared" si="200"/>
        <v>1.347442681</v>
      </c>
      <c r="W86" s="31">
        <f t="shared" si="200"/>
        <v>1.347442681</v>
      </c>
      <c r="X86" s="31">
        <f t="shared" si="200"/>
        <v>0.7989417989</v>
      </c>
      <c r="Y86" s="31">
        <f t="shared" si="200"/>
        <v>1.186948854</v>
      </c>
      <c r="Z86" s="31">
        <f t="shared" si="200"/>
        <v>1.186948854</v>
      </c>
      <c r="AA86" s="31" t="str">
        <f t="shared" si="200"/>
        <v/>
      </c>
      <c r="AB86" s="31" t="str">
        <f t="shared" si="200"/>
        <v/>
      </c>
      <c r="AC86" s="31" t="str">
        <f t="shared" si="200"/>
        <v/>
      </c>
      <c r="AD86" s="31" t="str">
        <f t="shared" si="200"/>
        <v/>
      </c>
      <c r="AE86" s="5"/>
      <c r="AF86" s="5"/>
      <c r="AG86" s="32">
        <f t="shared" si="190"/>
        <v>567</v>
      </c>
      <c r="AH86" s="32">
        <f t="shared" ref="AH86:AS86" si="201">iferror(if($BJ66+AH$2&gt;12,"", if(offset(BM86,0,$BJ66)="","",offset(BM86,0,$BJ66))))</f>
        <v>764</v>
      </c>
      <c r="AI86" s="32">
        <f t="shared" si="201"/>
        <v>764</v>
      </c>
      <c r="AJ86" s="32">
        <f t="shared" si="201"/>
        <v>764</v>
      </c>
      <c r="AK86" s="32">
        <f t="shared" si="201"/>
        <v>764</v>
      </c>
      <c r="AL86" s="32">
        <f t="shared" si="201"/>
        <v>764</v>
      </c>
      <c r="AM86" s="32">
        <f t="shared" si="201"/>
        <v>453</v>
      </c>
      <c r="AN86" s="32">
        <f t="shared" si="201"/>
        <v>673</v>
      </c>
      <c r="AO86" s="32">
        <f t="shared" si="201"/>
        <v>673</v>
      </c>
      <c r="AP86" s="32" t="str">
        <f t="shared" si="201"/>
        <v/>
      </c>
      <c r="AQ86" s="32" t="str">
        <f t="shared" si="201"/>
        <v/>
      </c>
      <c r="AR86" s="32" t="str">
        <f t="shared" si="201"/>
        <v/>
      </c>
      <c r="AS86" s="32" t="str">
        <f t="shared" si="201"/>
        <v/>
      </c>
      <c r="AT86" s="4"/>
      <c r="AU86" s="33">
        <f t="shared" ref="AU86:BG86" si="202">iferror(if($BJ86+AG$2&gt;12,"", if(offset(BY86,0,$BJ86)="","",offset(BY86,0,$BJ86)/AG86)))</f>
        <v>0.7989417989</v>
      </c>
      <c r="AV86" s="33">
        <f t="shared" si="202"/>
        <v>0.8808900524</v>
      </c>
      <c r="AW86" s="33">
        <f t="shared" si="202"/>
        <v>0.8808900524</v>
      </c>
      <c r="AX86" s="33">
        <f t="shared" si="202"/>
        <v>1</v>
      </c>
      <c r="AY86" s="33">
        <f t="shared" si="202"/>
        <v>1</v>
      </c>
      <c r="AZ86" s="33">
        <f t="shared" si="202"/>
        <v>1</v>
      </c>
      <c r="BA86" s="33">
        <f t="shared" si="202"/>
        <v>1</v>
      </c>
      <c r="BB86" s="33">
        <f t="shared" si="202"/>
        <v>1</v>
      </c>
      <c r="BC86" s="33">
        <f t="shared" si="202"/>
        <v>1</v>
      </c>
      <c r="BD86" s="33" t="str">
        <f t="shared" si="202"/>
        <v/>
      </c>
      <c r="BE86" s="33" t="str">
        <f t="shared" si="202"/>
        <v/>
      </c>
      <c r="BF86" s="33" t="str">
        <f t="shared" si="202"/>
        <v/>
      </c>
      <c r="BG86" s="33" t="str">
        <f t="shared" si="202"/>
        <v/>
      </c>
      <c r="BH86" s="5"/>
      <c r="BI86" s="5"/>
      <c r="BJ86" s="34">
        <f t="shared" si="196"/>
        <v>4</v>
      </c>
      <c r="BK86" s="6">
        <v>334.0</v>
      </c>
      <c r="BL86" s="6">
        <v>334.0</v>
      </c>
      <c r="BM86" s="6">
        <v>334.0</v>
      </c>
      <c r="BN86" s="6">
        <v>334.0</v>
      </c>
      <c r="BO86" s="6">
        <v>334.0</v>
      </c>
      <c r="BP86" s="6">
        <v>567.0</v>
      </c>
      <c r="BQ86" s="6">
        <v>764.0</v>
      </c>
      <c r="BR86" s="6">
        <v>764.0</v>
      </c>
      <c r="BS86" s="6">
        <v>764.0</v>
      </c>
      <c r="BT86" s="6">
        <v>764.0</v>
      </c>
      <c r="BU86" s="6">
        <v>764.0</v>
      </c>
      <c r="BV86" s="6">
        <v>453.0</v>
      </c>
      <c r="BW86" s="6">
        <v>673.0</v>
      </c>
      <c r="BX86" s="6">
        <v>673.0</v>
      </c>
      <c r="BY86" s="27">
        <v>764.0</v>
      </c>
      <c r="BZ86" s="27">
        <v>764.0</v>
      </c>
      <c r="CA86" s="27">
        <v>764.0</v>
      </c>
      <c r="CB86" s="27">
        <v>764.0</v>
      </c>
      <c r="CC86" s="27">
        <v>453.0</v>
      </c>
      <c r="CD86" s="27">
        <v>673.0</v>
      </c>
      <c r="CE86" s="27">
        <v>673.0</v>
      </c>
      <c r="CF86" s="27">
        <v>764.0</v>
      </c>
      <c r="CG86" s="27">
        <v>764.0</v>
      </c>
      <c r="CH86" s="27">
        <v>764.0</v>
      </c>
      <c r="CI86" s="27">
        <v>453.0</v>
      </c>
      <c r="CJ86" s="27">
        <v>673.0</v>
      </c>
      <c r="CK86" s="27">
        <v>673.0</v>
      </c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62"/>
      <c r="Q87" s="63"/>
      <c r="R87" s="23" t="str">
        <f t="shared" si="188"/>
        <v>#VALUE!</v>
      </c>
      <c r="S87" s="31">
        <f t="shared" ref="S87:AD87" si="203">if(or($AG87="",AH87=""),"",iferror(AH87/$AG87,""))</f>
        <v>1</v>
      </c>
      <c r="T87" s="31">
        <f t="shared" si="203"/>
        <v>1</v>
      </c>
      <c r="U87" s="31">
        <f t="shared" si="203"/>
        <v>1</v>
      </c>
      <c r="V87" s="31">
        <f t="shared" si="203"/>
        <v>1</v>
      </c>
      <c r="W87" s="31">
        <f t="shared" si="203"/>
        <v>0.5929319372</v>
      </c>
      <c r="X87" s="31">
        <f t="shared" si="203"/>
        <v>0.8808900524</v>
      </c>
      <c r="Y87" s="31">
        <f t="shared" si="203"/>
        <v>0.8808900524</v>
      </c>
      <c r="Z87" s="31" t="str">
        <f t="shared" si="203"/>
        <v/>
      </c>
      <c r="AA87" s="31" t="str">
        <f t="shared" si="203"/>
        <v/>
      </c>
      <c r="AB87" s="31" t="str">
        <f t="shared" si="203"/>
        <v/>
      </c>
      <c r="AC87" s="31" t="str">
        <f t="shared" si="203"/>
        <v/>
      </c>
      <c r="AD87" s="31" t="str">
        <f t="shared" si="203"/>
        <v/>
      </c>
      <c r="AE87" s="5"/>
      <c r="AF87" s="5"/>
      <c r="AG87" s="32">
        <f t="shared" si="190"/>
        <v>764</v>
      </c>
      <c r="AH87" s="32">
        <f t="shared" ref="AH87:AS87" si="204">iferror(if($BJ67+AH$2&gt;12,"", if(offset(BM87,0,$BJ67)="","",offset(BM87,0,$BJ67))))</f>
        <v>764</v>
      </c>
      <c r="AI87" s="32">
        <f t="shared" si="204"/>
        <v>764</v>
      </c>
      <c r="AJ87" s="32">
        <f t="shared" si="204"/>
        <v>764</v>
      </c>
      <c r="AK87" s="32">
        <f t="shared" si="204"/>
        <v>764</v>
      </c>
      <c r="AL87" s="32">
        <f t="shared" si="204"/>
        <v>453</v>
      </c>
      <c r="AM87" s="32">
        <f t="shared" si="204"/>
        <v>673</v>
      </c>
      <c r="AN87" s="32">
        <f t="shared" si="204"/>
        <v>673</v>
      </c>
      <c r="AO87" s="32" t="str">
        <f t="shared" si="204"/>
        <v/>
      </c>
      <c r="AP87" s="32" t="str">
        <f t="shared" si="204"/>
        <v/>
      </c>
      <c r="AQ87" s="32" t="str">
        <f t="shared" si="204"/>
        <v/>
      </c>
      <c r="AR87" s="32" t="str">
        <f t="shared" si="204"/>
        <v/>
      </c>
      <c r="AS87" s="32" t="str">
        <f t="shared" si="204"/>
        <v/>
      </c>
      <c r="AT87" s="4"/>
      <c r="AU87" s="33">
        <f t="shared" ref="AU87:BG87" si="205">iferror(if($BJ87+AG$2&gt;12,"", if(offset(BY87,0,$BJ87)="","",offset(BY87,0,$BJ87)/AG87)))</f>
        <v>0.8808900524</v>
      </c>
      <c r="AV87" s="33">
        <f t="shared" si="205"/>
        <v>0.8808900524</v>
      </c>
      <c r="AW87" s="33">
        <f t="shared" si="205"/>
        <v>1</v>
      </c>
      <c r="AX87" s="33">
        <f t="shared" si="205"/>
        <v>1</v>
      </c>
      <c r="AY87" s="33">
        <f t="shared" si="205"/>
        <v>1</v>
      </c>
      <c r="AZ87" s="33">
        <f t="shared" si="205"/>
        <v>1</v>
      </c>
      <c r="BA87" s="33">
        <f t="shared" si="205"/>
        <v>1</v>
      </c>
      <c r="BB87" s="33">
        <f t="shared" si="205"/>
        <v>1</v>
      </c>
      <c r="BC87" s="33" t="str">
        <f t="shared" si="205"/>
        <v/>
      </c>
      <c r="BD87" s="33" t="str">
        <f t="shared" si="205"/>
        <v/>
      </c>
      <c r="BE87" s="33" t="str">
        <f t="shared" si="205"/>
        <v/>
      </c>
      <c r="BF87" s="33" t="str">
        <f t="shared" si="205"/>
        <v/>
      </c>
      <c r="BG87" s="33" t="str">
        <f t="shared" si="205"/>
        <v/>
      </c>
      <c r="BH87" s="5"/>
      <c r="BI87" s="5"/>
      <c r="BJ87" s="34">
        <f t="shared" si="196"/>
        <v>5</v>
      </c>
      <c r="BK87" s="6">
        <v>111.0</v>
      </c>
      <c r="BL87" s="6">
        <v>111.0</v>
      </c>
      <c r="BM87" s="6">
        <v>111.0</v>
      </c>
      <c r="BN87" s="6">
        <v>111.0</v>
      </c>
      <c r="BO87" s="6">
        <v>111.0</v>
      </c>
      <c r="BP87" s="6">
        <v>567.0</v>
      </c>
      <c r="BQ87" s="6">
        <v>764.0</v>
      </c>
      <c r="BR87" s="6">
        <v>764.0</v>
      </c>
      <c r="BS87" s="6">
        <v>764.0</v>
      </c>
      <c r="BT87" s="6">
        <v>764.0</v>
      </c>
      <c r="BU87" s="6">
        <v>764.0</v>
      </c>
      <c r="BV87" s="6">
        <v>453.0</v>
      </c>
      <c r="BW87" s="6">
        <v>673.0</v>
      </c>
      <c r="BX87" s="6">
        <v>673.0</v>
      </c>
      <c r="BY87" s="27">
        <v>764.0</v>
      </c>
      <c r="BZ87" s="27">
        <v>764.0</v>
      </c>
      <c r="CA87" s="27">
        <v>764.0</v>
      </c>
      <c r="CB87" s="27">
        <v>764.0</v>
      </c>
      <c r="CC87" s="27">
        <v>453.0</v>
      </c>
      <c r="CD87" s="27">
        <v>673.0</v>
      </c>
      <c r="CE87" s="27">
        <v>673.0</v>
      </c>
      <c r="CF87" s="27">
        <v>764.0</v>
      </c>
      <c r="CG87" s="27">
        <v>764.0</v>
      </c>
      <c r="CH87" s="27">
        <v>764.0</v>
      </c>
      <c r="CI87" s="27">
        <v>453.0</v>
      </c>
      <c r="CJ87" s="27">
        <v>673.0</v>
      </c>
      <c r="CK87" s="27">
        <v>673.0</v>
      </c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62"/>
      <c r="Q88" s="63"/>
      <c r="R88" s="23" t="str">
        <f t="shared" si="188"/>
        <v>#VALUE!</v>
      </c>
      <c r="S88" s="31">
        <f t="shared" ref="S88:AD88" si="206">if(or($AG88="",AH88=""),"",iferror(AH88/$AG88,""))</f>
        <v>1</v>
      </c>
      <c r="T88" s="31">
        <f t="shared" si="206"/>
        <v>1</v>
      </c>
      <c r="U88" s="31">
        <f t="shared" si="206"/>
        <v>1</v>
      </c>
      <c r="V88" s="31">
        <f t="shared" si="206"/>
        <v>1</v>
      </c>
      <c r="W88" s="31">
        <f t="shared" si="206"/>
        <v>1</v>
      </c>
      <c r="X88" s="31">
        <f t="shared" si="206"/>
        <v>1</v>
      </c>
      <c r="Y88" s="31" t="str">
        <f t="shared" si="206"/>
        <v/>
      </c>
      <c r="Z88" s="31" t="str">
        <f t="shared" si="206"/>
        <v/>
      </c>
      <c r="AA88" s="31" t="str">
        <f t="shared" si="206"/>
        <v/>
      </c>
      <c r="AB88" s="31" t="str">
        <f t="shared" si="206"/>
        <v/>
      </c>
      <c r="AC88" s="31" t="str">
        <f t="shared" si="206"/>
        <v/>
      </c>
      <c r="AD88" s="31" t="str">
        <f t="shared" si="206"/>
        <v/>
      </c>
      <c r="AE88" s="5"/>
      <c r="AF88" s="5"/>
      <c r="AG88" s="32">
        <f t="shared" si="190"/>
        <v>673</v>
      </c>
      <c r="AH88" s="32">
        <f t="shared" ref="AH88:AS88" si="207">iferror(if($BJ68+AH$2&gt;12,"", if(offset(BM88,0,$BJ68)="","",offset(BM88,0,$BJ68))))</f>
        <v>673</v>
      </c>
      <c r="AI88" s="32">
        <f t="shared" si="207"/>
        <v>673</v>
      </c>
      <c r="AJ88" s="32">
        <f t="shared" si="207"/>
        <v>673</v>
      </c>
      <c r="AK88" s="32">
        <f t="shared" si="207"/>
        <v>673</v>
      </c>
      <c r="AL88" s="32">
        <f t="shared" si="207"/>
        <v>673</v>
      </c>
      <c r="AM88" s="32">
        <f t="shared" si="207"/>
        <v>673</v>
      </c>
      <c r="AN88" s="32" t="str">
        <f t="shared" si="207"/>
        <v/>
      </c>
      <c r="AO88" s="32" t="str">
        <f t="shared" si="207"/>
        <v/>
      </c>
      <c r="AP88" s="32" t="str">
        <f t="shared" si="207"/>
        <v/>
      </c>
      <c r="AQ88" s="32" t="str">
        <f t="shared" si="207"/>
        <v/>
      </c>
      <c r="AR88" s="32" t="str">
        <f t="shared" si="207"/>
        <v/>
      </c>
      <c r="AS88" s="32" t="str">
        <f t="shared" si="207"/>
        <v/>
      </c>
      <c r="AT88" s="4"/>
      <c r="AU88" s="33">
        <f t="shared" ref="AU88:BG88" si="208">iferror(if($BJ88+AG$2&gt;12,"", if(offset(BY88,0,$BJ88)="","",offset(BY88,0,$BJ88)/AG88)))</f>
        <v>1</v>
      </c>
      <c r="AV88" s="33">
        <f t="shared" si="208"/>
        <v>1</v>
      </c>
      <c r="AW88" s="33">
        <f t="shared" si="208"/>
        <v>1</v>
      </c>
      <c r="AX88" s="33">
        <f t="shared" si="208"/>
        <v>1</v>
      </c>
      <c r="AY88" s="33">
        <f t="shared" si="208"/>
        <v>1</v>
      </c>
      <c r="AZ88" s="33">
        <f t="shared" si="208"/>
        <v>1</v>
      </c>
      <c r="BA88" s="33">
        <f t="shared" si="208"/>
        <v>1</v>
      </c>
      <c r="BB88" s="33" t="str">
        <f t="shared" si="208"/>
        <v/>
      </c>
      <c r="BC88" s="33" t="str">
        <f t="shared" si="208"/>
        <v/>
      </c>
      <c r="BD88" s="33" t="str">
        <f t="shared" si="208"/>
        <v/>
      </c>
      <c r="BE88" s="33" t="str">
        <f t="shared" si="208"/>
        <v/>
      </c>
      <c r="BF88" s="33" t="str">
        <f t="shared" si="208"/>
        <v/>
      </c>
      <c r="BG88" s="33" t="str">
        <f t="shared" si="208"/>
        <v/>
      </c>
      <c r="BH88" s="5"/>
      <c r="BI88" s="5"/>
      <c r="BJ88" s="34">
        <f t="shared" si="196"/>
        <v>6</v>
      </c>
      <c r="BK88" s="6">
        <v>111.0</v>
      </c>
      <c r="BL88" s="6">
        <v>111.0</v>
      </c>
      <c r="BM88" s="6">
        <v>111.0</v>
      </c>
      <c r="BN88" s="6">
        <v>111.0</v>
      </c>
      <c r="BO88" s="6">
        <v>111.0</v>
      </c>
      <c r="BP88" s="6">
        <v>673.0</v>
      </c>
      <c r="BQ88" s="6">
        <v>673.0</v>
      </c>
      <c r="BR88" s="6">
        <v>673.0</v>
      </c>
      <c r="BS88" s="6">
        <v>673.0</v>
      </c>
      <c r="BT88" s="6">
        <v>673.0</v>
      </c>
      <c r="BU88" s="6">
        <v>673.0</v>
      </c>
      <c r="BV88" s="6">
        <v>673.0</v>
      </c>
      <c r="BW88" s="6">
        <v>673.0</v>
      </c>
      <c r="BX88" s="6">
        <v>673.0</v>
      </c>
      <c r="BY88" s="27">
        <v>673.0</v>
      </c>
      <c r="BZ88" s="27">
        <v>673.0</v>
      </c>
      <c r="CA88" s="27">
        <v>673.0</v>
      </c>
      <c r="CB88" s="27">
        <v>673.0</v>
      </c>
      <c r="CC88" s="27">
        <v>673.0</v>
      </c>
      <c r="CD88" s="27">
        <v>673.0</v>
      </c>
      <c r="CE88" s="27">
        <v>673.0</v>
      </c>
      <c r="CF88" s="27">
        <v>673.0</v>
      </c>
      <c r="CG88" s="27">
        <v>673.0</v>
      </c>
      <c r="CH88" s="27">
        <v>673.0</v>
      </c>
      <c r="CI88" s="27">
        <v>673.0</v>
      </c>
      <c r="CJ88" s="27">
        <v>673.0</v>
      </c>
      <c r="CK88" s="27">
        <v>673.0</v>
      </c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62"/>
      <c r="Q89" s="63"/>
      <c r="R89" s="23" t="str">
        <f t="shared" si="188"/>
        <v>#VALUE!</v>
      </c>
      <c r="S89" s="31">
        <f t="shared" ref="S89:AD89" si="209">if(or($AG89="",AH89=""),"",iferror(AH89/$AG89,""))</f>
        <v>1</v>
      </c>
      <c r="T89" s="31">
        <f t="shared" si="209"/>
        <v>1</v>
      </c>
      <c r="U89" s="31">
        <f t="shared" si="209"/>
        <v>1</v>
      </c>
      <c r="V89" s="31">
        <f t="shared" si="209"/>
        <v>1.485651214</v>
      </c>
      <c r="W89" s="31">
        <f t="shared" si="209"/>
        <v>1.485651214</v>
      </c>
      <c r="X89" s="31" t="str">
        <f t="shared" si="209"/>
        <v/>
      </c>
      <c r="Y89" s="31" t="str">
        <f t="shared" si="209"/>
        <v/>
      </c>
      <c r="Z89" s="31" t="str">
        <f t="shared" si="209"/>
        <v/>
      </c>
      <c r="AA89" s="31" t="str">
        <f t="shared" si="209"/>
        <v/>
      </c>
      <c r="AB89" s="31" t="str">
        <f t="shared" si="209"/>
        <v/>
      </c>
      <c r="AC89" s="31" t="str">
        <f t="shared" si="209"/>
        <v/>
      </c>
      <c r="AD89" s="31" t="str">
        <f t="shared" si="209"/>
        <v/>
      </c>
      <c r="AE89" s="5"/>
      <c r="AF89" s="5"/>
      <c r="AG89" s="32">
        <f t="shared" si="190"/>
        <v>453</v>
      </c>
      <c r="AH89" s="32">
        <f t="shared" ref="AH89:AS89" si="210">iferror(if($BJ69+AH$2&gt;12,"", if(offset(BM89,0,$BJ69)="","",offset(BM89,0,$BJ69))))</f>
        <v>453</v>
      </c>
      <c r="AI89" s="32">
        <f t="shared" si="210"/>
        <v>453</v>
      </c>
      <c r="AJ89" s="32">
        <f t="shared" si="210"/>
        <v>453</v>
      </c>
      <c r="AK89" s="32">
        <f t="shared" si="210"/>
        <v>673</v>
      </c>
      <c r="AL89" s="32">
        <f t="shared" si="210"/>
        <v>673</v>
      </c>
      <c r="AM89" s="32" t="str">
        <f t="shared" si="210"/>
        <v/>
      </c>
      <c r="AN89" s="32" t="str">
        <f t="shared" si="210"/>
        <v/>
      </c>
      <c r="AO89" s="32" t="str">
        <f t="shared" si="210"/>
        <v/>
      </c>
      <c r="AP89" s="32" t="str">
        <f t="shared" si="210"/>
        <v/>
      </c>
      <c r="AQ89" s="32" t="str">
        <f t="shared" si="210"/>
        <v/>
      </c>
      <c r="AR89" s="32" t="str">
        <f t="shared" si="210"/>
        <v/>
      </c>
      <c r="AS89" s="32" t="str">
        <f t="shared" si="210"/>
        <v/>
      </c>
      <c r="AT89" s="4"/>
      <c r="AU89" s="33">
        <f t="shared" ref="AU89:BG89" si="211">iferror(if($BJ89+AG$2&gt;12,"", if(offset(BY89,0,$BJ89)="","",offset(BY89,0,$BJ89)/AG89)))</f>
        <v>1</v>
      </c>
      <c r="AV89" s="33">
        <f t="shared" si="211"/>
        <v>1</v>
      </c>
      <c r="AW89" s="33">
        <f t="shared" si="211"/>
        <v>1</v>
      </c>
      <c r="AX89" s="33">
        <f t="shared" si="211"/>
        <v>1</v>
      </c>
      <c r="AY89" s="33">
        <f t="shared" si="211"/>
        <v>1</v>
      </c>
      <c r="AZ89" s="33">
        <f t="shared" si="211"/>
        <v>1</v>
      </c>
      <c r="BA89" s="33" t="str">
        <f t="shared" si="211"/>
        <v/>
      </c>
      <c r="BB89" s="33" t="str">
        <f t="shared" si="211"/>
        <v/>
      </c>
      <c r="BC89" s="33" t="str">
        <f t="shared" si="211"/>
        <v/>
      </c>
      <c r="BD89" s="33" t="str">
        <f t="shared" si="211"/>
        <v/>
      </c>
      <c r="BE89" s="33" t="str">
        <f t="shared" si="211"/>
        <v/>
      </c>
      <c r="BF89" s="33" t="str">
        <f t="shared" si="211"/>
        <v/>
      </c>
      <c r="BG89" s="33" t="str">
        <f t="shared" si="211"/>
        <v/>
      </c>
      <c r="BH89" s="5"/>
      <c r="BI89" s="5"/>
      <c r="BJ89" s="34">
        <f t="shared" si="196"/>
        <v>7</v>
      </c>
      <c r="BK89" s="6">
        <v>111.0</v>
      </c>
      <c r="BL89" s="6">
        <v>111.0</v>
      </c>
      <c r="BM89" s="6">
        <v>111.0</v>
      </c>
      <c r="BN89" s="6">
        <v>111.0</v>
      </c>
      <c r="BO89" s="6">
        <v>111.0</v>
      </c>
      <c r="BP89" s="6">
        <v>453.0</v>
      </c>
      <c r="BQ89" s="6">
        <v>453.0</v>
      </c>
      <c r="BR89" s="6">
        <v>453.0</v>
      </c>
      <c r="BS89" s="6">
        <v>453.0</v>
      </c>
      <c r="BT89" s="6">
        <v>453.0</v>
      </c>
      <c r="BU89" s="6">
        <v>453.0</v>
      </c>
      <c r="BV89" s="6">
        <v>453.0</v>
      </c>
      <c r="BW89" s="6">
        <v>673.0</v>
      </c>
      <c r="BX89" s="6">
        <v>673.0</v>
      </c>
      <c r="BY89" s="27">
        <v>453.0</v>
      </c>
      <c r="BZ89" s="27">
        <v>453.0</v>
      </c>
      <c r="CA89" s="27">
        <v>453.0</v>
      </c>
      <c r="CB89" s="27">
        <v>453.0</v>
      </c>
      <c r="CC89" s="27">
        <v>453.0</v>
      </c>
      <c r="CD89" s="27">
        <v>673.0</v>
      </c>
      <c r="CE89" s="27">
        <v>673.0</v>
      </c>
      <c r="CF89" s="27">
        <v>453.0</v>
      </c>
      <c r="CG89" s="27">
        <v>453.0</v>
      </c>
      <c r="CH89" s="27">
        <v>453.0</v>
      </c>
      <c r="CI89" s="27">
        <v>453.0</v>
      </c>
      <c r="CJ89" s="27">
        <v>673.0</v>
      </c>
      <c r="CK89" s="27">
        <v>673.0</v>
      </c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62"/>
      <c r="Q90" s="63"/>
      <c r="R90" s="23" t="str">
        <f t="shared" si="188"/>
        <v>#VALUE!</v>
      </c>
      <c r="S90" s="31">
        <f t="shared" ref="S90:AD90" si="212">if(or($AG90="",AH90=""),"",iferror(AH90/$AG90,""))</f>
        <v>1</v>
      </c>
      <c r="T90" s="31">
        <f t="shared" si="212"/>
        <v>0.5929319372</v>
      </c>
      <c r="U90" s="31">
        <f t="shared" si="212"/>
        <v>0.8808900524</v>
      </c>
      <c r="V90" s="31">
        <f t="shared" si="212"/>
        <v>0.8808900524</v>
      </c>
      <c r="W90" s="31" t="str">
        <f t="shared" si="212"/>
        <v/>
      </c>
      <c r="X90" s="31" t="str">
        <f t="shared" si="212"/>
        <v/>
      </c>
      <c r="Y90" s="31" t="str">
        <f t="shared" si="212"/>
        <v/>
      </c>
      <c r="Z90" s="31" t="str">
        <f t="shared" si="212"/>
        <v/>
      </c>
      <c r="AA90" s="31" t="str">
        <f t="shared" si="212"/>
        <v/>
      </c>
      <c r="AB90" s="31" t="str">
        <f t="shared" si="212"/>
        <v/>
      </c>
      <c r="AC90" s="31" t="str">
        <f t="shared" si="212"/>
        <v/>
      </c>
      <c r="AD90" s="31" t="str">
        <f t="shared" si="212"/>
        <v/>
      </c>
      <c r="AE90" s="5"/>
      <c r="AF90" s="5"/>
      <c r="AG90" s="32">
        <f t="shared" si="190"/>
        <v>764</v>
      </c>
      <c r="AH90" s="32">
        <f t="shared" ref="AH90:AS90" si="213">iferror(if($BJ70+AH$2&gt;12,"", if(offset(BM90,0,$BJ70)="","",offset(BM90,0,$BJ70))))</f>
        <v>764</v>
      </c>
      <c r="AI90" s="32">
        <f t="shared" si="213"/>
        <v>453</v>
      </c>
      <c r="AJ90" s="32">
        <f t="shared" si="213"/>
        <v>673</v>
      </c>
      <c r="AK90" s="32">
        <f t="shared" si="213"/>
        <v>673</v>
      </c>
      <c r="AL90" s="32" t="str">
        <f t="shared" si="213"/>
        <v/>
      </c>
      <c r="AM90" s="32" t="str">
        <f t="shared" si="213"/>
        <v/>
      </c>
      <c r="AN90" s="32" t="str">
        <f t="shared" si="213"/>
        <v/>
      </c>
      <c r="AO90" s="32" t="str">
        <f t="shared" si="213"/>
        <v/>
      </c>
      <c r="AP90" s="32" t="str">
        <f t="shared" si="213"/>
        <v/>
      </c>
      <c r="AQ90" s="32" t="str">
        <f t="shared" si="213"/>
        <v/>
      </c>
      <c r="AR90" s="32" t="str">
        <f t="shared" si="213"/>
        <v/>
      </c>
      <c r="AS90" s="32" t="str">
        <f t="shared" si="213"/>
        <v/>
      </c>
      <c r="AT90" s="4"/>
      <c r="AU90" s="33">
        <f t="shared" ref="AU90:BG90" si="214">iferror(if($BJ90+AG$2&gt;12,"", if(offset(BY90,0,$BJ90)="","",offset(BY90,0,$BJ90)/AG90)))</f>
        <v>1</v>
      </c>
      <c r="AV90" s="33">
        <f t="shared" si="214"/>
        <v>1</v>
      </c>
      <c r="AW90" s="33">
        <f t="shared" si="214"/>
        <v>1</v>
      </c>
      <c r="AX90" s="33">
        <f t="shared" si="214"/>
        <v>1</v>
      </c>
      <c r="AY90" s="33">
        <f t="shared" si="214"/>
        <v>1</v>
      </c>
      <c r="AZ90" s="33" t="str">
        <f t="shared" si="214"/>
        <v/>
      </c>
      <c r="BA90" s="33" t="str">
        <f t="shared" si="214"/>
        <v/>
      </c>
      <c r="BB90" s="33" t="str">
        <f t="shared" si="214"/>
        <v/>
      </c>
      <c r="BC90" s="33" t="str">
        <f t="shared" si="214"/>
        <v/>
      </c>
      <c r="BD90" s="33" t="str">
        <f t="shared" si="214"/>
        <v/>
      </c>
      <c r="BE90" s="33" t="str">
        <f t="shared" si="214"/>
        <v/>
      </c>
      <c r="BF90" s="33" t="str">
        <f t="shared" si="214"/>
        <v/>
      </c>
      <c r="BG90" s="33" t="str">
        <f t="shared" si="214"/>
        <v/>
      </c>
      <c r="BH90" s="5"/>
      <c r="BI90" s="5"/>
      <c r="BJ90" s="34">
        <f t="shared" si="196"/>
        <v>8</v>
      </c>
      <c r="BK90" s="6">
        <v>111.0</v>
      </c>
      <c r="BL90" s="6">
        <v>111.0</v>
      </c>
      <c r="BM90" s="6">
        <v>111.0</v>
      </c>
      <c r="BN90" s="6">
        <v>111.0</v>
      </c>
      <c r="BO90" s="6">
        <v>111.0</v>
      </c>
      <c r="BP90" s="6">
        <v>567.0</v>
      </c>
      <c r="BQ90" s="6">
        <v>764.0</v>
      </c>
      <c r="BR90" s="6">
        <v>764.0</v>
      </c>
      <c r="BS90" s="6">
        <v>764.0</v>
      </c>
      <c r="BT90" s="6">
        <v>764.0</v>
      </c>
      <c r="BU90" s="6">
        <v>764.0</v>
      </c>
      <c r="BV90" s="6">
        <v>453.0</v>
      </c>
      <c r="BW90" s="6">
        <v>673.0</v>
      </c>
      <c r="BX90" s="6">
        <v>673.0</v>
      </c>
      <c r="BY90" s="27">
        <v>764.0</v>
      </c>
      <c r="BZ90" s="27">
        <v>764.0</v>
      </c>
      <c r="CA90" s="27">
        <v>764.0</v>
      </c>
      <c r="CB90" s="27">
        <v>764.0</v>
      </c>
      <c r="CC90" s="27">
        <v>453.0</v>
      </c>
      <c r="CD90" s="27">
        <v>673.0</v>
      </c>
      <c r="CE90" s="27">
        <v>673.0</v>
      </c>
      <c r="CF90" s="27">
        <v>764.0</v>
      </c>
      <c r="CG90" s="27">
        <v>764.0</v>
      </c>
      <c r="CH90" s="27">
        <v>764.0</v>
      </c>
      <c r="CI90" s="27">
        <v>453.0</v>
      </c>
      <c r="CJ90" s="27">
        <v>673.0</v>
      </c>
      <c r="CK90" s="27">
        <v>673.0</v>
      </c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62"/>
      <c r="Q91" s="63"/>
      <c r="R91" s="23" t="str">
        <f t="shared" si="188"/>
        <v>#VALUE!</v>
      </c>
      <c r="S91" s="31">
        <f t="shared" ref="S91:AD91" si="215">if(or($AG91="",AH91=""),"",iferror(AH91/$AG91,""))</f>
        <v>1</v>
      </c>
      <c r="T91" s="31">
        <f t="shared" si="215"/>
        <v>6.063063063</v>
      </c>
      <c r="U91" s="31">
        <f t="shared" si="215"/>
        <v>6.063063063</v>
      </c>
      <c r="V91" s="31" t="str">
        <f t="shared" si="215"/>
        <v/>
      </c>
      <c r="W91" s="31" t="str">
        <f t="shared" si="215"/>
        <v/>
      </c>
      <c r="X91" s="31" t="str">
        <f t="shared" si="215"/>
        <v/>
      </c>
      <c r="Y91" s="31" t="str">
        <f t="shared" si="215"/>
        <v/>
      </c>
      <c r="Z91" s="31" t="str">
        <f t="shared" si="215"/>
        <v/>
      </c>
      <c r="AA91" s="31" t="str">
        <f t="shared" si="215"/>
        <v/>
      </c>
      <c r="AB91" s="31" t="str">
        <f t="shared" si="215"/>
        <v/>
      </c>
      <c r="AC91" s="31" t="str">
        <f t="shared" si="215"/>
        <v/>
      </c>
      <c r="AD91" s="31" t="str">
        <f t="shared" si="215"/>
        <v/>
      </c>
      <c r="AE91" s="5"/>
      <c r="AF91" s="5"/>
      <c r="AG91" s="32">
        <f t="shared" si="190"/>
        <v>111</v>
      </c>
      <c r="AH91" s="32">
        <f t="shared" ref="AH91:AS91" si="216">iferror(if($BJ71+AH$2&gt;12,"", if(offset(BM91,0,$BJ71)="","",offset(BM91,0,$BJ71))))</f>
        <v>111</v>
      </c>
      <c r="AI91" s="32">
        <f t="shared" si="216"/>
        <v>673</v>
      </c>
      <c r="AJ91" s="32">
        <f t="shared" si="216"/>
        <v>673</v>
      </c>
      <c r="AK91" s="32" t="str">
        <f t="shared" si="216"/>
        <v/>
      </c>
      <c r="AL91" s="32" t="str">
        <f t="shared" si="216"/>
        <v/>
      </c>
      <c r="AM91" s="32" t="str">
        <f t="shared" si="216"/>
        <v/>
      </c>
      <c r="AN91" s="32" t="str">
        <f t="shared" si="216"/>
        <v/>
      </c>
      <c r="AO91" s="32" t="str">
        <f t="shared" si="216"/>
        <v/>
      </c>
      <c r="AP91" s="32" t="str">
        <f t="shared" si="216"/>
        <v/>
      </c>
      <c r="AQ91" s="32" t="str">
        <f t="shared" si="216"/>
        <v/>
      </c>
      <c r="AR91" s="32" t="str">
        <f t="shared" si="216"/>
        <v/>
      </c>
      <c r="AS91" s="32" t="str">
        <f t="shared" si="216"/>
        <v/>
      </c>
      <c r="AT91" s="4"/>
      <c r="AU91" s="33">
        <f t="shared" ref="AU91:BG91" si="217">iferror(if($BJ91+AG$2&gt;12,"", if(offset(BY91,0,$BJ91)="","",offset(BY91,0,$BJ91)/AG91)))</f>
        <v>1</v>
      </c>
      <c r="AV91" s="33">
        <f t="shared" si="217"/>
        <v>1</v>
      </c>
      <c r="AW91" s="33">
        <f t="shared" si="217"/>
        <v>1</v>
      </c>
      <c r="AX91" s="33">
        <f t="shared" si="217"/>
        <v>1</v>
      </c>
      <c r="AY91" s="33" t="str">
        <f t="shared" si="217"/>
        <v/>
      </c>
      <c r="AZ91" s="33" t="str">
        <f t="shared" si="217"/>
        <v/>
      </c>
      <c r="BA91" s="33" t="str">
        <f t="shared" si="217"/>
        <v/>
      </c>
      <c r="BB91" s="33" t="str">
        <f t="shared" si="217"/>
        <v/>
      </c>
      <c r="BC91" s="33" t="str">
        <f t="shared" si="217"/>
        <v/>
      </c>
      <c r="BD91" s="33" t="str">
        <f t="shared" si="217"/>
        <v/>
      </c>
      <c r="BE91" s="33" t="str">
        <f t="shared" si="217"/>
        <v/>
      </c>
      <c r="BF91" s="33" t="str">
        <f t="shared" si="217"/>
        <v/>
      </c>
      <c r="BG91" s="33" t="str">
        <f t="shared" si="217"/>
        <v/>
      </c>
      <c r="BH91" s="5"/>
      <c r="BI91" s="5"/>
      <c r="BJ91" s="34">
        <f t="shared" si="196"/>
        <v>9</v>
      </c>
      <c r="BK91" s="6">
        <v>111.0</v>
      </c>
      <c r="BL91" s="6">
        <v>111.0</v>
      </c>
      <c r="BM91" s="6">
        <v>111.0</v>
      </c>
      <c r="BN91" s="6">
        <v>111.0</v>
      </c>
      <c r="BO91" s="6">
        <v>111.0</v>
      </c>
      <c r="BP91" s="6">
        <v>111.0</v>
      </c>
      <c r="BQ91" s="6">
        <v>111.0</v>
      </c>
      <c r="BR91" s="6">
        <v>111.0</v>
      </c>
      <c r="BS91" s="6">
        <v>111.0</v>
      </c>
      <c r="BT91" s="6">
        <v>111.0</v>
      </c>
      <c r="BU91" s="6">
        <v>111.0</v>
      </c>
      <c r="BV91" s="6">
        <v>111.0</v>
      </c>
      <c r="BW91" s="6">
        <v>673.0</v>
      </c>
      <c r="BX91" s="6">
        <v>673.0</v>
      </c>
      <c r="BY91" s="27">
        <v>111.0</v>
      </c>
      <c r="BZ91" s="27">
        <v>111.0</v>
      </c>
      <c r="CA91" s="27">
        <v>111.0</v>
      </c>
      <c r="CB91" s="27">
        <v>111.0</v>
      </c>
      <c r="CC91" s="27">
        <v>111.0</v>
      </c>
      <c r="CD91" s="27">
        <v>673.0</v>
      </c>
      <c r="CE91" s="27">
        <v>673.0</v>
      </c>
      <c r="CF91" s="27">
        <v>111.0</v>
      </c>
      <c r="CG91" s="27">
        <v>111.0</v>
      </c>
      <c r="CH91" s="27">
        <v>111.0</v>
      </c>
      <c r="CI91" s="27">
        <v>111.0</v>
      </c>
      <c r="CJ91" s="27">
        <v>673.0</v>
      </c>
      <c r="CK91" s="27">
        <v>673.0</v>
      </c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62"/>
      <c r="Q92" s="63"/>
      <c r="R92" s="23" t="str">
        <f t="shared" si="188"/>
        <v>#VALUE!</v>
      </c>
      <c r="S92" s="31">
        <f t="shared" ref="S92:AD92" si="218">if(or($AG92="",AH92=""),"",iferror(AH92/$AG92,""))</f>
        <v>1.485651214</v>
      </c>
      <c r="T92" s="31">
        <f t="shared" si="218"/>
        <v>1.485651214</v>
      </c>
      <c r="U92" s="31" t="str">
        <f t="shared" si="218"/>
        <v/>
      </c>
      <c r="V92" s="31" t="str">
        <f t="shared" si="218"/>
        <v/>
      </c>
      <c r="W92" s="31" t="str">
        <f t="shared" si="218"/>
        <v/>
      </c>
      <c r="X92" s="31" t="str">
        <f t="shared" si="218"/>
        <v/>
      </c>
      <c r="Y92" s="31" t="str">
        <f t="shared" si="218"/>
        <v/>
      </c>
      <c r="Z92" s="31" t="str">
        <f t="shared" si="218"/>
        <v/>
      </c>
      <c r="AA92" s="31" t="str">
        <f t="shared" si="218"/>
        <v/>
      </c>
      <c r="AB92" s="31" t="str">
        <f t="shared" si="218"/>
        <v/>
      </c>
      <c r="AC92" s="31" t="str">
        <f t="shared" si="218"/>
        <v/>
      </c>
      <c r="AD92" s="31" t="str">
        <f t="shared" si="218"/>
        <v/>
      </c>
      <c r="AE92" s="5"/>
      <c r="AF92" s="5"/>
      <c r="AG92" s="32">
        <f t="shared" si="190"/>
        <v>453</v>
      </c>
      <c r="AH92" s="32">
        <f t="shared" ref="AH92:AS92" si="219">iferror(if($BJ72+AH$2&gt;12,"", if(offset(BM92,0,$BJ72)="","",offset(BM92,0,$BJ72))))</f>
        <v>673</v>
      </c>
      <c r="AI92" s="32">
        <f t="shared" si="219"/>
        <v>673</v>
      </c>
      <c r="AJ92" s="32" t="str">
        <f t="shared" si="219"/>
        <v/>
      </c>
      <c r="AK92" s="32" t="str">
        <f t="shared" si="219"/>
        <v/>
      </c>
      <c r="AL92" s="32" t="str">
        <f t="shared" si="219"/>
        <v/>
      </c>
      <c r="AM92" s="32" t="str">
        <f t="shared" si="219"/>
        <v/>
      </c>
      <c r="AN92" s="32" t="str">
        <f t="shared" si="219"/>
        <v/>
      </c>
      <c r="AO92" s="32" t="str">
        <f t="shared" si="219"/>
        <v/>
      </c>
      <c r="AP92" s="32" t="str">
        <f t="shared" si="219"/>
        <v/>
      </c>
      <c r="AQ92" s="32" t="str">
        <f t="shared" si="219"/>
        <v/>
      </c>
      <c r="AR92" s="32" t="str">
        <f t="shared" si="219"/>
        <v/>
      </c>
      <c r="AS92" s="32" t="str">
        <f t="shared" si="219"/>
        <v/>
      </c>
      <c r="AT92" s="4"/>
      <c r="AU92" s="33">
        <f t="shared" ref="AU92:BG92" si="220">iferror(if($BJ92+AG$2&gt;12,"", if(offset(BY92,0,$BJ92)="","",offset(BY92,0,$BJ92)/AG92)))</f>
        <v>1</v>
      </c>
      <c r="AV92" s="33">
        <f t="shared" si="220"/>
        <v>1</v>
      </c>
      <c r="AW92" s="33">
        <f t="shared" si="220"/>
        <v>1</v>
      </c>
      <c r="AX92" s="33" t="str">
        <f t="shared" si="220"/>
        <v/>
      </c>
      <c r="AY92" s="33" t="str">
        <f t="shared" si="220"/>
        <v/>
      </c>
      <c r="AZ92" s="33" t="str">
        <f t="shared" si="220"/>
        <v/>
      </c>
      <c r="BA92" s="33" t="str">
        <f t="shared" si="220"/>
        <v/>
      </c>
      <c r="BB92" s="33" t="str">
        <f t="shared" si="220"/>
        <v/>
      </c>
      <c r="BC92" s="33" t="str">
        <f t="shared" si="220"/>
        <v/>
      </c>
      <c r="BD92" s="33" t="str">
        <f t="shared" si="220"/>
        <v/>
      </c>
      <c r="BE92" s="33" t="str">
        <f t="shared" si="220"/>
        <v/>
      </c>
      <c r="BF92" s="33" t="str">
        <f t="shared" si="220"/>
        <v/>
      </c>
      <c r="BG92" s="33" t="str">
        <f t="shared" si="220"/>
        <v/>
      </c>
      <c r="BH92" s="5"/>
      <c r="BI92" s="5"/>
      <c r="BJ92" s="34">
        <f t="shared" si="196"/>
        <v>10</v>
      </c>
      <c r="BK92" s="6">
        <v>111.0</v>
      </c>
      <c r="BL92" s="6">
        <v>111.0</v>
      </c>
      <c r="BM92" s="6">
        <v>111.0</v>
      </c>
      <c r="BN92" s="6">
        <v>111.0</v>
      </c>
      <c r="BO92" s="6">
        <v>111.0</v>
      </c>
      <c r="BP92" s="6">
        <v>567.0</v>
      </c>
      <c r="BQ92" s="6">
        <v>764.0</v>
      </c>
      <c r="BR92" s="6">
        <v>764.0</v>
      </c>
      <c r="BS92" s="6">
        <v>764.0</v>
      </c>
      <c r="BT92" s="6">
        <v>764.0</v>
      </c>
      <c r="BU92" s="6">
        <v>764.0</v>
      </c>
      <c r="BV92" s="6">
        <v>453.0</v>
      </c>
      <c r="BW92" s="6">
        <v>673.0</v>
      </c>
      <c r="BX92" s="6">
        <v>673.0</v>
      </c>
      <c r="BY92" s="27">
        <v>764.0</v>
      </c>
      <c r="BZ92" s="27">
        <v>764.0</v>
      </c>
      <c r="CA92" s="27">
        <v>764.0</v>
      </c>
      <c r="CB92" s="27">
        <v>764.0</v>
      </c>
      <c r="CC92" s="27">
        <v>453.0</v>
      </c>
      <c r="CD92" s="27">
        <v>673.0</v>
      </c>
      <c r="CE92" s="27">
        <v>673.0</v>
      </c>
      <c r="CF92" s="27">
        <v>764.0</v>
      </c>
      <c r="CG92" s="27">
        <v>764.0</v>
      </c>
      <c r="CH92" s="27">
        <v>764.0</v>
      </c>
      <c r="CI92" s="27">
        <v>453.0</v>
      </c>
      <c r="CJ92" s="27">
        <v>673.0</v>
      </c>
      <c r="CK92" s="27">
        <v>673.0</v>
      </c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62"/>
      <c r="Q93" s="63"/>
      <c r="R93" s="23" t="str">
        <f t="shared" si="188"/>
        <v>#VALUE!</v>
      </c>
      <c r="S93" s="31">
        <f t="shared" ref="S93:AD93" si="221">if(or($AG93="",AH93=""),"",iferror(AH93/$AG93,""))</f>
        <v>1</v>
      </c>
      <c r="T93" s="31" t="str">
        <f t="shared" si="221"/>
        <v/>
      </c>
      <c r="U93" s="31" t="str">
        <f t="shared" si="221"/>
        <v/>
      </c>
      <c r="V93" s="31" t="str">
        <f t="shared" si="221"/>
        <v/>
      </c>
      <c r="W93" s="31" t="str">
        <f t="shared" si="221"/>
        <v/>
      </c>
      <c r="X93" s="31" t="str">
        <f t="shared" si="221"/>
        <v/>
      </c>
      <c r="Y93" s="31" t="str">
        <f t="shared" si="221"/>
        <v/>
      </c>
      <c r="Z93" s="31" t="str">
        <f t="shared" si="221"/>
        <v/>
      </c>
      <c r="AA93" s="31" t="str">
        <f t="shared" si="221"/>
        <v/>
      </c>
      <c r="AB93" s="31" t="str">
        <f t="shared" si="221"/>
        <v/>
      </c>
      <c r="AC93" s="31" t="str">
        <f t="shared" si="221"/>
        <v/>
      </c>
      <c r="AD93" s="31" t="str">
        <f t="shared" si="221"/>
        <v/>
      </c>
      <c r="AE93" s="5"/>
      <c r="AF93" s="5"/>
      <c r="AG93" s="32">
        <f t="shared" si="190"/>
        <v>673</v>
      </c>
      <c r="AH93" s="32">
        <f t="shared" ref="AH93:AS93" si="222">iferror(if($BJ73+AH$2&gt;12,"", if(offset(BM93,0,$BJ73)="","",offset(BM93,0,$BJ73))))</f>
        <v>673</v>
      </c>
      <c r="AI93" s="32" t="str">
        <f t="shared" si="222"/>
        <v/>
      </c>
      <c r="AJ93" s="32" t="str">
        <f t="shared" si="222"/>
        <v/>
      </c>
      <c r="AK93" s="32" t="str">
        <f t="shared" si="222"/>
        <v/>
      </c>
      <c r="AL93" s="32" t="str">
        <f t="shared" si="222"/>
        <v/>
      </c>
      <c r="AM93" s="32" t="str">
        <f t="shared" si="222"/>
        <v/>
      </c>
      <c r="AN93" s="32" t="str">
        <f t="shared" si="222"/>
        <v/>
      </c>
      <c r="AO93" s="32" t="str">
        <f t="shared" si="222"/>
        <v/>
      </c>
      <c r="AP93" s="32" t="str">
        <f t="shared" si="222"/>
        <v/>
      </c>
      <c r="AQ93" s="32" t="str">
        <f t="shared" si="222"/>
        <v/>
      </c>
      <c r="AR93" s="32" t="str">
        <f t="shared" si="222"/>
        <v/>
      </c>
      <c r="AS93" s="32" t="str">
        <f t="shared" si="222"/>
        <v/>
      </c>
      <c r="AT93" s="5"/>
      <c r="AU93" s="33">
        <f t="shared" ref="AU93:BG93" si="223">iferror(if($BJ93+AG$2&gt;12,"", if(offset(BY93,0,$BJ93)="","",offset(BY93,0,$BJ93)/AG93)))</f>
        <v>1</v>
      </c>
      <c r="AV93" s="33">
        <f t="shared" si="223"/>
        <v>1</v>
      </c>
      <c r="AW93" s="33" t="str">
        <f t="shared" si="223"/>
        <v/>
      </c>
      <c r="AX93" s="33" t="str">
        <f t="shared" si="223"/>
        <v/>
      </c>
      <c r="AY93" s="33" t="str">
        <f t="shared" si="223"/>
        <v/>
      </c>
      <c r="AZ93" s="33" t="str">
        <f t="shared" si="223"/>
        <v/>
      </c>
      <c r="BA93" s="33" t="str">
        <f t="shared" si="223"/>
        <v/>
      </c>
      <c r="BB93" s="33" t="str">
        <f t="shared" si="223"/>
        <v/>
      </c>
      <c r="BC93" s="33" t="str">
        <f t="shared" si="223"/>
        <v/>
      </c>
      <c r="BD93" s="33" t="str">
        <f t="shared" si="223"/>
        <v/>
      </c>
      <c r="BE93" s="33" t="str">
        <f t="shared" si="223"/>
        <v/>
      </c>
      <c r="BF93" s="33" t="str">
        <f t="shared" si="223"/>
        <v/>
      </c>
      <c r="BG93" s="33" t="str">
        <f t="shared" si="223"/>
        <v/>
      </c>
      <c r="BH93" s="5"/>
      <c r="BI93" s="5"/>
      <c r="BJ93" s="34">
        <f t="shared" si="196"/>
        <v>11</v>
      </c>
      <c r="BK93" s="6">
        <v>111.0</v>
      </c>
      <c r="BL93" s="6">
        <v>111.0</v>
      </c>
      <c r="BM93" s="6">
        <v>111.0</v>
      </c>
      <c r="BN93" s="6">
        <v>111.0</v>
      </c>
      <c r="BO93" s="6">
        <v>111.0</v>
      </c>
      <c r="BP93" s="6">
        <v>567.0</v>
      </c>
      <c r="BQ93" s="6">
        <v>764.0</v>
      </c>
      <c r="BR93" s="6">
        <v>764.0</v>
      </c>
      <c r="BS93" s="6">
        <v>764.0</v>
      </c>
      <c r="BT93" s="6">
        <v>764.0</v>
      </c>
      <c r="BU93" s="6">
        <v>764.0</v>
      </c>
      <c r="BV93" s="6">
        <v>453.0</v>
      </c>
      <c r="BW93" s="6">
        <v>673.0</v>
      </c>
      <c r="BX93" s="6">
        <v>673.0</v>
      </c>
      <c r="BY93" s="27">
        <v>764.0</v>
      </c>
      <c r="BZ93" s="27">
        <v>764.0</v>
      </c>
      <c r="CA93" s="27">
        <v>764.0</v>
      </c>
      <c r="CB93" s="27">
        <v>764.0</v>
      </c>
      <c r="CC93" s="27">
        <v>453.0</v>
      </c>
      <c r="CD93" s="27">
        <v>673.0</v>
      </c>
      <c r="CE93" s="27">
        <v>673.0</v>
      </c>
      <c r="CF93" s="27">
        <v>764.0</v>
      </c>
      <c r="CG93" s="27">
        <v>764.0</v>
      </c>
      <c r="CH93" s="27">
        <v>764.0</v>
      </c>
      <c r="CI93" s="27">
        <v>453.0</v>
      </c>
      <c r="CJ93" s="27">
        <v>673.0</v>
      </c>
      <c r="CK93" s="27">
        <v>673.0</v>
      </c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62"/>
      <c r="Q94" s="63"/>
      <c r="R94" s="107"/>
      <c r="S94" s="108"/>
      <c r="T94" s="108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25" t="str">
        <f t="shared" ref="AH94:AS94" si="224">iferror(if(offset(BM94,0,$BJ74)="","",offset(BM94,0,$BJ74)),"")</f>
        <v/>
      </c>
      <c r="AI94" s="25" t="str">
        <f t="shared" si="224"/>
        <v/>
      </c>
      <c r="AJ94" s="25" t="str">
        <f t="shared" si="224"/>
        <v/>
      </c>
      <c r="AK94" s="25" t="str">
        <f t="shared" si="224"/>
        <v/>
      </c>
      <c r="AL94" s="25" t="str">
        <f t="shared" si="224"/>
        <v/>
      </c>
      <c r="AM94" s="25" t="str">
        <f t="shared" si="224"/>
        <v/>
      </c>
      <c r="AN94" s="25" t="str">
        <f t="shared" si="224"/>
        <v/>
      </c>
      <c r="AO94" s="25" t="str">
        <f t="shared" si="224"/>
        <v/>
      </c>
      <c r="AP94" s="25" t="str">
        <f t="shared" si="224"/>
        <v/>
      </c>
      <c r="AQ94" s="25" t="str">
        <f t="shared" si="224"/>
        <v/>
      </c>
      <c r="AR94" s="25" t="str">
        <f t="shared" si="224"/>
        <v/>
      </c>
      <c r="AS94" s="25" t="str">
        <f t="shared" si="224"/>
        <v/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62"/>
      <c r="Q95" s="63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68"/>
      <c r="AH95" s="24" t="s">
        <v>5</v>
      </c>
      <c r="AI95" s="24" t="s">
        <v>6</v>
      </c>
      <c r="AJ95" s="24" t="s">
        <v>7</v>
      </c>
      <c r="AK95" s="24" t="s">
        <v>8</v>
      </c>
      <c r="AL95" s="24" t="s">
        <v>9</v>
      </c>
      <c r="AM95" s="24" t="s">
        <v>10</v>
      </c>
      <c r="AN95" s="24" t="s">
        <v>11</v>
      </c>
      <c r="AO95" s="24" t="s">
        <v>12</v>
      </c>
      <c r="AP95" s="24" t="s">
        <v>13</v>
      </c>
      <c r="AQ95" s="24" t="s">
        <v>14</v>
      </c>
      <c r="AR95" s="24" t="s">
        <v>15</v>
      </c>
      <c r="AS95" s="24" t="s">
        <v>16</v>
      </c>
      <c r="AT95" s="5"/>
      <c r="AU95" s="24" t="s">
        <v>29</v>
      </c>
      <c r="AV95" s="24" t="s">
        <v>30</v>
      </c>
      <c r="AW95" s="24" t="s">
        <v>31</v>
      </c>
      <c r="AX95" s="24" t="s">
        <v>32</v>
      </c>
      <c r="AY95" s="24" t="s">
        <v>33</v>
      </c>
      <c r="AZ95" s="24" t="s">
        <v>34</v>
      </c>
      <c r="BA95" s="24" t="s">
        <v>35</v>
      </c>
      <c r="BB95" s="24" t="s">
        <v>36</v>
      </c>
      <c r="BC95" s="24" t="s">
        <v>37</v>
      </c>
      <c r="BD95" s="24" t="s">
        <v>38</v>
      </c>
      <c r="BE95" s="24" t="s">
        <v>39</v>
      </c>
      <c r="BF95" s="24" t="s">
        <v>40</v>
      </c>
      <c r="BG95" s="24" t="s">
        <v>40</v>
      </c>
      <c r="BH95" s="5"/>
      <c r="BI95" s="5"/>
      <c r="BJ95" s="5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62"/>
      <c r="Q96" s="63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69">
        <v>1.0</v>
      </c>
      <c r="AH96" s="69">
        <f t="shared" ref="AH96:AS96" si="225">iferror(sumproduct(AH82:AH93*(AH82:AH93&lt;&gt;"")*($AG82:$AG93&lt;&gt;""))/sumproduct($AG82:$AG93*(AH82:AH93&lt;&gt;"")*($AG82:$AG93&lt;&gt;"")),"")</f>
        <v>1.112185019</v>
      </c>
      <c r="AI96" s="69">
        <f t="shared" si="225"/>
        <v>1.214411248</v>
      </c>
      <c r="AJ96" s="69">
        <f t="shared" si="225"/>
        <v>1.285132819</v>
      </c>
      <c r="AK96" s="69">
        <f t="shared" si="225"/>
        <v>1.311389072</v>
      </c>
      <c r="AL96" s="69">
        <f t="shared" si="225"/>
        <v>1.365409966</v>
      </c>
      <c r="AM96" s="69">
        <f t="shared" si="225"/>
        <v>1.321856287</v>
      </c>
      <c r="AN96" s="69">
        <f t="shared" si="225"/>
        <v>1.368953881</v>
      </c>
      <c r="AO96" s="69">
        <f t="shared" si="225"/>
        <v>1.680504467</v>
      </c>
      <c r="AP96" s="69">
        <f t="shared" si="225"/>
        <v>1.910928144</v>
      </c>
      <c r="AQ96" s="69">
        <f t="shared" si="225"/>
        <v>1.876247505</v>
      </c>
      <c r="AR96" s="69">
        <f t="shared" si="225"/>
        <v>1.806886228</v>
      </c>
      <c r="AS96" s="69">
        <f t="shared" si="225"/>
        <v>2.25748503</v>
      </c>
      <c r="AT96" s="5"/>
      <c r="AU96" s="70">
        <f t="shared" ref="AU96:BG96" si="226">iferror(sumproduct(AU81:AU92*AG81:AG92*(AU81:AU92&lt;&gt;"")*(AG81:AG92&lt;&gt;""))/sumproduct(AG81:AG92*(AU81:AU92&lt;&gt;"")*(AG81:AG92&lt;&gt;"")),"")</f>
        <v>1.209919938</v>
      </c>
      <c r="AV96" s="70">
        <f t="shared" si="226"/>
        <v>1.095997228</v>
      </c>
      <c r="AW96" s="70">
        <f t="shared" si="226"/>
        <v>1.107412767</v>
      </c>
      <c r="AX96" s="70">
        <f t="shared" si="226"/>
        <v>1.092348725</v>
      </c>
      <c r="AY96" s="70">
        <f t="shared" si="226"/>
        <v>1.035977242</v>
      </c>
      <c r="AZ96" s="70">
        <f t="shared" si="226"/>
        <v>0.9399497973</v>
      </c>
      <c r="BA96" s="70">
        <f t="shared" si="226"/>
        <v>1</v>
      </c>
      <c r="BB96" s="70">
        <f t="shared" si="226"/>
        <v>1</v>
      </c>
      <c r="BC96" s="70">
        <f t="shared" si="226"/>
        <v>1</v>
      </c>
      <c r="BD96" s="70">
        <f t="shared" si="226"/>
        <v>1</v>
      </c>
      <c r="BE96" s="70">
        <f t="shared" si="226"/>
        <v>1</v>
      </c>
      <c r="BF96" s="70">
        <f t="shared" si="226"/>
        <v>1</v>
      </c>
      <c r="BG96" s="70">
        <f t="shared" si="226"/>
        <v>1</v>
      </c>
      <c r="BH96" s="5"/>
      <c r="BI96" s="5"/>
      <c r="BJ96" s="5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</row>
    <row r="97">
      <c r="A97" s="28"/>
      <c r="B97" s="76" t="s">
        <v>59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62"/>
      <c r="Q97" s="63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24"/>
      <c r="AU97" s="71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5"/>
      <c r="BG97" s="5"/>
      <c r="BH97" s="5"/>
      <c r="BI97" s="5"/>
      <c r="BJ97" s="5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62"/>
      <c r="Q98" s="63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73" t="s">
        <v>22</v>
      </c>
      <c r="AU98" s="74">
        <f>iferror(sumproduct(AG96:AS96*AU96:BG96),"")</f>
        <v>20.04238695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62"/>
      <c r="Q99" s="63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</row>
    <row r="100" ht="30.75" customHeight="1">
      <c r="A100" s="28"/>
      <c r="B100" s="130" t="s">
        <v>60</v>
      </c>
      <c r="C100" s="131" t="s">
        <v>61</v>
      </c>
      <c r="D100" s="130" t="s">
        <v>62</v>
      </c>
      <c r="E100" s="130" t="s">
        <v>63</v>
      </c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62"/>
      <c r="Q100" s="63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24" t="s">
        <v>5</v>
      </c>
      <c r="AI100" s="24" t="s">
        <v>6</v>
      </c>
      <c r="AJ100" s="24" t="s">
        <v>7</v>
      </c>
      <c r="AK100" s="24" t="s">
        <v>8</v>
      </c>
      <c r="AL100" s="24" t="s">
        <v>9</v>
      </c>
      <c r="AM100" s="24" t="s">
        <v>10</v>
      </c>
      <c r="AN100" s="24" t="s">
        <v>11</v>
      </c>
      <c r="AO100" s="24" t="s">
        <v>12</v>
      </c>
      <c r="AP100" s="24" t="s">
        <v>13</v>
      </c>
      <c r="AQ100" s="24" t="s">
        <v>14</v>
      </c>
      <c r="AR100" s="24" t="s">
        <v>15</v>
      </c>
      <c r="AS100" s="24" t="s">
        <v>16</v>
      </c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</row>
    <row r="101">
      <c r="A101" s="28"/>
      <c r="B101" s="132" t="s">
        <v>29</v>
      </c>
      <c r="C101" s="133">
        <f t="array" ref="C101:C113">transpose(AG18:AS18)</f>
        <v>1</v>
      </c>
      <c r="D101" s="134">
        <f t="array" ref="D101:D113">transpose(AU18:BG18)</f>
        <v>1.209919938</v>
      </c>
      <c r="E101" s="135">
        <f t="shared" ref="E101:E113" si="228">iferror(C101*D101/U$113,"")</f>
        <v>0.060368056</v>
      </c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62"/>
      <c r="Q101" s="63"/>
      <c r="R101" s="73" t="s">
        <v>29</v>
      </c>
      <c r="S101" s="136">
        <f t="shared" ref="S101:S108" si="229">E101</f>
        <v>0.060368056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 t="str">
        <f t="shared" ref="AG101:AG104" si="230">H66</f>
        <v>US traffic</v>
      </c>
      <c r="AH101" s="137">
        <f t="shared" ref="AH101:AS101" si="227">AH18</f>
        <v>1.112185019</v>
      </c>
      <c r="AI101" s="137">
        <f t="shared" si="227"/>
        <v>1.214411248</v>
      </c>
      <c r="AJ101" s="137">
        <f t="shared" si="227"/>
        <v>1.285132819</v>
      </c>
      <c r="AK101" s="137">
        <f t="shared" si="227"/>
        <v>1.311389072</v>
      </c>
      <c r="AL101" s="137">
        <f t="shared" si="227"/>
        <v>1.365409966</v>
      </c>
      <c r="AM101" s="137">
        <f t="shared" si="227"/>
        <v>1.321856287</v>
      </c>
      <c r="AN101" s="137">
        <f t="shared" si="227"/>
        <v>1.368953881</v>
      </c>
      <c r="AO101" s="137">
        <f t="shared" si="227"/>
        <v>1.680504467</v>
      </c>
      <c r="AP101" s="137">
        <f t="shared" si="227"/>
        <v>1.910928144</v>
      </c>
      <c r="AQ101" s="137">
        <f t="shared" si="227"/>
        <v>1.876247505</v>
      </c>
      <c r="AR101" s="137">
        <f t="shared" si="227"/>
        <v>1.806886228</v>
      </c>
      <c r="AS101" s="137">
        <f t="shared" si="227"/>
        <v>2.25748503</v>
      </c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</row>
    <row r="102">
      <c r="A102" s="28"/>
      <c r="B102" s="132" t="s">
        <v>30</v>
      </c>
      <c r="C102" s="133">
        <v>1.112185018985157</v>
      </c>
      <c r="D102" s="138">
        <v>1.0959972275168948</v>
      </c>
      <c r="E102" s="135">
        <f t="shared" si="228"/>
        <v>0.06081868894</v>
      </c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62"/>
      <c r="Q102" s="63"/>
      <c r="R102" s="73" t="s">
        <v>30</v>
      </c>
      <c r="S102" s="136">
        <f t="shared" si="229"/>
        <v>0.06081868894</v>
      </c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 t="str">
        <f t="shared" si="230"/>
        <v>Organic search</v>
      </c>
      <c r="AH102" s="137">
        <f t="shared" ref="AH102:AS102" si="231">AH56</f>
        <v>1.112185019</v>
      </c>
      <c r="AI102" s="137">
        <f t="shared" si="231"/>
        <v>1.214411248</v>
      </c>
      <c r="AJ102" s="137">
        <f t="shared" si="231"/>
        <v>1.285132819</v>
      </c>
      <c r="AK102" s="137">
        <f t="shared" si="231"/>
        <v>1.311389072</v>
      </c>
      <c r="AL102" s="137">
        <f t="shared" si="231"/>
        <v>1.365409966</v>
      </c>
      <c r="AM102" s="137">
        <f t="shared" si="231"/>
        <v>1.321856287</v>
      </c>
      <c r="AN102" s="137">
        <f t="shared" si="231"/>
        <v>1.368953881</v>
      </c>
      <c r="AO102" s="137">
        <f t="shared" si="231"/>
        <v>1.680504467</v>
      </c>
      <c r="AP102" s="137">
        <f t="shared" si="231"/>
        <v>1.910928144</v>
      </c>
      <c r="AQ102" s="137">
        <f t="shared" si="231"/>
        <v>1.876247505</v>
      </c>
      <c r="AR102" s="137">
        <f t="shared" si="231"/>
        <v>1.806886228</v>
      </c>
      <c r="AS102" s="137">
        <f t="shared" si="231"/>
        <v>2.25748503</v>
      </c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</row>
    <row r="103">
      <c r="A103" s="28"/>
      <c r="B103" s="132" t="s">
        <v>31</v>
      </c>
      <c r="C103" s="133">
        <v>1.2144112478031635</v>
      </c>
      <c r="D103" s="138">
        <v>1.1074127673259366</v>
      </c>
      <c r="E103" s="135">
        <f t="shared" si="228"/>
        <v>0.06710051673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62"/>
      <c r="Q103" s="63"/>
      <c r="R103" s="73" t="s">
        <v>31</v>
      </c>
      <c r="S103" s="136">
        <f t="shared" si="229"/>
        <v>0.06710051673</v>
      </c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 t="str">
        <f t="shared" si="230"/>
        <v>Paid search</v>
      </c>
      <c r="AH103" s="137">
        <f t="shared" ref="AH103:AS103" si="232">AH76</f>
        <v>1.112185019</v>
      </c>
      <c r="AI103" s="137">
        <f t="shared" si="232"/>
        <v>1.214411248</v>
      </c>
      <c r="AJ103" s="137">
        <f t="shared" si="232"/>
        <v>1.285132819</v>
      </c>
      <c r="AK103" s="137">
        <f t="shared" si="232"/>
        <v>1.311389072</v>
      </c>
      <c r="AL103" s="137">
        <f t="shared" si="232"/>
        <v>1.365409966</v>
      </c>
      <c r="AM103" s="137">
        <f t="shared" si="232"/>
        <v>1.321856287</v>
      </c>
      <c r="AN103" s="137">
        <f t="shared" si="232"/>
        <v>1.368953881</v>
      </c>
      <c r="AO103" s="137">
        <f t="shared" si="232"/>
        <v>1.680504467</v>
      </c>
      <c r="AP103" s="137">
        <f t="shared" si="232"/>
        <v>1.910928144</v>
      </c>
      <c r="AQ103" s="137">
        <f t="shared" si="232"/>
        <v>1.876247505</v>
      </c>
      <c r="AR103" s="137">
        <f t="shared" si="232"/>
        <v>1.806886228</v>
      </c>
      <c r="AS103" s="137">
        <f t="shared" si="232"/>
        <v>2.25748503</v>
      </c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</row>
    <row r="104">
      <c r="A104" s="28"/>
      <c r="B104" s="132" t="s">
        <v>32</v>
      </c>
      <c r="C104" s="133">
        <v>1.285132819194516</v>
      </c>
      <c r="D104" s="138">
        <v>1.0923487247874646</v>
      </c>
      <c r="E104" s="135">
        <f t="shared" si="228"/>
        <v>0.07004221603</v>
      </c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62"/>
      <c r="Q104" s="63"/>
      <c r="R104" s="73" t="s">
        <v>32</v>
      </c>
      <c r="S104" s="136">
        <f t="shared" si="229"/>
        <v>0.07004221603</v>
      </c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 t="str">
        <f t="shared" si="230"/>
        <v>Social</v>
      </c>
      <c r="AH104" s="137">
        <f t="shared" ref="AH104:AS104" si="233">AH96</f>
        <v>1.112185019</v>
      </c>
      <c r="AI104" s="137">
        <f t="shared" si="233"/>
        <v>1.214411248</v>
      </c>
      <c r="AJ104" s="137">
        <f t="shared" si="233"/>
        <v>1.285132819</v>
      </c>
      <c r="AK104" s="137">
        <f t="shared" si="233"/>
        <v>1.311389072</v>
      </c>
      <c r="AL104" s="137">
        <f t="shared" si="233"/>
        <v>1.365409966</v>
      </c>
      <c r="AM104" s="137">
        <f t="shared" si="233"/>
        <v>1.321856287</v>
      </c>
      <c r="AN104" s="137">
        <f t="shared" si="233"/>
        <v>1.368953881</v>
      </c>
      <c r="AO104" s="137">
        <f t="shared" si="233"/>
        <v>1.680504467</v>
      </c>
      <c r="AP104" s="137">
        <f t="shared" si="233"/>
        <v>1.910928144</v>
      </c>
      <c r="AQ104" s="137">
        <f t="shared" si="233"/>
        <v>1.876247505</v>
      </c>
      <c r="AR104" s="137">
        <f t="shared" si="233"/>
        <v>1.806886228</v>
      </c>
      <c r="AS104" s="137">
        <f t="shared" si="233"/>
        <v>2.25748503</v>
      </c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</row>
    <row r="105">
      <c r="A105" s="28"/>
      <c r="B105" s="132" t="s">
        <v>33</v>
      </c>
      <c r="C105" s="133">
        <v>1.3113890717577354</v>
      </c>
      <c r="D105" s="138">
        <v>1.0359772423025435</v>
      </c>
      <c r="E105" s="135">
        <f t="shared" si="228"/>
        <v>0.06778480217</v>
      </c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62"/>
      <c r="Q105" s="63"/>
      <c r="R105" s="73" t="s">
        <v>33</v>
      </c>
      <c r="S105" s="136">
        <f t="shared" si="229"/>
        <v>0.06778480217</v>
      </c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</row>
    <row r="106">
      <c r="A106" s="28"/>
      <c r="B106" s="132" t="s">
        <v>34</v>
      </c>
      <c r="C106" s="133">
        <v>1.3654099657263379</v>
      </c>
      <c r="D106" s="138">
        <v>0.939949797258158</v>
      </c>
      <c r="E106" s="135">
        <f t="shared" si="228"/>
        <v>0.06403512834</v>
      </c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62"/>
      <c r="Q106" s="63"/>
      <c r="R106" s="73" t="s">
        <v>34</v>
      </c>
      <c r="S106" s="136">
        <f t="shared" si="229"/>
        <v>0.06403512834</v>
      </c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</row>
    <row r="107">
      <c r="A107" s="28"/>
      <c r="B107" s="132" t="s">
        <v>35</v>
      </c>
      <c r="C107" s="133">
        <v>1.3218562874251496</v>
      </c>
      <c r="D107" s="138">
        <v>1.0</v>
      </c>
      <c r="E107" s="135">
        <f t="shared" si="228"/>
        <v>0.06595303698</v>
      </c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62"/>
      <c r="Q107" s="63"/>
      <c r="R107" s="73" t="s">
        <v>35</v>
      </c>
      <c r="S107" s="136">
        <f t="shared" si="229"/>
        <v>0.06595303698</v>
      </c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</row>
    <row r="108">
      <c r="A108" s="28"/>
      <c r="B108" s="132" t="s">
        <v>36</v>
      </c>
      <c r="C108" s="133">
        <v>1.3689538807649044</v>
      </c>
      <c r="D108" s="138">
        <v>1.0</v>
      </c>
      <c r="E108" s="135">
        <f t="shared" si="228"/>
        <v>0.06830293639</v>
      </c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62"/>
      <c r="Q108" s="63"/>
      <c r="R108" s="73" t="s">
        <v>36</v>
      </c>
      <c r="S108" s="136">
        <f t="shared" si="229"/>
        <v>0.06830293639</v>
      </c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</row>
    <row r="109">
      <c r="A109" s="28"/>
      <c r="B109" s="132" t="s">
        <v>37</v>
      </c>
      <c r="C109" s="133">
        <v>1.6805044666316342</v>
      </c>
      <c r="D109" s="138">
        <v>1.0</v>
      </c>
      <c r="E109" s="135">
        <f t="shared" si="228"/>
        <v>0.08384752131</v>
      </c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62"/>
      <c r="Q109" s="63"/>
      <c r="R109" s="73" t="s">
        <v>64</v>
      </c>
      <c r="S109" s="136">
        <f>sum(E109:E113)</f>
        <v>0.4755946184</v>
      </c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</row>
    <row r="110">
      <c r="A110" s="28"/>
      <c r="B110" s="132" t="s">
        <v>38</v>
      </c>
      <c r="C110" s="133">
        <v>1.910928143712575</v>
      </c>
      <c r="D110" s="138">
        <v>1.0</v>
      </c>
      <c r="E110" s="135">
        <f t="shared" si="228"/>
        <v>0.09534433941</v>
      </c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62"/>
      <c r="Q110" s="63"/>
      <c r="R110" s="73"/>
      <c r="S110" s="139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</row>
    <row r="111">
      <c r="A111" s="28"/>
      <c r="B111" s="132" t="s">
        <v>39</v>
      </c>
      <c r="C111" s="133">
        <v>1.87624750499002</v>
      </c>
      <c r="D111" s="138">
        <v>1.0</v>
      </c>
      <c r="E111" s="135">
        <f t="shared" si="228"/>
        <v>0.09361397472</v>
      </c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62"/>
      <c r="Q111" s="63"/>
      <c r="R111" s="73"/>
      <c r="S111" s="139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</row>
    <row r="112">
      <c r="A112" s="28"/>
      <c r="B112" s="132" t="s">
        <v>40</v>
      </c>
      <c r="C112" s="133">
        <v>1.8068862275449102</v>
      </c>
      <c r="D112" s="138">
        <v>1.0</v>
      </c>
      <c r="E112" s="135">
        <f t="shared" si="228"/>
        <v>0.09015324533</v>
      </c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62"/>
      <c r="Q112" s="63"/>
      <c r="R112" s="73"/>
      <c r="S112" s="139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</row>
    <row r="113">
      <c r="A113" s="28"/>
      <c r="B113" s="140" t="s">
        <v>65</v>
      </c>
      <c r="C113" s="141">
        <v>2.2574850299401197</v>
      </c>
      <c r="D113" s="142">
        <v>1.0</v>
      </c>
      <c r="E113" s="143">
        <f t="shared" si="228"/>
        <v>0.1126355377</v>
      </c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62"/>
      <c r="Q113" s="63"/>
      <c r="R113" s="73"/>
      <c r="S113" s="139"/>
      <c r="T113" s="5"/>
      <c r="U113" s="5">
        <f>SUMPRODUCT(C101:C113*D101:D113)</f>
        <v>20.04238695</v>
      </c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</row>
    <row r="114">
      <c r="A114" s="28"/>
      <c r="B114" s="28"/>
      <c r="C114" s="106"/>
      <c r="D114" s="28"/>
      <c r="E114" s="28"/>
      <c r="F114" s="28"/>
      <c r="G114" s="144" t="s">
        <v>66</v>
      </c>
      <c r="H114" s="28"/>
      <c r="I114" s="28"/>
      <c r="J114" s="28"/>
      <c r="K114" s="28"/>
      <c r="L114" s="28"/>
      <c r="M114" s="28"/>
      <c r="N114" s="28"/>
      <c r="O114" s="28"/>
      <c r="P114" s="62"/>
      <c r="Q114" s="63"/>
      <c r="R114" s="5"/>
      <c r="S114" s="137">
        <f>sum(E101:E113)</f>
        <v>1</v>
      </c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62"/>
      <c r="Q115" s="63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62"/>
      <c r="Q116" s="63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62"/>
      <c r="Q117" s="63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62"/>
      <c r="Q118" s="63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62"/>
      <c r="Q119" s="63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62"/>
      <c r="Q120" s="63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62"/>
      <c r="Q121" s="63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</row>
    <row r="122">
      <c r="A122" s="28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62"/>
      <c r="Q122" s="63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</row>
    <row r="123">
      <c r="A123" s="28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62"/>
      <c r="Q123" s="63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</row>
    <row r="124">
      <c r="A124" s="28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62"/>
      <c r="Q124" s="63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62"/>
      <c r="Q125" s="63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62"/>
      <c r="Q126" s="63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62"/>
      <c r="Q127" s="63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62"/>
      <c r="Q128" s="63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62"/>
      <c r="Q129" s="63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62"/>
      <c r="Q130" s="63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62"/>
      <c r="Q131" s="63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</row>
    <row r="132">
      <c r="A132" s="28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62"/>
      <c r="Q132" s="63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</row>
    <row r="133">
      <c r="A133" s="28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62"/>
      <c r="Q133" s="63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</row>
    <row r="134">
      <c r="A134" s="28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62"/>
      <c r="Q134" s="63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62"/>
      <c r="Q135" s="63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62"/>
      <c r="Q136" s="63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62"/>
      <c r="Q137" s="63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62"/>
      <c r="Q138" s="63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</row>
    <row r="139">
      <c r="A139" s="28"/>
      <c r="B139" s="145" t="s">
        <v>67</v>
      </c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7"/>
      <c r="P139" s="62"/>
      <c r="Q139" s="63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</row>
    <row r="140">
      <c r="A140" s="28"/>
      <c r="B140" s="39"/>
      <c r="O140" s="40"/>
      <c r="P140" s="62"/>
      <c r="Q140" s="63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</row>
    <row r="141">
      <c r="A141" s="28"/>
      <c r="B141" s="41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3"/>
      <c r="P141" s="62"/>
      <c r="Q141" s="63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</row>
    <row r="142" hidden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62"/>
      <c r="Q142" s="63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</row>
    <row r="143" hidden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62"/>
      <c r="Q143" s="63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</row>
    <row r="144" hidden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62"/>
      <c r="Q144" s="63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</row>
    <row r="145" hidden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62"/>
      <c r="Q145" s="63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</row>
    <row r="146" hidden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62"/>
      <c r="Q146" s="63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</row>
    <row r="147" hidden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62"/>
      <c r="Q147" s="63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</row>
    <row r="148" hidden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62"/>
      <c r="Q148" s="63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</row>
    <row r="149" hidden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62"/>
      <c r="Q149" s="63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</row>
    <row r="150" hidden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62"/>
      <c r="Q150" s="63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</row>
    <row r="151" hidden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62"/>
      <c r="Q151" s="63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</row>
    <row r="152" hidden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62"/>
      <c r="Q152" s="63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</row>
    <row r="153" hidden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62"/>
      <c r="Q153" s="63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</row>
    <row r="154" hidden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62"/>
      <c r="Q154" s="63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</row>
    <row r="155" hidden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62"/>
      <c r="Q155" s="63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</row>
    <row r="156" hidden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62"/>
      <c r="Q156" s="63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</row>
    <row r="157" hidden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62"/>
      <c r="Q157" s="63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</row>
    <row r="158" hidden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62"/>
      <c r="Q158" s="63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</row>
    <row r="159" hidden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62"/>
      <c r="Q159" s="63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</row>
    <row r="160" hidden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62"/>
      <c r="Q160" s="63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</row>
    <row r="161" hidden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62"/>
      <c r="Q161" s="63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</row>
    <row r="162" hidden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62"/>
      <c r="Q162" s="63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</row>
    <row r="163" hidden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62"/>
      <c r="Q163" s="63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</row>
    <row r="164" hidden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62"/>
      <c r="Q164" s="63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</row>
    <row r="165" hidden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62"/>
      <c r="Q165" s="63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</row>
    <row r="166" hidden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62"/>
      <c r="Q166" s="63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</row>
    <row r="167" hidden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62"/>
      <c r="Q167" s="63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</row>
    <row r="168" hidden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62"/>
      <c r="Q168" s="63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</row>
    <row r="169" hidden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62"/>
      <c r="Q169" s="63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</row>
    <row r="170" hidden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62"/>
      <c r="Q170" s="63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</row>
    <row r="171" hidden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62"/>
      <c r="Q171" s="63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</row>
    <row r="172" hidden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62"/>
      <c r="Q172" s="63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</row>
    <row r="173" hidden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62"/>
      <c r="Q173" s="63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</row>
    <row r="174" hidden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62"/>
      <c r="Q174" s="63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</row>
    <row r="175" hidden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62"/>
      <c r="Q175" s="63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</row>
    <row r="176" hidden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62"/>
      <c r="Q176" s="63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</row>
    <row r="177" hidden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62"/>
      <c r="Q177" s="63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</row>
    <row r="178" hidden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62"/>
      <c r="Q178" s="63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</row>
    <row r="179" hidden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62"/>
      <c r="Q179" s="63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</row>
    <row r="180" hidden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62"/>
      <c r="Q180" s="63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</row>
    <row r="181" hidden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62"/>
      <c r="Q181" s="63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</row>
    <row r="182" hidden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62"/>
      <c r="Q182" s="63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</row>
    <row r="183" hidden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62"/>
      <c r="Q183" s="63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</row>
    <row r="184" hidden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62"/>
      <c r="Q184" s="63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</row>
    <row r="185" hidden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62"/>
      <c r="Q185" s="63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</row>
    <row r="186" hidden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62"/>
      <c r="Q186" s="63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</row>
    <row r="187" hidden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62"/>
      <c r="Q187" s="63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</row>
    <row r="188" hidden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62"/>
      <c r="Q188" s="63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</row>
    <row r="189" hidden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62"/>
      <c r="Q189" s="63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</row>
    <row r="190" hidden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62"/>
      <c r="Q190" s="63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</row>
    <row r="191" hidden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62"/>
      <c r="Q191" s="63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</row>
    <row r="192" hidden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62"/>
      <c r="Q192" s="63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</row>
    <row r="193" hidden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62"/>
      <c r="Q193" s="63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</row>
    <row r="194" hidden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62"/>
      <c r="Q194" s="63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</row>
    <row r="195" hidden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62"/>
      <c r="Q195" s="63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</row>
    <row r="196" hidden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62"/>
      <c r="Q196" s="63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</row>
    <row r="197" hidden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62"/>
      <c r="Q197" s="63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</row>
    <row r="198" hidden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62"/>
      <c r="Q198" s="63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</row>
    <row r="199" hidden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62"/>
      <c r="Q199" s="63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</row>
    <row r="200" hidden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62"/>
      <c r="Q200" s="63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</row>
    <row r="201" hidden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62"/>
      <c r="Q201" s="63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</row>
    <row r="202" hidden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62"/>
      <c r="Q202" s="63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</row>
    <row r="203" hidden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62"/>
      <c r="Q203" s="63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</row>
    <row r="204" hidden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62"/>
      <c r="Q204" s="63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</row>
    <row r="205" hidden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62"/>
      <c r="Q205" s="63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</row>
    <row r="206" hidden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62"/>
      <c r="Q206" s="63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</row>
    <row r="207" hidden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62"/>
      <c r="Q207" s="63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</row>
    <row r="208" hidden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62"/>
      <c r="Q208" s="63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</row>
    <row r="209" hidden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62"/>
      <c r="Q209" s="63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</row>
    <row r="210" hidden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62"/>
      <c r="Q210" s="63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</row>
    <row r="211" hidden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62"/>
      <c r="Q211" s="63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</row>
    <row r="212" hidden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62"/>
      <c r="Q212" s="63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</row>
    <row r="213" hidden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62"/>
      <c r="Q213" s="63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</row>
    <row r="214" hidden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62"/>
      <c r="Q214" s="63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</row>
    <row r="215" hidden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62"/>
      <c r="Q215" s="63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</row>
    <row r="216" hidden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62"/>
      <c r="Q216" s="63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</row>
    <row r="217" hidden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62"/>
      <c r="Q217" s="63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</row>
    <row r="218" hidden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62"/>
      <c r="Q218" s="63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</row>
    <row r="219" hidden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62"/>
      <c r="Q219" s="63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</row>
    <row r="220" hidden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62"/>
      <c r="Q220" s="63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</row>
    <row r="221" hidden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62"/>
      <c r="Q221" s="63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</row>
    <row r="222" hidden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62"/>
      <c r="Q222" s="63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</row>
    <row r="223" hidden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62"/>
      <c r="Q223" s="63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</row>
    <row r="224" hidden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62"/>
      <c r="Q224" s="63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</row>
    <row r="225" hidden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62"/>
      <c r="Q225" s="63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</row>
    <row r="226" hidden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62"/>
      <c r="Q226" s="63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</row>
    <row r="227" hidden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62"/>
      <c r="Q227" s="63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</row>
    <row r="228" hidden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62"/>
      <c r="Q228" s="63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</row>
    <row r="229" hidden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62"/>
      <c r="Q229" s="63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</row>
    <row r="230" hidden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62"/>
      <c r="Q230" s="63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</row>
    <row r="231" hidden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62"/>
      <c r="Q231" s="63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</row>
    <row r="232" hidden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62"/>
      <c r="Q232" s="63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</row>
    <row r="233" hidden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62"/>
      <c r="Q233" s="63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</row>
    <row r="234" hidden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62"/>
      <c r="Q234" s="63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</row>
    <row r="235" hidden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62"/>
      <c r="Q235" s="63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</row>
    <row r="236" hidden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62"/>
      <c r="Q236" s="63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</row>
    <row r="237" hidden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62"/>
      <c r="Q237" s="63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</row>
    <row r="238" hidden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62"/>
      <c r="Q238" s="63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</row>
    <row r="239" hidden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62"/>
      <c r="Q239" s="63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</row>
    <row r="240" hidden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62"/>
      <c r="Q240" s="63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</row>
    <row r="241" hidden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62"/>
      <c r="Q241" s="63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</row>
    <row r="242" hidden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62"/>
      <c r="Q242" s="63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</row>
    <row r="243" hidden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62"/>
      <c r="Q243" s="63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</row>
    <row r="244" hidden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62"/>
      <c r="Q244" s="63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</row>
    <row r="245" hidden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62"/>
      <c r="Q245" s="63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</row>
    <row r="246" hidden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62"/>
      <c r="Q246" s="63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</row>
    <row r="247" hidden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62"/>
      <c r="Q247" s="63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</row>
    <row r="248" hidden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62"/>
      <c r="Q248" s="63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</row>
    <row r="249" hidden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62"/>
      <c r="Q249" s="63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</row>
    <row r="250" hidden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62"/>
      <c r="Q250" s="63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</row>
    <row r="251" hidden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62"/>
      <c r="Q251" s="63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</row>
    <row r="252" hidden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62"/>
      <c r="Q252" s="63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</row>
    <row r="253" hidden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62"/>
      <c r="Q253" s="63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</row>
    <row r="254" hidden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62"/>
      <c r="Q254" s="63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</row>
    <row r="255" hidden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62"/>
      <c r="Q255" s="63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</row>
    <row r="256" hidden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62"/>
      <c r="Q256" s="63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</row>
    <row r="257" hidden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62"/>
      <c r="Q257" s="63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</row>
    <row r="258" hidden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62"/>
      <c r="Q258" s="63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</row>
    <row r="259" hidden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62"/>
      <c r="Q259" s="63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</row>
    <row r="260" hidden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62"/>
      <c r="Q260" s="63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</row>
    <row r="261" hidden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62"/>
      <c r="Q261" s="63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</row>
    <row r="262" hidden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62"/>
      <c r="Q262" s="63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</row>
    <row r="263" hidden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62"/>
      <c r="Q263" s="63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</row>
    <row r="264" hidden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62"/>
      <c r="Q264" s="63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</row>
    <row r="265" hidden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62"/>
      <c r="Q265" s="63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</row>
    <row r="266" hidden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62"/>
      <c r="Q266" s="63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</row>
    <row r="267" hidden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62"/>
      <c r="Q267" s="63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</row>
    <row r="268" hidden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62"/>
      <c r="Q268" s="63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</row>
    <row r="269" hidden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62"/>
      <c r="Q269" s="63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</row>
    <row r="270" hidden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62"/>
      <c r="Q270" s="63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</row>
    <row r="271" hidden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62"/>
      <c r="Q271" s="63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</row>
    <row r="272" hidden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62"/>
      <c r="Q272" s="63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</row>
    <row r="273" hidden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62"/>
      <c r="Q273" s="63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</row>
    <row r="274" hidden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62"/>
      <c r="Q274" s="63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</row>
    <row r="275" hidden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62"/>
      <c r="Q275" s="63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</row>
    <row r="276" hidden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62"/>
      <c r="Q276" s="63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</row>
    <row r="277" hidden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62"/>
      <c r="Q277" s="63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</row>
    <row r="278" hidden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62"/>
      <c r="Q278" s="63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</row>
    <row r="279" hidden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62"/>
      <c r="Q279" s="63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</row>
    <row r="280" hidden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62"/>
      <c r="Q280" s="63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</row>
    <row r="281" hidden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62"/>
      <c r="Q281" s="63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</row>
    <row r="282" hidden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62"/>
      <c r="Q282" s="63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</row>
    <row r="283" hidden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62"/>
      <c r="Q283" s="63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</row>
    <row r="284" hidden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62"/>
      <c r="Q284" s="63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</row>
    <row r="285" hidden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62"/>
      <c r="Q285" s="63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</row>
    <row r="286" hidden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62"/>
      <c r="Q286" s="63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</row>
    <row r="287" hidden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62"/>
      <c r="Q287" s="63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</row>
    <row r="288" hidden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62"/>
      <c r="Q288" s="63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</row>
    <row r="289" hidden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62"/>
      <c r="Q289" s="63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</row>
    <row r="290" hidden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62"/>
      <c r="Q290" s="63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</row>
    <row r="291" hidden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62"/>
      <c r="Q291" s="63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</row>
    <row r="292" hidden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62"/>
      <c r="Q292" s="63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</row>
    <row r="293" hidden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62"/>
      <c r="Q293" s="63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</row>
    <row r="294" hidden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62"/>
      <c r="Q294" s="63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</row>
    <row r="295" hidden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62"/>
      <c r="Q295" s="63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</row>
    <row r="296" hidden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62"/>
      <c r="Q296" s="63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</row>
    <row r="297" hidden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62"/>
      <c r="Q297" s="63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</row>
    <row r="298" hidden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62"/>
      <c r="Q298" s="63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</row>
    <row r="299" hidden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62"/>
      <c r="Q299" s="63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</row>
    <row r="300" hidden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62"/>
      <c r="Q300" s="63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</row>
    <row r="301" hidden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62"/>
      <c r="Q301" s="63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</row>
    <row r="302" hidden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62"/>
      <c r="Q302" s="63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</row>
    <row r="303" hidden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62"/>
      <c r="Q303" s="63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</row>
    <row r="304" hidden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62"/>
      <c r="Q304" s="63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</row>
    <row r="305" hidden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62"/>
      <c r="Q305" s="63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</row>
    <row r="306" hidden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62"/>
      <c r="Q306" s="63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</row>
    <row r="307" hidden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62"/>
      <c r="Q307" s="63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</row>
    <row r="308" hidden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62"/>
      <c r="Q308" s="63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</row>
    <row r="309" hidden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62"/>
      <c r="Q309" s="63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</row>
    <row r="310" hidden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62"/>
      <c r="Q310" s="63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</row>
    <row r="311" hidden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62"/>
      <c r="Q311" s="63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</row>
    <row r="312" hidden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62"/>
      <c r="Q312" s="63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</row>
    <row r="313" hidden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62"/>
      <c r="Q313" s="63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</row>
    <row r="314" hidden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62"/>
      <c r="Q314" s="63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</row>
    <row r="315" hidden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62"/>
      <c r="Q315" s="63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</row>
    <row r="316" hidden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62"/>
      <c r="Q316" s="63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</row>
    <row r="317" hidden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62"/>
      <c r="Q317" s="63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</row>
    <row r="318" hidden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62"/>
      <c r="Q318" s="63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</row>
    <row r="319" hidden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62"/>
      <c r="Q319" s="63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</row>
    <row r="320" hidden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62"/>
      <c r="Q320" s="63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</row>
    <row r="321" hidden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62"/>
      <c r="Q321" s="63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</row>
    <row r="322" hidden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62"/>
      <c r="Q322" s="63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</row>
    <row r="323" hidden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62"/>
      <c r="Q323" s="63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</row>
    <row r="324" hidden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62"/>
      <c r="Q324" s="63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</row>
    <row r="325" hidden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62"/>
      <c r="Q325" s="63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</row>
    <row r="326" hidden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62"/>
      <c r="Q326" s="63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</row>
    <row r="327" hidden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62"/>
      <c r="Q327" s="63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</row>
    <row r="328" hidden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62"/>
      <c r="Q328" s="63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</row>
    <row r="329" hidden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62"/>
      <c r="Q329" s="63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</row>
    <row r="330" hidden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62"/>
      <c r="Q330" s="63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</row>
    <row r="331" hidden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62"/>
      <c r="Q331" s="63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</row>
    <row r="332" hidden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62"/>
      <c r="Q332" s="63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</row>
    <row r="333" hidden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62"/>
      <c r="Q333" s="63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</row>
    <row r="334" hidden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62"/>
      <c r="Q334" s="63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</row>
    <row r="335" hidden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62"/>
      <c r="Q335" s="63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</row>
    <row r="336" hidden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62"/>
      <c r="Q336" s="63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</row>
    <row r="337" hidden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62"/>
      <c r="Q337" s="63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</row>
    <row r="338" hidden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62"/>
      <c r="Q338" s="63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</row>
    <row r="339" hidden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62"/>
      <c r="Q339" s="63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</row>
    <row r="340" hidden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62"/>
      <c r="Q340" s="63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</row>
    <row r="341" hidden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62"/>
      <c r="Q341" s="63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</row>
    <row r="342" hidden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62"/>
      <c r="Q342" s="63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</row>
    <row r="343" hidden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62"/>
      <c r="Q343" s="63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</row>
    <row r="344" hidden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62"/>
      <c r="Q344" s="63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</row>
    <row r="345" hidden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62"/>
      <c r="Q345" s="63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</row>
    <row r="346" hidden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62"/>
      <c r="Q346" s="63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</row>
    <row r="347" hidden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62"/>
      <c r="Q347" s="63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</row>
    <row r="348" hidden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62"/>
      <c r="Q348" s="63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</row>
    <row r="349" hidden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62"/>
      <c r="Q349" s="63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</row>
    <row r="350" hidden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62"/>
      <c r="Q350" s="63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</row>
    <row r="351" hidden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62"/>
      <c r="Q351" s="63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</row>
    <row r="352" hidden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62"/>
      <c r="Q352" s="63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</row>
    <row r="353" hidden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62"/>
      <c r="Q353" s="63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</row>
    <row r="354" hidden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62"/>
      <c r="Q354" s="63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</row>
    <row r="355" hidden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62"/>
      <c r="Q355" s="63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</row>
    <row r="356" hidden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62"/>
      <c r="Q356" s="63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</row>
    <row r="357" hidden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62"/>
      <c r="Q357" s="63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</row>
    <row r="358" hidden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62"/>
      <c r="Q358" s="63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</row>
    <row r="359" hidden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62"/>
      <c r="Q359" s="63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</row>
    <row r="360" hidden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62"/>
      <c r="Q360" s="63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</row>
    <row r="361" hidden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62"/>
      <c r="Q361" s="63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</row>
    <row r="362" hidden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62"/>
      <c r="Q362" s="63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</row>
    <row r="363" hidden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62"/>
      <c r="Q363" s="63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</row>
    <row r="364" hidden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62"/>
      <c r="Q364" s="63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</row>
    <row r="365" hidden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62"/>
      <c r="Q365" s="63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</row>
    <row r="366" hidden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62"/>
      <c r="Q366" s="63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</row>
    <row r="367" hidden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62"/>
      <c r="Q367" s="63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</row>
    <row r="368" hidden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62"/>
      <c r="Q368" s="63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</row>
    <row r="369" hidden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62"/>
      <c r="Q369" s="63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</row>
    <row r="370" hidden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62"/>
      <c r="Q370" s="63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</row>
    <row r="371" hidden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62"/>
      <c r="Q371" s="63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</row>
    <row r="372" hidden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62"/>
      <c r="Q372" s="63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</row>
    <row r="373" hidden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62"/>
      <c r="Q373" s="63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</row>
    <row r="374" hidden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62"/>
      <c r="Q374" s="63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</row>
    <row r="375" hidden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62"/>
      <c r="Q375" s="63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</row>
    <row r="376" hidden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62"/>
      <c r="Q376" s="63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</row>
    <row r="377" hidden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62"/>
      <c r="Q377" s="63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</row>
    <row r="378" hidden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62"/>
      <c r="Q378" s="63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</row>
    <row r="379" hidden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62"/>
      <c r="Q379" s="63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</row>
    <row r="380" hidden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62"/>
      <c r="Q380" s="63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</row>
    <row r="381" hidden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62"/>
      <c r="Q381" s="63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</row>
    <row r="382" hidden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62"/>
      <c r="Q382" s="63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</row>
    <row r="383" hidden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62"/>
      <c r="Q383" s="63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</row>
    <row r="384" hidden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62"/>
      <c r="Q384" s="63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</row>
    <row r="385" hidden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62"/>
      <c r="Q385" s="63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</row>
    <row r="386" hidden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62"/>
      <c r="Q386" s="63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</row>
    <row r="387" hidden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62"/>
      <c r="Q387" s="63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</row>
    <row r="388" hidden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62"/>
      <c r="Q388" s="63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</row>
    <row r="389" hidden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62"/>
      <c r="Q389" s="63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</row>
    <row r="390" hidden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62"/>
      <c r="Q390" s="63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</row>
    <row r="391" hidden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62"/>
      <c r="Q391" s="63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</row>
    <row r="392" hidden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62"/>
      <c r="Q392" s="63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</row>
    <row r="393" hidden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62"/>
      <c r="Q393" s="63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</row>
    <row r="394" hidden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62"/>
      <c r="Q394" s="63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</row>
    <row r="395" hidden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62"/>
      <c r="Q395" s="63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</row>
    <row r="396" hidden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62"/>
      <c r="Q396" s="63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</row>
    <row r="397" hidden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62"/>
      <c r="Q397" s="63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</row>
    <row r="398" hidden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62"/>
      <c r="Q398" s="63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</row>
    <row r="399" hidden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62"/>
      <c r="Q399" s="63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</row>
    <row r="400" hidden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62"/>
      <c r="Q400" s="63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</row>
    <row r="401" hidden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62"/>
      <c r="Q401" s="63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</row>
    <row r="402" hidden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62"/>
      <c r="Q402" s="63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</row>
    <row r="403" hidden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62"/>
      <c r="Q403" s="63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</row>
    <row r="404" hidden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62"/>
      <c r="Q404" s="63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</row>
    <row r="405" hidden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62"/>
      <c r="Q405" s="63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</row>
    <row r="406" hidden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62"/>
      <c r="Q406" s="63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</row>
    <row r="407" hidden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62"/>
      <c r="Q407" s="63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</row>
    <row r="408" hidden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62"/>
      <c r="Q408" s="63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</row>
    <row r="409" hidden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62"/>
      <c r="Q409" s="63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</row>
    <row r="410" hidden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62"/>
      <c r="Q410" s="63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</row>
    <row r="411" hidden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62"/>
      <c r="Q411" s="63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</row>
    <row r="412" hidden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62"/>
      <c r="Q412" s="63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</row>
    <row r="413" hidden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62"/>
      <c r="Q413" s="63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</row>
    <row r="414" hidden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62"/>
      <c r="Q414" s="63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</row>
    <row r="415" hidden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62"/>
      <c r="Q415" s="63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</row>
    <row r="416" hidden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62"/>
      <c r="Q416" s="63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</row>
    <row r="417" hidden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62"/>
      <c r="Q417" s="63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</row>
    <row r="418" hidden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62"/>
      <c r="Q418" s="63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</row>
    <row r="419" hidden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62"/>
      <c r="Q419" s="63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</row>
    <row r="420" hidden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62"/>
      <c r="Q420" s="63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</row>
    <row r="421" hidden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62"/>
      <c r="Q421" s="63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</row>
    <row r="422" hidden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62"/>
      <c r="Q422" s="63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</row>
    <row r="423" hidden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62"/>
      <c r="Q423" s="63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</row>
    <row r="424" hidden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62"/>
      <c r="Q424" s="63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</row>
    <row r="425" hidden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62"/>
      <c r="Q425" s="63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</row>
    <row r="426" hidden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62"/>
      <c r="Q426" s="63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</row>
    <row r="427" hidden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62"/>
      <c r="Q427" s="63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</row>
    <row r="428" hidden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62"/>
      <c r="Q428" s="63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</row>
    <row r="429" hidden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62"/>
      <c r="Q429" s="63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</row>
    <row r="430" hidden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62"/>
      <c r="Q430" s="63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</row>
    <row r="431" hidden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62"/>
      <c r="Q431" s="63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</row>
    <row r="432" hidden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62"/>
      <c r="Q432" s="63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</row>
    <row r="433" hidden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62"/>
      <c r="Q433" s="63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</row>
    <row r="434" hidden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62"/>
      <c r="Q434" s="63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</row>
    <row r="435" hidden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62"/>
      <c r="Q435" s="63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</row>
    <row r="436" hidden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62"/>
      <c r="Q436" s="63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</row>
    <row r="437" hidden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62"/>
      <c r="Q437" s="63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</row>
    <row r="438" hidden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62"/>
      <c r="Q438" s="63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</row>
    <row r="439" hidden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62"/>
      <c r="Q439" s="63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</row>
    <row r="440" hidden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62"/>
      <c r="Q440" s="63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</row>
    <row r="441" hidden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62"/>
      <c r="Q441" s="63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</row>
    <row r="442" hidden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62"/>
      <c r="Q442" s="63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</row>
    <row r="443" hidden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62"/>
      <c r="Q443" s="63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</row>
    <row r="444" hidden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62"/>
      <c r="Q444" s="63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</row>
    <row r="445" hidden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62"/>
      <c r="Q445" s="63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</row>
    <row r="446" hidden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62"/>
      <c r="Q446" s="63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</row>
    <row r="447" hidden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62"/>
      <c r="Q447" s="63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</row>
    <row r="448" hidden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62"/>
      <c r="Q448" s="63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</row>
    <row r="449" hidden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62"/>
      <c r="Q449" s="63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</row>
    <row r="450" hidden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62"/>
      <c r="Q450" s="63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</row>
    <row r="451" hidden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62"/>
      <c r="Q451" s="63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</row>
    <row r="452" hidden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62"/>
      <c r="Q452" s="63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</row>
    <row r="453" hidden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62"/>
      <c r="Q453" s="63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</row>
    <row r="454" hidden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62"/>
      <c r="Q454" s="63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</row>
    <row r="455" hidden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62"/>
      <c r="Q455" s="63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</row>
    <row r="456" hidden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62"/>
      <c r="Q456" s="63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</row>
    <row r="457" hidden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62"/>
      <c r="Q457" s="63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</row>
    <row r="458" hidden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62"/>
      <c r="Q458" s="63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</row>
    <row r="459" hidden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62"/>
      <c r="Q459" s="63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</row>
    <row r="460" hidden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62"/>
      <c r="Q460" s="63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</row>
    <row r="461" hidden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62"/>
      <c r="Q461" s="63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</row>
    <row r="462" hidden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62"/>
      <c r="Q462" s="63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</row>
    <row r="463" hidden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62"/>
      <c r="Q463" s="63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</row>
    <row r="464" hidden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62"/>
      <c r="Q464" s="63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</row>
    <row r="465" hidden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62"/>
      <c r="Q465" s="63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</row>
    <row r="466" hidden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62"/>
      <c r="Q466" s="63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</row>
    <row r="467" hidden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62"/>
      <c r="Q467" s="63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</row>
    <row r="468" hidden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62"/>
      <c r="Q468" s="63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</row>
    <row r="469" hidden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62"/>
      <c r="Q469" s="63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</row>
    <row r="470" hidden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62"/>
      <c r="Q470" s="63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</row>
    <row r="471" hidden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62"/>
      <c r="Q471" s="63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</row>
    <row r="472" hidden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62"/>
      <c r="Q472" s="63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</row>
    <row r="473" hidden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62"/>
      <c r="Q473" s="63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</row>
    <row r="474" hidden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62"/>
      <c r="Q474" s="63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</row>
    <row r="475" hidden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62"/>
      <c r="Q475" s="63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</row>
    <row r="476" hidden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62"/>
      <c r="Q476" s="63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</row>
    <row r="477" hidden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62"/>
      <c r="Q477" s="63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</row>
    <row r="478" hidden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62"/>
      <c r="Q478" s="63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</row>
    <row r="479" hidden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62"/>
      <c r="Q479" s="63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</row>
    <row r="480" hidden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62"/>
      <c r="Q480" s="63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</row>
    <row r="481" hidden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62"/>
      <c r="Q481" s="63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</row>
    <row r="482" hidden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62"/>
      <c r="Q482" s="63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</row>
    <row r="483" hidden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62"/>
      <c r="Q483" s="63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</row>
    <row r="484" hidden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62"/>
      <c r="Q484" s="63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</row>
    <row r="485" hidden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62"/>
      <c r="Q485" s="63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</row>
    <row r="486" hidden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62"/>
      <c r="Q486" s="63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</row>
    <row r="487" hidden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62"/>
      <c r="Q487" s="63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</row>
    <row r="488" hidden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62"/>
      <c r="Q488" s="63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</row>
    <row r="489" hidden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62"/>
      <c r="Q489" s="63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</row>
    <row r="490" hidden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62"/>
      <c r="Q490" s="63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</row>
    <row r="491" hidden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62"/>
      <c r="Q491" s="63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</row>
    <row r="492" hidden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62"/>
      <c r="Q492" s="63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</row>
    <row r="493" hidden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62"/>
      <c r="Q493" s="63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</row>
    <row r="494" hidden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62"/>
      <c r="Q494" s="63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</row>
    <row r="495" hidden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62"/>
      <c r="Q495" s="63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</row>
    <row r="496" hidden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62"/>
      <c r="Q496" s="63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</row>
    <row r="497" hidden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62"/>
      <c r="Q497" s="63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</row>
    <row r="498" hidden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62"/>
      <c r="Q498" s="63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</row>
    <row r="499" hidden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62"/>
      <c r="Q499" s="63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</row>
    <row r="500" hidden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62"/>
      <c r="Q500" s="63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</row>
    <row r="501" hidden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62"/>
      <c r="Q501" s="63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</row>
    <row r="502" hidden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62"/>
      <c r="Q502" s="63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</row>
    <row r="503" hidden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62"/>
      <c r="Q503" s="63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</row>
    <row r="504" hidden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62"/>
      <c r="Q504" s="63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</row>
    <row r="505" hidden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62"/>
      <c r="Q505" s="63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</row>
    <row r="506" hidden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62"/>
      <c r="Q506" s="63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</row>
    <row r="507" hidden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62"/>
      <c r="Q507" s="63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</row>
    <row r="508" hidden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62"/>
      <c r="Q508" s="63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</row>
    <row r="509" hidden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62"/>
      <c r="Q509" s="63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</row>
    <row r="510" hidden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62"/>
      <c r="Q510" s="63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</row>
    <row r="511" hidden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62"/>
      <c r="Q511" s="63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</row>
    <row r="512" hidden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62"/>
      <c r="Q512" s="63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</row>
    <row r="513" hidden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62"/>
      <c r="Q513" s="63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</row>
    <row r="514" hidden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62"/>
      <c r="Q514" s="63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</row>
    <row r="515" hidden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62"/>
      <c r="Q515" s="63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</row>
    <row r="516" hidden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62"/>
      <c r="Q516" s="63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</row>
    <row r="517" hidden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62"/>
      <c r="Q517" s="63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</row>
    <row r="518" hidden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62"/>
      <c r="Q518" s="63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</row>
    <row r="519" hidden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62"/>
      <c r="Q519" s="63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</row>
    <row r="520" hidden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62"/>
      <c r="Q520" s="63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</row>
    <row r="521" hidden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62"/>
      <c r="Q521" s="63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</row>
    <row r="522" hidden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62"/>
      <c r="Q522" s="63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</row>
    <row r="523" hidden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62"/>
      <c r="Q523" s="63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</row>
    <row r="524" hidden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62"/>
      <c r="Q524" s="63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</row>
    <row r="525" hidden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62"/>
      <c r="Q525" s="63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</row>
    <row r="526" hidden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62"/>
      <c r="Q526" s="63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</row>
    <row r="527" hidden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62"/>
      <c r="Q527" s="63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</row>
    <row r="528" hidden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62"/>
      <c r="Q528" s="63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</row>
    <row r="529" hidden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62"/>
      <c r="Q529" s="63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</row>
    <row r="530" hidden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62"/>
      <c r="Q530" s="63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</row>
    <row r="531" hidden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62"/>
      <c r="Q531" s="63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</row>
    <row r="532" hidden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62"/>
      <c r="Q532" s="63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</row>
    <row r="533" hidden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62"/>
      <c r="Q533" s="63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</row>
    <row r="534" hidden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62"/>
      <c r="Q534" s="63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</row>
    <row r="535" hidden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62"/>
      <c r="Q535" s="63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</row>
    <row r="536" hidden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62"/>
      <c r="Q536" s="63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</row>
    <row r="537" hidden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62"/>
      <c r="Q537" s="63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</row>
    <row r="538" hidden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62"/>
      <c r="Q538" s="63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</row>
    <row r="539" hidden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62"/>
      <c r="Q539" s="63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</row>
    <row r="540" hidden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62"/>
      <c r="Q540" s="63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</row>
    <row r="541" hidden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62"/>
      <c r="Q541" s="63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</row>
    <row r="542" hidden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62"/>
      <c r="Q542" s="63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</row>
    <row r="543" hidden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62"/>
      <c r="Q543" s="63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</row>
    <row r="544" hidden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62"/>
      <c r="Q544" s="63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</row>
    <row r="545" hidden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62"/>
      <c r="Q545" s="63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</row>
    <row r="546" hidden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62"/>
      <c r="Q546" s="63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</row>
    <row r="547" hidden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62"/>
      <c r="Q547" s="63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</row>
    <row r="548" hidden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62"/>
      <c r="Q548" s="63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</row>
    <row r="549" hidden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62"/>
      <c r="Q549" s="63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</row>
    <row r="550" hidden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62"/>
      <c r="Q550" s="63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</row>
    <row r="551" hidden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62"/>
      <c r="Q551" s="63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</row>
    <row r="552" hidden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62"/>
      <c r="Q552" s="63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</row>
    <row r="553" hidden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62"/>
      <c r="Q553" s="63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</row>
    <row r="554" hidden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62"/>
      <c r="Q554" s="63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</row>
    <row r="555" hidden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62"/>
      <c r="Q555" s="63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</row>
    <row r="556" hidden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62"/>
      <c r="Q556" s="63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</row>
    <row r="557" hidden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62"/>
      <c r="Q557" s="63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</row>
    <row r="558" hidden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62"/>
      <c r="Q558" s="63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</row>
    <row r="559" hidden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62"/>
      <c r="Q559" s="63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</row>
    <row r="560" hidden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62"/>
      <c r="Q560" s="63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</row>
    <row r="561" hidden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62"/>
      <c r="Q561" s="63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</row>
    <row r="562" hidden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62"/>
      <c r="Q562" s="63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</row>
    <row r="563" hidden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62"/>
      <c r="Q563" s="63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</row>
    <row r="564" hidden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62"/>
      <c r="Q564" s="63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</row>
    <row r="565" hidden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62"/>
      <c r="Q565" s="63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</row>
    <row r="566" hidden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62"/>
      <c r="Q566" s="63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</row>
    <row r="567" hidden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62"/>
      <c r="Q567" s="63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</row>
    <row r="568" hidden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62"/>
      <c r="Q568" s="63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</row>
    <row r="569" hidden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62"/>
      <c r="Q569" s="63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</row>
    <row r="570" hidden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62"/>
      <c r="Q570" s="63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</row>
    <row r="571" hidden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62"/>
      <c r="Q571" s="63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</row>
    <row r="572" hidden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62"/>
      <c r="Q572" s="63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</row>
    <row r="573" hidden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62"/>
      <c r="Q573" s="63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</row>
    <row r="574" hidden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62"/>
      <c r="Q574" s="63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</row>
    <row r="575" hidden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62"/>
      <c r="Q575" s="63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</row>
    <row r="576" hidden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62"/>
      <c r="Q576" s="63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</row>
    <row r="577" hidden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62"/>
      <c r="Q577" s="63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</row>
    <row r="578" hidden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62"/>
      <c r="Q578" s="63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</row>
    <row r="579" hidden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62"/>
      <c r="Q579" s="63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</row>
    <row r="580" hidden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62"/>
      <c r="Q580" s="63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</row>
    <row r="581" hidden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62"/>
      <c r="Q581" s="63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</row>
    <row r="582" hidden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62"/>
      <c r="Q582" s="63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</row>
    <row r="583" hidden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62"/>
      <c r="Q583" s="63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</row>
    <row r="584" hidden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62"/>
      <c r="Q584" s="63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</row>
    <row r="585" hidden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62"/>
      <c r="Q585" s="63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</row>
    <row r="586" hidden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62"/>
      <c r="Q586" s="63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</row>
    <row r="587" hidden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62"/>
      <c r="Q587" s="63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</row>
    <row r="588" hidden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62"/>
      <c r="Q588" s="63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</row>
    <row r="589" hidden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62"/>
      <c r="Q589" s="63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</row>
    <row r="590" hidden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62"/>
      <c r="Q590" s="63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</row>
    <row r="591" hidden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62"/>
      <c r="Q591" s="63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</row>
    <row r="592" hidden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62"/>
      <c r="Q592" s="63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</row>
    <row r="593" hidden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62"/>
      <c r="Q593" s="63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</row>
    <row r="594" hidden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62"/>
      <c r="Q594" s="63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</row>
    <row r="595" hidden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62"/>
      <c r="Q595" s="63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</row>
    <row r="596" hidden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62"/>
      <c r="Q596" s="63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</row>
    <row r="597" hidden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62"/>
      <c r="Q597" s="63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</row>
    <row r="598" hidden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62"/>
      <c r="Q598" s="63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</row>
    <row r="599" hidden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62"/>
      <c r="Q599" s="63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</row>
    <row r="600" hidden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62"/>
      <c r="Q600" s="63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</row>
    <row r="601" hidden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62"/>
      <c r="Q601" s="63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</row>
    <row r="602" hidden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62"/>
      <c r="Q602" s="63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</row>
    <row r="603" hidden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62"/>
      <c r="Q603" s="63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</row>
    <row r="604" hidden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62"/>
      <c r="Q604" s="63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</row>
    <row r="605" hidden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62"/>
      <c r="Q605" s="63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</row>
    <row r="606" hidden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62"/>
      <c r="Q606" s="63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</row>
    <row r="607" hidden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62"/>
      <c r="Q607" s="63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</row>
    <row r="608" hidden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62"/>
      <c r="Q608" s="63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</row>
    <row r="609" hidden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62"/>
      <c r="Q609" s="63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</row>
    <row r="610" hidden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62"/>
      <c r="Q610" s="63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</row>
    <row r="611" hidden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62"/>
      <c r="Q611" s="63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</row>
    <row r="612" hidden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62"/>
      <c r="Q612" s="63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</row>
    <row r="613" hidden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62"/>
      <c r="Q613" s="63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</row>
    <row r="614" hidden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62"/>
      <c r="Q614" s="63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</row>
    <row r="615" hidden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62"/>
      <c r="Q615" s="63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</row>
    <row r="616" hidden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62"/>
      <c r="Q616" s="63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</row>
    <row r="617" hidden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62"/>
      <c r="Q617" s="63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</row>
    <row r="618" hidden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62"/>
      <c r="Q618" s="63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</row>
    <row r="619" hidden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62"/>
      <c r="Q619" s="63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</row>
    <row r="620" hidden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62"/>
      <c r="Q620" s="63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</row>
    <row r="621" hidden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62"/>
      <c r="Q621" s="63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</row>
    <row r="622" hidden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62"/>
      <c r="Q622" s="63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</row>
    <row r="623" hidden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62"/>
      <c r="Q623" s="63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</row>
    <row r="624" hidden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62"/>
      <c r="Q624" s="63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</row>
    <row r="625" hidden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62"/>
      <c r="Q625" s="63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</row>
    <row r="626" hidden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62"/>
      <c r="Q626" s="63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</row>
    <row r="627" hidden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62"/>
      <c r="Q627" s="63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</row>
    <row r="628" hidden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62"/>
      <c r="Q628" s="63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</row>
    <row r="629" hidden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62"/>
      <c r="Q629" s="63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</row>
    <row r="630" hidden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62"/>
      <c r="Q630" s="63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</row>
    <row r="631" hidden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62"/>
      <c r="Q631" s="63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</row>
    <row r="632" hidden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62"/>
      <c r="Q632" s="63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</row>
    <row r="633" hidden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62"/>
      <c r="Q633" s="63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</row>
    <row r="634" hidden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62"/>
      <c r="Q634" s="63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</row>
    <row r="635" hidden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62"/>
      <c r="Q635" s="63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</row>
    <row r="636" hidden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62"/>
      <c r="Q636" s="63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</row>
    <row r="637" hidden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62"/>
      <c r="Q637" s="63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</row>
    <row r="638" hidden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62"/>
      <c r="Q638" s="63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</row>
    <row r="639" hidden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62"/>
      <c r="Q639" s="63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</row>
    <row r="640" hidden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62"/>
      <c r="Q640" s="63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</row>
    <row r="641" hidden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62"/>
      <c r="Q641" s="63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</row>
    <row r="642" hidden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62"/>
      <c r="Q642" s="63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</row>
    <row r="643" hidden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62"/>
      <c r="Q643" s="63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</row>
    <row r="644" hidden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62"/>
      <c r="Q644" s="63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</row>
    <row r="645" hidden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62"/>
      <c r="Q645" s="63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</row>
    <row r="646" hidden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62"/>
      <c r="Q646" s="63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</row>
    <row r="647" hidden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62"/>
      <c r="Q647" s="63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</row>
    <row r="648" hidden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62"/>
      <c r="Q648" s="63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</row>
    <row r="649" hidden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62"/>
      <c r="Q649" s="63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</row>
    <row r="650" hidden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62"/>
      <c r="Q650" s="63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</row>
    <row r="651" hidden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62"/>
      <c r="Q651" s="63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</row>
    <row r="652" hidden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62"/>
      <c r="Q652" s="63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</row>
    <row r="653" hidden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62"/>
      <c r="Q653" s="63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</row>
    <row r="654" hidden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62"/>
      <c r="Q654" s="63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</row>
    <row r="655" hidden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62"/>
      <c r="Q655" s="63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</row>
    <row r="656" hidden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62"/>
      <c r="Q656" s="63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</row>
    <row r="657" hidden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62"/>
      <c r="Q657" s="63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</row>
    <row r="658" hidden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62"/>
      <c r="Q658" s="63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</row>
    <row r="659" hidden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62"/>
      <c r="Q659" s="63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</row>
    <row r="660" hidden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62"/>
      <c r="Q660" s="63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</row>
    <row r="661" hidden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62"/>
      <c r="Q661" s="63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</row>
    <row r="662" hidden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62"/>
      <c r="Q662" s="63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</row>
    <row r="663" hidden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62"/>
      <c r="Q663" s="63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</row>
    <row r="664" hidden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62"/>
      <c r="Q664" s="63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</row>
    <row r="665" hidden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62"/>
      <c r="Q665" s="63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</row>
    <row r="666" hidden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62"/>
      <c r="Q666" s="63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</row>
    <row r="667" hidden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62"/>
      <c r="Q667" s="63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</row>
    <row r="668" hidden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62"/>
      <c r="Q668" s="63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</row>
    <row r="669" hidden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62"/>
      <c r="Q669" s="63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</row>
    <row r="670" hidden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62"/>
      <c r="Q670" s="63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</row>
    <row r="671" hidden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62"/>
      <c r="Q671" s="63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</row>
    <row r="672" hidden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62"/>
      <c r="Q672" s="63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</row>
    <row r="673" hidden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62"/>
      <c r="Q673" s="63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</row>
    <row r="674" hidden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62"/>
      <c r="Q674" s="63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</row>
    <row r="675" hidden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62"/>
      <c r="Q675" s="63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</row>
    <row r="676" hidden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62"/>
      <c r="Q676" s="63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</row>
    <row r="677" hidden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62"/>
      <c r="Q677" s="63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</row>
    <row r="678" hidden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62"/>
      <c r="Q678" s="63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</row>
    <row r="679" hidden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62"/>
      <c r="Q679" s="63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</row>
    <row r="680" hidden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62"/>
      <c r="Q680" s="63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</row>
    <row r="681" hidden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62"/>
      <c r="Q681" s="63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</row>
    <row r="682" hidden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62"/>
      <c r="Q682" s="63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</row>
    <row r="683" hidden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62"/>
      <c r="Q683" s="63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</row>
    <row r="684" hidden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62"/>
      <c r="Q684" s="63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</row>
    <row r="685" hidden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62"/>
      <c r="Q685" s="63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</row>
    <row r="686" hidden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62"/>
      <c r="Q686" s="63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</row>
    <row r="687" hidden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62"/>
      <c r="Q687" s="63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</row>
    <row r="688" hidden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62"/>
      <c r="Q688" s="63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</row>
    <row r="689" hidden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62"/>
      <c r="Q689" s="63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</row>
    <row r="690" hidden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62"/>
      <c r="Q690" s="63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</row>
    <row r="691" hidden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62"/>
      <c r="Q691" s="63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</row>
    <row r="692" hidden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62"/>
      <c r="Q692" s="63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</row>
    <row r="693" hidden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62"/>
      <c r="Q693" s="63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</row>
    <row r="694" hidden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62"/>
      <c r="Q694" s="63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</row>
    <row r="695" hidden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62"/>
      <c r="Q695" s="63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</row>
    <row r="696" hidden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62"/>
      <c r="Q696" s="63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</row>
    <row r="697" hidden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62"/>
      <c r="Q697" s="63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</row>
    <row r="698" hidden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62"/>
      <c r="Q698" s="63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</row>
    <row r="699" hidden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62"/>
      <c r="Q699" s="63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</row>
    <row r="700" hidden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62"/>
      <c r="Q700" s="63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</row>
    <row r="701" hidden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62"/>
      <c r="Q701" s="63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</row>
    <row r="702" hidden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62"/>
      <c r="Q702" s="63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</row>
    <row r="703" hidden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62"/>
      <c r="Q703" s="63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</row>
    <row r="704" hidden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62"/>
      <c r="Q704" s="63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</row>
    <row r="705" hidden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62"/>
      <c r="Q705" s="63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</row>
    <row r="706" hidden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62"/>
      <c r="Q706" s="63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</row>
    <row r="707" hidden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62"/>
      <c r="Q707" s="63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</row>
    <row r="708" hidden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62"/>
      <c r="Q708" s="63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</row>
    <row r="709" hidden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62"/>
      <c r="Q709" s="63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</row>
    <row r="710" hidden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62"/>
      <c r="Q710" s="63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</row>
    <row r="711" hidden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62"/>
      <c r="Q711" s="63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</row>
    <row r="712" hidden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62"/>
      <c r="Q712" s="63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</row>
    <row r="713" hidden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62"/>
      <c r="Q713" s="63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</row>
    <row r="714" hidden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62"/>
      <c r="Q714" s="63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</row>
    <row r="715" hidden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62"/>
      <c r="Q715" s="63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</row>
    <row r="716" hidden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62"/>
      <c r="Q716" s="63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</row>
    <row r="717" hidden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62"/>
      <c r="Q717" s="63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</row>
    <row r="718" hidden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62"/>
      <c r="Q718" s="63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</row>
    <row r="719" hidden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62"/>
      <c r="Q719" s="63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</row>
    <row r="720" hidden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62"/>
      <c r="Q720" s="63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</row>
    <row r="721" hidden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62"/>
      <c r="Q721" s="63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</row>
    <row r="722" hidden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62"/>
      <c r="Q722" s="63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</row>
    <row r="723" hidden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62"/>
      <c r="Q723" s="63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</row>
    <row r="724" hidden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62"/>
      <c r="Q724" s="63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</row>
    <row r="725" hidden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62"/>
      <c r="Q725" s="63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</row>
    <row r="726" hidden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62"/>
      <c r="Q726" s="63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</row>
    <row r="727" hidden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62"/>
      <c r="Q727" s="63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</row>
    <row r="728" hidden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62"/>
      <c r="Q728" s="63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</row>
    <row r="729" hidden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62"/>
      <c r="Q729" s="63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</row>
    <row r="730" hidden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62"/>
      <c r="Q730" s="63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</row>
    <row r="731" hidden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62"/>
      <c r="Q731" s="63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</row>
    <row r="732" hidden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62"/>
      <c r="Q732" s="63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</row>
    <row r="733" hidden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62"/>
      <c r="Q733" s="63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</row>
    <row r="734" hidden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62"/>
      <c r="Q734" s="63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</row>
    <row r="735" hidden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62"/>
      <c r="Q735" s="63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</row>
    <row r="736" hidden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62"/>
      <c r="Q736" s="63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</row>
    <row r="737" hidden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62"/>
      <c r="Q737" s="63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</row>
    <row r="738" hidden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62"/>
      <c r="Q738" s="63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</row>
    <row r="739" hidden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62"/>
      <c r="Q739" s="63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</row>
    <row r="740" hidden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62"/>
      <c r="Q740" s="63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</row>
    <row r="741" hidden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62"/>
      <c r="Q741" s="63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</row>
    <row r="742" hidden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62"/>
      <c r="Q742" s="63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</row>
    <row r="743" hidden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62"/>
      <c r="Q743" s="63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</row>
    <row r="744" hidden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62"/>
      <c r="Q744" s="63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</row>
    <row r="745" hidden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62"/>
      <c r="Q745" s="63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</row>
    <row r="746" hidden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62"/>
      <c r="Q746" s="63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</row>
    <row r="747" hidden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62"/>
      <c r="Q747" s="63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</row>
    <row r="748" hidden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62"/>
      <c r="Q748" s="63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</row>
    <row r="749" hidden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62"/>
      <c r="Q749" s="63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</row>
    <row r="750" hidden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62"/>
      <c r="Q750" s="63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</row>
    <row r="751" hidden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62"/>
      <c r="Q751" s="63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</row>
    <row r="752" hidden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62"/>
      <c r="Q752" s="63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</row>
    <row r="753" hidden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62"/>
      <c r="Q753" s="63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</row>
    <row r="754" hidden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62"/>
      <c r="Q754" s="63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</row>
    <row r="755" hidden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62"/>
      <c r="Q755" s="63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</row>
    <row r="756" hidden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62"/>
      <c r="Q756" s="63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</row>
    <row r="757" hidden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62"/>
      <c r="Q757" s="63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</row>
    <row r="758" hidden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62"/>
      <c r="Q758" s="63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</row>
    <row r="759" hidden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62"/>
      <c r="Q759" s="63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</row>
    <row r="760" hidden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62"/>
      <c r="Q760" s="63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</row>
    <row r="761" hidden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62"/>
      <c r="Q761" s="63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</row>
    <row r="762" hidden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62"/>
      <c r="Q762" s="63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</row>
    <row r="763" hidden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62"/>
      <c r="Q763" s="63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</row>
    <row r="764" hidden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62"/>
      <c r="Q764" s="63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</row>
    <row r="765" hidden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62"/>
      <c r="Q765" s="63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</row>
    <row r="766" hidden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62"/>
      <c r="Q766" s="63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</row>
    <row r="767" hidden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62"/>
      <c r="Q767" s="63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</row>
    <row r="768" hidden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62"/>
      <c r="Q768" s="63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</row>
    <row r="769" hidden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62"/>
      <c r="Q769" s="63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</row>
    <row r="770" hidden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62"/>
      <c r="Q770" s="63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</row>
    <row r="771" hidden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62"/>
      <c r="Q771" s="63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</row>
    <row r="772" hidden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62"/>
      <c r="Q772" s="63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</row>
    <row r="773" hidden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62"/>
      <c r="Q773" s="63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</row>
    <row r="774" hidden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62"/>
      <c r="Q774" s="63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</row>
    <row r="775" hidden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62"/>
      <c r="Q775" s="63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</row>
    <row r="776" hidden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62"/>
      <c r="Q776" s="63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</row>
    <row r="777" hidden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62"/>
      <c r="Q777" s="63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</row>
    <row r="778" hidden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62"/>
      <c r="Q778" s="63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</row>
    <row r="779" hidden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62"/>
      <c r="Q779" s="63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</row>
    <row r="780" hidden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62"/>
      <c r="Q780" s="63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</row>
    <row r="781" hidden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62"/>
      <c r="Q781" s="63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</row>
    <row r="782" hidden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62"/>
      <c r="Q782" s="63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</row>
    <row r="783" hidden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62"/>
      <c r="Q783" s="63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</row>
    <row r="784" hidden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62"/>
      <c r="Q784" s="63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</row>
    <row r="785" hidden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62"/>
      <c r="Q785" s="63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</row>
    <row r="786" hidden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62"/>
      <c r="Q786" s="63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</row>
    <row r="787" hidden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62"/>
      <c r="Q787" s="63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</row>
    <row r="788" hidden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62"/>
      <c r="Q788" s="63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</row>
    <row r="789" hidden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62"/>
      <c r="Q789" s="63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</row>
    <row r="790" hidden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62"/>
      <c r="Q790" s="63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</row>
    <row r="791" hidden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62"/>
      <c r="Q791" s="63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</row>
    <row r="792" hidden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62"/>
      <c r="Q792" s="63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</row>
    <row r="793" hidden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62"/>
      <c r="Q793" s="63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</row>
    <row r="794" hidden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62"/>
      <c r="Q794" s="63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</row>
    <row r="795" hidden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62"/>
      <c r="Q795" s="63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</row>
    <row r="796" hidden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62"/>
      <c r="Q796" s="63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</row>
    <row r="797" hidden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62"/>
      <c r="Q797" s="63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</row>
    <row r="798" hidden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62"/>
      <c r="Q798" s="63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</row>
    <row r="799" hidden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62"/>
      <c r="Q799" s="63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</row>
    <row r="800" hidden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62"/>
      <c r="Q800" s="63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</row>
    <row r="801" hidden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62"/>
      <c r="Q801" s="63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</row>
    <row r="802" hidden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62"/>
      <c r="Q802" s="63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</row>
    <row r="803" hidden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62"/>
      <c r="Q803" s="63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</row>
    <row r="804" hidden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62"/>
      <c r="Q804" s="63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</row>
    <row r="805" hidden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62"/>
      <c r="Q805" s="63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</row>
    <row r="806" hidden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62"/>
      <c r="Q806" s="63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</row>
    <row r="807" hidden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62"/>
      <c r="Q807" s="63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</row>
    <row r="808" hidden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62"/>
      <c r="Q808" s="63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</row>
    <row r="809" hidden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62"/>
      <c r="Q809" s="63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</row>
    <row r="810" hidden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62"/>
      <c r="Q810" s="63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</row>
    <row r="811" hidden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62"/>
      <c r="Q811" s="63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</row>
    <row r="812" hidden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62"/>
      <c r="Q812" s="63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</row>
    <row r="813" hidden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62"/>
      <c r="Q813" s="63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</row>
    <row r="814" hidden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62"/>
      <c r="Q814" s="63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</row>
    <row r="815" hidden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62"/>
      <c r="Q815" s="63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</row>
    <row r="816" hidden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62"/>
      <c r="Q816" s="63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</row>
    <row r="817" hidden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62"/>
      <c r="Q817" s="63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</row>
    <row r="818" hidden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62"/>
      <c r="Q818" s="63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</row>
    <row r="819" hidden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62"/>
      <c r="Q819" s="63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</row>
    <row r="820" hidden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62"/>
      <c r="Q820" s="63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</row>
    <row r="821" hidden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62"/>
      <c r="Q821" s="63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</row>
    <row r="822" hidden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62"/>
      <c r="Q822" s="63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</row>
    <row r="823" hidden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62"/>
      <c r="Q823" s="63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</row>
    <row r="824" hidden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62"/>
      <c r="Q824" s="63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</row>
    <row r="825" hidden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62"/>
      <c r="Q825" s="63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</row>
    <row r="826" hidden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62"/>
      <c r="Q826" s="63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</row>
    <row r="827" hidden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62"/>
      <c r="Q827" s="63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</row>
    <row r="828" hidden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62"/>
      <c r="Q828" s="63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</row>
    <row r="829" hidden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62"/>
      <c r="Q829" s="63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</row>
    <row r="830" hidden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62"/>
      <c r="Q830" s="63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</row>
    <row r="831" hidden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62"/>
      <c r="Q831" s="63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</row>
    <row r="832" hidden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62"/>
      <c r="Q832" s="63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</row>
    <row r="833" hidden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62"/>
      <c r="Q833" s="63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</row>
    <row r="834" hidden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62"/>
      <c r="Q834" s="63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</row>
    <row r="835" hidden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62"/>
      <c r="Q835" s="63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</row>
    <row r="836" hidden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62"/>
      <c r="Q836" s="63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</row>
    <row r="837" hidden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62"/>
      <c r="Q837" s="63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</row>
    <row r="838" hidden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62"/>
      <c r="Q838" s="63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</row>
    <row r="839" hidden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62"/>
      <c r="Q839" s="63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</row>
    <row r="840" hidden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62"/>
      <c r="Q840" s="63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</row>
    <row r="841" hidden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62"/>
      <c r="Q841" s="63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</row>
    <row r="842" hidden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62"/>
      <c r="Q842" s="63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</row>
    <row r="843" hidden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62"/>
      <c r="Q843" s="63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</row>
    <row r="844" hidden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62"/>
      <c r="Q844" s="63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</row>
    <row r="845" hidden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62"/>
      <c r="Q845" s="63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</row>
    <row r="846" hidden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62"/>
      <c r="Q846" s="63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</row>
    <row r="847" hidden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62"/>
      <c r="Q847" s="63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</row>
    <row r="848" hidden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62"/>
      <c r="Q848" s="63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</row>
    <row r="849" hidden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62"/>
      <c r="Q849" s="63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</row>
    <row r="850" hidden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62"/>
      <c r="Q850" s="63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</row>
    <row r="851" hidden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62"/>
      <c r="Q851" s="63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</row>
    <row r="852" hidden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62"/>
      <c r="Q852" s="63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</row>
    <row r="853" hidden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62"/>
      <c r="Q853" s="63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</row>
    <row r="854" hidden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62"/>
      <c r="Q854" s="63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</row>
    <row r="855" hidden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62"/>
      <c r="Q855" s="63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</row>
    <row r="856" hidden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62"/>
      <c r="Q856" s="63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</row>
    <row r="857" hidden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62"/>
      <c r="Q857" s="63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</row>
    <row r="858" hidden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62"/>
      <c r="Q858" s="63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</row>
    <row r="859" hidden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62"/>
      <c r="Q859" s="63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</row>
    <row r="860" hidden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62"/>
      <c r="Q860" s="63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</row>
    <row r="861" hidden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62"/>
      <c r="Q861" s="63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</row>
    <row r="862" hidden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62"/>
      <c r="Q862" s="63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</row>
    <row r="863" hidden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62"/>
      <c r="Q863" s="63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</row>
    <row r="864" hidden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62"/>
      <c r="Q864" s="63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</row>
    <row r="865" hidden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62"/>
      <c r="Q865" s="63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</row>
    <row r="866" hidden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62"/>
      <c r="Q866" s="63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</row>
    <row r="867" hidden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62"/>
      <c r="Q867" s="63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</row>
    <row r="868" hidden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62"/>
      <c r="Q868" s="63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</row>
    <row r="869" hidden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62"/>
      <c r="Q869" s="63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</row>
    <row r="870" hidden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62"/>
      <c r="Q870" s="63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</row>
    <row r="871" hidden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62"/>
      <c r="Q871" s="63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</row>
    <row r="872" hidden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62"/>
      <c r="Q872" s="63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</row>
    <row r="873" hidden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62"/>
      <c r="Q873" s="63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</row>
    <row r="874" hidden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62"/>
      <c r="Q874" s="63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</row>
    <row r="875" hidden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62"/>
      <c r="Q875" s="63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</row>
    <row r="876" hidden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62"/>
      <c r="Q876" s="63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</row>
    <row r="877" hidden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62"/>
      <c r="Q877" s="63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</row>
    <row r="878" hidden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62"/>
      <c r="Q878" s="63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</row>
    <row r="879" hidden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62"/>
      <c r="Q879" s="63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</row>
    <row r="880" hidden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62"/>
      <c r="Q880" s="63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</row>
    <row r="881" hidden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62"/>
      <c r="Q881" s="63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</row>
    <row r="882" hidden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62"/>
      <c r="Q882" s="63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</row>
    <row r="883" hidden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62"/>
      <c r="Q883" s="63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</row>
    <row r="884" hidden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62"/>
      <c r="Q884" s="63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</row>
    <row r="885" hidden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62"/>
      <c r="Q885" s="63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</row>
    <row r="886" hidden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62"/>
      <c r="Q886" s="63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</row>
    <row r="887" hidden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62"/>
      <c r="Q887" s="63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</row>
    <row r="888" hidden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62"/>
      <c r="Q888" s="63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</row>
    <row r="889" hidden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62"/>
      <c r="Q889" s="63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</row>
    <row r="890" hidden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62"/>
      <c r="Q890" s="63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</row>
    <row r="891" hidden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62"/>
      <c r="Q891" s="63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</row>
    <row r="892" hidden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62"/>
      <c r="Q892" s="63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</row>
    <row r="893" hidden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62"/>
      <c r="Q893" s="63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</row>
    <row r="894" hidden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62"/>
      <c r="Q894" s="63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</row>
    <row r="895" hidden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62"/>
      <c r="Q895" s="63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</row>
    <row r="896" hidden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62"/>
      <c r="Q896" s="63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</row>
    <row r="897" hidden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62"/>
      <c r="Q897" s="63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</row>
    <row r="898" hidden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62"/>
      <c r="Q898" s="63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</row>
    <row r="899" hidden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62"/>
      <c r="Q899" s="63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</row>
    <row r="900" hidden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62"/>
      <c r="Q900" s="63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</row>
    <row r="901" hidden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62"/>
      <c r="Q901" s="63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</row>
    <row r="902" hidden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62"/>
      <c r="Q902" s="63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</row>
    <row r="903" hidden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62"/>
      <c r="Q903" s="63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</row>
    <row r="904" hidden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62"/>
      <c r="Q904" s="63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</row>
    <row r="905" hidden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62"/>
      <c r="Q905" s="63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</row>
    <row r="906" hidden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62"/>
      <c r="Q906" s="63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</row>
    <row r="907" hidden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62"/>
      <c r="Q907" s="63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</row>
    <row r="908" hidden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62"/>
      <c r="Q908" s="63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</row>
    <row r="909" hidden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62"/>
      <c r="Q909" s="63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</row>
    <row r="910" hidden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62"/>
      <c r="Q910" s="63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</row>
    <row r="911" hidden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62"/>
      <c r="Q911" s="63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</row>
    <row r="912" hidden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62"/>
      <c r="Q912" s="63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</row>
    <row r="913" hidden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62"/>
      <c r="Q913" s="63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</row>
    <row r="914" hidden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62"/>
      <c r="Q914" s="63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</row>
    <row r="915" hidden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62"/>
      <c r="Q915" s="63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</row>
    <row r="916" hidden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62"/>
      <c r="Q916" s="63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</row>
    <row r="917" hidden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62"/>
      <c r="Q917" s="63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</row>
    <row r="918" hidden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62"/>
      <c r="Q918" s="63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</row>
    <row r="919" hidden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62"/>
      <c r="Q919" s="63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</row>
    <row r="920" hidden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62"/>
      <c r="Q920" s="63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</row>
    <row r="921" hidden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62"/>
      <c r="Q921" s="63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</row>
    <row r="922" hidden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62"/>
      <c r="Q922" s="63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</row>
    <row r="923" hidden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62"/>
      <c r="Q923" s="63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</row>
    <row r="924" hidden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62"/>
      <c r="Q924" s="63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</row>
    <row r="925" hidden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62"/>
      <c r="Q925" s="63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</row>
    <row r="926" hidden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62"/>
      <c r="Q926" s="63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</row>
    <row r="927" hidden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62"/>
      <c r="Q927" s="63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</row>
    <row r="928" hidden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62"/>
      <c r="Q928" s="63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</row>
    <row r="929" hidden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62"/>
      <c r="Q929" s="63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</row>
    <row r="930" hidden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62"/>
      <c r="Q930" s="63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</row>
    <row r="931" hidden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62"/>
      <c r="Q931" s="63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</row>
    <row r="932" hidden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62"/>
      <c r="Q932" s="63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</row>
    <row r="933" hidden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62"/>
      <c r="Q933" s="63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</row>
    <row r="934" hidden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62"/>
      <c r="Q934" s="63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</row>
    <row r="935" hidden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62"/>
      <c r="Q935" s="63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</row>
    <row r="936" hidden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62"/>
      <c r="Q936" s="63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</row>
    <row r="937" hidden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62"/>
      <c r="Q937" s="63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</row>
    <row r="938" hidden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62"/>
      <c r="Q938" s="63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</row>
    <row r="939" hidden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62"/>
      <c r="Q939" s="63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</row>
    <row r="940" hidden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62"/>
      <c r="Q940" s="63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</row>
    <row r="941" hidden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62"/>
      <c r="Q941" s="63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</row>
    <row r="942" hidden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62"/>
      <c r="Q942" s="63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</row>
    <row r="943" hidden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62"/>
      <c r="Q943" s="63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</row>
    <row r="944" hidden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62"/>
      <c r="Q944" s="63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</row>
    <row r="945" hidden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62"/>
      <c r="Q945" s="63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</row>
    <row r="946" hidden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62"/>
      <c r="Q946" s="63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</row>
    <row r="947" hidden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62"/>
      <c r="Q947" s="63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</row>
    <row r="948" hidden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62"/>
      <c r="Q948" s="63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</row>
    <row r="949" hidden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62"/>
      <c r="Q949" s="63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</row>
    <row r="950" hidden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62"/>
      <c r="Q950" s="63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</row>
    <row r="951" hidden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62"/>
      <c r="Q951" s="63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</row>
    <row r="952" hidden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62"/>
      <c r="Q952" s="63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</row>
    <row r="953" hidden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62"/>
      <c r="Q953" s="63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</row>
    <row r="954" hidden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62"/>
      <c r="Q954" s="63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</row>
    <row r="955" hidden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62"/>
      <c r="Q955" s="63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</row>
    <row r="956" hidden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62"/>
      <c r="Q956" s="63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</row>
    <row r="957" hidden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62"/>
      <c r="Q957" s="63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</row>
    <row r="958" hidden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62"/>
      <c r="Q958" s="63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</row>
    <row r="959" hidden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62"/>
      <c r="Q959" s="63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</row>
    <row r="960" hidden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62"/>
      <c r="Q960" s="63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</row>
    <row r="961" hidden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62"/>
      <c r="Q961" s="63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</row>
    <row r="962" hidden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62"/>
      <c r="Q962" s="63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</row>
    <row r="963" hidden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62"/>
      <c r="Q963" s="63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</row>
    <row r="964" hidden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62"/>
      <c r="Q964" s="63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</row>
    <row r="965" hidden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62"/>
      <c r="Q965" s="63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</row>
    <row r="966" hidden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62"/>
      <c r="Q966" s="63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</row>
    <row r="967" hidden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62"/>
      <c r="Q967" s="63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</row>
    <row r="968" hidden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62"/>
      <c r="Q968" s="63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</row>
    <row r="969" hidden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62"/>
      <c r="Q969" s="63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</row>
    <row r="970" hidden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62"/>
      <c r="Q970" s="63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</row>
    <row r="971" hidden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62"/>
      <c r="Q971" s="63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</row>
    <row r="972" hidden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62"/>
      <c r="Q972" s="63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</row>
    <row r="973" hidden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62"/>
      <c r="Q973" s="63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</row>
    <row r="974" hidden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62"/>
      <c r="Q974" s="63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</row>
    <row r="975" hidden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62"/>
      <c r="Q975" s="63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</row>
    <row r="976" hidden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62"/>
      <c r="Q976" s="63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</row>
    <row r="977" hidden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62"/>
      <c r="Q977" s="63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</row>
    <row r="978" hidden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62"/>
      <c r="Q978" s="63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</row>
    <row r="979" hidden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62"/>
      <c r="Q979" s="63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</row>
    <row r="980" hidden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62"/>
      <c r="Q980" s="63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</row>
    <row r="981" hidden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62"/>
      <c r="Q981" s="63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</row>
    <row r="982" hidden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62"/>
      <c r="Q982" s="63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</row>
    <row r="983" hidden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62"/>
      <c r="Q983" s="63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</row>
    <row r="984" hidden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62"/>
      <c r="Q984" s="63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</row>
    <row r="985" hidden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62"/>
      <c r="Q985" s="63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</row>
    <row r="986" hidden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62"/>
      <c r="Q986" s="63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</row>
    <row r="987" hidden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62"/>
      <c r="Q987" s="63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</row>
    <row r="988" hidden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62"/>
      <c r="Q988" s="63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</row>
    <row r="989" hidden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62"/>
      <c r="Q989" s="63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</row>
    <row r="990" hidden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62"/>
      <c r="Q990" s="63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</row>
    <row r="991" hidden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62"/>
      <c r="Q991" s="63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</row>
    <row r="992" hidden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62"/>
      <c r="Q992" s="63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</row>
    <row r="993" hidden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62"/>
      <c r="Q993" s="63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</row>
    <row r="994" hidden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62"/>
      <c r="Q994" s="63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</row>
    <row r="995" hidden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62"/>
      <c r="Q995" s="63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</row>
    <row r="996" hidden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62"/>
      <c r="Q996" s="63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</row>
    <row r="997" hidden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62"/>
      <c r="Q997" s="63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</row>
    <row r="998" hidden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62"/>
      <c r="Q998" s="63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</row>
    <row r="999" hidden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62"/>
      <c r="Q999" s="63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</row>
    <row r="1000" hidden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62"/>
      <c r="Q1000" s="63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</row>
    <row r="1001" hidden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62"/>
      <c r="Q1001" s="63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</row>
  </sheetData>
  <mergeCells count="17">
    <mergeCell ref="A1:N1"/>
    <mergeCell ref="O1:P1"/>
    <mergeCell ref="F2:H2"/>
    <mergeCell ref="I2:K2"/>
    <mergeCell ref="B5:F7"/>
    <mergeCell ref="B17:E18"/>
    <mergeCell ref="D23:O23"/>
    <mergeCell ref="I69:K69"/>
    <mergeCell ref="L70:N70"/>
    <mergeCell ref="B139:O141"/>
    <mergeCell ref="B23:C23"/>
    <mergeCell ref="B37:C37"/>
    <mergeCell ref="B65:F67"/>
    <mergeCell ref="L65:M65"/>
    <mergeCell ref="I66:K66"/>
    <mergeCell ref="I67:K67"/>
    <mergeCell ref="I68:K68"/>
  </mergeCells>
  <conditionalFormatting sqref="D25:O36">
    <cfRule type="containsBlanks" dxfId="0" priority="1">
      <formula>LEN(TRIM(D25))=0</formula>
    </cfRule>
  </conditionalFormatting>
  <conditionalFormatting sqref="D25:O36">
    <cfRule type="expression" dxfId="1" priority="2">
      <formula>D25&lt;D$37*0.9</formula>
    </cfRule>
  </conditionalFormatting>
  <conditionalFormatting sqref="D25:O36">
    <cfRule type="expression" dxfId="2" priority="3">
      <formula>D25&gt;D$37*1.1</formula>
    </cfRule>
  </conditionalFormatting>
  <conditionalFormatting sqref="D101:D113">
    <cfRule type="colorScale" priority="4">
      <colorScale>
        <cfvo type="min"/>
        <cfvo type="max"/>
        <color rgb="FFFFFFFF"/>
        <color rgb="FF6AA84F"/>
      </colorScale>
    </cfRule>
  </conditionalFormatting>
  <conditionalFormatting sqref="N66:N69">
    <cfRule type="colorScale" priority="5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46" t="s">
        <v>68</v>
      </c>
    </row>
    <row r="3">
      <c r="A3" s="147" t="s">
        <v>69</v>
      </c>
    </row>
    <row r="5">
      <c r="A5" s="148" t="s">
        <v>70</v>
      </c>
    </row>
    <row r="6">
      <c r="A6" s="149" t="s">
        <v>71</v>
      </c>
    </row>
    <row r="8">
      <c r="A8" s="149" t="s">
        <v>72</v>
      </c>
    </row>
    <row r="10">
      <c r="A10" s="149" t="s">
        <v>73</v>
      </c>
    </row>
    <row r="11">
      <c r="AB11" s="150"/>
    </row>
    <row r="12">
      <c r="A12" s="149" t="s">
        <v>74</v>
      </c>
    </row>
    <row r="16">
      <c r="Z16" s="151"/>
    </row>
    <row r="19">
      <c r="A19" s="152" t="s">
        <v>75</v>
      </c>
      <c r="B19" s="153"/>
      <c r="C19" s="152" t="s">
        <v>76</v>
      </c>
      <c r="D19" s="152" t="s">
        <v>77</v>
      </c>
      <c r="E19" s="152" t="s">
        <v>78</v>
      </c>
      <c r="F19" s="153"/>
      <c r="G19" s="152" t="s">
        <v>79</v>
      </c>
      <c r="H19" s="152" t="s">
        <v>80</v>
      </c>
      <c r="I19" s="152" t="s">
        <v>81</v>
      </c>
      <c r="J19" s="152" t="s">
        <v>82</v>
      </c>
      <c r="K19" s="152" t="s">
        <v>83</v>
      </c>
      <c r="L19" s="153"/>
      <c r="M19" s="152" t="s">
        <v>84</v>
      </c>
      <c r="N19" s="152" t="s">
        <v>85</v>
      </c>
      <c r="O19" s="152" t="s">
        <v>86</v>
      </c>
      <c r="P19" s="153"/>
      <c r="Q19" s="152" t="s">
        <v>87</v>
      </c>
      <c r="R19" s="152" t="s">
        <v>88</v>
      </c>
      <c r="S19" s="152" t="s">
        <v>89</v>
      </c>
      <c r="T19" s="152" t="s">
        <v>90</v>
      </c>
      <c r="U19" s="152" t="s">
        <v>91</v>
      </c>
      <c r="V19" s="153"/>
      <c r="W19" s="152" t="s">
        <v>92</v>
      </c>
      <c r="X19" s="152" t="s">
        <v>93</v>
      </c>
      <c r="Y19" s="152" t="s">
        <v>94</v>
      </c>
      <c r="Z19" s="152" t="s">
        <v>95</v>
      </c>
      <c r="AA19" s="152" t="s">
        <v>96</v>
      </c>
      <c r="AB19" s="152" t="s">
        <v>97</v>
      </c>
      <c r="AC19" s="152" t="s">
        <v>98</v>
      </c>
      <c r="AD19" s="152" t="s">
        <v>99</v>
      </c>
      <c r="AE19" s="152" t="s">
        <v>100</v>
      </c>
      <c r="AF19" s="152" t="s">
        <v>101</v>
      </c>
      <c r="AG19" s="153"/>
      <c r="AH19" s="153"/>
      <c r="AI19" s="153"/>
      <c r="AJ19" s="152" t="s">
        <v>102</v>
      </c>
      <c r="AK19" s="152" t="s">
        <v>103</v>
      </c>
      <c r="AL19" s="152" t="s">
        <v>104</v>
      </c>
      <c r="AM19" s="153"/>
      <c r="AN19" s="152" t="s">
        <v>105</v>
      </c>
      <c r="AO19" s="152" t="s">
        <v>106</v>
      </c>
      <c r="AP19" s="152" t="s">
        <v>107</v>
      </c>
      <c r="AQ19" s="152" t="s">
        <v>108</v>
      </c>
      <c r="AR19" s="152" t="s">
        <v>109</v>
      </c>
      <c r="AS19" s="152" t="s">
        <v>110</v>
      </c>
      <c r="AT19" s="152" t="s">
        <v>111</v>
      </c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  <c r="BN19" s="153"/>
      <c r="BO19" s="153"/>
      <c r="BP19" s="153"/>
      <c r="BQ19" s="153"/>
      <c r="BR19" s="153"/>
      <c r="BS19" s="153"/>
      <c r="BT19" s="153"/>
      <c r="BU19" s="153"/>
      <c r="BV19" s="153"/>
      <c r="BW19" s="153"/>
      <c r="BX19" s="153"/>
      <c r="BY19" s="153"/>
      <c r="BZ19" s="153"/>
      <c r="CA19" s="153"/>
      <c r="CB19" s="153"/>
      <c r="CC19" s="153"/>
      <c r="CD19" s="153"/>
      <c r="CE19" s="153"/>
      <c r="CF19" s="153"/>
      <c r="CG19" s="153"/>
      <c r="CH19" s="153"/>
      <c r="CI19" s="153"/>
      <c r="CJ19" s="153"/>
      <c r="CK19" s="153"/>
      <c r="CL19" s="153"/>
      <c r="CM19" s="153"/>
      <c r="CN19" s="153"/>
      <c r="CO19" s="153"/>
      <c r="CP19" s="153"/>
      <c r="CQ19" s="153"/>
      <c r="CR19" s="153"/>
      <c r="CS19" s="153"/>
      <c r="CT19" s="153"/>
      <c r="CU19" s="153"/>
      <c r="CV19" s="153"/>
    </row>
    <row r="20" hidden="1">
      <c r="A20" s="148" t="s">
        <v>112</v>
      </c>
      <c r="C20" s="148" t="s">
        <v>113</v>
      </c>
      <c r="D20" s="148" t="s">
        <v>114</v>
      </c>
      <c r="E20" s="148" t="s">
        <v>115</v>
      </c>
      <c r="G20" s="148" t="s">
        <v>116</v>
      </c>
      <c r="H20" s="148" t="s">
        <v>117</v>
      </c>
      <c r="I20" s="148" t="s">
        <v>118</v>
      </c>
      <c r="J20" s="148" t="s">
        <v>119</v>
      </c>
      <c r="K20" s="148" t="s">
        <v>120</v>
      </c>
      <c r="M20" s="148" t="s">
        <v>121</v>
      </c>
      <c r="N20" s="148" t="s">
        <v>122</v>
      </c>
      <c r="O20" s="148" t="s">
        <v>123</v>
      </c>
      <c r="Q20" s="148" t="s">
        <v>124</v>
      </c>
      <c r="R20" s="148" t="s">
        <v>125</v>
      </c>
      <c r="S20" s="148" t="s">
        <v>126</v>
      </c>
      <c r="T20" s="148" t="s">
        <v>127</v>
      </c>
      <c r="U20" s="148" t="s">
        <v>128</v>
      </c>
      <c r="W20" s="148" t="s">
        <v>129</v>
      </c>
      <c r="X20" s="148" t="s">
        <v>130</v>
      </c>
      <c r="Y20" s="148" t="s">
        <v>131</v>
      </c>
      <c r="Z20" s="148" t="s">
        <v>132</v>
      </c>
      <c r="AA20" s="148" t="s">
        <v>133</v>
      </c>
      <c r="AB20" s="148" t="s">
        <v>134</v>
      </c>
      <c r="AC20" s="148" t="s">
        <v>135</v>
      </c>
      <c r="AD20" s="148" t="s">
        <v>136</v>
      </c>
      <c r="AE20" s="148" t="s">
        <v>137</v>
      </c>
      <c r="AF20" s="148" t="s">
        <v>138</v>
      </c>
      <c r="AJ20" s="148" t="s">
        <v>139</v>
      </c>
      <c r="AK20" s="148" t="s">
        <v>140</v>
      </c>
      <c r="AL20" s="148" t="s">
        <v>141</v>
      </c>
      <c r="AN20" s="148" t="s">
        <v>142</v>
      </c>
      <c r="AO20" s="148" t="s">
        <v>143</v>
      </c>
      <c r="AP20" s="148" t="s">
        <v>144</v>
      </c>
      <c r="AQ20" s="148" t="s">
        <v>145</v>
      </c>
      <c r="AR20" s="148" t="s">
        <v>146</v>
      </c>
      <c r="AS20" s="148" t="s">
        <v>147</v>
      </c>
      <c r="AT20" s="148" t="s">
        <v>148</v>
      </c>
    </row>
    <row r="21">
      <c r="A21" s="151"/>
      <c r="B21" s="154"/>
      <c r="C21" s="154"/>
      <c r="D21" s="151" t="s">
        <v>149</v>
      </c>
      <c r="E21" s="151" t="s">
        <v>150</v>
      </c>
      <c r="F21" s="154"/>
      <c r="G21" s="155">
        <v>42081.70681712963</v>
      </c>
      <c r="H21" s="155"/>
      <c r="I21" s="156"/>
      <c r="J21" s="157"/>
      <c r="K21" s="151" t="b">
        <v>0</v>
      </c>
      <c r="L21" s="154"/>
      <c r="M21" s="151" t="s">
        <v>151</v>
      </c>
      <c r="N21" s="154"/>
      <c r="O21" s="151" t="s">
        <v>152</v>
      </c>
      <c r="P21" s="154"/>
      <c r="Q21" s="151" t="s">
        <v>153</v>
      </c>
      <c r="R21" s="154"/>
      <c r="S21" s="154"/>
      <c r="T21" s="151"/>
      <c r="U21" s="151"/>
      <c r="V21" s="154"/>
      <c r="W21" s="151"/>
      <c r="X21" s="151" t="s">
        <v>154</v>
      </c>
      <c r="Y21" s="151" t="s">
        <v>155</v>
      </c>
      <c r="Z21" s="151" t="s">
        <v>156</v>
      </c>
      <c r="AA21" s="151"/>
      <c r="AB21" s="158" t="s">
        <v>157</v>
      </c>
      <c r="AC21" s="151" t="s">
        <v>158</v>
      </c>
      <c r="AD21" s="151">
        <v>52.0</v>
      </c>
      <c r="AE21" s="151">
        <v>20.0</v>
      </c>
      <c r="AF21" s="151" t="s">
        <v>159</v>
      </c>
      <c r="AG21" s="154"/>
      <c r="AH21" s="154"/>
      <c r="AI21" s="154"/>
      <c r="AJ21" s="154"/>
      <c r="AK21" s="154"/>
      <c r="AL21" s="154"/>
      <c r="AM21" s="154"/>
      <c r="AN21" s="154"/>
      <c r="AO21" s="154"/>
      <c r="AP21" s="151"/>
      <c r="AQ21" s="154"/>
      <c r="AR21" s="154"/>
      <c r="AS21" s="154"/>
      <c r="AT21" s="154"/>
      <c r="AU21" s="154"/>
      <c r="AV21" s="154"/>
      <c r="AW21" s="154"/>
      <c r="AX21" s="154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  <c r="BP21" s="159"/>
      <c r="BQ21" s="159"/>
      <c r="BR21" s="159"/>
      <c r="BS21" s="159"/>
      <c r="BT21" s="159"/>
      <c r="BU21" s="159"/>
      <c r="BV21" s="159"/>
      <c r="BW21" s="159"/>
      <c r="BX21" s="159"/>
      <c r="BY21" s="159"/>
      <c r="BZ21" s="159"/>
      <c r="CA21" s="159"/>
      <c r="CB21" s="159"/>
      <c r="CC21" s="159"/>
      <c r="CD21" s="159"/>
      <c r="CE21" s="159"/>
      <c r="CF21" s="159"/>
      <c r="CG21" s="159"/>
      <c r="CH21" s="159"/>
      <c r="CI21" s="159"/>
      <c r="CJ21" s="159"/>
      <c r="CK21" s="159"/>
      <c r="CL21" s="159"/>
      <c r="CM21" s="159"/>
      <c r="CN21" s="159"/>
      <c r="CO21" s="159"/>
      <c r="CP21" s="159"/>
      <c r="CQ21" s="159"/>
      <c r="CR21" s="159"/>
      <c r="CS21" s="159"/>
      <c r="CT21" s="159"/>
      <c r="CU21" s="159"/>
      <c r="CV21" s="159"/>
    </row>
    <row r="22">
      <c r="A22" s="151"/>
      <c r="B22" s="154"/>
      <c r="C22" s="154"/>
      <c r="D22" s="151" t="s">
        <v>149</v>
      </c>
      <c r="E22" s="151" t="s">
        <v>160</v>
      </c>
      <c r="F22" s="154"/>
      <c r="G22" s="155">
        <v>42079.634930555556</v>
      </c>
      <c r="H22" s="155"/>
      <c r="I22" s="156"/>
      <c r="J22" s="157"/>
      <c r="K22" s="151" t="b">
        <v>0</v>
      </c>
      <c r="L22" s="154"/>
      <c r="M22" s="151" t="s">
        <v>151</v>
      </c>
      <c r="N22" s="154"/>
      <c r="O22" s="151" t="s">
        <v>152</v>
      </c>
      <c r="P22" s="154"/>
      <c r="Q22" s="151" t="s">
        <v>153</v>
      </c>
      <c r="R22" s="154"/>
      <c r="S22" s="154"/>
      <c r="T22" s="151"/>
      <c r="U22" s="151"/>
      <c r="V22" s="154"/>
      <c r="W22" s="151"/>
      <c r="X22" s="151" t="s">
        <v>154</v>
      </c>
      <c r="Y22" s="151" t="s">
        <v>155</v>
      </c>
      <c r="Z22" s="151" t="s">
        <v>156</v>
      </c>
      <c r="AA22" s="151" t="str">
        <f>Cohorts!I66</f>
        <v>country==United States</v>
      </c>
      <c r="AB22" s="160" t="s">
        <v>157</v>
      </c>
      <c r="AC22" s="151" t="s">
        <v>158</v>
      </c>
      <c r="AD22" s="151">
        <v>52.0</v>
      </c>
      <c r="AE22" s="151">
        <v>20.0</v>
      </c>
      <c r="AF22" s="151" t="s">
        <v>159</v>
      </c>
      <c r="AG22" s="154"/>
      <c r="AH22" s="154"/>
      <c r="AI22" s="154"/>
      <c r="AJ22" s="154"/>
      <c r="AK22" s="154"/>
      <c r="AL22" s="154"/>
      <c r="AM22" s="154"/>
      <c r="AN22" s="154"/>
      <c r="AO22" s="154"/>
      <c r="AP22" s="151"/>
      <c r="AQ22" s="154"/>
      <c r="AR22" s="154"/>
      <c r="AS22" s="154"/>
      <c r="AT22" s="154"/>
      <c r="AU22" s="154"/>
      <c r="AV22" s="154"/>
      <c r="AW22" s="154"/>
      <c r="AX22" s="154"/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  <c r="BP22" s="159"/>
      <c r="BQ22" s="159"/>
      <c r="BR22" s="159"/>
      <c r="BS22" s="159"/>
      <c r="BT22" s="159"/>
      <c r="BU22" s="159"/>
      <c r="BV22" s="159"/>
      <c r="BW22" s="159"/>
      <c r="BX22" s="159"/>
      <c r="BY22" s="159"/>
      <c r="BZ22" s="159"/>
      <c r="CA22" s="159"/>
      <c r="CB22" s="159"/>
      <c r="CC22" s="159"/>
      <c r="CD22" s="159"/>
      <c r="CE22" s="159"/>
      <c r="CF22" s="159"/>
      <c r="CG22" s="159"/>
      <c r="CH22" s="159"/>
      <c r="CI22" s="159"/>
      <c r="CJ22" s="159"/>
      <c r="CK22" s="159"/>
      <c r="CL22" s="159"/>
      <c r="CM22" s="159"/>
      <c r="CN22" s="159"/>
      <c r="CO22" s="159"/>
      <c r="CP22" s="159"/>
      <c r="CQ22" s="159"/>
      <c r="CR22" s="159"/>
      <c r="CS22" s="159"/>
      <c r="CT22" s="159"/>
      <c r="CU22" s="159"/>
      <c r="CV22" s="159"/>
    </row>
    <row r="23">
      <c r="A23" s="151"/>
      <c r="B23" s="154"/>
      <c r="C23" s="154"/>
      <c r="D23" s="151" t="s">
        <v>149</v>
      </c>
      <c r="E23" s="151" t="s">
        <v>161</v>
      </c>
      <c r="F23" s="154"/>
      <c r="G23" s="155">
        <v>42080.76150462963</v>
      </c>
      <c r="H23" s="155"/>
      <c r="I23" s="156"/>
      <c r="J23" s="157"/>
      <c r="K23" s="151" t="b">
        <v>0</v>
      </c>
      <c r="L23" s="154"/>
      <c r="M23" s="151" t="s">
        <v>151</v>
      </c>
      <c r="N23" s="154"/>
      <c r="O23" s="151" t="s">
        <v>152</v>
      </c>
      <c r="P23" s="154"/>
      <c r="Q23" s="151" t="s">
        <v>153</v>
      </c>
      <c r="R23" s="154"/>
      <c r="S23" s="154"/>
      <c r="T23" s="151"/>
      <c r="U23" s="151"/>
      <c r="V23" s="154"/>
      <c r="W23" s="151"/>
      <c r="X23" s="151" t="s">
        <v>154</v>
      </c>
      <c r="Y23" s="151" t="s">
        <v>155</v>
      </c>
      <c r="Z23" s="151" t="s">
        <v>156</v>
      </c>
      <c r="AA23" s="151" t="str">
        <f>Cohorts!I67</f>
        <v>channelgroup=Organic Search</v>
      </c>
      <c r="AB23" s="158" t="s">
        <v>157</v>
      </c>
      <c r="AC23" s="151" t="s">
        <v>158</v>
      </c>
      <c r="AD23" s="151">
        <v>52.0</v>
      </c>
      <c r="AE23" s="151">
        <v>20.0</v>
      </c>
      <c r="AF23" s="151" t="s">
        <v>159</v>
      </c>
      <c r="AG23" s="154"/>
      <c r="AH23" s="154"/>
      <c r="AI23" s="154"/>
      <c r="AJ23" s="154"/>
      <c r="AK23" s="154"/>
      <c r="AL23" s="154"/>
      <c r="AM23" s="154"/>
      <c r="AN23" s="154"/>
      <c r="AO23" s="154"/>
      <c r="AP23" s="151"/>
      <c r="AQ23" s="154"/>
      <c r="AR23" s="154"/>
      <c r="AS23" s="154"/>
      <c r="AT23" s="154"/>
      <c r="AU23" s="154"/>
      <c r="AV23" s="154"/>
      <c r="AW23" s="154"/>
      <c r="AX23" s="154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  <c r="BP23" s="159"/>
      <c r="BQ23" s="159"/>
      <c r="BR23" s="159"/>
      <c r="BS23" s="159"/>
      <c r="BT23" s="159"/>
      <c r="BU23" s="159"/>
      <c r="BV23" s="159"/>
      <c r="BW23" s="159"/>
      <c r="BX23" s="159"/>
      <c r="BY23" s="159"/>
      <c r="BZ23" s="159"/>
      <c r="CA23" s="159"/>
      <c r="CB23" s="159"/>
      <c r="CC23" s="159"/>
      <c r="CD23" s="159"/>
      <c r="CE23" s="159"/>
      <c r="CF23" s="159"/>
      <c r="CG23" s="159"/>
      <c r="CH23" s="159"/>
      <c r="CI23" s="159"/>
      <c r="CJ23" s="159"/>
      <c r="CK23" s="159"/>
      <c r="CL23" s="159"/>
      <c r="CM23" s="159"/>
      <c r="CN23" s="159"/>
      <c r="CO23" s="159"/>
      <c r="CP23" s="159"/>
      <c r="CQ23" s="159"/>
      <c r="CR23" s="159"/>
      <c r="CS23" s="159"/>
      <c r="CT23" s="159"/>
      <c r="CU23" s="159"/>
      <c r="CV23" s="159"/>
    </row>
    <row r="24">
      <c r="A24" s="151"/>
      <c r="B24" s="154"/>
      <c r="C24" s="154"/>
      <c r="D24" s="151" t="s">
        <v>149</v>
      </c>
      <c r="E24" s="151" t="s">
        <v>162</v>
      </c>
      <c r="F24" s="154"/>
      <c r="G24" s="155">
        <v>42080.75543981481</v>
      </c>
      <c r="H24" s="155"/>
      <c r="I24" s="156"/>
      <c r="J24" s="157"/>
      <c r="K24" s="151" t="b">
        <v>0</v>
      </c>
      <c r="L24" s="154"/>
      <c r="M24" s="151" t="s">
        <v>151</v>
      </c>
      <c r="N24" s="154"/>
      <c r="O24" s="151" t="s">
        <v>152</v>
      </c>
      <c r="P24" s="154"/>
      <c r="Q24" s="151" t="s">
        <v>153</v>
      </c>
      <c r="R24" s="154"/>
      <c r="S24" s="154"/>
      <c r="T24" s="151"/>
      <c r="U24" s="151"/>
      <c r="V24" s="154"/>
      <c r="W24" s="151"/>
      <c r="X24" s="151" t="s">
        <v>154</v>
      </c>
      <c r="Y24" s="151" t="s">
        <v>155</v>
      </c>
      <c r="Z24" s="151" t="s">
        <v>156</v>
      </c>
      <c r="AA24" s="151" t="str">
        <f>Cohorts!I68</f>
        <v>channelgroup=Paid Search</v>
      </c>
      <c r="AB24" s="158" t="s">
        <v>157</v>
      </c>
      <c r="AC24" s="151" t="s">
        <v>158</v>
      </c>
      <c r="AD24" s="151">
        <v>52.0</v>
      </c>
      <c r="AE24" s="151">
        <v>20.0</v>
      </c>
      <c r="AF24" s="151" t="s">
        <v>159</v>
      </c>
      <c r="AG24" s="154"/>
      <c r="AH24" s="154"/>
      <c r="AI24" s="154"/>
      <c r="AJ24" s="154"/>
      <c r="AK24" s="154"/>
      <c r="AL24" s="154"/>
      <c r="AM24" s="154"/>
      <c r="AN24" s="154"/>
      <c r="AO24" s="154"/>
      <c r="AP24" s="151"/>
      <c r="AQ24" s="154"/>
      <c r="AR24" s="154"/>
      <c r="AS24" s="154"/>
      <c r="AT24" s="154"/>
      <c r="AU24" s="154"/>
      <c r="AV24" s="154"/>
      <c r="AW24" s="154"/>
      <c r="AX24" s="154"/>
      <c r="AY24" s="159"/>
      <c r="AZ24" s="159"/>
      <c r="BA24" s="159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59"/>
      <c r="BP24" s="159"/>
      <c r="BQ24" s="159"/>
      <c r="BR24" s="159"/>
      <c r="BS24" s="159"/>
      <c r="BT24" s="159"/>
      <c r="BU24" s="159"/>
      <c r="BV24" s="159"/>
      <c r="BW24" s="159"/>
      <c r="BX24" s="159"/>
      <c r="BY24" s="159"/>
      <c r="BZ24" s="159"/>
      <c r="CA24" s="159"/>
      <c r="CB24" s="159"/>
      <c r="CC24" s="159"/>
      <c r="CD24" s="159"/>
      <c r="CE24" s="159"/>
      <c r="CF24" s="159"/>
      <c r="CG24" s="159"/>
      <c r="CH24" s="159"/>
      <c r="CI24" s="159"/>
      <c r="CJ24" s="159"/>
      <c r="CK24" s="159"/>
      <c r="CL24" s="159"/>
      <c r="CM24" s="159"/>
      <c r="CN24" s="159"/>
      <c r="CO24" s="159"/>
      <c r="CP24" s="159"/>
      <c r="CQ24" s="159"/>
      <c r="CR24" s="159"/>
      <c r="CS24" s="159"/>
      <c r="CT24" s="159"/>
      <c r="CU24" s="159"/>
      <c r="CV24" s="159"/>
    </row>
    <row r="25">
      <c r="A25" s="151"/>
      <c r="B25" s="154"/>
      <c r="C25" s="154"/>
      <c r="D25" s="151" t="s">
        <v>149</v>
      </c>
      <c r="E25" s="151" t="s">
        <v>163</v>
      </c>
      <c r="F25" s="154"/>
      <c r="G25" s="155">
        <v>42080.75543981481</v>
      </c>
      <c r="H25" s="155"/>
      <c r="I25" s="156"/>
      <c r="J25" s="157"/>
      <c r="K25" s="151" t="b">
        <v>0</v>
      </c>
      <c r="L25" s="154"/>
      <c r="M25" s="151" t="s">
        <v>151</v>
      </c>
      <c r="N25" s="154"/>
      <c r="O25" s="151" t="s">
        <v>152</v>
      </c>
      <c r="P25" s="154"/>
      <c r="Q25" s="151" t="s">
        <v>153</v>
      </c>
      <c r="R25" s="154"/>
      <c r="S25" s="154"/>
      <c r="T25" s="151"/>
      <c r="U25" s="151"/>
      <c r="V25" s="154"/>
      <c r="W25" s="151"/>
      <c r="X25" s="151" t="s">
        <v>154</v>
      </c>
      <c r="Y25" s="151" t="s">
        <v>155</v>
      </c>
      <c r="Z25" s="151" t="s">
        <v>156</v>
      </c>
      <c r="AA25" s="151" t="str">
        <f>Cohorts!I69</f>
        <v>channelgroup=Social</v>
      </c>
      <c r="AB25" s="158" t="s">
        <v>157</v>
      </c>
      <c r="AC25" s="151" t="s">
        <v>158</v>
      </c>
      <c r="AD25" s="151">
        <v>52.0</v>
      </c>
      <c r="AE25" s="151">
        <v>20.0</v>
      </c>
      <c r="AF25" s="151" t="s">
        <v>159</v>
      </c>
      <c r="AG25" s="154"/>
      <c r="AH25" s="154"/>
      <c r="AI25" s="154"/>
      <c r="AJ25" s="154"/>
      <c r="AK25" s="154"/>
      <c r="AL25" s="154"/>
      <c r="AM25" s="154"/>
      <c r="AN25" s="154"/>
      <c r="AO25" s="154"/>
      <c r="AP25" s="151"/>
      <c r="AQ25" s="154"/>
      <c r="AR25" s="154"/>
      <c r="AS25" s="154"/>
      <c r="AT25" s="154"/>
      <c r="AU25" s="154"/>
      <c r="AV25" s="154"/>
      <c r="AW25" s="154"/>
      <c r="AX25" s="154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59"/>
      <c r="BR25" s="159"/>
      <c r="BS25" s="159"/>
      <c r="BT25" s="159"/>
      <c r="BU25" s="159"/>
      <c r="BV25" s="159"/>
      <c r="BW25" s="159"/>
      <c r="BX25" s="159"/>
      <c r="BY25" s="159"/>
      <c r="BZ25" s="159"/>
      <c r="CA25" s="159"/>
      <c r="CB25" s="159"/>
      <c r="CC25" s="159"/>
      <c r="CD25" s="159"/>
      <c r="CE25" s="159"/>
      <c r="CF25" s="159"/>
      <c r="CG25" s="159"/>
      <c r="CH25" s="159"/>
      <c r="CI25" s="159"/>
      <c r="CJ25" s="159"/>
      <c r="CK25" s="159"/>
      <c r="CL25" s="159"/>
      <c r="CM25" s="159"/>
      <c r="CN25" s="159"/>
      <c r="CO25" s="159"/>
      <c r="CP25" s="159"/>
      <c r="CQ25" s="159"/>
      <c r="CR25" s="159"/>
      <c r="CS25" s="159"/>
      <c r="CT25" s="159"/>
      <c r="CU25" s="159"/>
      <c r="CV25" s="159"/>
    </row>
    <row r="26">
      <c r="A26" s="151"/>
      <c r="B26" s="154"/>
      <c r="C26" s="154"/>
      <c r="D26" s="151"/>
      <c r="E26" s="151"/>
      <c r="F26" s="154"/>
      <c r="G26" s="155"/>
      <c r="H26" s="155"/>
      <c r="I26" s="156"/>
      <c r="J26" s="157"/>
      <c r="K26" s="151"/>
      <c r="L26" s="154"/>
      <c r="M26" s="151"/>
      <c r="N26" s="154"/>
      <c r="O26" s="151"/>
      <c r="P26" s="154"/>
      <c r="Q26" s="151"/>
      <c r="R26" s="154"/>
      <c r="S26" s="154"/>
      <c r="T26" s="151"/>
      <c r="U26" s="151"/>
      <c r="V26" s="154"/>
      <c r="W26" s="151"/>
      <c r="X26" s="151"/>
      <c r="Y26" s="151"/>
      <c r="Z26" s="151"/>
      <c r="AA26" s="151"/>
      <c r="AB26" s="158"/>
      <c r="AC26" s="154"/>
      <c r="AD26" s="151"/>
      <c r="AE26" s="151"/>
      <c r="AF26" s="151"/>
      <c r="AG26" s="154"/>
      <c r="AH26" s="154"/>
      <c r="AI26" s="154"/>
      <c r="AJ26" s="154"/>
      <c r="AK26" s="154"/>
      <c r="AL26" s="154"/>
      <c r="AM26" s="154"/>
      <c r="AN26" s="154"/>
      <c r="AO26" s="154"/>
      <c r="AP26" s="151"/>
      <c r="AQ26" s="154"/>
      <c r="AR26" s="154"/>
      <c r="AS26" s="154"/>
      <c r="AT26" s="154"/>
      <c r="AU26" s="154"/>
      <c r="AV26" s="154"/>
      <c r="AW26" s="154"/>
      <c r="AX26" s="154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  <c r="BP26" s="159"/>
      <c r="BQ26" s="159"/>
      <c r="BR26" s="159"/>
      <c r="BS26" s="159"/>
      <c r="BT26" s="159"/>
      <c r="BU26" s="159"/>
      <c r="BV26" s="159"/>
      <c r="BW26" s="159"/>
      <c r="BX26" s="159"/>
      <c r="BY26" s="159"/>
      <c r="BZ26" s="159"/>
      <c r="CA26" s="159"/>
      <c r="CB26" s="159"/>
      <c r="CC26" s="159"/>
      <c r="CD26" s="159"/>
      <c r="CE26" s="159"/>
      <c r="CF26" s="159"/>
      <c r="CG26" s="159"/>
      <c r="CH26" s="159"/>
      <c r="CI26" s="159"/>
      <c r="CJ26" s="159"/>
      <c r="CK26" s="159"/>
      <c r="CL26" s="159"/>
      <c r="CM26" s="159"/>
      <c r="CN26" s="159"/>
      <c r="CO26" s="159"/>
      <c r="CP26" s="159"/>
      <c r="CQ26" s="159"/>
      <c r="CR26" s="159"/>
      <c r="CS26" s="159"/>
      <c r="CT26" s="159"/>
      <c r="CU26" s="159"/>
      <c r="CV26" s="159"/>
    </row>
    <row r="27">
      <c r="AB27" s="161"/>
    </row>
    <row r="28">
      <c r="AB28" s="161"/>
    </row>
    <row r="29">
      <c r="AB29" s="161"/>
    </row>
    <row r="30">
      <c r="AB30" s="161"/>
    </row>
    <row r="31">
      <c r="AB31" s="161"/>
    </row>
    <row r="32">
      <c r="AB32" s="161"/>
    </row>
    <row r="33">
      <c r="AB33" s="161"/>
    </row>
  </sheetData>
  <mergeCells count="4">
    <mergeCell ref="A6:G7"/>
    <mergeCell ref="A8:G9"/>
    <mergeCell ref="A10:G11"/>
    <mergeCell ref="A12:G13"/>
  </mergeCells>
  <drawing r:id="rId1"/>
</worksheet>
</file>