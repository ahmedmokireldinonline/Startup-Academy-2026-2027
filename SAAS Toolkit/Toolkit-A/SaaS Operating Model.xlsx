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puts&gt;&gt;" sheetId="1" r:id="rId4"/>
    <sheet state="visible" name="Quarterly Dashboard" sheetId="2" r:id="rId5"/>
    <sheet state="visible" name="Key metrics" sheetId="3" r:id="rId6"/>
    <sheet state="visible" name="Inputs&gt;&gt;" sheetId="4" r:id="rId7"/>
    <sheet state="visible" name="Macro" sheetId="5" r:id="rId8"/>
    <sheet state="visible" name="Top line" sheetId="6" r:id="rId9"/>
    <sheet state="visible" name="Team" sheetId="7" r:id="rId10"/>
    <sheet state="visible" name="Expenses" sheetId="8" r:id="rId11"/>
    <sheet state="visible" name="Cash analysis" sheetId="9" r:id="rId12"/>
    <sheet state="visible" name="Charts&gt;&gt;" sheetId="10" r:id="rId13"/>
    <sheet state="visible" name="2-year" sheetId="11" r:id="rId14"/>
    <sheet state="hidden" name="Cash Summary" sheetId="12" r:id="rId15"/>
  </sheets>
  <definedNames>
    <definedName name="www.run">#REF!</definedName>
    <definedName name="wrn.Roxydist.">#REF!</definedName>
    <definedName name="www.myr">#REF!</definedName>
    <definedName name="www.mike">#REF!</definedName>
    <definedName name="wrn.HR_HR">#REF!</definedName>
    <definedName name="wrn.Mikemurdist.">#REF!</definedName>
    <definedName name="wrn.HR_Details.">#REF!</definedName>
    <definedName name="www">#REF!</definedName>
    <definedName name="wrn.Run._.Rates.">#REF!</definedName>
    <definedName name="wrn.Mikemur.">#REF!</definedName>
    <definedName name="wrn.Field_PSS.">#REF!</definedName>
    <definedName name="wrn.Roxanna.">#REF!</definedName>
    <definedName name="wrn.6713_Financials.">#REF!</definedName>
    <definedName name="wrn.MYR._.Template.">#REF!</definedName>
    <definedName name="wrn.GenDistPac.">#REF!</definedName>
    <definedName name="www.ww">#REF!</definedName>
    <definedName name="sss">#REF!</definedName>
    <definedName name="xxx">#REF!</definedName>
  </definedNames>
  <calcPr/>
</workbook>
</file>

<file path=xl/sharedStrings.xml><?xml version="1.0" encoding="utf-8"?>
<sst xmlns="http://schemas.openxmlformats.org/spreadsheetml/2006/main" count="782" uniqueCount="268">
  <si>
    <r>
      <rPr>
        <rFont val="Arial"/>
        <b/>
        <color rgb="FF000000"/>
        <sz val="20.0"/>
      </rPr>
      <t xml:space="preserve">
Shasta SaaS Operating Model</t>
    </r>
    <r>
      <rPr>
        <rFont val="Arial"/>
        <b val="0"/>
        <color rgb="FF000000"/>
        <sz val="20.0"/>
      </rPr>
      <t xml:space="preserve">
Outputs
</t>
    </r>
    <r>
      <rPr>
        <rFont val="Arial"/>
        <b val="0"/>
        <color rgb="FF000000"/>
        <sz val="8.0"/>
      </rPr>
      <t>for comments and questions, contact Kenn So</t>
    </r>
  </si>
  <si>
    <t>FY</t>
  </si>
  <si>
    <t>Quarter</t>
  </si>
  <si>
    <t>Q4</t>
  </si>
  <si>
    <t>Q1</t>
  </si>
  <si>
    <t>Q2</t>
  </si>
  <si>
    <t>Q3</t>
  </si>
  <si>
    <t>Month</t>
  </si>
  <si>
    <t>Key metrics</t>
  </si>
  <si>
    <t>ARR</t>
  </si>
  <si>
    <t>Ending cash</t>
  </si>
  <si>
    <t>Runway months till threshold</t>
  </si>
  <si>
    <t>Runway till</t>
  </si>
  <si>
    <t>ARR Spend</t>
  </si>
  <si>
    <t>Gross New</t>
  </si>
  <si>
    <t>Expansion</t>
  </si>
  <si>
    <t>Churn</t>
  </si>
  <si>
    <t>Net New</t>
  </si>
  <si>
    <t>Check</t>
  </si>
  <si>
    <t>Sales</t>
  </si>
  <si>
    <t>Marketing</t>
  </si>
  <si>
    <t>Customer Success</t>
  </si>
  <si>
    <t>Total GTM Expense</t>
  </si>
  <si>
    <t>Net cash burn</t>
  </si>
  <si>
    <t>Gross cash burn</t>
  </si>
  <si>
    <t>SaaS metrics</t>
  </si>
  <si>
    <t>Gross Magic Number</t>
  </si>
  <si>
    <t>Magic Number</t>
  </si>
  <si>
    <t>CAC Ratio</t>
  </si>
  <si>
    <t>Payback Period (Months)</t>
  </si>
  <si>
    <t>High-Level Annual Sales Efficiency</t>
  </si>
  <si>
    <t xml:space="preserve">Net New ARR vs. Operating Cash Flow </t>
  </si>
  <si>
    <t>High-Level Annual Capital Efficiency</t>
  </si>
  <si>
    <t>LTV CAC</t>
  </si>
  <si>
    <t># of new customers</t>
  </si>
  <si>
    <t>ARR per customer</t>
  </si>
  <si>
    <t>(x) years</t>
  </si>
  <si>
    <t>Lifetime ARR (no upsell &amp; churn)</t>
  </si>
  <si>
    <t>(x) Gross Margin - Long Term</t>
  </si>
  <si>
    <t>Gross Margin CLTV</t>
  </si>
  <si>
    <t>CAC per Customer</t>
  </si>
  <si>
    <t>CLTV/CAC</t>
  </si>
  <si>
    <t>Act</t>
  </si>
  <si>
    <t>Fcst</t>
  </si>
  <si>
    <t>Ending Cash</t>
  </si>
  <si>
    <t>Runway in months</t>
  </si>
  <si>
    <r>
      <rPr>
        <rFont val="Arial"/>
        <b/>
        <color theme="4"/>
        <sz val="20.0"/>
      </rPr>
      <t xml:space="preserve">
Shasta SaaS Operating Model</t>
    </r>
    <r>
      <rPr>
        <rFont val="Arial"/>
        <b val="0"/>
        <color theme="4"/>
        <sz val="20.0"/>
      </rPr>
      <t xml:space="preserve">
Inputs
</t>
    </r>
    <r>
      <rPr>
        <rFont val="Arial"/>
        <b val="0"/>
        <color theme="4"/>
        <sz val="8.0"/>
      </rPr>
      <t>for comments and questions, contact Kenn So</t>
    </r>
  </si>
  <si>
    <t>StartUp Co</t>
  </si>
  <si>
    <t>Sales Scenario Toggle</t>
  </si>
  <si>
    <t>Minimum cash threshold</t>
  </si>
  <si>
    <t>Customer life (years)</t>
  </si>
  <si>
    <t>Long-term gross margin</t>
  </si>
  <si>
    <t>Scenario 1</t>
  </si>
  <si>
    <t>Scenario 2</t>
  </si>
  <si>
    <t>Scenario 3</t>
  </si>
  <si>
    <t>Selected Scenario</t>
  </si>
  <si>
    <t>AE assumptions</t>
  </si>
  <si>
    <t>Capacity of ramping AE</t>
  </si>
  <si>
    <t>AE ramp time (months)</t>
  </si>
  <si>
    <t>Monthly deals/ ramped AE</t>
  </si>
  <si>
    <t>Deal assumptions</t>
  </si>
  <si>
    <t>Landing CV</t>
  </si>
  <si>
    <t>Months to upsell</t>
  </si>
  <si>
    <t>Logo churn rate</t>
  </si>
  <si>
    <t>Rounded up for # of customers</t>
  </si>
  <si>
    <t>Collection delay (months)</t>
  </si>
  <si>
    <t>% of customers upsell</t>
  </si>
  <si>
    <t>% value of upsell</t>
  </si>
  <si>
    <t>Sales team ratios</t>
  </si>
  <si>
    <t>AE manager to AE ratio</t>
  </si>
  <si>
    <t>SE to AE ratio</t>
  </si>
  <si>
    <t>SE manager to SE ratio</t>
  </si>
  <si>
    <t>New bookings commission</t>
  </si>
  <si>
    <t>Total</t>
  </si>
  <si>
    <t>% of collections from gross new bookings when booked/signed</t>
  </si>
  <si>
    <t>COGS &amp; Benefits</t>
  </si>
  <si>
    <t>COGS - Others</t>
  </si>
  <si>
    <t>/ customer / year</t>
  </si>
  <si>
    <t>COGS - Hosting Services</t>
  </si>
  <si>
    <t>per month</t>
  </si>
  <si>
    <t>COGS - % of bookings through Salesforce</t>
  </si>
  <si>
    <t>paid at time of booking collection</t>
  </si>
  <si>
    <t>COGS - Salesforce bookings charge % of sales</t>
  </si>
  <si>
    <t>Benefits &amp; taxes</t>
  </si>
  <si>
    <t>% of salaries</t>
  </si>
  <si>
    <t>% Commission excluded from benefits</t>
  </si>
  <si>
    <t>Bonus month</t>
  </si>
  <si>
    <t>Note: Only input 1-12</t>
  </si>
  <si>
    <t>Salaries</t>
  </si>
  <si>
    <t>Starting annual</t>
  </si>
  <si>
    <t>Bonus (See Bonus month)</t>
  </si>
  <si>
    <t>Traveler Flag</t>
  </si>
  <si>
    <t>CRO</t>
  </si>
  <si>
    <t>AE</t>
  </si>
  <si>
    <t>AE manager</t>
  </si>
  <si>
    <t>SE</t>
  </si>
  <si>
    <t>SE manager</t>
  </si>
  <si>
    <t>Sales Ops</t>
  </si>
  <si>
    <t>[XX]</t>
  </si>
  <si>
    <t>CMO</t>
  </si>
  <si>
    <t>Director of Demand</t>
  </si>
  <si>
    <t>SDR</t>
  </si>
  <si>
    <t>Creative</t>
  </si>
  <si>
    <t>PMM / VP Marketing</t>
  </si>
  <si>
    <t>Field</t>
  </si>
  <si>
    <t>Engineering</t>
  </si>
  <si>
    <t>Chief Architect</t>
  </si>
  <si>
    <t>VP Engineering</t>
  </si>
  <si>
    <t>Founding Frontend Engineer</t>
  </si>
  <si>
    <t>Founding Backend Engineer</t>
  </si>
  <si>
    <t>Founding API Engineer</t>
  </si>
  <si>
    <t>Platform Engineer</t>
  </si>
  <si>
    <t>Head of Analytics</t>
  </si>
  <si>
    <t>Quality Assurance Lead</t>
  </si>
  <si>
    <t>Frontend Engr</t>
  </si>
  <si>
    <t>DevOps Engineer</t>
  </si>
  <si>
    <t>MobileApps Engineer</t>
  </si>
  <si>
    <t>API Engineer</t>
  </si>
  <si>
    <t>Jr. API Egineer</t>
  </si>
  <si>
    <t>QA Engineer</t>
  </si>
  <si>
    <t>Jr. QA engineer</t>
  </si>
  <si>
    <t>IAM Lead</t>
  </si>
  <si>
    <t>Platform/Agent Lead</t>
  </si>
  <si>
    <t>Security Engineer</t>
  </si>
  <si>
    <t>Engr Manager</t>
  </si>
  <si>
    <t>Product</t>
  </si>
  <si>
    <t>Founding Product Designer</t>
  </si>
  <si>
    <t>Product Manager</t>
  </si>
  <si>
    <t>Tech Writer</t>
  </si>
  <si>
    <t>VP</t>
  </si>
  <si>
    <t>CS Director</t>
  </si>
  <si>
    <t>CS Engineer</t>
  </si>
  <si>
    <t>G&amp;A</t>
  </si>
  <si>
    <t>CEO</t>
  </si>
  <si>
    <t>COO</t>
  </si>
  <si>
    <t>Head of Talent / HR</t>
  </si>
  <si>
    <t>Office Admin / EA</t>
  </si>
  <si>
    <t>Finance Director</t>
  </si>
  <si>
    <t>Other expenses</t>
  </si>
  <si>
    <t>Outside Services</t>
  </si>
  <si>
    <t>Department Allocation for Major Items</t>
  </si>
  <si>
    <t>Professional Services</t>
  </si>
  <si>
    <t>Accounting &amp; Payroll</t>
  </si>
  <si>
    <t>Audit &amp; Tax</t>
  </si>
  <si>
    <t>Outsource Engineers</t>
  </si>
  <si>
    <t>per year per headcount</t>
  </si>
  <si>
    <t>Note: Outsource team headcount is set in expenses instead of personnel, since they're not official FTE</t>
  </si>
  <si>
    <t>[X]</t>
  </si>
  <si>
    <t>Employee &amp; Related</t>
  </si>
  <si>
    <t>per employee/month</t>
  </si>
  <si>
    <t>Travel &amp; Entertainment</t>
  </si>
  <si>
    <t>Travelers</t>
  </si>
  <si>
    <t>per traveling employee per month</t>
  </si>
  <si>
    <t>Non-Travelers</t>
  </si>
  <si>
    <t>per non-traveler per month</t>
  </si>
  <si>
    <t>Marketing Development</t>
  </si>
  <si>
    <t>FY21 General Allocation</t>
  </si>
  <si>
    <t>FY22 General Allocation</t>
  </si>
  <si>
    <t>FY23 General Allocation</t>
  </si>
  <si>
    <t>Facilities, Equipment &amp; Supplies</t>
  </si>
  <si>
    <t>Cell phone</t>
  </si>
  <si>
    <t>Software subscription</t>
  </si>
  <si>
    <t>Equipment</t>
  </si>
  <si>
    <t>Facilities</t>
  </si>
  <si>
    <t>Rent</t>
  </si>
  <si>
    <t>Telephone</t>
  </si>
  <si>
    <t>per month per employee</t>
  </si>
  <si>
    <t>Online services</t>
  </si>
  <si>
    <t>Equip &amp; related - new hire</t>
  </si>
  <si>
    <t>per month per new hire</t>
  </si>
  <si>
    <t>Equip &amp; related - employee</t>
  </si>
  <si>
    <t>Office suppplies, insurance, postage</t>
  </si>
  <si>
    <t>Misc.</t>
  </si>
  <si>
    <t>Capital expenditures</t>
  </si>
  <si>
    <t>Laptop</t>
  </si>
  <si>
    <t>per new hire</t>
  </si>
  <si>
    <t>Financing rounds</t>
  </si>
  <si>
    <t>Date</t>
  </si>
  <si>
    <t>Net Amount</t>
  </si>
  <si>
    <t>Round 1</t>
  </si>
  <si>
    <t>Round 2</t>
  </si>
  <si>
    <t>Round 3</t>
  </si>
  <si>
    <t xml:space="preserve">Other assumptions </t>
  </si>
  <si>
    <t>Input type</t>
  </si>
  <si>
    <t>Sheet</t>
  </si>
  <si>
    <t>Debt paydown</t>
  </si>
  <si>
    <t>Monthly</t>
  </si>
  <si>
    <t>Expenses</t>
  </si>
  <si>
    <t>Interest expense</t>
  </si>
  <si>
    <t>Hiring for most positions</t>
  </si>
  <si>
    <t>Team</t>
  </si>
  <si>
    <t>Outsource team headcount</t>
  </si>
  <si>
    <t>Other CAPEX</t>
  </si>
  <si>
    <t>Bookings</t>
  </si>
  <si>
    <t>New AEs</t>
  </si>
  <si>
    <t>Acct. exec.</t>
  </si>
  <si>
    <t>Ramping AE</t>
  </si>
  <si>
    <t>Ramped AE</t>
  </si>
  <si>
    <t>New Bookings</t>
  </si>
  <si>
    <t>New customers</t>
  </si>
  <si>
    <t>Landing ACV / customer</t>
  </si>
  <si>
    <t>New bookings</t>
  </si>
  <si>
    <t>Expansion Bookings</t>
  </si>
  <si>
    <t># of customers upselling</t>
  </si>
  <si>
    <t>Expansion ACV</t>
  </si>
  <si>
    <t>Expansion bookings</t>
  </si>
  <si>
    <t>f</t>
  </si>
  <si>
    <t>Churned customers</t>
  </si>
  <si>
    <t>ACV of churned customers</t>
  </si>
  <si>
    <t>Revenue churn</t>
  </si>
  <si>
    <t>Net new bookings</t>
  </si>
  <si>
    <t># of Customers</t>
  </si>
  <si>
    <t>Collections</t>
  </si>
  <si>
    <t>Retention</t>
  </si>
  <si>
    <t>Net new ARR</t>
  </si>
  <si>
    <t>Summary</t>
  </si>
  <si>
    <t>New hires</t>
  </si>
  <si>
    <t>Headcount</t>
  </si>
  <si>
    <t>Traveling personell</t>
  </si>
  <si>
    <t>Non-travelers</t>
  </si>
  <si>
    <t>Headcount Changes</t>
  </si>
  <si>
    <t>Engineering (Excluding Outsource Team)</t>
  </si>
  <si>
    <t>Salaries (excl. commission)</t>
  </si>
  <si>
    <t xml:space="preserve">Commission </t>
  </si>
  <si>
    <t>Flag</t>
  </si>
  <si>
    <t>Commission</t>
  </si>
  <si>
    <t>Compensation &amp; Related</t>
  </si>
  <si>
    <t>Travel &amp; Related</t>
  </si>
  <si>
    <t>Corporate</t>
  </si>
  <si>
    <t>Cost of Services</t>
  </si>
  <si>
    <t>COGS - Hosting services</t>
  </si>
  <si>
    <t>COGS - Salesforce</t>
  </si>
  <si>
    <t>Debt repayment</t>
  </si>
  <si>
    <t>Interest</t>
  </si>
  <si>
    <t>Capex</t>
  </si>
  <si>
    <t>Others</t>
  </si>
  <si>
    <t>Operating Expenses</t>
  </si>
  <si>
    <t xml:space="preserve">Compensation </t>
  </si>
  <si>
    <t>Commission - Sales</t>
  </si>
  <si>
    <t>Professional services</t>
  </si>
  <si>
    <t>Reference: Outsource Team Count</t>
  </si>
  <si>
    <t>Non-Compensation GTM Allocation (Reference only)</t>
  </si>
  <si>
    <t>Sub-Total</t>
  </si>
  <si>
    <t>Cash inflow</t>
  </si>
  <si>
    <t>New financing</t>
  </si>
  <si>
    <t>Cash outflow</t>
  </si>
  <si>
    <t>Cost of sales</t>
  </si>
  <si>
    <t xml:space="preserve">Operating expenses </t>
  </si>
  <si>
    <t>Beginning cash</t>
  </si>
  <si>
    <t>Net cash flow</t>
  </si>
  <si>
    <t>Flag if below threshold</t>
  </si>
  <si>
    <t>Net cash flow excl. financing</t>
  </si>
  <si>
    <r>
      <rPr>
        <rFont val="Arial"/>
        <b/>
        <color theme="4"/>
        <sz val="20.0"/>
      </rPr>
      <t xml:space="preserve">
Shasta SaaS Operating Model</t>
    </r>
    <r>
      <rPr>
        <rFont val="Arial"/>
        <b val="0"/>
        <color theme="4"/>
        <sz val="20.0"/>
      </rPr>
      <t xml:space="preserve">
Charts
</t>
    </r>
    <r>
      <rPr>
        <rFont val="Arial"/>
        <b val="0"/>
        <color theme="4"/>
        <sz val="8.0"/>
      </rPr>
      <t>for comments and questions, contact Kenn So</t>
    </r>
  </si>
  <si>
    <t>Existing ARR</t>
  </si>
  <si>
    <t>New ARR</t>
  </si>
  <si>
    <t>Net cash burn (excl. financing, LHS)</t>
  </si>
  <si>
    <t>Ending Cash (RHS)</t>
  </si>
  <si>
    <t>Base</t>
  </si>
  <si>
    <t>High</t>
  </si>
  <si>
    <t>Low</t>
  </si>
  <si>
    <t>15K Landing ACV
3.5 deals/month/AE
15% customers upsell
25% upsell value</t>
  </si>
  <si>
    <t>20K Landing ACV
4 deals/month/AE
20% customers upsell
30% upsell value</t>
  </si>
  <si>
    <t>10K Landing ACV
3 deals/month/AE
10% customers upsell
20% upsell value</t>
  </si>
  <si>
    <t>Cash end-of-period</t>
  </si>
  <si>
    <t>Q4 2019 (end Apr-2019)</t>
  </si>
  <si>
    <t>Q1 2020 (end Jul-2019)</t>
  </si>
  <si>
    <t>Q2 2020 (end Oct-2019)</t>
  </si>
  <si>
    <t>ARR end-of-period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</si>
</sst>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_(#,##0_)_%;\(#,##0\)_%;_(&quot;–&quot;_)_%;_(@_)_%"/>
    <numFmt numFmtId="165" formatCode="_(* #,##0.00_);_(* \(#,##0.00\);_(* &quot;-&quot;??_);_(@_)"/>
    <numFmt numFmtId="166" formatCode="_(#,##0.00_)_%;\(#,##0.00\)_%;_(&quot;–&quot;_)_%;_(@_)_%"/>
    <numFmt numFmtId="167" formatCode="0.0\x_);\(0.0\x\);&quot;–&quot;_)"/>
    <numFmt numFmtId="168" formatCode="_(0.0\x_)_)_';_(\(0.0\x\)_'_';_(&quot;–&quot;_)_%;_(@_)_%"/>
    <numFmt numFmtId="169" formatCode="#,##0;\(#,##0\);&quot;–&quot;"/>
    <numFmt numFmtId="170" formatCode="_(#,##0.0_)_%;_(\(#,##0.0\)_%;_(&quot;–&quot;_)_%;@_(_%"/>
    <numFmt numFmtId="171" formatCode="#,##0.0_);\(#,##0.0\);\–_);&quot;–&quot;_)"/>
    <numFmt numFmtId="172" formatCode="0.0%"/>
    <numFmt numFmtId="173" formatCode="#,##0_);\(#,##0\);\–_);&quot;–&quot;_)"/>
    <numFmt numFmtId="174" formatCode="_(* #,##0_);_(* \(#,##0\);_(* &quot;-&quot;??_);_(@_)"/>
    <numFmt numFmtId="175" formatCode="_(#,##0_)_%;_(\(#,##0\)_%;_(&quot;–&quot;_)_%;@_(_%"/>
    <numFmt numFmtId="176" formatCode="m/d/yyyy"/>
    <numFmt numFmtId="177" formatCode="mmm\-yyyy"/>
  </numFmts>
  <fonts count="51">
    <font>
      <sz val="10.0"/>
      <color rgb="FF000000"/>
      <name val="Arial"/>
    </font>
    <font>
      <b/>
      <sz val="20.0"/>
      <color rgb="FF000000"/>
      <name val="Arial"/>
    </font>
    <font>
      <sz val="10.0"/>
      <color theme="4"/>
      <name val="Arial"/>
    </font>
    <font>
      <b/>
      <sz val="15.0"/>
      <color rgb="FF000000"/>
      <name val="Arial"/>
    </font>
    <font>
      <sz val="10.0"/>
      <color theme="1"/>
      <name val="Arial"/>
    </font>
    <font>
      <b/>
      <i/>
      <sz val="15.0"/>
      <color theme="1"/>
      <name val="Avenir"/>
    </font>
    <font>
      <b/>
      <sz val="10.0"/>
      <color theme="1"/>
      <name val="Arial"/>
    </font>
    <font>
      <b/>
      <sz val="10.0"/>
      <color rgb="FF008000"/>
      <name val="Arial"/>
    </font>
    <font/>
    <font>
      <b/>
      <sz val="10.0"/>
      <color rgb="FF000000"/>
      <name val="Arial"/>
    </font>
    <font>
      <b/>
      <sz val="10.0"/>
      <color rgb="FF008000"/>
      <name val="Tahoma"/>
    </font>
    <font>
      <b/>
      <sz val="10.0"/>
      <color rgb="FF000000"/>
      <name val="Tahoma"/>
    </font>
    <font>
      <i/>
      <sz val="10.0"/>
      <color rgb="FF0000FF"/>
      <name val="Tahoma"/>
    </font>
    <font>
      <i/>
      <sz val="10.0"/>
      <color rgb="FF000000"/>
      <name val="Tahoma"/>
    </font>
    <font>
      <b/>
      <sz val="10.0"/>
      <color theme="1"/>
      <name val="Tahoma"/>
    </font>
    <font>
      <sz val="11.0"/>
      <color rgb="FF000000"/>
      <name val="Calibri"/>
    </font>
    <font>
      <sz val="10.0"/>
      <color rgb="FF008000"/>
      <name val="Arial"/>
    </font>
    <font>
      <b/>
      <sz val="11.0"/>
      <color rgb="FF000000"/>
      <name val="Calibri"/>
    </font>
    <font>
      <i/>
      <sz val="10.0"/>
      <color theme="1"/>
      <name val="Arial"/>
    </font>
    <font>
      <i/>
      <sz val="11.0"/>
      <color rgb="FF000000"/>
      <name val="Calibri"/>
    </font>
    <font>
      <i/>
      <sz val="10.0"/>
      <color rgb="FF000000"/>
      <name val="Arial"/>
    </font>
    <font>
      <sz val="11.0"/>
      <color theme="1"/>
      <name val="Calibri"/>
    </font>
    <font>
      <sz val="11.0"/>
      <color rgb="FF008000"/>
      <name val="Calibri"/>
    </font>
    <font>
      <sz val="10.0"/>
      <color rgb="FF0000FF"/>
      <name val="Arial"/>
    </font>
    <font>
      <b/>
      <sz val="15.0"/>
      <color theme="1"/>
      <name val="Arial"/>
    </font>
    <font>
      <b/>
      <i/>
      <sz val="14.0"/>
      <color theme="1"/>
      <name val="Avenir"/>
    </font>
    <font>
      <i/>
      <sz val="10.0"/>
      <color theme="1"/>
      <name val="Tahoma"/>
    </font>
    <font>
      <b/>
      <sz val="11.0"/>
      <color theme="1"/>
      <name val="Calibri"/>
    </font>
    <font>
      <b/>
      <sz val="20.0"/>
      <color theme="4"/>
      <name val="Arial"/>
    </font>
    <font>
      <b/>
      <i/>
      <sz val="15.0"/>
      <color rgb="FF000000"/>
      <name val="Avenir"/>
    </font>
    <font>
      <b/>
      <sz val="12.0"/>
      <color rgb="FF000000"/>
      <name val="Arial"/>
    </font>
    <font>
      <sz val="14.0"/>
      <color theme="1"/>
      <name val="Arial"/>
    </font>
    <font>
      <sz val="12.0"/>
      <color theme="1"/>
      <name val="Arial"/>
    </font>
    <font>
      <i/>
      <sz val="12.0"/>
      <color theme="1"/>
      <name val="Arial"/>
    </font>
    <font>
      <sz val="12.0"/>
      <color rgb="FF0000FF"/>
      <name val="Calibri"/>
    </font>
    <font>
      <b/>
      <u/>
      <sz val="12.0"/>
      <color theme="1"/>
      <name val="Arial"/>
    </font>
    <font>
      <b/>
      <sz val="12.0"/>
      <color theme="1"/>
      <name val="Arial"/>
    </font>
    <font>
      <b/>
      <u/>
      <sz val="12.0"/>
      <color theme="1"/>
      <name val="Arial"/>
    </font>
    <font>
      <sz val="12.0"/>
      <color rgb="FF000000"/>
      <name val="Arial"/>
    </font>
    <font>
      <sz val="12.0"/>
      <color rgb="FF000000"/>
      <name val="Calibri"/>
    </font>
    <font>
      <sz val="12.0"/>
      <color rgb="FF0000FF"/>
      <name val="Arial"/>
    </font>
    <font>
      <b/>
      <i/>
      <sz val="12.0"/>
      <color theme="1"/>
      <name val="Arial"/>
    </font>
    <font>
      <sz val="12.0"/>
      <color rgb="FF008000"/>
      <name val="Calibri"/>
    </font>
    <font>
      <sz val="12.0"/>
      <color rgb="FF0000FF"/>
      <name val="Tahoma"/>
    </font>
    <font>
      <b/>
      <sz val="10.0"/>
      <color rgb="FF0000FF"/>
      <name val="Arial"/>
    </font>
    <font>
      <b/>
      <sz val="10.0"/>
      <color rgb="FF0000FF"/>
      <name val="Tahoma"/>
    </font>
    <font>
      <sz val="10.0"/>
      <color rgb="FF000000"/>
      <name val="Tahoma"/>
    </font>
    <font>
      <sz val="10.0"/>
      <color rgb="FF008000"/>
      <name val="Tahoma"/>
    </font>
    <font>
      <sz val="10.0"/>
      <color theme="1"/>
      <name val="Tahoma"/>
    </font>
    <font>
      <sz val="10.0"/>
      <color rgb="FF0000FF"/>
      <name val="Tahoma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D8D8D8"/>
        <bgColor rgb="FFD8D8D8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</fills>
  <borders count="28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/>
      <right/>
      <top/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center" readingOrder="0" vertical="center"/>
    </xf>
    <xf borderId="1" fillId="0" fontId="4" numFmtId="0" xfId="0" applyBorder="1" applyFont="1"/>
    <xf borderId="2" fillId="0" fontId="4" numFmtId="0" xfId="0" applyBorder="1" applyFont="1"/>
    <xf borderId="0" fillId="0" fontId="6" numFmtId="0" xfId="0" applyFont="1"/>
    <xf borderId="1" fillId="0" fontId="7" numFmtId="0" xfId="0" applyAlignment="1" applyBorder="1" applyFont="1">
      <alignment horizontal="center"/>
    </xf>
    <xf borderId="2" fillId="0" fontId="8" numFmtId="0" xfId="0" applyBorder="1" applyFont="1"/>
    <xf borderId="3" fillId="0" fontId="8" numFmtId="0" xfId="0" applyBorder="1" applyFont="1"/>
    <xf borderId="4" fillId="0" fontId="9" numFmtId="0" xfId="0" applyAlignment="1" applyBorder="1" applyFont="1">
      <alignment horizontal="center"/>
    </xf>
    <xf borderId="1" fillId="0" fontId="9" numFmtId="0" xfId="0" applyAlignment="1" applyBorder="1" applyFont="1">
      <alignment horizontal="center"/>
    </xf>
    <xf borderId="2" fillId="0" fontId="9" numFmtId="0" xfId="0" applyAlignment="1" applyBorder="1" applyFont="1">
      <alignment horizontal="center"/>
    </xf>
    <xf borderId="3" fillId="0" fontId="9" numFmtId="0" xfId="0" applyAlignment="1" applyBorder="1" applyFont="1">
      <alignment horizontal="center"/>
    </xf>
    <xf borderId="5" fillId="0" fontId="10" numFmtId="17" xfId="0" applyAlignment="1" applyBorder="1" applyFont="1" applyNumberFormat="1">
      <alignment horizontal="center"/>
    </xf>
    <xf borderId="4" fillId="0" fontId="11" numFmtId="17" xfId="0" applyAlignment="1" applyBorder="1" applyFont="1" applyNumberFormat="1">
      <alignment horizontal="center"/>
    </xf>
    <xf borderId="6" fillId="0" fontId="11" numFmtId="17" xfId="0" applyAlignment="1" applyBorder="1" applyFont="1" applyNumberFormat="1">
      <alignment horizontal="center"/>
    </xf>
    <xf borderId="7" fillId="0" fontId="11" numFmtId="17" xfId="0" applyAlignment="1" applyBorder="1" applyFont="1" applyNumberFormat="1">
      <alignment horizontal="center"/>
    </xf>
    <xf borderId="8" fillId="0" fontId="12" numFmtId="17" xfId="0" applyAlignment="1" applyBorder="1" applyFont="1" applyNumberFormat="1">
      <alignment horizontal="center"/>
    </xf>
    <xf borderId="8" fillId="0" fontId="13" numFmtId="17" xfId="0" applyAlignment="1" applyBorder="1" applyFont="1" applyNumberFormat="1">
      <alignment horizontal="center"/>
    </xf>
    <xf borderId="0" fillId="0" fontId="13" numFmtId="17" xfId="0" applyAlignment="1" applyFont="1" applyNumberFormat="1">
      <alignment horizontal="center"/>
    </xf>
    <xf borderId="9" fillId="0" fontId="13" numFmtId="17" xfId="0" applyAlignment="1" applyBorder="1" applyFont="1" applyNumberFormat="1">
      <alignment horizontal="center"/>
    </xf>
    <xf borderId="8" fillId="0" fontId="10" numFmtId="17" xfId="0" applyAlignment="1" applyBorder="1" applyFont="1" applyNumberFormat="1">
      <alignment horizontal="center"/>
    </xf>
    <xf borderId="8" fillId="0" fontId="14" numFmtId="17" xfId="0" applyAlignment="1" applyBorder="1" applyFont="1" applyNumberFormat="1">
      <alignment horizontal="center"/>
    </xf>
    <xf borderId="0" fillId="0" fontId="14" numFmtId="17" xfId="0" applyAlignment="1" applyFont="1" applyNumberFormat="1">
      <alignment horizontal="center"/>
    </xf>
    <xf borderId="9" fillId="0" fontId="14" numFmtId="17" xfId="0" applyAlignment="1" applyBorder="1" applyFont="1" applyNumberFormat="1">
      <alignment horizontal="center"/>
    </xf>
    <xf borderId="10" fillId="3" fontId="9" numFmtId="0" xfId="0" applyAlignment="1" applyBorder="1" applyFill="1" applyFont="1">
      <alignment vertical="center"/>
    </xf>
    <xf borderId="10" fillId="3" fontId="4" numFmtId="0" xfId="0" applyBorder="1" applyFont="1"/>
    <xf borderId="11" fillId="3" fontId="14" numFmtId="17" xfId="0" applyAlignment="1" applyBorder="1" applyFont="1" applyNumberFormat="1">
      <alignment horizontal="center"/>
    </xf>
    <xf borderId="10" fillId="3" fontId="14" numFmtId="17" xfId="0" applyAlignment="1" applyBorder="1" applyFont="1" applyNumberFormat="1">
      <alignment horizontal="center"/>
    </xf>
    <xf borderId="12" fillId="3" fontId="14" numFmtId="17" xfId="0" applyAlignment="1" applyBorder="1" applyFont="1" applyNumberFormat="1">
      <alignment horizontal="center"/>
    </xf>
    <xf borderId="0" fillId="0" fontId="15" numFmtId="0" xfId="0" applyFont="1"/>
    <xf borderId="8" fillId="0" fontId="16" numFmtId="164" xfId="0" applyBorder="1" applyFont="1" applyNumberFormat="1"/>
    <xf borderId="0" fillId="0" fontId="16" numFmtId="164" xfId="0" applyFont="1" applyNumberFormat="1"/>
    <xf borderId="9" fillId="0" fontId="16" numFmtId="164" xfId="0" applyBorder="1" applyFont="1" applyNumberFormat="1"/>
    <xf borderId="0" fillId="0" fontId="0" numFmtId="0" xfId="0" applyFont="1"/>
    <xf borderId="8" fillId="0" fontId="16" numFmtId="164" xfId="0" applyAlignment="1" applyBorder="1" applyFont="1" applyNumberFormat="1">
      <alignment horizontal="right"/>
    </xf>
    <xf borderId="0" fillId="0" fontId="16" numFmtId="164" xfId="0" applyAlignment="1" applyFont="1" applyNumberFormat="1">
      <alignment horizontal="right"/>
    </xf>
    <xf borderId="9" fillId="0" fontId="16" numFmtId="164" xfId="0" applyAlignment="1" applyBorder="1" applyFont="1" applyNumberFormat="1">
      <alignment horizontal="right"/>
    </xf>
    <xf borderId="0" fillId="0" fontId="7" numFmtId="17" xfId="0" applyAlignment="1" applyFont="1" applyNumberFormat="1">
      <alignment horizontal="right"/>
    </xf>
    <xf borderId="0" fillId="0" fontId="17" numFmtId="0" xfId="0" applyFont="1"/>
    <xf borderId="0" fillId="0" fontId="16" numFmtId="9" xfId="0" applyFont="1" applyNumberFormat="1"/>
    <xf borderId="9" fillId="0" fontId="16" numFmtId="9" xfId="0" applyBorder="1" applyFont="1" applyNumberFormat="1"/>
    <xf borderId="8" fillId="0" fontId="16" numFmtId="9" xfId="0" applyBorder="1" applyFont="1" applyNumberFormat="1"/>
    <xf borderId="13" fillId="0" fontId="15" numFmtId="0" xfId="0" applyBorder="1" applyFont="1"/>
    <xf borderId="13" fillId="0" fontId="4" numFmtId="0" xfId="0" applyBorder="1" applyFont="1"/>
    <xf borderId="14" fillId="0" fontId="16" numFmtId="164" xfId="0" applyBorder="1" applyFont="1" applyNumberFormat="1"/>
    <xf borderId="13" fillId="0" fontId="16" numFmtId="164" xfId="0" applyBorder="1" applyFont="1" applyNumberFormat="1"/>
    <xf borderId="15" fillId="0" fontId="16" numFmtId="164" xfId="0" applyBorder="1" applyFont="1" applyNumberFormat="1"/>
    <xf borderId="8" fillId="0" fontId="9" numFmtId="164" xfId="0" applyBorder="1" applyFont="1" applyNumberFormat="1"/>
    <xf borderId="0" fillId="0" fontId="9" numFmtId="164" xfId="0" applyFont="1" applyNumberFormat="1"/>
    <xf borderId="9" fillId="0" fontId="9" numFmtId="164" xfId="0" applyBorder="1" applyFont="1" applyNumberFormat="1"/>
    <xf borderId="0" fillId="0" fontId="18" numFmtId="0" xfId="0" applyFont="1"/>
    <xf borderId="0" fillId="0" fontId="19" numFmtId="0" xfId="0" applyFont="1"/>
    <xf borderId="8" fillId="0" fontId="18" numFmtId="0" xfId="0" applyBorder="1" applyFont="1"/>
    <xf borderId="8" fillId="0" fontId="20" numFmtId="0" xfId="0" applyBorder="1" applyFont="1"/>
    <xf borderId="0" fillId="0" fontId="20" numFmtId="0" xfId="0" applyFont="1"/>
    <xf borderId="9" fillId="0" fontId="20" numFmtId="0" xfId="0" applyBorder="1" applyFont="1"/>
    <xf borderId="0" fillId="0" fontId="21" numFmtId="0" xfId="0" applyFont="1"/>
    <xf borderId="8" fillId="0" fontId="0" numFmtId="164" xfId="0" applyBorder="1" applyFont="1" applyNumberFormat="1"/>
    <xf borderId="0" fillId="0" fontId="0" numFmtId="164" xfId="0" applyFont="1" applyNumberFormat="1"/>
    <xf borderId="9" fillId="0" fontId="0" numFmtId="164" xfId="0" applyBorder="1" applyFont="1" applyNumberFormat="1"/>
    <xf borderId="8" fillId="0" fontId="4" numFmtId="0" xfId="0" applyBorder="1" applyFont="1"/>
    <xf borderId="9" fillId="0" fontId="4" numFmtId="0" xfId="0" applyBorder="1" applyFont="1"/>
    <xf borderId="8" fillId="0" fontId="0" numFmtId="165" xfId="0" applyAlignment="1" applyBorder="1" applyFont="1" applyNumberFormat="1">
      <alignment horizontal="right"/>
    </xf>
    <xf borderId="0" fillId="0" fontId="0" numFmtId="166" xfId="0" applyAlignment="1" applyFont="1" applyNumberFormat="1">
      <alignment horizontal="right"/>
    </xf>
    <xf borderId="9" fillId="0" fontId="0" numFmtId="166" xfId="0" applyAlignment="1" applyBorder="1" applyFont="1" applyNumberFormat="1">
      <alignment horizontal="right"/>
    </xf>
    <xf borderId="8" fillId="0" fontId="0" numFmtId="166" xfId="0" applyAlignment="1" applyBorder="1" applyFont="1" applyNumberFormat="1">
      <alignment horizontal="right"/>
    </xf>
    <xf borderId="8" fillId="0" fontId="16" numFmtId="165" xfId="0" applyAlignment="1" applyBorder="1" applyFont="1" applyNumberFormat="1">
      <alignment horizontal="right"/>
    </xf>
    <xf borderId="0" fillId="0" fontId="16" numFmtId="166" xfId="0" applyAlignment="1" applyFont="1" applyNumberFormat="1">
      <alignment horizontal="right"/>
    </xf>
    <xf borderId="9" fillId="0" fontId="16" numFmtId="166" xfId="0" applyAlignment="1" applyBorder="1" applyFont="1" applyNumberFormat="1">
      <alignment horizontal="right"/>
    </xf>
    <xf borderId="8" fillId="0" fontId="16" numFmtId="166" xfId="0" applyAlignment="1" applyBorder="1" applyFont="1" applyNumberFormat="1">
      <alignment horizontal="right"/>
    </xf>
    <xf borderId="8" fillId="0" fontId="4" numFmtId="0" xfId="0" applyAlignment="1" applyBorder="1" applyFont="1">
      <alignment horizontal="right"/>
    </xf>
    <xf borderId="0" fillId="0" fontId="4" numFmtId="166" xfId="0" applyFont="1" applyNumberFormat="1"/>
    <xf borderId="9" fillId="0" fontId="4" numFmtId="166" xfId="0" applyBorder="1" applyFont="1" applyNumberFormat="1"/>
    <xf borderId="8" fillId="0" fontId="4" numFmtId="166" xfId="0" applyBorder="1" applyFont="1" applyNumberFormat="1"/>
    <xf borderId="8" fillId="0" fontId="4" numFmtId="167" xfId="0" applyAlignment="1" applyBorder="1" applyFont="1" applyNumberFormat="1">
      <alignment horizontal="right"/>
    </xf>
    <xf borderId="0" fillId="0" fontId="4" numFmtId="167" xfId="0" applyFont="1" applyNumberFormat="1"/>
    <xf borderId="9" fillId="0" fontId="0" numFmtId="167" xfId="0" applyAlignment="1" applyBorder="1" applyFont="1" applyNumberFormat="1">
      <alignment horizontal="right"/>
    </xf>
    <xf borderId="8" fillId="0" fontId="0" numFmtId="167" xfId="0" applyAlignment="1" applyBorder="1" applyFont="1" applyNumberFormat="1">
      <alignment horizontal="right"/>
    </xf>
    <xf borderId="0" fillId="0" fontId="4" numFmtId="167" xfId="0" applyAlignment="1" applyFont="1" applyNumberFormat="1">
      <alignment horizontal="right"/>
    </xf>
    <xf borderId="0" fillId="0" fontId="0" numFmtId="167" xfId="0" applyFont="1" applyNumberFormat="1"/>
    <xf borderId="9" fillId="0" fontId="0" numFmtId="167" xfId="0" applyBorder="1" applyFont="1" applyNumberFormat="1"/>
    <xf borderId="8" fillId="0" fontId="0" numFmtId="167" xfId="0" applyBorder="1" applyFont="1" applyNumberFormat="1"/>
    <xf borderId="8" fillId="0" fontId="4" numFmtId="167" xfId="0" applyBorder="1" applyFont="1" applyNumberFormat="1"/>
    <xf borderId="8" fillId="0" fontId="0" numFmtId="164" xfId="0" applyAlignment="1" applyBorder="1" applyFont="1" applyNumberFormat="1">
      <alignment horizontal="right"/>
    </xf>
    <xf borderId="0" fillId="0" fontId="0" numFmtId="164" xfId="0" applyAlignment="1" applyFont="1" applyNumberFormat="1">
      <alignment horizontal="right"/>
    </xf>
    <xf borderId="9" fillId="0" fontId="0" numFmtId="164" xfId="0" applyAlignment="1" applyBorder="1" applyFont="1" applyNumberFormat="1">
      <alignment horizontal="right"/>
    </xf>
    <xf borderId="8" fillId="0" fontId="22" numFmtId="164" xfId="0" applyBorder="1" applyFont="1" applyNumberFormat="1"/>
    <xf borderId="0" fillId="0" fontId="22" numFmtId="164" xfId="0" applyFont="1" applyNumberFormat="1"/>
    <xf borderId="9" fillId="0" fontId="22" numFmtId="164" xfId="0" applyBorder="1" applyFont="1" applyNumberFormat="1"/>
    <xf borderId="8" fillId="0" fontId="6" numFmtId="0" xfId="0" applyBorder="1" applyFont="1"/>
    <xf borderId="8" fillId="0" fontId="9" numFmtId="164" xfId="0" applyAlignment="1" applyBorder="1" applyFont="1" applyNumberFormat="1">
      <alignment horizontal="right"/>
    </xf>
    <xf borderId="0" fillId="0" fontId="9" numFmtId="164" xfId="0" applyAlignment="1" applyFont="1" applyNumberFormat="1">
      <alignment horizontal="right"/>
    </xf>
    <xf borderId="9" fillId="0" fontId="9" numFmtId="164" xfId="0" applyAlignment="1" applyBorder="1" applyFont="1" applyNumberFormat="1">
      <alignment horizontal="right"/>
    </xf>
    <xf borderId="8" fillId="0" fontId="16" numFmtId="9" xfId="0" applyAlignment="1" applyBorder="1" applyFont="1" applyNumberFormat="1">
      <alignment horizontal="right"/>
    </xf>
    <xf borderId="0" fillId="0" fontId="16" numFmtId="9" xfId="0" applyAlignment="1" applyFont="1" applyNumberFormat="1">
      <alignment horizontal="right"/>
    </xf>
    <xf borderId="9" fillId="0" fontId="16" numFmtId="9" xfId="0" applyAlignment="1" applyBorder="1" applyFont="1" applyNumberFormat="1">
      <alignment horizontal="right"/>
    </xf>
    <xf borderId="5" fillId="0" fontId="6" numFmtId="0" xfId="0" applyBorder="1" applyFont="1"/>
    <xf borderId="5" fillId="0" fontId="9" numFmtId="168" xfId="0" applyAlignment="1" applyBorder="1" applyFont="1" applyNumberFormat="1">
      <alignment horizontal="right"/>
    </xf>
    <xf borderId="16" fillId="0" fontId="9" numFmtId="168" xfId="0" applyAlignment="1" applyBorder="1" applyFont="1" applyNumberFormat="1">
      <alignment horizontal="right"/>
    </xf>
    <xf borderId="17" fillId="0" fontId="9" numFmtId="168" xfId="0" applyAlignment="1" applyBorder="1" applyFont="1" applyNumberFormat="1">
      <alignment horizontal="right"/>
    </xf>
    <xf borderId="10" fillId="4" fontId="23" numFmtId="9" xfId="0" applyBorder="1" applyFill="1" applyFont="1" applyNumberFormat="1"/>
    <xf borderId="0" fillId="0" fontId="24" numFmtId="0" xfId="0" applyAlignment="1" applyFont="1">
      <alignment horizontal="left"/>
    </xf>
    <xf borderId="0" fillId="0" fontId="25" numFmtId="0" xfId="0" applyAlignment="1" applyFont="1">
      <alignment horizontal="center" readingOrder="0" vertical="center"/>
    </xf>
    <xf borderId="4" fillId="0" fontId="7" numFmtId="0" xfId="0" applyAlignment="1" applyBorder="1" applyFont="1">
      <alignment horizontal="center"/>
    </xf>
    <xf borderId="6" fillId="0" fontId="8" numFmtId="0" xfId="0" applyBorder="1" applyFont="1"/>
    <xf borderId="7" fillId="0" fontId="8" numFmtId="0" xfId="0" applyBorder="1" applyFont="1"/>
    <xf borderId="5" fillId="0" fontId="7" numFmtId="0" xfId="0" applyAlignment="1" applyBorder="1" applyFont="1">
      <alignment horizontal="center"/>
    </xf>
    <xf borderId="16" fillId="0" fontId="8" numFmtId="0" xfId="0" applyBorder="1" applyFont="1"/>
    <xf borderId="17" fillId="0" fontId="8" numFmtId="0" xfId="0" applyBorder="1" applyFont="1"/>
    <xf borderId="4" fillId="0" fontId="10" numFmtId="17" xfId="0" applyAlignment="1" applyBorder="1" applyFont="1" applyNumberFormat="1">
      <alignment horizontal="center"/>
    </xf>
    <xf borderId="6" fillId="0" fontId="10" numFmtId="17" xfId="0" applyAlignment="1" applyBorder="1" applyFont="1" applyNumberFormat="1">
      <alignment horizontal="center"/>
    </xf>
    <xf borderId="7" fillId="0" fontId="10" numFmtId="17" xfId="0" applyAlignment="1" applyBorder="1" applyFont="1" applyNumberFormat="1">
      <alignment horizontal="center"/>
    </xf>
    <xf borderId="8" fillId="0" fontId="26" numFmtId="17" xfId="0" applyAlignment="1" applyBorder="1" applyFont="1" applyNumberFormat="1">
      <alignment horizontal="center"/>
    </xf>
    <xf borderId="0" fillId="0" fontId="26" numFmtId="17" xfId="0" applyAlignment="1" applyFont="1" applyNumberFormat="1">
      <alignment horizontal="center"/>
    </xf>
    <xf borderId="9" fillId="0" fontId="26" numFmtId="17" xfId="0" applyAlignment="1" applyBorder="1" applyFont="1" applyNumberFormat="1">
      <alignment horizontal="center"/>
    </xf>
    <xf borderId="1" fillId="0" fontId="26" numFmtId="17" xfId="0" applyAlignment="1" applyBorder="1" applyFont="1" applyNumberFormat="1">
      <alignment horizontal="center"/>
    </xf>
    <xf borderId="2" fillId="0" fontId="26" numFmtId="17" xfId="0" applyAlignment="1" applyBorder="1" applyFont="1" applyNumberFormat="1">
      <alignment horizontal="center"/>
    </xf>
    <xf borderId="3" fillId="0" fontId="26" numFmtId="17" xfId="0" applyAlignment="1" applyBorder="1" applyFont="1" applyNumberFormat="1">
      <alignment horizontal="center"/>
    </xf>
    <xf borderId="10" fillId="3" fontId="6" numFmtId="0" xfId="0" applyBorder="1" applyFont="1"/>
    <xf borderId="0" fillId="0" fontId="27" numFmtId="0" xfId="0" applyFont="1"/>
    <xf borderId="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5" fillId="0" fontId="16" numFmtId="164" xfId="0" applyAlignment="1" applyBorder="1" applyFont="1" applyNumberFormat="1">
      <alignment horizontal="right"/>
    </xf>
    <xf borderId="16" fillId="0" fontId="16" numFmtId="164" xfId="0" applyAlignment="1" applyBorder="1" applyFont="1" applyNumberFormat="1">
      <alignment horizontal="right"/>
    </xf>
    <xf borderId="17" fillId="0" fontId="16" numFmtId="164" xfId="0" applyAlignment="1" applyBorder="1" applyFont="1" applyNumberFormat="1">
      <alignment horizontal="right"/>
    </xf>
    <xf borderId="0" fillId="0" fontId="28" numFmtId="0" xfId="0" applyAlignment="1" applyFont="1">
      <alignment horizontal="center" shrinkToFit="0" vertical="center" wrapText="1"/>
    </xf>
    <xf borderId="0" fillId="0" fontId="29" numFmtId="0" xfId="0" applyAlignment="1" applyFont="1">
      <alignment horizontal="center" readingOrder="0" vertical="center"/>
    </xf>
    <xf borderId="0" fillId="5" fontId="18" numFmtId="0" xfId="0" applyAlignment="1" applyFill="1" applyFont="1">
      <alignment horizontal="center"/>
    </xf>
    <xf borderId="0" fillId="4" fontId="30" numFmtId="0" xfId="0" applyFont="1"/>
    <xf borderId="0" fillId="4" fontId="31" numFmtId="0" xfId="0" applyFont="1"/>
    <xf borderId="0" fillId="0" fontId="32" numFmtId="0" xfId="0" applyFont="1"/>
    <xf borderId="0" fillId="0" fontId="33" numFmtId="0" xfId="0" applyAlignment="1" applyFont="1">
      <alignment horizontal="center"/>
    </xf>
    <xf borderId="0" fillId="0" fontId="18" numFmtId="0" xfId="0" applyAlignment="1" applyFont="1">
      <alignment horizontal="center"/>
    </xf>
    <xf borderId="0" fillId="0" fontId="30" numFmtId="0" xfId="0" applyFont="1"/>
    <xf borderId="10" fillId="4" fontId="34" numFmtId="0" xfId="0" applyAlignment="1" applyBorder="1" applyFont="1">
      <alignment horizontal="center"/>
    </xf>
    <xf borderId="10" fillId="4" fontId="34" numFmtId="3" xfId="0" applyAlignment="1" applyBorder="1" applyFont="1" applyNumberFormat="1">
      <alignment horizontal="center"/>
    </xf>
    <xf borderId="10" fillId="4" fontId="34" numFmtId="9" xfId="0" applyAlignment="1" applyBorder="1" applyFont="1" applyNumberFormat="1">
      <alignment horizontal="center"/>
    </xf>
    <xf borderId="10" fillId="3" fontId="35" numFmtId="0" xfId="0" applyBorder="1" applyFont="1"/>
    <xf borderId="10" fillId="3" fontId="32" numFmtId="0" xfId="0" applyBorder="1" applyFont="1"/>
    <xf borderId="10" fillId="3" fontId="36" numFmtId="0" xfId="0" applyAlignment="1" applyBorder="1" applyFont="1">
      <alignment horizontal="center"/>
    </xf>
    <xf borderId="10" fillId="3" fontId="33" numFmtId="0" xfId="0" applyAlignment="1" applyBorder="1" applyFont="1">
      <alignment horizontal="center"/>
    </xf>
    <xf borderId="10" fillId="3" fontId="18" numFmtId="0" xfId="0" applyAlignment="1" applyBorder="1" applyFont="1">
      <alignment horizontal="center"/>
    </xf>
    <xf borderId="0" fillId="0" fontId="37" numFmtId="0" xfId="0" applyFont="1"/>
    <xf borderId="0" fillId="0" fontId="36" numFmtId="0" xfId="0" applyAlignment="1" applyFont="1">
      <alignment horizontal="center"/>
    </xf>
    <xf borderId="0" fillId="0" fontId="34" numFmtId="9" xfId="0" applyAlignment="1" applyFont="1" applyNumberFormat="1">
      <alignment horizontal="center"/>
    </xf>
    <xf borderId="0" fillId="0" fontId="34" numFmtId="0" xfId="0" applyAlignment="1" applyFont="1">
      <alignment horizontal="center"/>
    </xf>
    <xf borderId="0" fillId="0" fontId="38" numFmtId="9" xfId="0" applyAlignment="1" applyFont="1" applyNumberFormat="1">
      <alignment horizontal="center"/>
    </xf>
    <xf borderId="0" fillId="0" fontId="38" numFmtId="0" xfId="0" applyAlignment="1" applyFont="1">
      <alignment horizontal="center"/>
    </xf>
    <xf borderId="10" fillId="4" fontId="34" numFmtId="169" xfId="0" applyAlignment="1" applyBorder="1" applyFont="1" applyNumberFormat="1">
      <alignment horizontal="center"/>
    </xf>
    <xf borderId="0" fillId="0" fontId="38" numFmtId="164" xfId="0" applyAlignment="1" applyFont="1" applyNumberFormat="1">
      <alignment horizontal="center"/>
    </xf>
    <xf borderId="0" fillId="0" fontId="33" numFmtId="0" xfId="0" applyFont="1"/>
    <xf borderId="10" fillId="4" fontId="39" numFmtId="170" xfId="0" applyAlignment="1" applyBorder="1" applyFont="1" applyNumberFormat="1">
      <alignment horizontal="center"/>
    </xf>
    <xf borderId="0" fillId="0" fontId="38" numFmtId="171" xfId="0" applyAlignment="1" applyFont="1" applyNumberFormat="1">
      <alignment horizontal="center"/>
    </xf>
    <xf borderId="10" fillId="4" fontId="34" numFmtId="170" xfId="0" applyAlignment="1" applyBorder="1" applyFont="1" applyNumberFormat="1">
      <alignment horizontal="center"/>
    </xf>
    <xf borderId="0" fillId="0" fontId="38" numFmtId="170" xfId="0" applyAlignment="1" applyFont="1" applyNumberFormat="1">
      <alignment horizontal="center"/>
    </xf>
    <xf borderId="0" fillId="0" fontId="34" numFmtId="170" xfId="0" applyAlignment="1" applyFont="1" applyNumberFormat="1">
      <alignment horizontal="center"/>
    </xf>
    <xf borderId="0" fillId="0" fontId="36" numFmtId="0" xfId="0" applyFont="1"/>
    <xf borderId="0" fillId="0" fontId="32" numFmtId="0" xfId="0" applyAlignment="1" applyFont="1">
      <alignment horizontal="center"/>
    </xf>
    <xf borderId="0" fillId="0" fontId="32" numFmtId="0" xfId="0" applyAlignment="1" applyFont="1">
      <alignment horizontal="left"/>
    </xf>
    <xf borderId="10" fillId="4" fontId="40" numFmtId="172" xfId="0" applyAlignment="1" applyBorder="1" applyFont="1" applyNumberFormat="1">
      <alignment horizontal="center"/>
    </xf>
    <xf borderId="0" fillId="0" fontId="38" numFmtId="172" xfId="0" applyAlignment="1" applyFont="1" applyNumberFormat="1">
      <alignment horizontal="center"/>
    </xf>
    <xf borderId="13" fillId="0" fontId="32" numFmtId="0" xfId="0" applyAlignment="1" applyBorder="1" applyFont="1">
      <alignment horizontal="left"/>
    </xf>
    <xf borderId="13" fillId="0" fontId="32" numFmtId="0" xfId="0" applyBorder="1" applyFont="1"/>
    <xf borderId="18" fillId="4" fontId="40" numFmtId="172" xfId="0" applyAlignment="1" applyBorder="1" applyFont="1" applyNumberFormat="1">
      <alignment horizontal="center"/>
    </xf>
    <xf borderId="13" fillId="0" fontId="38" numFmtId="172" xfId="0" applyAlignment="1" applyBorder="1" applyFont="1" applyNumberFormat="1">
      <alignment horizontal="center"/>
    </xf>
    <xf borderId="0" fillId="0" fontId="36" numFmtId="0" xfId="0" applyAlignment="1" applyFont="1">
      <alignment horizontal="left"/>
    </xf>
    <xf borderId="0" fillId="0" fontId="36" numFmtId="9" xfId="0" applyFont="1" applyNumberFormat="1"/>
    <xf borderId="0" fillId="0" fontId="30" numFmtId="9" xfId="0" applyAlignment="1" applyFont="1" applyNumberFormat="1">
      <alignment horizontal="center"/>
    </xf>
    <xf borderId="0" fillId="0" fontId="30" numFmtId="172" xfId="0" applyAlignment="1" applyFont="1" applyNumberFormat="1">
      <alignment horizontal="center"/>
    </xf>
    <xf borderId="0" fillId="0" fontId="33" numFmtId="0" xfId="0" applyAlignment="1" applyFont="1">
      <alignment horizontal="left"/>
    </xf>
    <xf borderId="10" fillId="4" fontId="40" numFmtId="164" xfId="0" applyAlignment="1" applyBorder="1" applyFont="1" applyNumberFormat="1">
      <alignment horizontal="center"/>
    </xf>
    <xf borderId="10" fillId="4" fontId="40" numFmtId="9" xfId="0" applyAlignment="1" applyBorder="1" applyFont="1" applyNumberFormat="1">
      <alignment horizontal="center"/>
    </xf>
    <xf borderId="10" fillId="4" fontId="40" numFmtId="171" xfId="0" applyAlignment="1" applyBorder="1" applyFont="1" applyNumberFormat="1">
      <alignment horizontal="center"/>
    </xf>
    <xf borderId="0" fillId="0" fontId="30" numFmtId="171" xfId="0" applyAlignment="1" applyFont="1" applyNumberFormat="1">
      <alignment horizontal="center"/>
    </xf>
    <xf borderId="10" fillId="3" fontId="38" numFmtId="9" xfId="0" applyAlignment="1" applyBorder="1" applyFont="1" applyNumberFormat="1">
      <alignment horizontal="center"/>
    </xf>
    <xf borderId="0" fillId="0" fontId="41" numFmtId="0" xfId="0" applyAlignment="1" applyFont="1">
      <alignment horizontal="center"/>
    </xf>
    <xf borderId="10" fillId="4" fontId="32" numFmtId="0" xfId="0" applyBorder="1" applyFont="1"/>
    <xf borderId="10" fillId="4" fontId="40" numFmtId="164" xfId="0" applyBorder="1" applyFont="1" applyNumberFormat="1"/>
    <xf borderId="10" fillId="4" fontId="40" numFmtId="9" xfId="0" applyBorder="1" applyFont="1" applyNumberFormat="1"/>
    <xf borderId="10" fillId="4" fontId="32" numFmtId="0" xfId="0" applyAlignment="1" applyBorder="1" applyFont="1">
      <alignment horizontal="left"/>
    </xf>
    <xf borderId="10" fillId="4" fontId="42" numFmtId="164" xfId="0" applyAlignment="1" applyBorder="1" applyFont="1" applyNumberFormat="1">
      <alignment horizontal="center"/>
    </xf>
    <xf borderId="10" fillId="4" fontId="38" numFmtId="164" xfId="0" applyBorder="1" applyFont="1" applyNumberFormat="1"/>
    <xf borderId="10" fillId="4" fontId="42" numFmtId="164" xfId="0" applyAlignment="1" applyBorder="1" applyFont="1" applyNumberFormat="1">
      <alignment horizontal="left"/>
    </xf>
    <xf borderId="0" fillId="0" fontId="42" numFmtId="164" xfId="0" applyAlignment="1" applyFont="1" applyNumberFormat="1">
      <alignment horizontal="center"/>
    </xf>
    <xf borderId="0" fillId="0" fontId="40" numFmtId="164" xfId="0" applyFont="1" applyNumberFormat="1"/>
    <xf borderId="10" fillId="4" fontId="43" numFmtId="17" xfId="0" applyAlignment="1" applyBorder="1" applyFont="1" applyNumberFormat="1">
      <alignment horizontal="center"/>
    </xf>
    <xf borderId="10" fillId="4" fontId="34" numFmtId="164" xfId="0" applyAlignment="1" applyBorder="1" applyFont="1" applyNumberFormat="1">
      <alignment horizontal="center"/>
    </xf>
    <xf borderId="10" fillId="4" fontId="42" numFmtId="15" xfId="0" applyAlignment="1" applyBorder="1" applyFont="1" applyNumberFormat="1">
      <alignment horizontal="center"/>
    </xf>
    <xf borderId="10" fillId="3" fontId="32" numFmtId="0" xfId="0" applyAlignment="1" applyBorder="1" applyFont="1">
      <alignment horizontal="center"/>
    </xf>
    <xf borderId="0" fillId="0" fontId="24" numFmtId="0" xfId="0" applyFont="1"/>
    <xf borderId="4" fillId="0" fontId="44" numFmtId="0" xfId="0" applyAlignment="1" applyBorder="1" applyFont="1">
      <alignment horizontal="center"/>
    </xf>
    <xf borderId="5" fillId="0" fontId="44" numFmtId="0" xfId="0" applyAlignment="1" applyBorder="1" applyFont="1">
      <alignment horizontal="center"/>
    </xf>
    <xf borderId="16" fillId="0" fontId="44" numFmtId="0" xfId="0" applyAlignment="1" applyBorder="1" applyFont="1">
      <alignment horizontal="center"/>
    </xf>
    <xf borderId="17" fillId="0" fontId="44" numFmtId="0" xfId="0" applyAlignment="1" applyBorder="1" applyFont="1">
      <alignment horizontal="center"/>
    </xf>
    <xf borderId="6" fillId="0" fontId="44" numFmtId="0" xfId="0" applyAlignment="1" applyBorder="1" applyFont="1">
      <alignment horizontal="center"/>
    </xf>
    <xf borderId="7" fillId="0" fontId="44" numFmtId="0" xfId="0" applyAlignment="1" applyBorder="1" applyFont="1">
      <alignment horizontal="center"/>
    </xf>
    <xf borderId="19" fillId="4" fontId="45" numFmtId="17" xfId="0" applyAlignment="1" applyBorder="1" applyFont="1" applyNumberFormat="1">
      <alignment horizontal="center"/>
    </xf>
    <xf borderId="11" fillId="4" fontId="26" numFmtId="17" xfId="0" applyAlignment="1" applyBorder="1" applyFont="1" applyNumberFormat="1">
      <alignment horizontal="center"/>
    </xf>
    <xf borderId="10" fillId="4" fontId="26" numFmtId="17" xfId="0" applyAlignment="1" applyBorder="1" applyFont="1" applyNumberFormat="1">
      <alignment horizontal="center"/>
    </xf>
    <xf borderId="12" fillId="4" fontId="26" numFmtId="17" xfId="0" applyAlignment="1" applyBorder="1" applyFont="1" applyNumberFormat="1">
      <alignment horizontal="center"/>
    </xf>
    <xf borderId="20" fillId="4" fontId="26" numFmtId="17" xfId="0" applyAlignment="1" applyBorder="1" applyFont="1" applyNumberFormat="1">
      <alignment horizontal="center"/>
    </xf>
    <xf borderId="21" fillId="4" fontId="26" numFmtId="17" xfId="0" applyAlignment="1" applyBorder="1" applyFont="1" applyNumberFormat="1">
      <alignment horizontal="center"/>
    </xf>
    <xf borderId="22" fillId="4" fontId="26" numFmtId="17" xfId="0" applyAlignment="1" applyBorder="1" applyFont="1" applyNumberFormat="1">
      <alignment horizontal="center"/>
    </xf>
    <xf borderId="8" fillId="0" fontId="23" numFmtId="164" xfId="0" applyBorder="1" applyFont="1" applyNumberFormat="1"/>
    <xf borderId="8" fillId="0" fontId="4" numFmtId="164" xfId="0" applyBorder="1" applyFont="1" applyNumberFormat="1"/>
    <xf borderId="0" fillId="0" fontId="4" numFmtId="164" xfId="0" applyFont="1" applyNumberFormat="1"/>
    <xf borderId="9" fillId="0" fontId="4" numFmtId="164" xfId="0" applyBorder="1" applyFont="1" applyNumberFormat="1"/>
    <xf borderId="11" fillId="4" fontId="23" numFmtId="164" xfId="0" applyBorder="1" applyFont="1" applyNumberFormat="1"/>
    <xf borderId="10" fillId="4" fontId="23" numFmtId="164" xfId="0" applyBorder="1" applyFont="1" applyNumberFormat="1"/>
    <xf borderId="12" fillId="4" fontId="23" numFmtId="164" xfId="0" applyBorder="1" applyFont="1" applyNumberFormat="1"/>
    <xf borderId="23" fillId="4" fontId="23" numFmtId="164" xfId="0" applyBorder="1" applyFont="1" applyNumberFormat="1"/>
    <xf borderId="18" fillId="4" fontId="23" numFmtId="164" xfId="0" applyBorder="1" applyFont="1" applyNumberFormat="1"/>
    <xf borderId="24" fillId="4" fontId="23" numFmtId="164" xfId="0" applyBorder="1" applyFont="1" applyNumberFormat="1"/>
    <xf borderId="11" fillId="4" fontId="0" numFmtId="164" xfId="0" applyBorder="1" applyFont="1" applyNumberFormat="1"/>
    <xf borderId="10" fillId="4" fontId="0" numFmtId="164" xfId="0" applyBorder="1" applyFont="1" applyNumberFormat="1"/>
    <xf borderId="12" fillId="4" fontId="0" numFmtId="164" xfId="0" applyBorder="1" applyFont="1" applyNumberFormat="1"/>
    <xf borderId="11" fillId="4" fontId="23" numFmtId="171" xfId="0" applyBorder="1" applyFont="1" applyNumberFormat="1"/>
    <xf borderId="10" fillId="4" fontId="23" numFmtId="171" xfId="0" applyBorder="1" applyFont="1" applyNumberFormat="1"/>
    <xf borderId="12" fillId="4" fontId="23" numFmtId="171" xfId="0" applyBorder="1" applyFont="1" applyNumberFormat="1"/>
    <xf borderId="23" fillId="4" fontId="23" numFmtId="171" xfId="0" applyBorder="1" applyFont="1" applyNumberFormat="1"/>
    <xf borderId="18" fillId="4" fontId="23" numFmtId="171" xfId="0" applyBorder="1" applyFont="1" applyNumberFormat="1"/>
    <xf borderId="24" fillId="4" fontId="23" numFmtId="171" xfId="0" applyBorder="1" applyFont="1" applyNumberFormat="1"/>
    <xf borderId="11" fillId="4" fontId="0" numFmtId="171" xfId="0" applyBorder="1" applyFont="1" applyNumberFormat="1"/>
    <xf borderId="10" fillId="4" fontId="0" numFmtId="171" xfId="0" applyBorder="1" applyFont="1" applyNumberFormat="1"/>
    <xf borderId="12" fillId="4" fontId="0" numFmtId="171" xfId="0" applyBorder="1" applyFont="1" applyNumberFormat="1"/>
    <xf borderId="14" fillId="0" fontId="0" numFmtId="164" xfId="0" applyBorder="1" applyFont="1" applyNumberFormat="1"/>
    <xf borderId="0" fillId="0" fontId="23" numFmtId="164" xfId="0" applyFont="1" applyNumberFormat="1"/>
    <xf borderId="9" fillId="0" fontId="23" numFmtId="164" xfId="0" applyBorder="1" applyFont="1" applyNumberFormat="1"/>
    <xf borderId="8" fillId="0" fontId="44" numFmtId="164" xfId="0" applyBorder="1" applyFont="1" applyNumberFormat="1"/>
    <xf borderId="0" fillId="0" fontId="44" numFmtId="164" xfId="0" applyFont="1" applyNumberFormat="1"/>
    <xf borderId="9" fillId="0" fontId="44" numFmtId="164" xfId="0" applyBorder="1" applyFont="1" applyNumberFormat="1"/>
    <xf borderId="11" fillId="4" fontId="44" numFmtId="164" xfId="0" applyBorder="1" applyFont="1" applyNumberFormat="1"/>
    <xf borderId="11" fillId="3" fontId="4" numFmtId="0" xfId="0" applyBorder="1" applyFont="1"/>
    <xf borderId="12" fillId="3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4" fillId="0" fontId="16" numFmtId="164" xfId="0" applyAlignment="1" applyBorder="1" applyFont="1" applyNumberFormat="1">
      <alignment horizontal="right"/>
    </xf>
    <xf borderId="13" fillId="0" fontId="16" numFmtId="164" xfId="0" applyAlignment="1" applyBorder="1" applyFont="1" applyNumberFormat="1">
      <alignment horizontal="right"/>
    </xf>
    <xf borderId="15" fillId="0" fontId="16" numFmtId="164" xfId="0" applyAlignment="1" applyBorder="1" applyFont="1" applyNumberFormat="1">
      <alignment horizontal="right"/>
    </xf>
    <xf borderId="9" fillId="0" fontId="6" numFmtId="0" xfId="0" applyBorder="1" applyFont="1"/>
    <xf borderId="8" fillId="0" fontId="4" numFmtId="0" xfId="0" applyAlignment="1" applyBorder="1" applyFont="1">
      <alignment vertical="top"/>
    </xf>
    <xf borderId="11" fillId="4" fontId="23" numFmtId="173" xfId="0" applyBorder="1" applyFont="1" applyNumberFormat="1"/>
    <xf borderId="0" fillId="0" fontId="0" numFmtId="173" xfId="0" applyFont="1" applyNumberFormat="1"/>
    <xf borderId="9" fillId="0" fontId="0" numFmtId="173" xfId="0" applyBorder="1" applyFont="1" applyNumberFormat="1"/>
    <xf borderId="8" fillId="0" fontId="0" numFmtId="173" xfId="0" applyBorder="1" applyFont="1" applyNumberFormat="1"/>
    <xf borderId="8" fillId="0" fontId="0" numFmtId="173" xfId="0" applyAlignment="1" applyBorder="1" applyFont="1" applyNumberFormat="1">
      <alignment horizontal="right"/>
    </xf>
    <xf borderId="14" fillId="0" fontId="0" numFmtId="173" xfId="0" applyBorder="1" applyFont="1" applyNumberFormat="1"/>
    <xf borderId="13" fillId="0" fontId="0" numFmtId="173" xfId="0" applyBorder="1" applyFont="1" applyNumberFormat="1"/>
    <xf borderId="15" fillId="0" fontId="0" numFmtId="173" xfId="0" applyBorder="1" applyFont="1" applyNumberFormat="1"/>
    <xf borderId="13" fillId="0" fontId="0" numFmtId="164" xfId="0" applyBorder="1" applyFont="1" applyNumberFormat="1"/>
    <xf borderId="15" fillId="0" fontId="0" numFmtId="164" xfId="0" applyBorder="1" applyFont="1" applyNumberFormat="1"/>
    <xf borderId="8" fillId="0" fontId="9" numFmtId="173" xfId="0" applyBorder="1" applyFont="1" applyNumberFormat="1"/>
    <xf borderId="0" fillId="0" fontId="9" numFmtId="173" xfId="0" applyFont="1" applyNumberFormat="1"/>
    <xf borderId="9" fillId="0" fontId="9" numFmtId="173" xfId="0" applyBorder="1" applyFont="1" applyNumberFormat="1"/>
    <xf borderId="5" fillId="0" fontId="0" numFmtId="9" xfId="0" applyAlignment="1" applyBorder="1" applyFont="1" applyNumberFormat="1">
      <alignment horizontal="right"/>
    </xf>
    <xf borderId="16" fillId="0" fontId="0" numFmtId="9" xfId="0" applyAlignment="1" applyBorder="1" applyFont="1" applyNumberFormat="1">
      <alignment horizontal="right"/>
    </xf>
    <xf borderId="17" fillId="0" fontId="0" numFmtId="9" xfId="0" applyAlignment="1" applyBorder="1" applyFont="1" applyNumberFormat="1">
      <alignment horizontal="right"/>
    </xf>
    <xf borderId="10" fillId="3" fontId="9" numFmtId="0" xfId="0" applyBorder="1" applyFont="1"/>
    <xf borderId="8" fillId="0" fontId="46" numFmtId="164" xfId="0" applyAlignment="1" applyBorder="1" applyFont="1" applyNumberFormat="1">
      <alignment horizontal="right"/>
    </xf>
    <xf borderId="0" fillId="0" fontId="46" numFmtId="174" xfId="0" applyAlignment="1" applyFont="1" applyNumberFormat="1">
      <alignment horizontal="right"/>
    </xf>
    <xf borderId="9" fillId="0" fontId="46" numFmtId="174" xfId="0" applyAlignment="1" applyBorder="1" applyFont="1" applyNumberFormat="1">
      <alignment horizontal="right"/>
    </xf>
    <xf borderId="8" fillId="0" fontId="46" numFmtId="174" xfId="0" applyAlignment="1" applyBorder="1" applyFont="1" applyNumberFormat="1">
      <alignment horizontal="right"/>
    </xf>
    <xf borderId="8" fillId="0" fontId="47" numFmtId="164" xfId="0" applyAlignment="1" applyBorder="1" applyFont="1" applyNumberFormat="1">
      <alignment horizontal="right"/>
    </xf>
    <xf borderId="0" fillId="0" fontId="47" numFmtId="174" xfId="0" applyAlignment="1" applyFont="1" applyNumberFormat="1">
      <alignment horizontal="right"/>
    </xf>
    <xf borderId="9" fillId="0" fontId="47" numFmtId="174" xfId="0" applyAlignment="1" applyBorder="1" applyFont="1" applyNumberFormat="1">
      <alignment horizontal="right"/>
    </xf>
    <xf borderId="0" fillId="0" fontId="9" numFmtId="0" xfId="0" applyFont="1"/>
    <xf borderId="0" fillId="0" fontId="16" numFmtId="0" xfId="0" applyFont="1"/>
    <xf borderId="13" fillId="0" fontId="16" numFmtId="0" xfId="0" applyBorder="1" applyFont="1"/>
    <xf borderId="14" fillId="0" fontId="9" numFmtId="164" xfId="0" applyBorder="1" applyFont="1" applyNumberFormat="1"/>
    <xf borderId="11" fillId="4" fontId="23" numFmtId="175" xfId="0" applyBorder="1" applyFont="1" applyNumberFormat="1"/>
    <xf borderId="10" fillId="4" fontId="23" numFmtId="175" xfId="0" applyBorder="1" applyFont="1" applyNumberFormat="1"/>
    <xf borderId="12" fillId="4" fontId="23" numFmtId="175" xfId="0" applyBorder="1" applyFont="1" applyNumberFormat="1"/>
    <xf borderId="13" fillId="0" fontId="0" numFmtId="0" xfId="0" applyBorder="1" applyFont="1"/>
    <xf borderId="23" fillId="4" fontId="0" numFmtId="164" xfId="0" applyBorder="1" applyFont="1" applyNumberFormat="1"/>
    <xf borderId="18" fillId="4" fontId="0" numFmtId="164" xfId="0" applyBorder="1" applyFont="1" applyNumberFormat="1"/>
    <xf borderId="24" fillId="4" fontId="0" numFmtId="164" xfId="0" applyBorder="1" applyFont="1" applyNumberFormat="1"/>
    <xf borderId="12" fillId="3" fontId="14" numFmtId="0" xfId="0" applyAlignment="1" applyBorder="1" applyFont="1">
      <alignment horizontal="center"/>
    </xf>
    <xf borderId="0" fillId="0" fontId="23" numFmtId="9" xfId="0" applyFont="1" applyNumberFormat="1"/>
    <xf borderId="11" fillId="4" fontId="16" numFmtId="164" xfId="0" applyBorder="1" applyFont="1" applyNumberFormat="1"/>
    <xf borderId="10" fillId="4" fontId="16" numFmtId="164" xfId="0" applyBorder="1" applyFont="1" applyNumberFormat="1"/>
    <xf borderId="12" fillId="4" fontId="16" numFmtId="164" xfId="0" applyBorder="1" applyFont="1" applyNumberFormat="1"/>
    <xf borderId="11" fillId="4" fontId="16" numFmtId="164" xfId="0" applyAlignment="1" applyBorder="1" applyFont="1" applyNumberFormat="1">
      <alignment horizontal="right"/>
    </xf>
    <xf borderId="10" fillId="4" fontId="16" numFmtId="164" xfId="0" applyAlignment="1" applyBorder="1" applyFont="1" applyNumberFormat="1">
      <alignment horizontal="right"/>
    </xf>
    <xf borderId="12" fillId="4" fontId="16" numFmtId="164" xfId="0" applyAlignment="1" applyBorder="1" applyFont="1" applyNumberFormat="1">
      <alignment horizontal="right"/>
    </xf>
    <xf borderId="23" fillId="4" fontId="16" numFmtId="164" xfId="0" applyBorder="1" applyFont="1" applyNumberFormat="1"/>
    <xf borderId="18" fillId="4" fontId="16" numFmtId="164" xfId="0" applyBorder="1" applyFont="1" applyNumberFormat="1"/>
    <xf borderId="24" fillId="4" fontId="16" numFmtId="164" xfId="0" applyBorder="1" applyFont="1" applyNumberFormat="1"/>
    <xf borderId="23" fillId="4" fontId="16" numFmtId="164" xfId="0" applyAlignment="1" applyBorder="1" applyFont="1" applyNumberFormat="1">
      <alignment horizontal="right"/>
    </xf>
    <xf borderId="18" fillId="4" fontId="16" numFmtId="164" xfId="0" applyAlignment="1" applyBorder="1" applyFont="1" applyNumberFormat="1">
      <alignment horizontal="right"/>
    </xf>
    <xf borderId="24" fillId="4" fontId="16" numFmtId="164" xfId="0" applyAlignment="1" applyBorder="1" applyFont="1" applyNumberFormat="1">
      <alignment horizontal="right"/>
    </xf>
    <xf borderId="5" fillId="0" fontId="9" numFmtId="164" xfId="0" applyBorder="1" applyFont="1" applyNumberFormat="1"/>
    <xf borderId="16" fillId="0" fontId="9" numFmtId="164" xfId="0" applyBorder="1" applyFont="1" applyNumberFormat="1"/>
    <xf borderId="17" fillId="0" fontId="9" numFmtId="164" xfId="0" applyBorder="1" applyFont="1" applyNumberFormat="1"/>
    <xf borderId="0" fillId="0" fontId="46" numFmtId="164" xfId="0" applyAlignment="1" applyFont="1" applyNumberFormat="1">
      <alignment horizontal="right"/>
    </xf>
    <xf borderId="9" fillId="0" fontId="46" numFmtId="164" xfId="0" applyAlignment="1" applyBorder="1" applyFont="1" applyNumberFormat="1">
      <alignment horizontal="right"/>
    </xf>
    <xf borderId="14" fillId="0" fontId="46" numFmtId="164" xfId="0" applyAlignment="1" applyBorder="1" applyFont="1" applyNumberFormat="1">
      <alignment horizontal="right"/>
    </xf>
    <xf borderId="13" fillId="0" fontId="46" numFmtId="164" xfId="0" applyAlignment="1" applyBorder="1" applyFont="1" applyNumberFormat="1">
      <alignment horizontal="right"/>
    </xf>
    <xf borderId="15" fillId="0" fontId="46" numFmtId="164" xfId="0" applyAlignment="1" applyBorder="1" applyFont="1" applyNumberFormat="1">
      <alignment horizontal="right"/>
    </xf>
    <xf borderId="9" fillId="0" fontId="48" numFmtId="164" xfId="0" applyAlignment="1" applyBorder="1" applyFont="1" applyNumberFormat="1">
      <alignment horizontal="right"/>
    </xf>
    <xf borderId="0" fillId="0" fontId="47" numFmtId="164" xfId="0" applyAlignment="1" applyFont="1" applyNumberFormat="1">
      <alignment horizontal="right"/>
    </xf>
    <xf borderId="9" fillId="0" fontId="47" numFmtId="164" xfId="0" applyAlignment="1" applyBorder="1" applyFont="1" applyNumberFormat="1">
      <alignment horizontal="right"/>
    </xf>
    <xf borderId="9" fillId="0" fontId="49" numFmtId="164" xfId="0" applyAlignment="1" applyBorder="1" applyFont="1" applyNumberFormat="1">
      <alignment horizontal="right"/>
    </xf>
    <xf borderId="14" fillId="0" fontId="23" numFmtId="164" xfId="0" applyBorder="1" applyFont="1" applyNumberFormat="1"/>
    <xf borderId="13" fillId="0" fontId="23" numFmtId="164" xfId="0" applyBorder="1" applyFont="1" applyNumberFormat="1"/>
    <xf borderId="11" fillId="4" fontId="49" numFmtId="164" xfId="0" applyAlignment="1" applyBorder="1" applyFont="1" applyNumberFormat="1">
      <alignment horizontal="right"/>
    </xf>
    <xf borderId="10" fillId="4" fontId="49" numFmtId="164" xfId="0" applyAlignment="1" applyBorder="1" applyFont="1" applyNumberFormat="1">
      <alignment horizontal="right"/>
    </xf>
    <xf borderId="12" fillId="4" fontId="49" numFmtId="164" xfId="0" applyAlignment="1" applyBorder="1" applyFont="1" applyNumberFormat="1">
      <alignment horizontal="right"/>
    </xf>
    <xf borderId="8" fillId="0" fontId="49" numFmtId="164" xfId="0" applyAlignment="1" applyBorder="1" applyFont="1" applyNumberFormat="1">
      <alignment horizontal="right"/>
    </xf>
    <xf borderId="0" fillId="0" fontId="49" numFmtId="164" xfId="0" applyAlignment="1" applyFont="1" applyNumberFormat="1">
      <alignment horizontal="right"/>
    </xf>
    <xf borderId="12" fillId="4" fontId="47" numFmtId="164" xfId="0" applyAlignment="1" applyBorder="1" applyFont="1" applyNumberFormat="1">
      <alignment horizontal="right"/>
    </xf>
    <xf borderId="0" fillId="0" fontId="4" numFmtId="0" xfId="0" applyAlignment="1" applyFont="1">
      <alignment horizontal="left"/>
    </xf>
    <xf borderId="0" fillId="0" fontId="16" numFmtId="0" xfId="0" applyAlignment="1" applyFont="1">
      <alignment horizontal="left"/>
    </xf>
    <xf borderId="13" fillId="0" fontId="16" numFmtId="0" xfId="0" applyAlignment="1" applyBorder="1" applyFont="1">
      <alignment horizontal="left"/>
    </xf>
    <xf borderId="0" fillId="0" fontId="6" numFmtId="0" xfId="0" applyAlignment="1" applyFont="1">
      <alignment horizontal="left"/>
    </xf>
    <xf borderId="0" fillId="0" fontId="18" numFmtId="0" xfId="0" applyAlignment="1" applyFont="1">
      <alignment horizontal="left"/>
    </xf>
    <xf borderId="0" fillId="0" fontId="4" numFmtId="164" xfId="0" applyAlignment="1" applyFont="1" applyNumberFormat="1">
      <alignment horizontal="left"/>
    </xf>
    <xf borderId="13" fillId="0" fontId="4" numFmtId="0" xfId="0" applyAlignment="1" applyBorder="1" applyFont="1">
      <alignment horizontal="left"/>
    </xf>
    <xf borderId="0" fillId="0" fontId="50" numFmtId="0" xfId="0" applyFont="1"/>
    <xf borderId="5" fillId="0" fontId="44" numFmtId="164" xfId="0" applyBorder="1" applyFont="1" applyNumberFormat="1"/>
    <xf borderId="16" fillId="0" fontId="44" numFmtId="164" xfId="0" applyBorder="1" applyFont="1" applyNumberFormat="1"/>
    <xf borderId="17" fillId="0" fontId="44" numFmtId="164" xfId="0" applyBorder="1" applyFont="1" applyNumberFormat="1"/>
    <xf borderId="5" fillId="0" fontId="0" numFmtId="164" xfId="0" applyBorder="1" applyFont="1" applyNumberFormat="1"/>
    <xf borderId="16" fillId="0" fontId="0" numFmtId="164" xfId="0" applyBorder="1" applyFont="1" applyNumberFormat="1"/>
    <xf borderId="17" fillId="0" fontId="0" numFmtId="164" xfId="0" applyBorder="1" applyFont="1" applyNumberFormat="1"/>
    <xf borderId="0" fillId="0" fontId="4" numFmtId="176" xfId="0" applyFont="1" applyNumberFormat="1"/>
    <xf borderId="0" fillId="0" fontId="18" numFmtId="164" xfId="0" applyFont="1" applyNumberFormat="1"/>
    <xf borderId="0" fillId="0" fontId="23" numFmtId="0" xfId="0" applyFont="1"/>
    <xf borderId="0" fillId="0" fontId="6" numFmtId="0" xfId="0" applyAlignment="1" applyFont="1">
      <alignment horizontal="center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25" fillId="0" fontId="23" numFmtId="177" xfId="0" applyAlignment="1" applyBorder="1" applyFont="1" applyNumberFormat="1">
      <alignment horizontal="center"/>
    </xf>
    <xf borderId="1" fillId="0" fontId="16" numFmtId="164" xfId="0" applyBorder="1" applyFont="1" applyNumberFormat="1"/>
    <xf borderId="2" fillId="0" fontId="16" numFmtId="164" xfId="0" applyBorder="1" applyFont="1" applyNumberFormat="1"/>
    <xf borderId="3" fillId="0" fontId="16" numFmtId="164" xfId="0" applyBorder="1" applyFont="1" applyNumberFormat="1"/>
    <xf borderId="26" fillId="0" fontId="23" numFmtId="177" xfId="0" applyAlignment="1" applyBorder="1" applyFont="1" applyNumberFormat="1">
      <alignment horizontal="center"/>
    </xf>
    <xf borderId="27" fillId="0" fontId="23" numFmtId="177" xfId="0" applyAlignment="1" applyBorder="1" applyFont="1" applyNumberFormat="1">
      <alignment horizontal="center"/>
    </xf>
    <xf borderId="5" fillId="0" fontId="16" numFmtId="164" xfId="0" applyBorder="1" applyFont="1" applyNumberFormat="1"/>
    <xf borderId="16" fillId="0" fontId="16" numFmtId="164" xfId="0" applyBorder="1" applyFont="1" applyNumberFormat="1"/>
    <xf borderId="17" fillId="0" fontId="16" numFmtId="164" xfId="0" applyBorder="1" applyFont="1" applyNumberFormat="1"/>
    <xf borderId="25" fillId="0" fontId="0" numFmtId="177" xfId="0" applyAlignment="1" applyBorder="1" applyFont="1" applyNumberFormat="1">
      <alignment horizontal="center"/>
    </xf>
    <xf borderId="26" fillId="0" fontId="0" numFmtId="177" xfId="0" applyAlignment="1" applyBorder="1" applyFont="1" applyNumberFormat="1">
      <alignment horizontal="center"/>
    </xf>
    <xf borderId="27" fillId="0" fontId="0" numFmtId="177" xfId="0" applyAlignment="1" applyBorder="1" applyFont="1" applyNumberFormat="1">
      <alignment horizontal="center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2-year ARR outlook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'2-year'!$J$5:$AG$5</c:f>
            </c:strRef>
          </c:cat>
          <c:val>
            <c:numRef>
              <c:f>'2-year'!$J$10:$AS$10</c:f>
              <c:numCache/>
            </c:numRef>
          </c:val>
        </c:ser>
        <c:overlap val="100"/>
        <c:axId val="1604755106"/>
        <c:axId val="872418026"/>
      </c:barChart>
      <c:catAx>
        <c:axId val="16047551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72418026"/>
      </c:catAx>
      <c:valAx>
        <c:axId val="8724180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0475510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2-year cash outlook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'2-year'!$C$12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'2-year'!$J$5:$AG$5</c:f>
            </c:strRef>
          </c:cat>
          <c:val>
            <c:numRef>
              <c:f>'2-year'!$D$12:$AG$12</c:f>
              <c:numCache/>
            </c:numRef>
          </c:val>
        </c:ser>
        <c:overlap val="100"/>
        <c:axId val="522429065"/>
        <c:axId val="721708353"/>
      </c:barChart>
      <c:catAx>
        <c:axId val="5224290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21708353"/>
      </c:catAx>
      <c:valAx>
        <c:axId val="7217083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2242906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14</xdr:row>
      <xdr:rowOff>0</xdr:rowOff>
    </xdr:from>
    <xdr:ext cx="10887075" cy="42672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0</xdr:colOff>
      <xdr:row>14</xdr:row>
      <xdr:rowOff>0</xdr:rowOff>
    </xdr:from>
    <xdr:ext cx="6400800" cy="42672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workbookViewId="0"/>
  </sheetViews>
  <sheetFormatPr customHeight="1" defaultColWidth="14.43" defaultRowHeight="15.0"/>
  <cols>
    <col customWidth="1" min="1" max="1" width="223.71"/>
    <col customWidth="1" hidden="1" min="2" max="2" width="41.71"/>
    <col customWidth="1" hidden="1" min="3" max="3" width="21.14"/>
    <col customWidth="1" hidden="1" min="4" max="6" width="9.14"/>
  </cols>
  <sheetData>
    <row r="1" ht="339.0" customHeight="1">
      <c r="A1" s="1" t="s">
        <v>0</v>
      </c>
      <c r="B1" s="2"/>
      <c r="C1" s="2"/>
      <c r="D1" s="2"/>
      <c r="E1" s="2"/>
      <c r="F1" s="2"/>
    </row>
    <row r="2" ht="69.0" hidden="1" customHeight="1">
      <c r="A2" s="2"/>
      <c r="B2" s="2"/>
      <c r="C2" s="2"/>
      <c r="D2" s="2"/>
      <c r="E2" s="2"/>
      <c r="F2" s="2"/>
    </row>
    <row r="3" ht="64.5" hidden="1" customHeight="1">
      <c r="A3" s="2"/>
      <c r="B3" s="2"/>
      <c r="C3" s="2"/>
      <c r="D3" s="2"/>
      <c r="E3" s="2"/>
      <c r="F3" s="2"/>
    </row>
    <row r="4" ht="12.0" customHeight="1">
      <c r="A4" s="2"/>
      <c r="B4" s="2"/>
      <c r="C4" s="2"/>
      <c r="D4" s="2"/>
      <c r="E4" s="2"/>
      <c r="F4" s="2"/>
    </row>
    <row r="5" ht="12.0" customHeight="1">
      <c r="A5" s="2"/>
      <c r="B5" s="2"/>
      <c r="C5" s="2"/>
      <c r="D5" s="2"/>
      <c r="E5" s="2"/>
      <c r="F5" s="2"/>
    </row>
    <row r="6" ht="12.0" customHeight="1">
      <c r="A6" s="2"/>
      <c r="B6" s="2"/>
      <c r="C6" s="2"/>
      <c r="D6" s="2"/>
      <c r="E6" s="2"/>
      <c r="F6" s="2"/>
    </row>
    <row r="7" ht="12.0" customHeight="1">
      <c r="A7" s="2"/>
      <c r="B7" s="2"/>
      <c r="C7" s="2"/>
      <c r="D7" s="2"/>
      <c r="E7" s="2"/>
      <c r="F7" s="2"/>
    </row>
    <row r="8" ht="12.0" customHeight="1">
      <c r="A8" s="2"/>
      <c r="B8" s="2"/>
      <c r="C8" s="2"/>
      <c r="D8" s="2"/>
      <c r="E8" s="2"/>
      <c r="F8" s="2"/>
    </row>
    <row r="9" ht="12.0" customHeight="1">
      <c r="A9" s="2"/>
      <c r="B9" s="2"/>
      <c r="C9" s="2"/>
      <c r="D9" s="2"/>
      <c r="E9" s="2"/>
      <c r="F9" s="2"/>
    </row>
    <row r="10" ht="12.0" customHeight="1">
      <c r="A10" s="2"/>
      <c r="B10" s="2"/>
      <c r="C10" s="2"/>
      <c r="D10" s="2"/>
      <c r="E10" s="2"/>
      <c r="F10" s="2"/>
    </row>
    <row r="11" ht="12.0" customHeight="1">
      <c r="A11" s="2"/>
      <c r="B11" s="2"/>
      <c r="C11" s="2"/>
      <c r="D11" s="2"/>
      <c r="E11" s="2"/>
      <c r="F11" s="2"/>
    </row>
    <row r="12" ht="12.0" customHeight="1">
      <c r="A12" s="2"/>
      <c r="B12" s="2"/>
      <c r="C12" s="2"/>
      <c r="D12" s="2"/>
      <c r="E12" s="2"/>
      <c r="F12" s="2"/>
    </row>
    <row r="13" ht="12.0" customHeight="1">
      <c r="A13" s="2"/>
      <c r="B13" s="2"/>
      <c r="C13" s="2"/>
      <c r="D13" s="2"/>
      <c r="E13" s="2"/>
      <c r="F13" s="2"/>
    </row>
    <row r="14" ht="12.0" customHeight="1">
      <c r="A14" s="2"/>
      <c r="B14" s="2"/>
      <c r="C14" s="2"/>
      <c r="D14" s="2"/>
      <c r="E14" s="2"/>
      <c r="F14" s="2"/>
    </row>
    <row r="15" ht="12.0" customHeight="1">
      <c r="A15" s="2"/>
      <c r="B15" s="2"/>
      <c r="C15" s="2"/>
      <c r="D15" s="2"/>
      <c r="E15" s="2"/>
      <c r="F15" s="2"/>
    </row>
    <row r="16" ht="12.0" customHeight="1">
      <c r="A16" s="2"/>
      <c r="B16" s="2"/>
      <c r="C16" s="2"/>
      <c r="D16" s="2"/>
      <c r="E16" s="2"/>
      <c r="F16" s="2"/>
    </row>
    <row r="17" ht="12.0" customHeight="1">
      <c r="A17" s="2"/>
      <c r="B17" s="2"/>
      <c r="C17" s="2"/>
      <c r="D17" s="2"/>
      <c r="E17" s="2"/>
      <c r="F17" s="2"/>
    </row>
    <row r="18" ht="12.0" customHeight="1">
      <c r="A18" s="2"/>
      <c r="B18" s="2"/>
      <c r="C18" s="2"/>
      <c r="D18" s="2"/>
      <c r="E18" s="2"/>
      <c r="F18" s="2"/>
    </row>
    <row r="19" ht="12.0" customHeight="1">
      <c r="A19" s="2"/>
      <c r="B19" s="2"/>
      <c r="C19" s="2"/>
      <c r="D19" s="2"/>
      <c r="E19" s="2"/>
      <c r="F19" s="2"/>
    </row>
    <row r="20" ht="12.0" customHeight="1">
      <c r="A20" s="2"/>
      <c r="B20" s="2"/>
      <c r="C20" s="2"/>
      <c r="D20" s="2"/>
      <c r="E20" s="2"/>
      <c r="F20" s="2"/>
    </row>
    <row r="21" ht="12.0" customHeight="1">
      <c r="A21" s="2"/>
      <c r="B21" s="2"/>
      <c r="C21" s="2"/>
      <c r="D21" s="2"/>
      <c r="E21" s="2"/>
      <c r="F21" s="2"/>
    </row>
    <row r="22" ht="12.0" customHeight="1">
      <c r="A22" s="2"/>
      <c r="B22" s="2"/>
      <c r="C22" s="2"/>
      <c r="D22" s="2"/>
      <c r="E22" s="2"/>
      <c r="F22" s="2"/>
    </row>
    <row r="23" ht="12.0" customHeight="1">
      <c r="A23" s="2"/>
      <c r="B23" s="2"/>
      <c r="C23" s="2"/>
      <c r="D23" s="2"/>
      <c r="E23" s="2"/>
      <c r="F23" s="2"/>
    </row>
    <row r="24" ht="12.0" customHeight="1">
      <c r="A24" s="2"/>
      <c r="B24" s="2"/>
      <c r="C24" s="2"/>
      <c r="D24" s="2"/>
      <c r="E24" s="2"/>
      <c r="F24" s="2"/>
    </row>
    <row r="25" ht="12.0" customHeight="1">
      <c r="A25" s="2"/>
      <c r="B25" s="2"/>
      <c r="C25" s="2"/>
      <c r="D25" s="2"/>
      <c r="E25" s="2"/>
      <c r="F25" s="2"/>
    </row>
    <row r="26" ht="12.0" customHeight="1">
      <c r="A26" s="2"/>
      <c r="B26" s="2"/>
      <c r="C26" s="2"/>
      <c r="D26" s="2"/>
      <c r="E26" s="2"/>
      <c r="F26" s="2"/>
    </row>
    <row r="27" ht="12.0" customHeight="1">
      <c r="A27" s="2"/>
      <c r="B27" s="2"/>
      <c r="C27" s="2"/>
      <c r="D27" s="2"/>
      <c r="E27" s="2"/>
      <c r="F27" s="2"/>
    </row>
    <row r="28" ht="12.0" customHeight="1">
      <c r="A28" s="2"/>
      <c r="B28" s="2"/>
      <c r="C28" s="2"/>
      <c r="D28" s="2"/>
      <c r="E28" s="2"/>
      <c r="F28" s="2"/>
    </row>
    <row r="29" ht="12.0" customHeight="1">
      <c r="A29" s="2"/>
      <c r="B29" s="2"/>
      <c r="C29" s="2"/>
      <c r="D29" s="2"/>
      <c r="E29" s="2"/>
      <c r="F29" s="2"/>
    </row>
    <row r="30" ht="12.0" customHeight="1">
      <c r="A30" s="2"/>
      <c r="B30" s="2"/>
      <c r="C30" s="2"/>
      <c r="D30" s="2"/>
      <c r="E30" s="2"/>
      <c r="F30" s="2"/>
    </row>
    <row r="31" ht="12.0" customHeight="1">
      <c r="A31" s="2"/>
      <c r="B31" s="2"/>
      <c r="C31" s="2"/>
      <c r="D31" s="2"/>
      <c r="E31" s="2"/>
      <c r="F31" s="2"/>
    </row>
    <row r="32" ht="12.0" customHeight="1">
      <c r="A32" s="2"/>
      <c r="B32" s="2"/>
      <c r="C32" s="2"/>
      <c r="D32" s="2"/>
      <c r="E32" s="2"/>
      <c r="F32" s="2"/>
    </row>
    <row r="33" ht="12.0" customHeight="1">
      <c r="A33" s="2"/>
      <c r="B33" s="2"/>
      <c r="C33" s="2"/>
      <c r="D33" s="2"/>
      <c r="E33" s="2"/>
      <c r="F33" s="2"/>
    </row>
    <row r="34" ht="12.0" customHeight="1">
      <c r="A34" s="2"/>
      <c r="B34" s="2"/>
      <c r="C34" s="2"/>
      <c r="D34" s="2"/>
      <c r="E34" s="2"/>
      <c r="F34" s="2"/>
    </row>
    <row r="35" ht="12.0" customHeight="1">
      <c r="A35" s="2"/>
      <c r="B35" s="2"/>
      <c r="C35" s="2"/>
      <c r="D35" s="2"/>
      <c r="E35" s="2"/>
      <c r="F35" s="2"/>
    </row>
    <row r="36" ht="12.0" customHeight="1">
      <c r="A36" s="2"/>
      <c r="B36" s="2"/>
      <c r="C36" s="2"/>
      <c r="D36" s="2"/>
      <c r="E36" s="2"/>
      <c r="F36" s="2"/>
    </row>
    <row r="37" ht="12.0" customHeight="1">
      <c r="A37" s="2"/>
      <c r="B37" s="2"/>
      <c r="C37" s="2"/>
      <c r="D37" s="2"/>
      <c r="E37" s="2"/>
      <c r="F37" s="2"/>
    </row>
    <row r="38" ht="12.0" customHeight="1">
      <c r="A38" s="2"/>
      <c r="B38" s="2"/>
      <c r="C38" s="2"/>
      <c r="D38" s="2"/>
      <c r="E38" s="2"/>
      <c r="F38" s="2"/>
    </row>
    <row r="39" ht="12.0" customHeight="1">
      <c r="A39" s="2"/>
      <c r="B39" s="2"/>
      <c r="C39" s="2"/>
      <c r="D39" s="2"/>
      <c r="E39" s="2"/>
      <c r="F39" s="2"/>
    </row>
    <row r="40" ht="12.0" customHeight="1">
      <c r="A40" s="2"/>
      <c r="B40" s="2"/>
      <c r="C40" s="2"/>
      <c r="D40" s="2"/>
      <c r="E40" s="2"/>
      <c r="F40" s="2"/>
    </row>
    <row r="41" ht="12.0" customHeight="1">
      <c r="A41" s="2"/>
      <c r="B41" s="2"/>
      <c r="C41" s="2"/>
      <c r="D41" s="2"/>
      <c r="E41" s="2"/>
      <c r="F41" s="2"/>
    </row>
    <row r="42" ht="12.0" customHeight="1">
      <c r="A42" s="2"/>
      <c r="B42" s="2"/>
      <c r="C42" s="2"/>
      <c r="D42" s="2"/>
      <c r="E42" s="2"/>
      <c r="F42" s="2"/>
    </row>
    <row r="43" ht="12.0" customHeight="1">
      <c r="A43" s="2"/>
      <c r="B43" s="2"/>
      <c r="C43" s="2"/>
      <c r="D43" s="2"/>
      <c r="E43" s="2"/>
      <c r="F43" s="2"/>
    </row>
    <row r="44" ht="12.0" customHeight="1">
      <c r="A44" s="2"/>
      <c r="B44" s="2"/>
      <c r="C44" s="2"/>
      <c r="D44" s="2"/>
      <c r="E44" s="2"/>
      <c r="F44" s="2"/>
    </row>
    <row r="45" ht="12.0" customHeight="1">
      <c r="A45" s="2"/>
      <c r="B45" s="2"/>
      <c r="C45" s="2"/>
      <c r="D45" s="2"/>
      <c r="E45" s="2"/>
      <c r="F45" s="2"/>
    </row>
    <row r="46" ht="12.0" customHeight="1">
      <c r="A46" s="2"/>
      <c r="B46" s="2"/>
      <c r="C46" s="2"/>
      <c r="D46" s="2"/>
      <c r="E46" s="2"/>
      <c r="F46" s="2"/>
    </row>
    <row r="47" ht="12.0" customHeight="1">
      <c r="A47" s="2"/>
      <c r="B47" s="2"/>
      <c r="C47" s="2"/>
      <c r="D47" s="2"/>
      <c r="E47" s="2"/>
      <c r="F47" s="2"/>
    </row>
    <row r="48" ht="12.0" customHeight="1">
      <c r="A48" s="2"/>
      <c r="B48" s="2"/>
      <c r="C48" s="2"/>
      <c r="D48" s="2"/>
      <c r="E48" s="2"/>
      <c r="F48" s="2"/>
    </row>
    <row r="49" ht="12.0" customHeight="1">
      <c r="A49" s="2"/>
      <c r="B49" s="2"/>
      <c r="C49" s="2"/>
      <c r="D49" s="2"/>
      <c r="E49" s="2"/>
      <c r="F49" s="2"/>
    </row>
    <row r="50" ht="12.0" customHeight="1">
      <c r="A50" s="2"/>
      <c r="B50" s="2"/>
      <c r="C50" s="2"/>
      <c r="D50" s="2"/>
      <c r="E50" s="2"/>
      <c r="F50" s="2"/>
    </row>
    <row r="51" ht="12.0" customHeight="1">
      <c r="A51" s="2"/>
      <c r="B51" s="2"/>
      <c r="C51" s="2"/>
      <c r="D51" s="2"/>
      <c r="E51" s="2"/>
      <c r="F51" s="2"/>
    </row>
    <row r="52" ht="12.0" customHeight="1">
      <c r="A52" s="2"/>
      <c r="B52" s="2"/>
      <c r="C52" s="2"/>
      <c r="D52" s="2"/>
      <c r="E52" s="2"/>
      <c r="F52" s="2"/>
    </row>
    <row r="53" ht="12.0" customHeight="1">
      <c r="A53" s="2"/>
      <c r="B53" s="2"/>
      <c r="C53" s="2"/>
      <c r="D53" s="2"/>
      <c r="E53" s="2"/>
      <c r="F53" s="2"/>
    </row>
    <row r="54" ht="12.0" customHeight="1">
      <c r="A54" s="2"/>
      <c r="B54" s="2"/>
      <c r="C54" s="2"/>
      <c r="D54" s="2"/>
      <c r="E54" s="2"/>
      <c r="F54" s="2"/>
    </row>
    <row r="55" ht="12.0" customHeight="1">
      <c r="A55" s="2"/>
      <c r="B55" s="2"/>
      <c r="C55" s="2"/>
      <c r="D55" s="2"/>
      <c r="E55" s="2"/>
      <c r="F55" s="2"/>
    </row>
    <row r="56" ht="12.0" customHeight="1">
      <c r="A56" s="2"/>
      <c r="B56" s="2"/>
      <c r="C56" s="2"/>
      <c r="D56" s="2"/>
      <c r="E56" s="2"/>
      <c r="F56" s="2"/>
    </row>
    <row r="57" ht="12.0" customHeight="1">
      <c r="A57" s="2"/>
      <c r="B57" s="2"/>
      <c r="C57" s="2"/>
      <c r="D57" s="2"/>
      <c r="E57" s="2"/>
      <c r="F57" s="2"/>
    </row>
    <row r="58" ht="12.0" customHeight="1">
      <c r="A58" s="2"/>
      <c r="B58" s="2"/>
      <c r="C58" s="2"/>
      <c r="D58" s="2"/>
      <c r="E58" s="2"/>
      <c r="F58" s="2"/>
    </row>
    <row r="59" ht="12.0" customHeight="1">
      <c r="A59" s="2"/>
      <c r="B59" s="2"/>
      <c r="C59" s="2"/>
      <c r="D59" s="2"/>
      <c r="E59" s="2"/>
      <c r="F59" s="2"/>
    </row>
    <row r="60" ht="12.0" customHeight="1">
      <c r="A60" s="2"/>
      <c r="B60" s="2"/>
      <c r="C60" s="2"/>
      <c r="D60" s="2"/>
      <c r="E60" s="2"/>
      <c r="F60" s="2"/>
    </row>
    <row r="61" ht="12.0" customHeight="1">
      <c r="A61" s="2"/>
      <c r="B61" s="2"/>
      <c r="C61" s="2"/>
      <c r="D61" s="2"/>
      <c r="E61" s="2"/>
      <c r="F61" s="2"/>
    </row>
    <row r="62" ht="12.0" customHeight="1">
      <c r="A62" s="2"/>
      <c r="B62" s="2"/>
      <c r="C62" s="2"/>
      <c r="D62" s="2"/>
      <c r="E62" s="2"/>
      <c r="F62" s="2"/>
    </row>
    <row r="63" ht="12.0" customHeight="1">
      <c r="A63" s="2"/>
      <c r="B63" s="2"/>
      <c r="C63" s="2"/>
      <c r="D63" s="2"/>
      <c r="E63" s="2"/>
      <c r="F63" s="2"/>
    </row>
    <row r="64" ht="12.0" customHeight="1">
      <c r="A64" s="2"/>
      <c r="B64" s="2"/>
      <c r="C64" s="2"/>
      <c r="D64" s="2"/>
      <c r="E64" s="2"/>
      <c r="F64" s="2"/>
    </row>
    <row r="65" ht="12.0" customHeight="1">
      <c r="A65" s="2"/>
      <c r="B65" s="2"/>
      <c r="C65" s="2"/>
      <c r="D65" s="2"/>
      <c r="E65" s="2"/>
      <c r="F65" s="2"/>
    </row>
    <row r="66" ht="12.0" customHeight="1">
      <c r="A66" s="2"/>
      <c r="B66" s="2"/>
      <c r="C66" s="2"/>
      <c r="D66" s="2"/>
      <c r="E66" s="2"/>
      <c r="F66" s="2"/>
    </row>
    <row r="67" ht="12.0" customHeight="1">
      <c r="A67" s="2"/>
      <c r="B67" s="2"/>
      <c r="C67" s="2"/>
      <c r="D67" s="2"/>
      <c r="E67" s="2"/>
      <c r="F67" s="2"/>
    </row>
    <row r="68" ht="12.0" customHeight="1">
      <c r="A68" s="2"/>
      <c r="B68" s="2"/>
      <c r="C68" s="2"/>
      <c r="D68" s="2"/>
      <c r="E68" s="2"/>
      <c r="F68" s="2"/>
    </row>
    <row r="69" ht="12.0" customHeight="1">
      <c r="A69" s="2"/>
      <c r="B69" s="2"/>
      <c r="C69" s="2"/>
      <c r="D69" s="2"/>
      <c r="E69" s="2"/>
      <c r="F69" s="2"/>
    </row>
    <row r="70" ht="12.0" customHeight="1">
      <c r="A70" s="2"/>
      <c r="B70" s="2"/>
      <c r="C70" s="2"/>
      <c r="D70" s="2"/>
      <c r="E70" s="2"/>
      <c r="F70" s="2"/>
    </row>
    <row r="71" ht="12.0" customHeight="1">
      <c r="A71" s="2"/>
      <c r="B71" s="2"/>
      <c r="C71" s="2"/>
      <c r="D71" s="2"/>
      <c r="E71" s="2"/>
      <c r="F71" s="2"/>
    </row>
    <row r="72" ht="12.0" customHeight="1">
      <c r="A72" s="2"/>
      <c r="B72" s="2"/>
      <c r="C72" s="2"/>
      <c r="D72" s="2"/>
      <c r="E72" s="2"/>
      <c r="F72" s="2"/>
    </row>
    <row r="73" ht="12.0" customHeight="1">
      <c r="A73" s="2"/>
      <c r="B73" s="2"/>
      <c r="C73" s="2"/>
      <c r="D73" s="2"/>
      <c r="E73" s="2"/>
      <c r="F73" s="2"/>
    </row>
    <row r="74" ht="12.0" customHeight="1">
      <c r="A74" s="2"/>
      <c r="B74" s="2"/>
      <c r="C74" s="2"/>
      <c r="D74" s="2"/>
      <c r="E74" s="2"/>
      <c r="F74" s="2"/>
    </row>
    <row r="75" ht="12.0" customHeight="1">
      <c r="A75" s="2"/>
      <c r="B75" s="2"/>
      <c r="C75" s="2"/>
      <c r="D75" s="2"/>
      <c r="E75" s="2"/>
      <c r="F75" s="2"/>
    </row>
    <row r="76" ht="12.0" customHeight="1">
      <c r="A76" s="2"/>
      <c r="B76" s="2"/>
      <c r="C76" s="2"/>
      <c r="D76" s="2"/>
      <c r="E76" s="2"/>
      <c r="F76" s="2"/>
    </row>
    <row r="77" ht="12.0" customHeight="1">
      <c r="A77" s="2"/>
      <c r="B77" s="2"/>
      <c r="C77" s="2"/>
      <c r="D77" s="2"/>
      <c r="E77" s="2"/>
      <c r="F77" s="2"/>
    </row>
    <row r="78" ht="12.0" customHeight="1">
      <c r="A78" s="2"/>
      <c r="B78" s="2"/>
      <c r="C78" s="2"/>
      <c r="D78" s="2"/>
      <c r="E78" s="2"/>
      <c r="F78" s="2"/>
    </row>
    <row r="79" ht="12.0" customHeight="1">
      <c r="A79" s="2"/>
      <c r="B79" s="2"/>
      <c r="C79" s="2"/>
      <c r="D79" s="2"/>
      <c r="E79" s="2"/>
      <c r="F79" s="2"/>
    </row>
    <row r="80" ht="12.0" customHeight="1">
      <c r="A80" s="2"/>
      <c r="B80" s="2"/>
      <c r="C80" s="2"/>
      <c r="D80" s="2"/>
      <c r="E80" s="2"/>
      <c r="F80" s="2"/>
    </row>
    <row r="81" ht="12.0" customHeight="1">
      <c r="A81" s="2"/>
      <c r="B81" s="2"/>
      <c r="C81" s="2"/>
      <c r="D81" s="2"/>
      <c r="E81" s="2"/>
      <c r="F81" s="2"/>
    </row>
    <row r="82" ht="12.0" customHeight="1">
      <c r="A82" s="2"/>
      <c r="B82" s="2"/>
      <c r="C82" s="2"/>
      <c r="D82" s="2"/>
      <c r="E82" s="2"/>
      <c r="F82" s="2"/>
    </row>
    <row r="83" ht="12.0" customHeight="1">
      <c r="A83" s="2"/>
      <c r="B83" s="2"/>
      <c r="C83" s="2"/>
      <c r="D83" s="2"/>
      <c r="E83" s="2"/>
      <c r="F83" s="2"/>
    </row>
    <row r="84" ht="12.0" customHeight="1">
      <c r="A84" s="2"/>
      <c r="B84" s="2"/>
      <c r="C84" s="2"/>
      <c r="D84" s="2"/>
      <c r="E84" s="2"/>
      <c r="F84" s="2"/>
    </row>
    <row r="85" ht="12.0" customHeight="1">
      <c r="A85" s="2"/>
      <c r="B85" s="2"/>
      <c r="C85" s="2"/>
      <c r="D85" s="2"/>
      <c r="E85" s="2"/>
      <c r="F85" s="2"/>
    </row>
    <row r="86" ht="12.0" customHeight="1">
      <c r="A86" s="2"/>
      <c r="B86" s="2"/>
      <c r="C86" s="2"/>
      <c r="D86" s="2"/>
      <c r="E86" s="2"/>
      <c r="F86" s="2"/>
    </row>
    <row r="87" ht="12.0" customHeight="1">
      <c r="A87" s="2"/>
      <c r="B87" s="2"/>
      <c r="C87" s="2"/>
      <c r="D87" s="2"/>
      <c r="E87" s="2"/>
      <c r="F87" s="2"/>
    </row>
    <row r="88" ht="12.0" customHeight="1">
      <c r="A88" s="2"/>
      <c r="B88" s="2"/>
      <c r="C88" s="2"/>
      <c r="D88" s="2"/>
      <c r="E88" s="2"/>
      <c r="F88" s="2"/>
    </row>
    <row r="89" ht="12.0" customHeight="1">
      <c r="A89" s="2"/>
      <c r="B89" s="2"/>
      <c r="C89" s="2"/>
      <c r="D89" s="2"/>
      <c r="E89" s="2"/>
      <c r="F89" s="2"/>
    </row>
    <row r="90" ht="12.0" customHeight="1">
      <c r="A90" s="2"/>
      <c r="B90" s="2"/>
      <c r="C90" s="2"/>
      <c r="D90" s="2"/>
      <c r="E90" s="2"/>
      <c r="F90" s="2"/>
    </row>
    <row r="91" ht="12.0" customHeight="1">
      <c r="A91" s="2"/>
      <c r="B91" s="2"/>
      <c r="C91" s="2"/>
      <c r="D91" s="2"/>
      <c r="E91" s="2"/>
      <c r="F91" s="2"/>
    </row>
    <row r="92" ht="12.0" customHeight="1">
      <c r="A92" s="2"/>
      <c r="B92" s="2"/>
      <c r="C92" s="2"/>
      <c r="D92" s="2"/>
      <c r="E92" s="2"/>
      <c r="F92" s="2"/>
    </row>
    <row r="93" ht="12.0" customHeight="1">
      <c r="A93" s="2"/>
      <c r="B93" s="2"/>
      <c r="C93" s="2"/>
      <c r="D93" s="2"/>
      <c r="E93" s="2"/>
      <c r="F93" s="2"/>
    </row>
    <row r="94" ht="12.0" customHeight="1">
      <c r="A94" s="2"/>
      <c r="B94" s="2"/>
      <c r="C94" s="2"/>
      <c r="D94" s="2"/>
      <c r="E94" s="2"/>
      <c r="F94" s="2"/>
    </row>
    <row r="95" ht="12.0" customHeight="1">
      <c r="A95" s="2"/>
      <c r="B95" s="2"/>
      <c r="C95" s="2"/>
      <c r="D95" s="2"/>
      <c r="E95" s="2"/>
      <c r="F95" s="2"/>
    </row>
    <row r="96" ht="12.0" customHeight="1">
      <c r="A96" s="2"/>
      <c r="B96" s="2"/>
      <c r="C96" s="2"/>
      <c r="D96" s="2"/>
      <c r="E96" s="2"/>
      <c r="F96" s="2"/>
    </row>
    <row r="97" ht="12.0" customHeight="1">
      <c r="A97" s="2"/>
      <c r="B97" s="2"/>
      <c r="C97" s="2"/>
      <c r="D97" s="2"/>
      <c r="E97" s="2"/>
      <c r="F97" s="2"/>
    </row>
    <row r="98" ht="12.0" customHeight="1">
      <c r="A98" s="2"/>
      <c r="B98" s="2"/>
      <c r="C98" s="2"/>
      <c r="D98" s="2"/>
      <c r="E98" s="2"/>
      <c r="F98" s="2"/>
    </row>
    <row r="99" ht="12.0" customHeight="1">
      <c r="A99" s="2"/>
      <c r="B99" s="2"/>
      <c r="C99" s="2"/>
      <c r="D99" s="2"/>
      <c r="E99" s="2"/>
      <c r="F99" s="2"/>
    </row>
    <row r="100" ht="12.0" customHeight="1">
      <c r="A100" s="2"/>
      <c r="B100" s="2"/>
      <c r="C100" s="2"/>
      <c r="D100" s="2"/>
      <c r="E100" s="2"/>
      <c r="F100" s="2"/>
    </row>
    <row r="101" ht="12.0" customHeight="1">
      <c r="A101" s="2"/>
      <c r="B101" s="2"/>
      <c r="C101" s="2"/>
      <c r="D101" s="2"/>
      <c r="E101" s="2"/>
      <c r="F101" s="2"/>
    </row>
    <row r="102" ht="12.0" customHeight="1">
      <c r="A102" s="2"/>
      <c r="B102" s="2"/>
      <c r="C102" s="2"/>
      <c r="D102" s="2"/>
      <c r="E102" s="2"/>
      <c r="F102" s="2"/>
    </row>
    <row r="103" ht="12.0" customHeight="1">
      <c r="A103" s="2"/>
      <c r="B103" s="2"/>
      <c r="C103" s="2"/>
      <c r="D103" s="2"/>
      <c r="E103" s="2"/>
      <c r="F103" s="2"/>
    </row>
    <row r="104" ht="12.0" customHeight="1">
      <c r="A104" s="2"/>
      <c r="B104" s="2"/>
      <c r="C104" s="2"/>
      <c r="D104" s="2"/>
      <c r="E104" s="2"/>
      <c r="F104" s="2"/>
    </row>
    <row r="105" ht="12.0" customHeight="1">
      <c r="A105" s="2"/>
      <c r="B105" s="2"/>
      <c r="C105" s="2"/>
      <c r="D105" s="2"/>
      <c r="E105" s="2"/>
      <c r="F105" s="2"/>
    </row>
    <row r="106" ht="12.0" customHeight="1">
      <c r="A106" s="2"/>
      <c r="B106" s="2"/>
      <c r="C106" s="2"/>
      <c r="D106" s="2"/>
      <c r="E106" s="2"/>
      <c r="F106" s="2"/>
    </row>
    <row r="107" ht="12.0" customHeight="1">
      <c r="A107" s="2"/>
      <c r="B107" s="2"/>
      <c r="C107" s="2"/>
      <c r="D107" s="2"/>
      <c r="E107" s="2"/>
      <c r="F107" s="2"/>
    </row>
    <row r="108" ht="12.0" customHeight="1">
      <c r="A108" s="2"/>
      <c r="B108" s="2"/>
      <c r="C108" s="2"/>
      <c r="D108" s="2"/>
      <c r="E108" s="2"/>
      <c r="F108" s="2"/>
    </row>
    <row r="109" ht="12.0" customHeight="1">
      <c r="A109" s="2"/>
      <c r="B109" s="2"/>
      <c r="C109" s="2"/>
      <c r="D109" s="2"/>
      <c r="E109" s="2"/>
      <c r="F109" s="2"/>
    </row>
    <row r="110" ht="12.0" customHeight="1">
      <c r="A110" s="2"/>
      <c r="B110" s="2"/>
      <c r="C110" s="2"/>
      <c r="D110" s="2"/>
      <c r="E110" s="2"/>
      <c r="F110" s="2"/>
    </row>
    <row r="111" ht="12.0" customHeight="1">
      <c r="A111" s="2"/>
      <c r="B111" s="2"/>
      <c r="C111" s="2"/>
      <c r="D111" s="2"/>
      <c r="E111" s="2"/>
      <c r="F111" s="2"/>
    </row>
    <row r="112" ht="12.0" customHeight="1">
      <c r="A112" s="2"/>
      <c r="B112" s="2"/>
      <c r="C112" s="2"/>
      <c r="D112" s="2"/>
      <c r="E112" s="2"/>
      <c r="F112" s="2"/>
    </row>
    <row r="113" ht="12.0" customHeight="1">
      <c r="A113" s="2"/>
      <c r="B113" s="2"/>
      <c r="C113" s="2"/>
      <c r="D113" s="2"/>
      <c r="E113" s="2"/>
      <c r="F113" s="2"/>
    </row>
    <row r="114" ht="12.0" customHeight="1">
      <c r="A114" s="2"/>
      <c r="B114" s="2"/>
      <c r="C114" s="2"/>
      <c r="D114" s="2"/>
      <c r="E114" s="2"/>
      <c r="F114" s="2"/>
    </row>
    <row r="115" ht="12.0" customHeight="1">
      <c r="A115" s="2"/>
      <c r="B115" s="2"/>
      <c r="C115" s="2"/>
      <c r="D115" s="2"/>
      <c r="E115" s="2"/>
      <c r="F115" s="2"/>
    </row>
    <row r="116" ht="12.0" customHeight="1">
      <c r="A116" s="2"/>
      <c r="B116" s="2"/>
      <c r="C116" s="2"/>
      <c r="D116" s="2"/>
      <c r="E116" s="2"/>
      <c r="F116" s="2"/>
    </row>
    <row r="117" ht="12.0" customHeight="1">
      <c r="A117" s="2"/>
      <c r="B117" s="2"/>
      <c r="C117" s="2"/>
      <c r="D117" s="2"/>
      <c r="E117" s="2"/>
      <c r="F117" s="2"/>
    </row>
    <row r="118" ht="12.0" customHeight="1">
      <c r="A118" s="2"/>
      <c r="B118" s="2"/>
      <c r="C118" s="2"/>
      <c r="D118" s="2"/>
      <c r="E118" s="2"/>
      <c r="F118" s="2"/>
    </row>
    <row r="119" ht="12.0" customHeight="1">
      <c r="A119" s="2"/>
      <c r="B119" s="2"/>
      <c r="C119" s="2"/>
      <c r="D119" s="2"/>
      <c r="E119" s="2"/>
      <c r="F119" s="2"/>
    </row>
    <row r="120" ht="12.0" customHeight="1">
      <c r="A120" s="2"/>
      <c r="B120" s="2"/>
      <c r="C120" s="2"/>
      <c r="D120" s="2"/>
      <c r="E120" s="2"/>
      <c r="F120" s="2"/>
    </row>
    <row r="121" ht="12.0" customHeight="1">
      <c r="A121" s="2"/>
      <c r="B121" s="2"/>
      <c r="C121" s="2"/>
      <c r="D121" s="2"/>
      <c r="E121" s="2"/>
      <c r="F121" s="2"/>
    </row>
    <row r="122" ht="12.0" customHeight="1">
      <c r="A122" s="2"/>
      <c r="B122" s="2"/>
      <c r="C122" s="2"/>
      <c r="D122" s="2"/>
      <c r="E122" s="2"/>
      <c r="F122" s="2"/>
    </row>
    <row r="123" ht="12.0" customHeight="1">
      <c r="A123" s="2"/>
      <c r="B123" s="2"/>
      <c r="C123" s="2"/>
      <c r="D123" s="2"/>
      <c r="E123" s="2"/>
      <c r="F123" s="2"/>
    </row>
    <row r="124" ht="12.0" customHeight="1">
      <c r="A124" s="2"/>
      <c r="B124" s="2"/>
      <c r="C124" s="2"/>
      <c r="D124" s="2"/>
      <c r="E124" s="2"/>
      <c r="F124" s="2"/>
    </row>
    <row r="125" ht="12.0" customHeight="1">
      <c r="A125" s="2"/>
      <c r="B125" s="2"/>
      <c r="C125" s="2"/>
      <c r="D125" s="2"/>
      <c r="E125" s="2"/>
      <c r="F125" s="2"/>
    </row>
    <row r="126" ht="12.0" customHeight="1">
      <c r="A126" s="2"/>
      <c r="B126" s="2"/>
      <c r="C126" s="2"/>
      <c r="D126" s="2"/>
      <c r="E126" s="2"/>
      <c r="F126" s="2"/>
    </row>
    <row r="127" ht="12.0" customHeight="1">
      <c r="A127" s="2"/>
      <c r="B127" s="2"/>
      <c r="C127" s="2"/>
      <c r="D127" s="2"/>
      <c r="E127" s="2"/>
      <c r="F127" s="2"/>
    </row>
    <row r="128" ht="12.0" customHeight="1">
      <c r="A128" s="2"/>
      <c r="B128" s="2"/>
      <c r="C128" s="2"/>
      <c r="D128" s="2"/>
      <c r="E128" s="2"/>
      <c r="F128" s="2"/>
    </row>
    <row r="129" ht="12.0" customHeight="1">
      <c r="A129" s="2"/>
      <c r="B129" s="2"/>
      <c r="C129" s="2"/>
      <c r="D129" s="2"/>
      <c r="E129" s="2"/>
      <c r="F129" s="2"/>
    </row>
    <row r="130" ht="12.0" customHeight="1">
      <c r="A130" s="2"/>
      <c r="B130" s="2"/>
      <c r="C130" s="2"/>
      <c r="D130" s="2"/>
      <c r="E130" s="2"/>
      <c r="F130" s="2"/>
    </row>
    <row r="131" ht="12.0" customHeight="1">
      <c r="A131" s="2"/>
      <c r="B131" s="2"/>
      <c r="C131" s="2"/>
      <c r="D131" s="2"/>
      <c r="E131" s="2"/>
      <c r="F131" s="2"/>
    </row>
    <row r="132" ht="12.0" customHeight="1">
      <c r="A132" s="2"/>
      <c r="B132" s="2"/>
      <c r="C132" s="2"/>
      <c r="D132" s="2"/>
      <c r="E132" s="2"/>
      <c r="F132" s="2"/>
    </row>
    <row r="133" ht="12.0" customHeight="1">
      <c r="A133" s="2"/>
      <c r="B133" s="2"/>
      <c r="C133" s="2"/>
      <c r="D133" s="2"/>
      <c r="E133" s="2"/>
      <c r="F133" s="2"/>
    </row>
    <row r="134" ht="12.0" customHeight="1">
      <c r="A134" s="2"/>
      <c r="B134" s="2"/>
      <c r="C134" s="2"/>
      <c r="D134" s="2"/>
      <c r="E134" s="2"/>
      <c r="F134" s="2"/>
    </row>
    <row r="135" ht="12.0" customHeight="1">
      <c r="A135" s="2"/>
      <c r="B135" s="2"/>
      <c r="C135" s="2"/>
      <c r="D135" s="2"/>
      <c r="E135" s="2"/>
      <c r="F135" s="2"/>
    </row>
    <row r="136" ht="12.0" customHeight="1">
      <c r="A136" s="2"/>
      <c r="B136" s="2"/>
      <c r="C136" s="2"/>
      <c r="D136" s="2"/>
      <c r="E136" s="2"/>
      <c r="F136" s="2"/>
    </row>
    <row r="137" ht="12.0" customHeight="1">
      <c r="A137" s="2"/>
      <c r="B137" s="2"/>
      <c r="C137" s="2"/>
      <c r="D137" s="2"/>
      <c r="E137" s="2"/>
      <c r="F137" s="2"/>
    </row>
    <row r="138" ht="12.0" customHeight="1">
      <c r="A138" s="2"/>
      <c r="B138" s="2"/>
      <c r="C138" s="2"/>
      <c r="D138" s="2"/>
      <c r="E138" s="2"/>
      <c r="F138" s="2"/>
    </row>
    <row r="139" ht="12.0" customHeight="1">
      <c r="A139" s="2"/>
      <c r="B139" s="2"/>
      <c r="C139" s="2"/>
      <c r="D139" s="2"/>
      <c r="E139" s="2"/>
      <c r="F139" s="2"/>
    </row>
    <row r="140" ht="12.0" customHeight="1">
      <c r="A140" s="2"/>
      <c r="B140" s="2"/>
      <c r="C140" s="2"/>
      <c r="D140" s="2"/>
      <c r="E140" s="2"/>
      <c r="F140" s="2"/>
    </row>
    <row r="141" ht="12.0" customHeight="1">
      <c r="A141" s="2"/>
      <c r="B141" s="2"/>
      <c r="C141" s="2"/>
      <c r="D141" s="2"/>
      <c r="E141" s="2"/>
      <c r="F141" s="2"/>
    </row>
    <row r="142" ht="12.0" customHeight="1">
      <c r="A142" s="2"/>
      <c r="B142" s="2"/>
      <c r="C142" s="2"/>
      <c r="D142" s="2"/>
      <c r="E142" s="2"/>
      <c r="F142" s="2"/>
    </row>
    <row r="143" ht="12.0" customHeight="1">
      <c r="A143" s="2"/>
      <c r="B143" s="2"/>
      <c r="C143" s="2"/>
      <c r="D143" s="2"/>
      <c r="E143" s="2"/>
      <c r="F143" s="2"/>
    </row>
    <row r="144" ht="12.0" customHeight="1">
      <c r="A144" s="2"/>
      <c r="B144" s="2"/>
      <c r="C144" s="2"/>
      <c r="D144" s="2"/>
      <c r="E144" s="2"/>
      <c r="F144" s="2"/>
    </row>
    <row r="145" ht="12.0" customHeight="1">
      <c r="A145" s="2"/>
      <c r="B145" s="2"/>
      <c r="C145" s="2"/>
      <c r="D145" s="2"/>
      <c r="E145" s="2"/>
      <c r="F145" s="2"/>
    </row>
    <row r="146" ht="12.0" customHeight="1">
      <c r="A146" s="2"/>
      <c r="B146" s="2"/>
      <c r="C146" s="2"/>
      <c r="D146" s="2"/>
      <c r="E146" s="2"/>
      <c r="F146" s="2"/>
    </row>
    <row r="147" ht="12.0" customHeight="1">
      <c r="A147" s="2"/>
      <c r="B147" s="2"/>
      <c r="C147" s="2"/>
      <c r="D147" s="2"/>
      <c r="E147" s="2"/>
      <c r="F147" s="2"/>
    </row>
    <row r="148" ht="12.0" customHeight="1">
      <c r="A148" s="2"/>
      <c r="B148" s="2"/>
      <c r="C148" s="2"/>
      <c r="D148" s="2"/>
      <c r="E148" s="2"/>
      <c r="F148" s="2"/>
    </row>
    <row r="149" ht="12.0" customHeight="1">
      <c r="A149" s="2"/>
      <c r="B149" s="2"/>
      <c r="C149" s="2"/>
      <c r="D149" s="2"/>
      <c r="E149" s="2"/>
      <c r="F149" s="2"/>
    </row>
    <row r="150" ht="12.0" customHeight="1">
      <c r="A150" s="2"/>
      <c r="B150" s="2"/>
      <c r="C150" s="2"/>
      <c r="D150" s="2"/>
      <c r="E150" s="2"/>
      <c r="F150" s="2"/>
    </row>
    <row r="151" ht="12.0" customHeight="1">
      <c r="A151" s="2"/>
      <c r="B151" s="2"/>
      <c r="C151" s="2"/>
      <c r="D151" s="2"/>
      <c r="E151" s="2"/>
      <c r="F151" s="2"/>
    </row>
    <row r="152" ht="12.0" customHeight="1">
      <c r="A152" s="2"/>
      <c r="B152" s="2"/>
      <c r="C152" s="2"/>
      <c r="D152" s="2"/>
      <c r="E152" s="2"/>
      <c r="F152" s="2"/>
    </row>
    <row r="153" ht="12.0" customHeight="1">
      <c r="A153" s="2"/>
      <c r="B153" s="2"/>
      <c r="C153" s="2"/>
      <c r="D153" s="2"/>
      <c r="E153" s="2"/>
      <c r="F153" s="2"/>
    </row>
    <row r="154" ht="12.0" customHeight="1">
      <c r="A154" s="2"/>
      <c r="B154" s="2"/>
      <c r="C154" s="2"/>
      <c r="D154" s="2"/>
      <c r="E154" s="2"/>
      <c r="F154" s="2"/>
    </row>
    <row r="155" ht="12.0" customHeight="1">
      <c r="A155" s="2"/>
      <c r="B155" s="2"/>
      <c r="C155" s="2"/>
      <c r="D155" s="2"/>
      <c r="E155" s="2"/>
      <c r="F155" s="2"/>
    </row>
    <row r="156" ht="12.0" customHeight="1">
      <c r="A156" s="2"/>
      <c r="B156" s="2"/>
      <c r="C156" s="2"/>
      <c r="D156" s="2"/>
      <c r="E156" s="2"/>
      <c r="F156" s="2"/>
    </row>
    <row r="157" ht="12.0" customHeight="1">
      <c r="A157" s="2"/>
      <c r="B157" s="2"/>
      <c r="C157" s="2"/>
      <c r="D157" s="2"/>
      <c r="E157" s="2"/>
      <c r="F157" s="2"/>
    </row>
    <row r="158" ht="12.0" customHeight="1">
      <c r="A158" s="2"/>
      <c r="B158" s="2"/>
      <c r="C158" s="2"/>
      <c r="D158" s="2"/>
      <c r="E158" s="2"/>
      <c r="F158" s="2"/>
    </row>
    <row r="159" ht="12.0" customHeight="1">
      <c r="A159" s="2"/>
      <c r="B159" s="2"/>
      <c r="C159" s="2"/>
      <c r="D159" s="2"/>
      <c r="E159" s="2"/>
      <c r="F159" s="2"/>
    </row>
    <row r="160" ht="12.0" customHeight="1">
      <c r="A160" s="2"/>
      <c r="B160" s="2"/>
      <c r="C160" s="2"/>
      <c r="D160" s="2"/>
      <c r="E160" s="2"/>
      <c r="F160" s="2"/>
    </row>
    <row r="161" ht="12.0" customHeight="1">
      <c r="A161" s="2"/>
      <c r="B161" s="2"/>
      <c r="C161" s="2"/>
      <c r="D161" s="2"/>
      <c r="E161" s="2"/>
      <c r="F161" s="2"/>
    </row>
    <row r="162" ht="12.0" customHeight="1">
      <c r="A162" s="2"/>
      <c r="B162" s="2"/>
      <c r="C162" s="2"/>
      <c r="D162" s="2"/>
      <c r="E162" s="2"/>
      <c r="F162" s="2"/>
    </row>
    <row r="163" ht="12.0" customHeight="1">
      <c r="A163" s="2"/>
      <c r="B163" s="2"/>
      <c r="C163" s="2"/>
      <c r="D163" s="2"/>
      <c r="E163" s="2"/>
      <c r="F163" s="2"/>
    </row>
    <row r="164" ht="12.0" customHeight="1">
      <c r="A164" s="2"/>
      <c r="B164" s="2"/>
      <c r="C164" s="2"/>
      <c r="D164" s="2"/>
      <c r="E164" s="2"/>
      <c r="F164" s="2"/>
    </row>
    <row r="165" ht="12.0" customHeight="1">
      <c r="A165" s="2"/>
      <c r="B165" s="2"/>
      <c r="C165" s="2"/>
      <c r="D165" s="2"/>
      <c r="E165" s="2"/>
      <c r="F165" s="2"/>
    </row>
    <row r="166" ht="12.0" customHeight="1">
      <c r="A166" s="2"/>
      <c r="B166" s="2"/>
      <c r="C166" s="2"/>
      <c r="D166" s="2"/>
      <c r="E166" s="2"/>
      <c r="F166" s="2"/>
    </row>
    <row r="167" ht="12.0" customHeight="1">
      <c r="A167" s="2"/>
      <c r="B167" s="2"/>
      <c r="C167" s="2"/>
      <c r="D167" s="2"/>
      <c r="E167" s="2"/>
      <c r="F167" s="2"/>
    </row>
    <row r="168" ht="12.0" customHeight="1">
      <c r="A168" s="2"/>
      <c r="B168" s="2"/>
      <c r="C168" s="2"/>
      <c r="D168" s="2"/>
      <c r="E168" s="2"/>
      <c r="F168" s="2"/>
    </row>
    <row r="169" ht="12.0" customHeight="1">
      <c r="A169" s="2"/>
      <c r="B169" s="2"/>
      <c r="C169" s="2"/>
      <c r="D169" s="2"/>
      <c r="E169" s="2"/>
      <c r="F169" s="2"/>
    </row>
    <row r="170" ht="12.0" customHeight="1">
      <c r="A170" s="2"/>
      <c r="B170" s="2"/>
      <c r="C170" s="2"/>
      <c r="D170" s="2"/>
      <c r="E170" s="2"/>
      <c r="F170" s="2"/>
    </row>
    <row r="171" ht="12.0" customHeight="1">
      <c r="A171" s="2"/>
      <c r="B171" s="2"/>
      <c r="C171" s="2"/>
      <c r="D171" s="2"/>
      <c r="E171" s="2"/>
      <c r="F171" s="2"/>
    </row>
    <row r="172" ht="12.0" customHeight="1">
      <c r="A172" s="2"/>
      <c r="B172" s="2"/>
      <c r="C172" s="2"/>
      <c r="D172" s="2"/>
      <c r="E172" s="2"/>
      <c r="F172" s="2"/>
    </row>
    <row r="173" ht="12.0" customHeight="1">
      <c r="A173" s="2"/>
      <c r="B173" s="2"/>
      <c r="C173" s="2"/>
      <c r="D173" s="2"/>
      <c r="E173" s="2"/>
      <c r="F173" s="2"/>
    </row>
    <row r="174" ht="12.0" customHeight="1">
      <c r="A174" s="2"/>
      <c r="B174" s="2"/>
      <c r="C174" s="2"/>
      <c r="D174" s="2"/>
      <c r="E174" s="2"/>
      <c r="F174" s="2"/>
    </row>
    <row r="175" ht="12.0" customHeight="1">
      <c r="A175" s="2"/>
      <c r="B175" s="2"/>
      <c r="C175" s="2"/>
      <c r="D175" s="2"/>
      <c r="E175" s="2"/>
      <c r="F175" s="2"/>
    </row>
    <row r="176" ht="12.0" customHeight="1">
      <c r="A176" s="2"/>
      <c r="B176" s="2"/>
      <c r="C176" s="2"/>
      <c r="D176" s="2"/>
      <c r="E176" s="2"/>
      <c r="F176" s="2"/>
    </row>
    <row r="177" ht="12.0" customHeight="1">
      <c r="A177" s="2"/>
      <c r="B177" s="2"/>
      <c r="C177" s="2"/>
      <c r="D177" s="2"/>
      <c r="E177" s="2"/>
      <c r="F177" s="2"/>
    </row>
    <row r="178" ht="12.0" customHeight="1">
      <c r="A178" s="2"/>
      <c r="B178" s="2"/>
      <c r="C178" s="2"/>
      <c r="D178" s="2"/>
      <c r="E178" s="2"/>
      <c r="F178" s="2"/>
    </row>
    <row r="179" ht="12.0" customHeight="1">
      <c r="A179" s="2"/>
      <c r="B179" s="2"/>
      <c r="C179" s="2"/>
      <c r="D179" s="2"/>
      <c r="E179" s="2"/>
      <c r="F179" s="2"/>
    </row>
    <row r="180" ht="12.0" customHeight="1">
      <c r="A180" s="2"/>
      <c r="B180" s="2"/>
      <c r="C180" s="2"/>
      <c r="D180" s="2"/>
      <c r="E180" s="2"/>
      <c r="F180" s="2"/>
    </row>
    <row r="181" ht="12.0" customHeight="1">
      <c r="A181" s="2"/>
      <c r="B181" s="2"/>
      <c r="C181" s="2"/>
      <c r="D181" s="2"/>
      <c r="E181" s="2"/>
      <c r="F181" s="2"/>
    </row>
    <row r="182" ht="12.0" customHeight="1">
      <c r="A182" s="2"/>
      <c r="B182" s="2"/>
      <c r="C182" s="2"/>
      <c r="D182" s="2"/>
      <c r="E182" s="2"/>
      <c r="F182" s="2"/>
    </row>
    <row r="183" ht="12.0" customHeight="1">
      <c r="A183" s="2"/>
      <c r="B183" s="2"/>
      <c r="C183" s="2"/>
      <c r="D183" s="2"/>
      <c r="E183" s="2"/>
      <c r="F183" s="2"/>
    </row>
    <row r="184" ht="12.0" customHeight="1">
      <c r="A184" s="2"/>
      <c r="B184" s="2"/>
      <c r="C184" s="2"/>
      <c r="D184" s="2"/>
      <c r="E184" s="2"/>
      <c r="F184" s="2"/>
    </row>
    <row r="185" ht="12.0" customHeight="1">
      <c r="A185" s="2"/>
      <c r="B185" s="2"/>
      <c r="C185" s="2"/>
      <c r="D185" s="2"/>
      <c r="E185" s="2"/>
      <c r="F185" s="2"/>
    </row>
    <row r="186" ht="12.0" customHeight="1">
      <c r="A186" s="2"/>
      <c r="B186" s="2"/>
      <c r="C186" s="2"/>
      <c r="D186" s="2"/>
      <c r="E186" s="2"/>
      <c r="F186" s="2"/>
    </row>
    <row r="187" ht="12.0" customHeight="1">
      <c r="A187" s="2"/>
      <c r="B187" s="2"/>
      <c r="C187" s="2"/>
      <c r="D187" s="2"/>
      <c r="E187" s="2"/>
      <c r="F187" s="2"/>
    </row>
    <row r="188" ht="12.0" customHeight="1">
      <c r="A188" s="2"/>
      <c r="B188" s="2"/>
      <c r="C188" s="2"/>
      <c r="D188" s="2"/>
      <c r="E188" s="2"/>
      <c r="F188" s="2"/>
    </row>
    <row r="189" ht="12.0" customHeight="1">
      <c r="A189" s="2"/>
      <c r="B189" s="2"/>
      <c r="C189" s="2"/>
      <c r="D189" s="2"/>
      <c r="E189" s="2"/>
      <c r="F189" s="2"/>
    </row>
    <row r="190" ht="12.0" customHeight="1">
      <c r="A190" s="2"/>
      <c r="B190" s="2"/>
      <c r="C190" s="2"/>
      <c r="D190" s="2"/>
      <c r="E190" s="2"/>
      <c r="F190" s="2"/>
    </row>
    <row r="191" ht="12.0" customHeight="1">
      <c r="A191" s="2"/>
      <c r="B191" s="2"/>
      <c r="C191" s="2"/>
      <c r="D191" s="2"/>
      <c r="E191" s="2"/>
      <c r="F191" s="2"/>
    </row>
    <row r="192" ht="12.0" customHeight="1">
      <c r="A192" s="2"/>
      <c r="B192" s="2"/>
      <c r="C192" s="2"/>
      <c r="D192" s="2"/>
      <c r="E192" s="2"/>
      <c r="F192" s="2"/>
    </row>
    <row r="193" ht="12.0" customHeight="1">
      <c r="A193" s="2"/>
      <c r="B193" s="2"/>
      <c r="C193" s="2"/>
      <c r="D193" s="2"/>
      <c r="E193" s="2"/>
      <c r="F193" s="2"/>
    </row>
    <row r="194" ht="12.0" customHeight="1">
      <c r="A194" s="2"/>
      <c r="B194" s="2"/>
      <c r="C194" s="2"/>
      <c r="D194" s="2"/>
      <c r="E194" s="2"/>
      <c r="F194" s="2"/>
    </row>
    <row r="195" ht="12.0" customHeight="1">
      <c r="A195" s="2"/>
      <c r="B195" s="2"/>
      <c r="C195" s="2"/>
      <c r="D195" s="2"/>
      <c r="E195" s="2"/>
      <c r="F195" s="2"/>
    </row>
    <row r="196" ht="12.0" customHeight="1">
      <c r="A196" s="2"/>
      <c r="B196" s="2"/>
      <c r="C196" s="2"/>
      <c r="D196" s="2"/>
      <c r="E196" s="2"/>
      <c r="F196" s="2"/>
    </row>
    <row r="197" ht="12.0" customHeight="1">
      <c r="A197" s="2"/>
      <c r="B197" s="2"/>
      <c r="C197" s="2"/>
      <c r="D197" s="2"/>
      <c r="E197" s="2"/>
      <c r="F197" s="2"/>
    </row>
    <row r="198" ht="12.0" customHeight="1">
      <c r="A198" s="2"/>
      <c r="B198" s="2"/>
      <c r="C198" s="2"/>
      <c r="D198" s="2"/>
      <c r="E198" s="2"/>
      <c r="F198" s="2"/>
    </row>
    <row r="199" ht="12.0" customHeight="1">
      <c r="A199" s="2"/>
      <c r="B199" s="2"/>
      <c r="C199" s="2"/>
      <c r="D199" s="2"/>
      <c r="E199" s="2"/>
      <c r="F199" s="2"/>
    </row>
    <row r="200" ht="12.0" customHeight="1">
      <c r="A200" s="2"/>
      <c r="B200" s="2"/>
      <c r="C200" s="2"/>
      <c r="D200" s="2"/>
      <c r="E200" s="2"/>
      <c r="F200" s="2"/>
    </row>
    <row r="201" ht="12.0" customHeight="1">
      <c r="A201" s="2"/>
      <c r="B201" s="2"/>
      <c r="C201" s="2"/>
      <c r="D201" s="2"/>
      <c r="E201" s="2"/>
      <c r="F201" s="2"/>
    </row>
    <row r="202" ht="12.0" customHeight="1">
      <c r="A202" s="2"/>
      <c r="B202" s="2"/>
      <c r="C202" s="2"/>
      <c r="D202" s="2"/>
      <c r="E202" s="2"/>
      <c r="F202" s="2"/>
    </row>
    <row r="203" ht="12.0" customHeight="1">
      <c r="A203" s="2"/>
      <c r="B203" s="2"/>
      <c r="C203" s="2"/>
      <c r="D203" s="2"/>
      <c r="E203" s="2"/>
      <c r="F203" s="2"/>
    </row>
    <row r="204" ht="12.0" customHeight="1">
      <c r="A204" s="2"/>
      <c r="B204" s="2"/>
      <c r="C204" s="2"/>
      <c r="D204" s="2"/>
      <c r="E204" s="2"/>
      <c r="F204" s="2"/>
    </row>
    <row r="205" ht="12.0" customHeight="1">
      <c r="A205" s="2"/>
      <c r="B205" s="2"/>
      <c r="C205" s="2"/>
      <c r="D205" s="2"/>
      <c r="E205" s="2"/>
      <c r="F205" s="2"/>
    </row>
    <row r="206" ht="12.0" customHeight="1">
      <c r="A206" s="2"/>
      <c r="B206" s="2"/>
      <c r="C206" s="2"/>
      <c r="D206" s="2"/>
      <c r="E206" s="2"/>
      <c r="F206" s="2"/>
    </row>
    <row r="207" ht="12.0" customHeight="1">
      <c r="A207" s="2"/>
      <c r="B207" s="2"/>
      <c r="C207" s="2"/>
      <c r="D207" s="2"/>
      <c r="E207" s="2"/>
      <c r="F207" s="2"/>
    </row>
    <row r="208" ht="12.0" customHeight="1">
      <c r="A208" s="2"/>
      <c r="B208" s="2"/>
      <c r="C208" s="2"/>
      <c r="D208" s="2"/>
      <c r="E208" s="2"/>
      <c r="F208" s="2"/>
    </row>
    <row r="209" ht="12.0" customHeight="1">
      <c r="A209" s="2"/>
      <c r="B209" s="2"/>
      <c r="C209" s="2"/>
      <c r="D209" s="2"/>
      <c r="E209" s="2"/>
      <c r="F209" s="2"/>
    </row>
    <row r="210" ht="12.0" customHeight="1">
      <c r="A210" s="2"/>
      <c r="B210" s="2"/>
      <c r="C210" s="2"/>
      <c r="D210" s="2"/>
      <c r="E210" s="2"/>
      <c r="F210" s="2"/>
    </row>
    <row r="211" ht="12.0" customHeight="1">
      <c r="A211" s="2"/>
      <c r="B211" s="2"/>
      <c r="C211" s="2"/>
      <c r="D211" s="2"/>
      <c r="E211" s="2"/>
      <c r="F211" s="2"/>
    </row>
    <row r="212" ht="12.0" customHeight="1">
      <c r="A212" s="2"/>
      <c r="B212" s="2"/>
      <c r="C212" s="2"/>
      <c r="D212" s="2"/>
      <c r="E212" s="2"/>
      <c r="F212" s="2"/>
    </row>
    <row r="213" ht="12.0" customHeight="1">
      <c r="A213" s="2"/>
      <c r="B213" s="2"/>
      <c r="C213" s="2"/>
      <c r="D213" s="2"/>
      <c r="E213" s="2"/>
      <c r="F213" s="2"/>
    </row>
    <row r="214" ht="12.0" customHeight="1">
      <c r="A214" s="2"/>
      <c r="B214" s="2"/>
      <c r="C214" s="2"/>
      <c r="D214" s="2"/>
      <c r="E214" s="2"/>
      <c r="F214" s="2"/>
    </row>
    <row r="215" ht="12.0" customHeight="1">
      <c r="A215" s="2"/>
      <c r="B215" s="2"/>
      <c r="C215" s="2"/>
      <c r="D215" s="2"/>
      <c r="E215" s="2"/>
      <c r="F215" s="2"/>
    </row>
    <row r="216" ht="12.0" customHeight="1">
      <c r="A216" s="2"/>
      <c r="B216" s="2"/>
      <c r="C216" s="2"/>
      <c r="D216" s="2"/>
      <c r="E216" s="2"/>
      <c r="F216" s="2"/>
    </row>
    <row r="217" ht="12.0" customHeight="1">
      <c r="A217" s="2"/>
      <c r="B217" s="2"/>
      <c r="C217" s="2"/>
      <c r="D217" s="2"/>
      <c r="E217" s="2"/>
      <c r="F217" s="2"/>
    </row>
    <row r="218" ht="12.0" customHeight="1">
      <c r="A218" s="2"/>
      <c r="B218" s="2"/>
      <c r="C218" s="2"/>
      <c r="D218" s="2"/>
      <c r="E218" s="2"/>
      <c r="F218" s="2"/>
    </row>
    <row r="219" ht="12.0" customHeight="1">
      <c r="A219" s="2"/>
      <c r="B219" s="2"/>
      <c r="C219" s="2"/>
      <c r="D219" s="2"/>
      <c r="E219" s="2"/>
      <c r="F219" s="2"/>
    </row>
    <row r="220" ht="12.0" customHeight="1">
      <c r="A220" s="2"/>
      <c r="B220" s="2"/>
      <c r="C220" s="2"/>
      <c r="D220" s="2"/>
      <c r="E220" s="2"/>
      <c r="F220" s="2"/>
    </row>
    <row r="221" ht="12.0" customHeight="1">
      <c r="A221" s="2"/>
      <c r="B221" s="2"/>
      <c r="C221" s="2"/>
      <c r="D221" s="2"/>
      <c r="E221" s="2"/>
      <c r="F221" s="2"/>
    </row>
    <row r="222" ht="12.0" customHeight="1">
      <c r="A222" s="2"/>
      <c r="B222" s="2"/>
      <c r="C222" s="2"/>
      <c r="D222" s="2"/>
      <c r="E222" s="2"/>
      <c r="F222" s="2"/>
    </row>
    <row r="223" ht="12.0" customHeight="1">
      <c r="A223" s="2"/>
      <c r="B223" s="2"/>
      <c r="C223" s="2"/>
      <c r="D223" s="2"/>
      <c r="E223" s="2"/>
      <c r="F223" s="2"/>
    </row>
    <row r="224" ht="12.0" customHeight="1">
      <c r="A224" s="2"/>
      <c r="B224" s="2"/>
      <c r="C224" s="2"/>
      <c r="D224" s="2"/>
      <c r="E224" s="2"/>
      <c r="F224" s="2"/>
    </row>
    <row r="225" ht="12.0" customHeight="1">
      <c r="A225" s="2"/>
      <c r="B225" s="2"/>
      <c r="C225" s="2"/>
      <c r="D225" s="2"/>
      <c r="E225" s="2"/>
      <c r="F225" s="2"/>
    </row>
    <row r="226" ht="12.0" customHeight="1">
      <c r="A226" s="2"/>
      <c r="B226" s="2"/>
      <c r="C226" s="2"/>
      <c r="D226" s="2"/>
      <c r="E226" s="2"/>
      <c r="F226" s="2"/>
    </row>
    <row r="227" ht="12.0" customHeight="1">
      <c r="A227" s="2"/>
      <c r="B227" s="2"/>
      <c r="C227" s="2"/>
      <c r="D227" s="2"/>
      <c r="E227" s="2"/>
      <c r="F227" s="2"/>
    </row>
    <row r="228" ht="12.0" customHeight="1">
      <c r="A228" s="2"/>
      <c r="B228" s="2"/>
      <c r="C228" s="2"/>
      <c r="D228" s="2"/>
      <c r="E228" s="2"/>
      <c r="F228" s="2"/>
    </row>
    <row r="229" ht="12.0" customHeight="1">
      <c r="A229" s="2"/>
      <c r="B229" s="2"/>
      <c r="C229" s="2"/>
      <c r="D229" s="2"/>
      <c r="E229" s="2"/>
      <c r="F229" s="2"/>
    </row>
    <row r="230" ht="12.0" customHeight="1">
      <c r="A230" s="2"/>
      <c r="B230" s="2"/>
      <c r="C230" s="2"/>
      <c r="D230" s="2"/>
      <c r="E230" s="2"/>
      <c r="F230" s="2"/>
    </row>
    <row r="231" ht="12.0" customHeight="1">
      <c r="A231" s="2"/>
      <c r="B231" s="2"/>
      <c r="C231" s="2"/>
      <c r="D231" s="2"/>
      <c r="E231" s="2"/>
      <c r="F231" s="2"/>
    </row>
    <row r="232" ht="12.0" customHeight="1">
      <c r="A232" s="2"/>
      <c r="B232" s="2"/>
      <c r="C232" s="2"/>
      <c r="D232" s="2"/>
      <c r="E232" s="2"/>
      <c r="F232" s="2"/>
    </row>
    <row r="233" ht="12.0" customHeight="1">
      <c r="A233" s="2"/>
      <c r="B233" s="2"/>
      <c r="C233" s="2"/>
      <c r="D233" s="2"/>
      <c r="E233" s="2"/>
      <c r="F233" s="2"/>
    </row>
    <row r="234" ht="12.0" customHeight="1">
      <c r="A234" s="2"/>
      <c r="B234" s="2"/>
      <c r="C234" s="2"/>
      <c r="D234" s="2"/>
      <c r="E234" s="2"/>
      <c r="F234" s="2"/>
    </row>
    <row r="235" ht="12.0" customHeight="1">
      <c r="A235" s="2"/>
      <c r="B235" s="2"/>
      <c r="C235" s="2"/>
      <c r="D235" s="2"/>
      <c r="E235" s="2"/>
      <c r="F235" s="2"/>
    </row>
    <row r="236" ht="12.0" customHeight="1">
      <c r="A236" s="2"/>
      <c r="B236" s="2"/>
      <c r="C236" s="2"/>
      <c r="D236" s="2"/>
      <c r="E236" s="2"/>
      <c r="F236" s="2"/>
    </row>
    <row r="237" ht="12.0" customHeight="1">
      <c r="A237" s="2"/>
      <c r="B237" s="2"/>
      <c r="C237" s="2"/>
      <c r="D237" s="2"/>
      <c r="E237" s="2"/>
      <c r="F237" s="2"/>
    </row>
    <row r="238" ht="12.0" customHeight="1">
      <c r="A238" s="2"/>
      <c r="B238" s="2"/>
      <c r="C238" s="2"/>
      <c r="D238" s="2"/>
      <c r="E238" s="2"/>
      <c r="F238" s="2"/>
    </row>
    <row r="239" ht="12.0" customHeight="1">
      <c r="A239" s="2"/>
      <c r="B239" s="2"/>
      <c r="C239" s="2"/>
      <c r="D239" s="2"/>
      <c r="E239" s="2"/>
      <c r="F239" s="2"/>
    </row>
    <row r="240" ht="12.0" customHeight="1">
      <c r="A240" s="2"/>
      <c r="B240" s="2"/>
      <c r="C240" s="2"/>
      <c r="D240" s="2"/>
      <c r="E240" s="2"/>
      <c r="F240" s="2"/>
    </row>
    <row r="241" ht="12.0" customHeight="1">
      <c r="A241" s="2"/>
      <c r="B241" s="2"/>
      <c r="C241" s="2"/>
      <c r="D241" s="2"/>
      <c r="E241" s="2"/>
      <c r="F241" s="2"/>
    </row>
    <row r="242" ht="12.0" customHeight="1">
      <c r="A242" s="2"/>
      <c r="B242" s="2"/>
      <c r="C242" s="2"/>
      <c r="D242" s="2"/>
      <c r="E242" s="2"/>
      <c r="F242" s="2"/>
    </row>
    <row r="243" ht="12.0" customHeight="1">
      <c r="A243" s="2"/>
      <c r="B243" s="2"/>
      <c r="C243" s="2"/>
      <c r="D243" s="2"/>
      <c r="E243" s="2"/>
      <c r="F243" s="2"/>
    </row>
    <row r="244" ht="12.0" customHeight="1">
      <c r="A244" s="2"/>
      <c r="B244" s="2"/>
      <c r="C244" s="2"/>
      <c r="D244" s="2"/>
      <c r="E244" s="2"/>
      <c r="F244" s="2"/>
    </row>
    <row r="245" ht="12.0" customHeight="1">
      <c r="A245" s="2"/>
      <c r="B245" s="2"/>
      <c r="C245" s="2"/>
      <c r="D245" s="2"/>
      <c r="E245" s="2"/>
      <c r="F245" s="2"/>
    </row>
    <row r="246" ht="12.0" customHeight="1">
      <c r="A246" s="2"/>
      <c r="B246" s="2"/>
      <c r="C246" s="2"/>
      <c r="D246" s="2"/>
      <c r="E246" s="2"/>
      <c r="F246" s="2"/>
    </row>
    <row r="247" ht="12.0" customHeight="1">
      <c r="A247" s="2"/>
      <c r="B247" s="2"/>
      <c r="C247" s="2"/>
      <c r="D247" s="2"/>
      <c r="E247" s="2"/>
      <c r="F247" s="2"/>
    </row>
    <row r="248" ht="12.0" customHeight="1">
      <c r="A248" s="2"/>
      <c r="B248" s="2"/>
      <c r="C248" s="2"/>
      <c r="D248" s="2"/>
      <c r="E248" s="2"/>
      <c r="F248" s="2"/>
    </row>
    <row r="249" ht="12.0" customHeight="1">
      <c r="A249" s="2"/>
      <c r="B249" s="2"/>
      <c r="C249" s="2"/>
      <c r="D249" s="2"/>
      <c r="E249" s="2"/>
      <c r="F249" s="2"/>
    </row>
    <row r="250" ht="12.0" customHeight="1">
      <c r="A250" s="2"/>
      <c r="B250" s="2"/>
      <c r="C250" s="2"/>
      <c r="D250" s="2"/>
      <c r="E250" s="2"/>
      <c r="F250" s="2"/>
    </row>
    <row r="251" ht="12.0" customHeight="1">
      <c r="A251" s="2"/>
      <c r="B251" s="2"/>
      <c r="C251" s="2"/>
      <c r="D251" s="2"/>
      <c r="E251" s="2"/>
      <c r="F251" s="2"/>
    </row>
    <row r="252" ht="12.0" customHeight="1">
      <c r="A252" s="2"/>
      <c r="B252" s="2"/>
      <c r="C252" s="2"/>
      <c r="D252" s="2"/>
      <c r="E252" s="2"/>
      <c r="F252" s="2"/>
    </row>
    <row r="253" ht="12.0" customHeight="1">
      <c r="A253" s="2"/>
      <c r="B253" s="2"/>
      <c r="C253" s="2"/>
      <c r="D253" s="2"/>
      <c r="E253" s="2"/>
      <c r="F253" s="2"/>
    </row>
    <row r="254" ht="12.0" customHeight="1">
      <c r="A254" s="2"/>
      <c r="B254" s="2"/>
      <c r="C254" s="2"/>
      <c r="D254" s="2"/>
      <c r="E254" s="2"/>
      <c r="F254" s="2"/>
    </row>
    <row r="255" ht="12.0" customHeight="1">
      <c r="A255" s="2"/>
      <c r="B255" s="2"/>
      <c r="C255" s="2"/>
      <c r="D255" s="2"/>
      <c r="E255" s="2"/>
      <c r="F255" s="2"/>
    </row>
    <row r="256" ht="12.0" customHeight="1">
      <c r="A256" s="2"/>
      <c r="B256" s="2"/>
      <c r="C256" s="2"/>
      <c r="D256" s="2"/>
      <c r="E256" s="2"/>
      <c r="F256" s="2"/>
    </row>
    <row r="257" ht="12.0" customHeight="1">
      <c r="A257" s="2"/>
      <c r="B257" s="2"/>
      <c r="C257" s="2"/>
      <c r="D257" s="2"/>
      <c r="E257" s="2"/>
      <c r="F257" s="2"/>
    </row>
    <row r="258" ht="12.0" customHeight="1">
      <c r="A258" s="2"/>
      <c r="B258" s="2"/>
      <c r="C258" s="2"/>
      <c r="D258" s="2"/>
      <c r="E258" s="2"/>
      <c r="F258" s="2"/>
    </row>
    <row r="259" ht="12.0" customHeight="1">
      <c r="A259" s="2"/>
      <c r="B259" s="2"/>
      <c r="C259" s="2"/>
      <c r="D259" s="2"/>
      <c r="E259" s="2"/>
      <c r="F259" s="2"/>
    </row>
    <row r="260" ht="12.0" customHeight="1">
      <c r="A260" s="2"/>
      <c r="B260" s="2"/>
      <c r="C260" s="2"/>
      <c r="D260" s="2"/>
      <c r="E260" s="2"/>
      <c r="F260" s="2"/>
    </row>
    <row r="261" ht="12.0" customHeight="1">
      <c r="A261" s="2"/>
      <c r="B261" s="2"/>
      <c r="C261" s="2"/>
      <c r="D261" s="2"/>
      <c r="E261" s="2"/>
      <c r="F261" s="2"/>
    </row>
    <row r="262" ht="12.0" customHeight="1">
      <c r="A262" s="2"/>
      <c r="B262" s="2"/>
      <c r="C262" s="2"/>
      <c r="D262" s="2"/>
      <c r="E262" s="2"/>
      <c r="F262" s="2"/>
    </row>
    <row r="263" ht="12.0" customHeight="1">
      <c r="A263" s="2"/>
      <c r="B263" s="2"/>
      <c r="C263" s="2"/>
      <c r="D263" s="2"/>
      <c r="E263" s="2"/>
      <c r="F263" s="2"/>
    </row>
    <row r="264" ht="12.0" customHeight="1">
      <c r="A264" s="2"/>
      <c r="B264" s="2"/>
      <c r="C264" s="2"/>
      <c r="D264" s="2"/>
      <c r="E264" s="2"/>
      <c r="F264" s="2"/>
    </row>
    <row r="265" ht="12.0" customHeight="1">
      <c r="A265" s="2"/>
      <c r="B265" s="2"/>
      <c r="C265" s="2"/>
      <c r="D265" s="2"/>
      <c r="E265" s="2"/>
      <c r="F265" s="2"/>
    </row>
    <row r="266" ht="12.0" customHeight="1">
      <c r="A266" s="2"/>
      <c r="B266" s="2"/>
      <c r="C266" s="2"/>
      <c r="D266" s="2"/>
      <c r="E266" s="2"/>
      <c r="F266" s="2"/>
    </row>
    <row r="267" ht="12.0" customHeight="1">
      <c r="A267" s="2"/>
      <c r="B267" s="2"/>
      <c r="C267" s="2"/>
      <c r="D267" s="2"/>
      <c r="E267" s="2"/>
      <c r="F267" s="2"/>
    </row>
    <row r="268" ht="12.0" customHeight="1">
      <c r="A268" s="2"/>
      <c r="B268" s="2"/>
      <c r="C268" s="2"/>
      <c r="D268" s="2"/>
      <c r="E268" s="2"/>
      <c r="F268" s="2"/>
    </row>
    <row r="269" ht="12.0" customHeight="1">
      <c r="A269" s="2"/>
      <c r="B269" s="2"/>
      <c r="C269" s="2"/>
      <c r="D269" s="2"/>
      <c r="E269" s="2"/>
      <c r="F269" s="2"/>
    </row>
    <row r="270" ht="12.0" customHeight="1">
      <c r="A270" s="2"/>
      <c r="B270" s="2"/>
      <c r="C270" s="2"/>
      <c r="D270" s="2"/>
      <c r="E270" s="2"/>
      <c r="F270" s="2"/>
    </row>
    <row r="271" ht="12.0" customHeight="1">
      <c r="A271" s="2"/>
      <c r="B271" s="2"/>
      <c r="C271" s="2"/>
      <c r="D271" s="2"/>
      <c r="E271" s="2"/>
      <c r="F271" s="2"/>
    </row>
    <row r="272" ht="12.0" customHeight="1">
      <c r="A272" s="2"/>
      <c r="B272" s="2"/>
      <c r="C272" s="2"/>
      <c r="D272" s="2"/>
      <c r="E272" s="2"/>
      <c r="F272" s="2"/>
    </row>
    <row r="273" ht="12.0" customHeight="1">
      <c r="A273" s="2"/>
      <c r="B273" s="2"/>
      <c r="C273" s="2"/>
      <c r="D273" s="2"/>
      <c r="E273" s="2"/>
      <c r="F273" s="2"/>
    </row>
    <row r="274" ht="12.0" customHeight="1">
      <c r="A274" s="2"/>
      <c r="B274" s="2"/>
      <c r="C274" s="2"/>
      <c r="D274" s="2"/>
      <c r="E274" s="2"/>
      <c r="F274" s="2"/>
    </row>
    <row r="275" ht="12.0" customHeight="1">
      <c r="A275" s="2"/>
      <c r="B275" s="2"/>
      <c r="C275" s="2"/>
      <c r="D275" s="2"/>
      <c r="E275" s="2"/>
      <c r="F275" s="2"/>
    </row>
    <row r="276" ht="12.0" customHeight="1">
      <c r="A276" s="2"/>
      <c r="B276" s="2"/>
      <c r="C276" s="2"/>
      <c r="D276" s="2"/>
      <c r="E276" s="2"/>
      <c r="F276" s="2"/>
    </row>
    <row r="277" ht="12.0" customHeight="1">
      <c r="A277" s="2"/>
      <c r="B277" s="2"/>
      <c r="C277" s="2"/>
      <c r="D277" s="2"/>
      <c r="E277" s="2"/>
      <c r="F277" s="2"/>
    </row>
    <row r="278" ht="12.0" customHeight="1">
      <c r="A278" s="2"/>
      <c r="B278" s="2"/>
      <c r="C278" s="2"/>
      <c r="D278" s="2"/>
      <c r="E278" s="2"/>
      <c r="F278" s="2"/>
    </row>
    <row r="279" ht="12.0" customHeight="1">
      <c r="A279" s="2"/>
      <c r="B279" s="2"/>
      <c r="C279" s="2"/>
      <c r="D279" s="2"/>
      <c r="E279" s="2"/>
      <c r="F279" s="2"/>
    </row>
    <row r="280" ht="12.0" customHeight="1">
      <c r="A280" s="2"/>
      <c r="B280" s="2"/>
      <c r="C280" s="2"/>
      <c r="D280" s="2"/>
      <c r="E280" s="2"/>
      <c r="F280" s="2"/>
    </row>
    <row r="281" ht="12.0" customHeight="1">
      <c r="A281" s="2"/>
      <c r="B281" s="2"/>
      <c r="C281" s="2"/>
      <c r="D281" s="2"/>
      <c r="E281" s="2"/>
      <c r="F281" s="2"/>
    </row>
    <row r="282" ht="12.0" customHeight="1">
      <c r="A282" s="2"/>
      <c r="B282" s="2"/>
      <c r="C282" s="2"/>
      <c r="D282" s="2"/>
      <c r="E282" s="2"/>
      <c r="F282" s="2"/>
    </row>
    <row r="283" ht="12.0" customHeight="1">
      <c r="A283" s="2"/>
      <c r="B283" s="2"/>
      <c r="C283" s="2"/>
      <c r="D283" s="2"/>
      <c r="E283" s="2"/>
      <c r="F283" s="2"/>
    </row>
    <row r="284" ht="12.0" customHeight="1">
      <c r="A284" s="2"/>
      <c r="B284" s="2"/>
      <c r="C284" s="2"/>
      <c r="D284" s="2"/>
      <c r="E284" s="2"/>
      <c r="F284" s="2"/>
    </row>
    <row r="285" ht="12.0" customHeight="1">
      <c r="A285" s="2"/>
      <c r="B285" s="2"/>
      <c r="C285" s="2"/>
      <c r="D285" s="2"/>
      <c r="E285" s="2"/>
      <c r="F285" s="2"/>
    </row>
    <row r="286" ht="12.0" customHeight="1">
      <c r="A286" s="2"/>
      <c r="B286" s="2"/>
      <c r="C286" s="2"/>
      <c r="D286" s="2"/>
      <c r="E286" s="2"/>
      <c r="F286" s="2"/>
    </row>
    <row r="287" ht="12.0" customHeight="1">
      <c r="A287" s="2"/>
      <c r="B287" s="2"/>
      <c r="C287" s="2"/>
      <c r="D287" s="2"/>
      <c r="E287" s="2"/>
      <c r="F287" s="2"/>
    </row>
    <row r="288" ht="12.0" customHeight="1">
      <c r="A288" s="2"/>
      <c r="B288" s="2"/>
      <c r="C288" s="2"/>
      <c r="D288" s="2"/>
      <c r="E288" s="2"/>
      <c r="F288" s="2"/>
    </row>
    <row r="289" ht="12.0" customHeight="1">
      <c r="A289" s="2"/>
      <c r="B289" s="2"/>
      <c r="C289" s="2"/>
      <c r="D289" s="2"/>
      <c r="E289" s="2"/>
      <c r="F289" s="2"/>
    </row>
    <row r="290" ht="12.0" customHeight="1">
      <c r="A290" s="2"/>
      <c r="B290" s="2"/>
      <c r="C290" s="2"/>
      <c r="D290" s="2"/>
      <c r="E290" s="2"/>
      <c r="F290" s="2"/>
    </row>
    <row r="291" ht="12.0" customHeight="1">
      <c r="A291" s="2"/>
      <c r="B291" s="2"/>
      <c r="C291" s="2"/>
      <c r="D291" s="2"/>
      <c r="E291" s="2"/>
      <c r="F291" s="2"/>
    </row>
    <row r="292" ht="12.0" customHeight="1">
      <c r="A292" s="2"/>
      <c r="B292" s="2"/>
      <c r="C292" s="2"/>
      <c r="D292" s="2"/>
      <c r="E292" s="2"/>
      <c r="F292" s="2"/>
    </row>
    <row r="293" ht="12.0" customHeight="1">
      <c r="A293" s="2"/>
      <c r="B293" s="2"/>
      <c r="C293" s="2"/>
      <c r="D293" s="2"/>
      <c r="E293" s="2"/>
      <c r="F293" s="2"/>
    </row>
    <row r="294" ht="12.0" customHeight="1">
      <c r="A294" s="2"/>
      <c r="B294" s="2"/>
      <c r="C294" s="2"/>
      <c r="D294" s="2"/>
      <c r="E294" s="2"/>
      <c r="F294" s="2"/>
    </row>
    <row r="295" ht="12.0" customHeight="1">
      <c r="A295" s="2"/>
      <c r="B295" s="2"/>
      <c r="C295" s="2"/>
      <c r="D295" s="2"/>
      <c r="E295" s="2"/>
      <c r="F295" s="2"/>
    </row>
    <row r="296" ht="12.0" customHeight="1">
      <c r="A296" s="2"/>
      <c r="B296" s="2"/>
      <c r="C296" s="2"/>
      <c r="D296" s="2"/>
      <c r="E296" s="2"/>
      <c r="F296" s="2"/>
    </row>
    <row r="297" ht="12.0" customHeight="1">
      <c r="A297" s="2"/>
      <c r="B297" s="2"/>
      <c r="C297" s="2"/>
      <c r="D297" s="2"/>
      <c r="E297" s="2"/>
      <c r="F297" s="2"/>
    </row>
    <row r="298" ht="12.0" customHeight="1">
      <c r="A298" s="2"/>
      <c r="B298" s="2"/>
      <c r="C298" s="2"/>
      <c r="D298" s="2"/>
      <c r="E298" s="2"/>
      <c r="F298" s="2"/>
    </row>
    <row r="299" ht="12.0" customHeight="1">
      <c r="A299" s="2"/>
      <c r="B299" s="2"/>
      <c r="C299" s="2"/>
      <c r="D299" s="2"/>
      <c r="E299" s="2"/>
      <c r="F299" s="2"/>
    </row>
    <row r="300" ht="12.0" customHeight="1">
      <c r="A300" s="2"/>
      <c r="B300" s="2"/>
      <c r="C300" s="2"/>
      <c r="D300" s="2"/>
      <c r="E300" s="2"/>
      <c r="F300" s="2"/>
    </row>
    <row r="301" ht="12.0" customHeight="1">
      <c r="A301" s="2"/>
      <c r="B301" s="2"/>
      <c r="C301" s="2"/>
      <c r="D301" s="2"/>
      <c r="E301" s="2"/>
      <c r="F301" s="2"/>
    </row>
    <row r="302" ht="12.0" customHeight="1">
      <c r="A302" s="2"/>
      <c r="B302" s="2"/>
      <c r="C302" s="2"/>
      <c r="D302" s="2"/>
      <c r="E302" s="2"/>
      <c r="F302" s="2"/>
    </row>
    <row r="303" ht="12.0" customHeight="1">
      <c r="A303" s="2"/>
      <c r="B303" s="2"/>
      <c r="C303" s="2"/>
      <c r="D303" s="2"/>
      <c r="E303" s="2"/>
      <c r="F303" s="2"/>
    </row>
    <row r="304" ht="12.0" customHeight="1">
      <c r="A304" s="2"/>
      <c r="B304" s="2"/>
      <c r="C304" s="2"/>
      <c r="D304" s="2"/>
      <c r="E304" s="2"/>
      <c r="F304" s="2"/>
    </row>
    <row r="305" ht="12.0" customHeight="1">
      <c r="A305" s="2"/>
      <c r="B305" s="2"/>
      <c r="C305" s="2"/>
      <c r="D305" s="2"/>
      <c r="E305" s="2"/>
      <c r="F305" s="2"/>
    </row>
    <row r="306" ht="12.0" customHeight="1">
      <c r="A306" s="2"/>
      <c r="B306" s="2"/>
      <c r="C306" s="2"/>
      <c r="D306" s="2"/>
      <c r="E306" s="2"/>
      <c r="F306" s="2"/>
    </row>
    <row r="307" ht="12.0" customHeight="1">
      <c r="A307" s="2"/>
      <c r="B307" s="2"/>
      <c r="C307" s="2"/>
      <c r="D307" s="2"/>
      <c r="E307" s="2"/>
      <c r="F307" s="2"/>
    </row>
    <row r="308" ht="12.0" customHeight="1">
      <c r="A308" s="2"/>
      <c r="B308" s="2"/>
      <c r="C308" s="2"/>
      <c r="D308" s="2"/>
      <c r="E308" s="2"/>
      <c r="F308" s="2"/>
    </row>
    <row r="309" ht="12.0" customHeight="1">
      <c r="A309" s="2"/>
      <c r="B309" s="2"/>
      <c r="C309" s="2"/>
      <c r="D309" s="2"/>
      <c r="E309" s="2"/>
      <c r="F309" s="2"/>
    </row>
    <row r="310" ht="12.0" customHeight="1">
      <c r="A310" s="2"/>
      <c r="B310" s="2"/>
      <c r="C310" s="2"/>
      <c r="D310" s="2"/>
      <c r="E310" s="2"/>
      <c r="F310" s="2"/>
    </row>
    <row r="311" ht="12.0" customHeight="1">
      <c r="A311" s="2"/>
      <c r="B311" s="2"/>
      <c r="C311" s="2"/>
      <c r="D311" s="2"/>
      <c r="E311" s="2"/>
      <c r="F311" s="2"/>
    </row>
    <row r="312" ht="12.0" customHeight="1">
      <c r="A312" s="2"/>
      <c r="B312" s="2"/>
      <c r="C312" s="2"/>
      <c r="D312" s="2"/>
      <c r="E312" s="2"/>
      <c r="F312" s="2"/>
    </row>
    <row r="313" ht="12.0" customHeight="1">
      <c r="A313" s="2"/>
      <c r="B313" s="2"/>
      <c r="C313" s="2"/>
      <c r="D313" s="2"/>
      <c r="E313" s="2"/>
      <c r="F313" s="2"/>
    </row>
    <row r="314" ht="12.0" customHeight="1">
      <c r="A314" s="2"/>
      <c r="B314" s="2"/>
      <c r="C314" s="2"/>
      <c r="D314" s="2"/>
      <c r="E314" s="2"/>
      <c r="F314" s="2"/>
    </row>
    <row r="315" ht="12.0" customHeight="1">
      <c r="A315" s="2"/>
      <c r="B315" s="2"/>
      <c r="C315" s="2"/>
      <c r="D315" s="2"/>
      <c r="E315" s="2"/>
      <c r="F315" s="2"/>
    </row>
    <row r="316" ht="12.0" customHeight="1">
      <c r="A316" s="2"/>
      <c r="B316" s="2"/>
      <c r="C316" s="2"/>
      <c r="D316" s="2"/>
      <c r="E316" s="2"/>
      <c r="F316" s="2"/>
    </row>
    <row r="317" ht="12.0" customHeight="1">
      <c r="A317" s="2"/>
      <c r="B317" s="2"/>
      <c r="C317" s="2"/>
      <c r="D317" s="2"/>
      <c r="E317" s="2"/>
      <c r="F317" s="2"/>
    </row>
    <row r="318" ht="12.0" customHeight="1">
      <c r="A318" s="2"/>
      <c r="B318" s="2"/>
      <c r="C318" s="2"/>
      <c r="D318" s="2"/>
      <c r="E318" s="2"/>
      <c r="F318" s="2"/>
    </row>
    <row r="319" ht="12.0" customHeight="1">
      <c r="A319" s="2"/>
      <c r="B319" s="2"/>
      <c r="C319" s="2"/>
      <c r="D319" s="2"/>
      <c r="E319" s="2"/>
      <c r="F319" s="2"/>
    </row>
    <row r="320" ht="12.0" customHeight="1">
      <c r="A320" s="2"/>
      <c r="B320" s="2"/>
      <c r="C320" s="2"/>
      <c r="D320" s="2"/>
      <c r="E320" s="2"/>
      <c r="F320" s="2"/>
    </row>
    <row r="321" ht="12.0" customHeight="1">
      <c r="A321" s="2"/>
      <c r="B321" s="2"/>
      <c r="C321" s="2"/>
      <c r="D321" s="2"/>
      <c r="E321" s="2"/>
      <c r="F321" s="2"/>
    </row>
    <row r="322" ht="12.0" customHeight="1">
      <c r="A322" s="2"/>
      <c r="B322" s="2"/>
      <c r="C322" s="2"/>
      <c r="D322" s="2"/>
      <c r="E322" s="2"/>
      <c r="F322" s="2"/>
    </row>
    <row r="323" ht="12.0" customHeight="1">
      <c r="A323" s="2"/>
      <c r="B323" s="2"/>
      <c r="C323" s="2"/>
      <c r="D323" s="2"/>
      <c r="E323" s="2"/>
      <c r="F323" s="2"/>
    </row>
    <row r="324" ht="12.0" customHeight="1">
      <c r="A324" s="2"/>
      <c r="B324" s="2"/>
      <c r="C324" s="2"/>
      <c r="D324" s="2"/>
      <c r="E324" s="2"/>
      <c r="F324" s="2"/>
    </row>
    <row r="325" ht="12.0" customHeight="1">
      <c r="A325" s="2"/>
      <c r="B325" s="2"/>
      <c r="C325" s="2"/>
      <c r="D325" s="2"/>
      <c r="E325" s="2"/>
      <c r="F325" s="2"/>
    </row>
    <row r="326" ht="12.0" customHeight="1">
      <c r="A326" s="2"/>
      <c r="B326" s="2"/>
      <c r="C326" s="2"/>
      <c r="D326" s="2"/>
      <c r="E326" s="2"/>
      <c r="F326" s="2"/>
    </row>
    <row r="327" ht="12.0" customHeight="1">
      <c r="A327" s="2"/>
      <c r="B327" s="2"/>
      <c r="C327" s="2"/>
      <c r="D327" s="2"/>
      <c r="E327" s="2"/>
      <c r="F327" s="2"/>
    </row>
    <row r="328" ht="12.0" customHeight="1">
      <c r="A328" s="2"/>
      <c r="B328" s="2"/>
      <c r="C328" s="2"/>
      <c r="D328" s="2"/>
      <c r="E328" s="2"/>
      <c r="F328" s="2"/>
    </row>
    <row r="329" ht="12.0" customHeight="1">
      <c r="A329" s="2"/>
      <c r="B329" s="2"/>
      <c r="C329" s="2"/>
      <c r="D329" s="2"/>
      <c r="E329" s="2"/>
      <c r="F329" s="2"/>
    </row>
    <row r="330" ht="12.0" customHeight="1">
      <c r="A330" s="2"/>
      <c r="B330" s="2"/>
      <c r="C330" s="2"/>
      <c r="D330" s="2"/>
      <c r="E330" s="2"/>
      <c r="F330" s="2"/>
    </row>
    <row r="331" ht="12.0" customHeight="1">
      <c r="A331" s="2"/>
      <c r="B331" s="2"/>
      <c r="C331" s="2"/>
      <c r="D331" s="2"/>
      <c r="E331" s="2"/>
      <c r="F331" s="2"/>
    </row>
    <row r="332" ht="12.0" customHeight="1">
      <c r="A332" s="2"/>
      <c r="B332" s="2"/>
      <c r="C332" s="2"/>
      <c r="D332" s="2"/>
      <c r="E332" s="2"/>
      <c r="F332" s="2"/>
    </row>
    <row r="333" ht="12.0" customHeight="1">
      <c r="A333" s="2"/>
      <c r="B333" s="2"/>
      <c r="C333" s="2"/>
      <c r="D333" s="2"/>
      <c r="E333" s="2"/>
      <c r="F333" s="2"/>
    </row>
    <row r="334" ht="12.0" customHeight="1">
      <c r="A334" s="2"/>
      <c r="B334" s="2"/>
      <c r="C334" s="2"/>
      <c r="D334" s="2"/>
      <c r="E334" s="2"/>
      <c r="F334" s="2"/>
    </row>
    <row r="335" ht="12.0" customHeight="1">
      <c r="A335" s="2"/>
      <c r="B335" s="2"/>
      <c r="C335" s="2"/>
      <c r="D335" s="2"/>
      <c r="E335" s="2"/>
      <c r="F335" s="2"/>
    </row>
    <row r="336" ht="12.0" customHeight="1">
      <c r="A336" s="2"/>
      <c r="B336" s="2"/>
      <c r="C336" s="2"/>
      <c r="D336" s="2"/>
      <c r="E336" s="2"/>
      <c r="F336" s="2"/>
    </row>
    <row r="337" ht="12.0" customHeight="1">
      <c r="A337" s="2"/>
      <c r="B337" s="2"/>
      <c r="C337" s="2"/>
      <c r="D337" s="2"/>
      <c r="E337" s="2"/>
      <c r="F337" s="2"/>
    </row>
    <row r="338" ht="12.0" customHeight="1">
      <c r="A338" s="2"/>
      <c r="B338" s="2"/>
      <c r="C338" s="2"/>
      <c r="D338" s="2"/>
      <c r="E338" s="2"/>
      <c r="F338" s="2"/>
    </row>
    <row r="339" ht="12.0" customHeight="1">
      <c r="A339" s="2"/>
      <c r="B339" s="2"/>
      <c r="C339" s="2"/>
      <c r="D339" s="2"/>
      <c r="E339" s="2"/>
      <c r="F339" s="2"/>
    </row>
    <row r="340" ht="12.0" customHeight="1">
      <c r="A340" s="2"/>
      <c r="B340" s="2"/>
      <c r="C340" s="2"/>
      <c r="D340" s="2"/>
      <c r="E340" s="2"/>
      <c r="F340" s="2"/>
    </row>
    <row r="341" ht="12.0" customHeight="1">
      <c r="A341" s="2"/>
      <c r="B341" s="2"/>
      <c r="C341" s="2"/>
      <c r="D341" s="2"/>
      <c r="E341" s="2"/>
      <c r="F341" s="2"/>
    </row>
    <row r="342" ht="12.0" customHeight="1">
      <c r="A342" s="2"/>
      <c r="B342" s="2"/>
      <c r="C342" s="2"/>
      <c r="D342" s="2"/>
      <c r="E342" s="2"/>
      <c r="F342" s="2"/>
    </row>
    <row r="343" ht="12.0" customHeight="1">
      <c r="A343" s="2"/>
      <c r="B343" s="2"/>
      <c r="C343" s="2"/>
      <c r="D343" s="2"/>
      <c r="E343" s="2"/>
      <c r="F343" s="2"/>
    </row>
    <row r="344" ht="12.0" customHeight="1">
      <c r="A344" s="2"/>
      <c r="B344" s="2"/>
      <c r="C344" s="2"/>
      <c r="D344" s="2"/>
      <c r="E344" s="2"/>
      <c r="F344" s="2"/>
    </row>
    <row r="345" ht="12.0" customHeight="1">
      <c r="A345" s="2"/>
      <c r="B345" s="2"/>
      <c r="C345" s="2"/>
      <c r="D345" s="2"/>
      <c r="E345" s="2"/>
      <c r="F345" s="2"/>
    </row>
    <row r="346" ht="12.0" customHeight="1">
      <c r="A346" s="2"/>
      <c r="B346" s="2"/>
      <c r="C346" s="2"/>
      <c r="D346" s="2"/>
      <c r="E346" s="2"/>
      <c r="F346" s="2"/>
    </row>
    <row r="347" ht="12.0" customHeight="1">
      <c r="A347" s="2"/>
      <c r="B347" s="2"/>
      <c r="C347" s="2"/>
      <c r="D347" s="2"/>
      <c r="E347" s="2"/>
      <c r="F347" s="2"/>
    </row>
    <row r="348" ht="12.0" customHeight="1">
      <c r="A348" s="2"/>
      <c r="B348" s="2"/>
      <c r="C348" s="2"/>
      <c r="D348" s="2"/>
      <c r="E348" s="2"/>
      <c r="F348" s="2"/>
    </row>
    <row r="349" ht="12.0" customHeight="1">
      <c r="A349" s="2"/>
      <c r="B349" s="2"/>
      <c r="C349" s="2"/>
      <c r="D349" s="2"/>
      <c r="E349" s="2"/>
      <c r="F349" s="2"/>
    </row>
    <row r="350" ht="12.0" customHeight="1">
      <c r="A350" s="2"/>
      <c r="B350" s="2"/>
      <c r="C350" s="2"/>
      <c r="D350" s="2"/>
      <c r="E350" s="2"/>
      <c r="F350" s="2"/>
    </row>
    <row r="351" ht="12.0" customHeight="1">
      <c r="A351" s="2"/>
      <c r="B351" s="2"/>
      <c r="C351" s="2"/>
      <c r="D351" s="2"/>
      <c r="E351" s="2"/>
      <c r="F351" s="2"/>
    </row>
    <row r="352" ht="12.0" customHeight="1">
      <c r="A352" s="2"/>
      <c r="B352" s="2"/>
      <c r="C352" s="2"/>
      <c r="D352" s="2"/>
      <c r="E352" s="2"/>
      <c r="F352" s="2"/>
    </row>
    <row r="353" ht="12.0" customHeight="1">
      <c r="A353" s="2"/>
      <c r="B353" s="2"/>
      <c r="C353" s="2"/>
      <c r="D353" s="2"/>
      <c r="E353" s="2"/>
      <c r="F353" s="2"/>
    </row>
    <row r="354" ht="12.0" customHeight="1">
      <c r="A354" s="2"/>
      <c r="B354" s="2"/>
      <c r="C354" s="2"/>
      <c r="D354" s="2"/>
      <c r="E354" s="2"/>
      <c r="F354" s="2"/>
    </row>
    <row r="355" ht="12.0" customHeight="1">
      <c r="A355" s="2"/>
      <c r="B355" s="2"/>
      <c r="C355" s="2"/>
      <c r="D355" s="2"/>
      <c r="E355" s="2"/>
      <c r="F355" s="2"/>
    </row>
    <row r="356" ht="12.0" customHeight="1">
      <c r="A356" s="2"/>
      <c r="B356" s="2"/>
      <c r="C356" s="2"/>
      <c r="D356" s="2"/>
      <c r="E356" s="2"/>
      <c r="F356" s="2"/>
    </row>
    <row r="357" ht="12.0" customHeight="1">
      <c r="A357" s="2"/>
      <c r="B357" s="2"/>
      <c r="C357" s="2"/>
      <c r="D357" s="2"/>
      <c r="E357" s="2"/>
      <c r="F357" s="2"/>
    </row>
    <row r="358" ht="12.0" customHeight="1">
      <c r="A358" s="2"/>
      <c r="B358" s="2"/>
      <c r="C358" s="2"/>
      <c r="D358" s="2"/>
      <c r="E358" s="2"/>
      <c r="F358" s="2"/>
    </row>
    <row r="359" ht="12.0" customHeight="1">
      <c r="A359" s="2"/>
      <c r="B359" s="2"/>
      <c r="C359" s="2"/>
      <c r="D359" s="2"/>
      <c r="E359" s="2"/>
      <c r="F359" s="2"/>
    </row>
    <row r="360" ht="12.0" customHeight="1">
      <c r="A360" s="2"/>
      <c r="B360" s="2"/>
      <c r="C360" s="2"/>
      <c r="D360" s="2"/>
      <c r="E360" s="2"/>
      <c r="F360" s="2"/>
    </row>
    <row r="361" ht="12.0" customHeight="1">
      <c r="A361" s="2"/>
      <c r="B361" s="2"/>
      <c r="C361" s="2"/>
      <c r="D361" s="2"/>
      <c r="E361" s="2"/>
      <c r="F361" s="2"/>
    </row>
    <row r="362" ht="12.0" customHeight="1">
      <c r="A362" s="2"/>
      <c r="B362" s="2"/>
      <c r="C362" s="2"/>
      <c r="D362" s="2"/>
      <c r="E362" s="2"/>
      <c r="F362" s="2"/>
    </row>
    <row r="363" ht="12.0" customHeight="1">
      <c r="A363" s="2"/>
      <c r="B363" s="2"/>
      <c r="C363" s="2"/>
      <c r="D363" s="2"/>
      <c r="E363" s="2"/>
      <c r="F363" s="2"/>
    </row>
    <row r="364" ht="12.0" customHeight="1">
      <c r="A364" s="2"/>
      <c r="B364" s="2"/>
      <c r="C364" s="2"/>
      <c r="D364" s="2"/>
      <c r="E364" s="2"/>
      <c r="F364" s="2"/>
    </row>
    <row r="365" ht="12.0" customHeight="1">
      <c r="A365" s="2"/>
      <c r="B365" s="2"/>
      <c r="C365" s="2"/>
      <c r="D365" s="2"/>
      <c r="E365" s="2"/>
      <c r="F365" s="2"/>
    </row>
    <row r="366" ht="12.0" customHeight="1">
      <c r="A366" s="2"/>
      <c r="B366" s="2"/>
      <c r="C366" s="2"/>
      <c r="D366" s="2"/>
      <c r="E366" s="2"/>
      <c r="F366" s="2"/>
    </row>
    <row r="367" ht="12.0" customHeight="1">
      <c r="A367" s="2"/>
      <c r="B367" s="2"/>
      <c r="C367" s="2"/>
      <c r="D367" s="2"/>
      <c r="E367" s="2"/>
      <c r="F367" s="2"/>
    </row>
    <row r="368" ht="12.0" customHeight="1">
      <c r="A368" s="2"/>
      <c r="B368" s="2"/>
      <c r="C368" s="2"/>
      <c r="D368" s="2"/>
      <c r="E368" s="2"/>
      <c r="F368" s="2"/>
    </row>
    <row r="369" ht="12.0" customHeight="1">
      <c r="A369" s="2"/>
      <c r="B369" s="2"/>
      <c r="C369" s="2"/>
      <c r="D369" s="2"/>
      <c r="E369" s="2"/>
      <c r="F369" s="2"/>
    </row>
    <row r="370" ht="12.0" customHeight="1">
      <c r="A370" s="2"/>
      <c r="B370" s="2"/>
      <c r="C370" s="2"/>
      <c r="D370" s="2"/>
      <c r="E370" s="2"/>
      <c r="F370" s="2"/>
    </row>
    <row r="371" ht="12.0" customHeight="1">
      <c r="A371" s="2"/>
      <c r="B371" s="2"/>
      <c r="C371" s="2"/>
      <c r="D371" s="2"/>
      <c r="E371" s="2"/>
      <c r="F371" s="2"/>
    </row>
    <row r="372" ht="12.0" customHeight="1">
      <c r="A372" s="2"/>
      <c r="B372" s="2"/>
      <c r="C372" s="2"/>
      <c r="D372" s="2"/>
      <c r="E372" s="2"/>
      <c r="F372" s="2"/>
    </row>
    <row r="373" ht="12.0" customHeight="1">
      <c r="A373" s="2"/>
      <c r="B373" s="2"/>
      <c r="C373" s="2"/>
      <c r="D373" s="2"/>
      <c r="E373" s="2"/>
      <c r="F373" s="2"/>
    </row>
    <row r="374" ht="12.0" customHeight="1">
      <c r="A374" s="2"/>
      <c r="B374" s="2"/>
      <c r="C374" s="2"/>
      <c r="D374" s="2"/>
      <c r="E374" s="2"/>
      <c r="F374" s="2"/>
    </row>
    <row r="375" ht="12.0" customHeight="1">
      <c r="A375" s="2"/>
      <c r="B375" s="2"/>
      <c r="C375" s="2"/>
      <c r="D375" s="2"/>
      <c r="E375" s="2"/>
      <c r="F375" s="2"/>
    </row>
    <row r="376" ht="12.0" customHeight="1">
      <c r="A376" s="2"/>
      <c r="B376" s="2"/>
      <c r="C376" s="2"/>
      <c r="D376" s="2"/>
      <c r="E376" s="2"/>
      <c r="F376" s="2"/>
    </row>
    <row r="377" ht="12.0" customHeight="1">
      <c r="A377" s="2"/>
      <c r="B377" s="2"/>
      <c r="C377" s="2"/>
      <c r="D377" s="2"/>
      <c r="E377" s="2"/>
      <c r="F377" s="2"/>
    </row>
    <row r="378" ht="12.0" customHeight="1">
      <c r="A378" s="2"/>
      <c r="B378" s="2"/>
      <c r="C378" s="2"/>
      <c r="D378" s="2"/>
      <c r="E378" s="2"/>
      <c r="F378" s="2"/>
    </row>
    <row r="379" ht="12.0" customHeight="1">
      <c r="A379" s="2"/>
      <c r="B379" s="2"/>
      <c r="C379" s="2"/>
      <c r="D379" s="2"/>
      <c r="E379" s="2"/>
      <c r="F379" s="2"/>
    </row>
    <row r="380" ht="12.0" customHeight="1">
      <c r="A380" s="2"/>
      <c r="B380" s="2"/>
      <c r="C380" s="2"/>
      <c r="D380" s="2"/>
      <c r="E380" s="2"/>
      <c r="F380" s="2"/>
    </row>
    <row r="381" ht="12.0" customHeight="1">
      <c r="A381" s="2"/>
      <c r="B381" s="2"/>
      <c r="C381" s="2"/>
      <c r="D381" s="2"/>
      <c r="E381" s="2"/>
      <c r="F381" s="2"/>
    </row>
    <row r="382" ht="12.0" customHeight="1">
      <c r="A382" s="2"/>
      <c r="B382" s="2"/>
      <c r="C382" s="2"/>
      <c r="D382" s="2"/>
      <c r="E382" s="2"/>
      <c r="F382" s="2"/>
    </row>
    <row r="383" ht="12.0" customHeight="1">
      <c r="A383" s="2"/>
      <c r="B383" s="2"/>
      <c r="C383" s="2"/>
      <c r="D383" s="2"/>
      <c r="E383" s="2"/>
      <c r="F383" s="2"/>
    </row>
    <row r="384" ht="12.0" customHeight="1">
      <c r="A384" s="2"/>
      <c r="B384" s="2"/>
      <c r="C384" s="2"/>
      <c r="D384" s="2"/>
      <c r="E384" s="2"/>
      <c r="F384" s="2"/>
    </row>
    <row r="385" ht="12.0" customHeight="1">
      <c r="A385" s="2"/>
      <c r="B385" s="2"/>
      <c r="C385" s="2"/>
      <c r="D385" s="2"/>
      <c r="E385" s="2"/>
      <c r="F385" s="2"/>
    </row>
    <row r="386" ht="12.0" customHeight="1">
      <c r="A386" s="2"/>
      <c r="B386" s="2"/>
      <c r="C386" s="2"/>
      <c r="D386" s="2"/>
      <c r="E386" s="2"/>
      <c r="F386" s="2"/>
    </row>
    <row r="387" ht="12.0" customHeight="1">
      <c r="A387" s="2"/>
      <c r="B387" s="2"/>
      <c r="C387" s="2"/>
      <c r="D387" s="2"/>
      <c r="E387" s="2"/>
      <c r="F387" s="2"/>
    </row>
    <row r="388" ht="12.0" customHeight="1">
      <c r="A388" s="2"/>
      <c r="B388" s="2"/>
      <c r="C388" s="2"/>
      <c r="D388" s="2"/>
      <c r="E388" s="2"/>
      <c r="F388" s="2"/>
    </row>
    <row r="389" ht="12.0" customHeight="1">
      <c r="A389" s="2"/>
      <c r="B389" s="2"/>
      <c r="C389" s="2"/>
      <c r="D389" s="2"/>
      <c r="E389" s="2"/>
      <c r="F389" s="2"/>
    </row>
    <row r="390" ht="12.0" customHeight="1">
      <c r="A390" s="2"/>
      <c r="B390" s="2"/>
      <c r="C390" s="2"/>
      <c r="D390" s="2"/>
      <c r="E390" s="2"/>
      <c r="F390" s="2"/>
    </row>
    <row r="391" ht="12.0" customHeight="1">
      <c r="A391" s="2"/>
      <c r="B391" s="2"/>
      <c r="C391" s="2"/>
      <c r="D391" s="2"/>
      <c r="E391" s="2"/>
      <c r="F391" s="2"/>
    </row>
    <row r="392" ht="12.0" customHeight="1">
      <c r="A392" s="2"/>
      <c r="B392" s="2"/>
      <c r="C392" s="2"/>
      <c r="D392" s="2"/>
      <c r="E392" s="2"/>
      <c r="F392" s="2"/>
    </row>
    <row r="393" ht="12.0" customHeight="1">
      <c r="A393" s="2"/>
      <c r="B393" s="2"/>
      <c r="C393" s="2"/>
      <c r="D393" s="2"/>
      <c r="E393" s="2"/>
      <c r="F393" s="2"/>
    </row>
    <row r="394" ht="12.0" customHeight="1">
      <c r="A394" s="2"/>
      <c r="B394" s="2"/>
      <c r="C394" s="2"/>
      <c r="D394" s="2"/>
      <c r="E394" s="2"/>
      <c r="F394" s="2"/>
    </row>
    <row r="395" ht="12.0" customHeight="1">
      <c r="A395" s="2"/>
      <c r="B395" s="2"/>
      <c r="C395" s="2"/>
      <c r="D395" s="2"/>
      <c r="E395" s="2"/>
      <c r="F395" s="2"/>
    </row>
    <row r="396" ht="12.0" customHeight="1">
      <c r="A396" s="2"/>
      <c r="B396" s="2"/>
      <c r="C396" s="2"/>
      <c r="D396" s="2"/>
      <c r="E396" s="2"/>
      <c r="F396" s="2"/>
    </row>
    <row r="397" ht="12.0" customHeight="1">
      <c r="A397" s="2"/>
      <c r="B397" s="2"/>
      <c r="C397" s="2"/>
      <c r="D397" s="2"/>
      <c r="E397" s="2"/>
      <c r="F397" s="2"/>
    </row>
    <row r="398" ht="12.0" customHeight="1">
      <c r="A398" s="2"/>
      <c r="B398" s="2"/>
      <c r="C398" s="2"/>
      <c r="D398" s="2"/>
      <c r="E398" s="2"/>
      <c r="F398" s="2"/>
    </row>
    <row r="399" ht="12.0" customHeight="1">
      <c r="A399" s="2"/>
      <c r="B399" s="2"/>
      <c r="C399" s="2"/>
      <c r="D399" s="2"/>
      <c r="E399" s="2"/>
      <c r="F399" s="2"/>
    </row>
    <row r="400" ht="12.0" customHeight="1">
      <c r="A400" s="2"/>
      <c r="B400" s="2"/>
      <c r="C400" s="2"/>
      <c r="D400" s="2"/>
      <c r="E400" s="2"/>
      <c r="F400" s="2"/>
    </row>
    <row r="401" ht="12.0" customHeight="1">
      <c r="A401" s="2"/>
      <c r="B401" s="2"/>
      <c r="C401" s="2"/>
      <c r="D401" s="2"/>
      <c r="E401" s="2"/>
      <c r="F401" s="2"/>
    </row>
    <row r="402" ht="12.0" customHeight="1">
      <c r="A402" s="2"/>
      <c r="B402" s="2"/>
      <c r="C402" s="2"/>
      <c r="D402" s="2"/>
      <c r="E402" s="2"/>
      <c r="F402" s="2"/>
    </row>
    <row r="403" ht="12.0" customHeight="1">
      <c r="A403" s="2"/>
      <c r="B403" s="2"/>
      <c r="C403" s="2"/>
      <c r="D403" s="2"/>
      <c r="E403" s="2"/>
      <c r="F403" s="2"/>
    </row>
    <row r="404" ht="12.0" customHeight="1">
      <c r="A404" s="2"/>
      <c r="B404" s="2"/>
      <c r="C404" s="2"/>
      <c r="D404" s="2"/>
      <c r="E404" s="2"/>
      <c r="F404" s="2"/>
    </row>
    <row r="405" ht="12.0" customHeight="1">
      <c r="A405" s="2"/>
      <c r="B405" s="2"/>
      <c r="C405" s="2"/>
      <c r="D405" s="2"/>
      <c r="E405" s="2"/>
      <c r="F405" s="2"/>
    </row>
    <row r="406" ht="12.0" customHeight="1">
      <c r="A406" s="2"/>
      <c r="B406" s="2"/>
      <c r="C406" s="2"/>
      <c r="D406" s="2"/>
      <c r="E406" s="2"/>
      <c r="F406" s="2"/>
    </row>
    <row r="407" ht="12.0" customHeight="1">
      <c r="A407" s="2"/>
      <c r="B407" s="2"/>
      <c r="C407" s="2"/>
      <c r="D407" s="2"/>
      <c r="E407" s="2"/>
      <c r="F407" s="2"/>
    </row>
    <row r="408" ht="12.0" customHeight="1">
      <c r="A408" s="2"/>
      <c r="B408" s="2"/>
      <c r="C408" s="2"/>
      <c r="D408" s="2"/>
      <c r="E408" s="2"/>
      <c r="F408" s="2"/>
    </row>
    <row r="409" ht="12.0" customHeight="1">
      <c r="A409" s="2"/>
      <c r="B409" s="2"/>
      <c r="C409" s="2"/>
      <c r="D409" s="2"/>
      <c r="E409" s="2"/>
      <c r="F409" s="2"/>
    </row>
    <row r="410" ht="12.0" customHeight="1">
      <c r="A410" s="2"/>
      <c r="B410" s="2"/>
      <c r="C410" s="2"/>
      <c r="D410" s="2"/>
      <c r="E410" s="2"/>
      <c r="F410" s="2"/>
    </row>
    <row r="411" ht="12.0" customHeight="1">
      <c r="A411" s="2"/>
      <c r="B411" s="2"/>
      <c r="C411" s="2"/>
      <c r="D411" s="2"/>
      <c r="E411" s="2"/>
      <c r="F411" s="2"/>
    </row>
    <row r="412" ht="12.0" customHeight="1">
      <c r="A412" s="2"/>
      <c r="B412" s="2"/>
      <c r="C412" s="2"/>
      <c r="D412" s="2"/>
      <c r="E412" s="2"/>
      <c r="F412" s="2"/>
    </row>
    <row r="413" ht="12.0" customHeight="1">
      <c r="A413" s="2"/>
      <c r="B413" s="2"/>
      <c r="C413" s="2"/>
      <c r="D413" s="2"/>
      <c r="E413" s="2"/>
      <c r="F413" s="2"/>
    </row>
    <row r="414" ht="12.0" customHeight="1">
      <c r="A414" s="2"/>
      <c r="B414" s="2"/>
      <c r="C414" s="2"/>
      <c r="D414" s="2"/>
      <c r="E414" s="2"/>
      <c r="F414" s="2"/>
    </row>
    <row r="415" ht="12.0" customHeight="1">
      <c r="A415" s="2"/>
      <c r="B415" s="2"/>
      <c r="C415" s="2"/>
      <c r="D415" s="2"/>
      <c r="E415" s="2"/>
      <c r="F415" s="2"/>
    </row>
    <row r="416" ht="12.0" customHeight="1">
      <c r="A416" s="2"/>
      <c r="B416" s="2"/>
      <c r="C416" s="2"/>
      <c r="D416" s="2"/>
      <c r="E416" s="2"/>
      <c r="F416" s="2"/>
    </row>
    <row r="417" ht="12.0" customHeight="1">
      <c r="A417" s="2"/>
      <c r="B417" s="2"/>
      <c r="C417" s="2"/>
      <c r="D417" s="2"/>
      <c r="E417" s="2"/>
      <c r="F417" s="2"/>
    </row>
    <row r="418" ht="12.0" customHeight="1">
      <c r="A418" s="2"/>
      <c r="B418" s="2"/>
      <c r="C418" s="2"/>
      <c r="D418" s="2"/>
      <c r="E418" s="2"/>
      <c r="F418" s="2"/>
    </row>
    <row r="419" ht="12.0" customHeight="1">
      <c r="A419" s="2"/>
      <c r="B419" s="2"/>
      <c r="C419" s="2"/>
      <c r="D419" s="2"/>
      <c r="E419" s="2"/>
      <c r="F419" s="2"/>
    </row>
    <row r="420" ht="12.0" customHeight="1">
      <c r="A420" s="2"/>
      <c r="B420" s="2"/>
      <c r="C420" s="2"/>
      <c r="D420" s="2"/>
      <c r="E420" s="2"/>
      <c r="F420" s="2"/>
    </row>
    <row r="421" ht="12.0" customHeight="1">
      <c r="A421" s="2"/>
      <c r="B421" s="2"/>
      <c r="C421" s="2"/>
      <c r="D421" s="2"/>
      <c r="E421" s="2"/>
      <c r="F421" s="2"/>
    </row>
    <row r="422" ht="12.0" customHeight="1">
      <c r="A422" s="2"/>
      <c r="B422" s="2"/>
      <c r="C422" s="2"/>
      <c r="D422" s="2"/>
      <c r="E422" s="2"/>
      <c r="F422" s="2"/>
    </row>
    <row r="423" ht="12.0" customHeight="1">
      <c r="A423" s="2"/>
      <c r="B423" s="2"/>
      <c r="C423" s="2"/>
      <c r="D423" s="2"/>
      <c r="E423" s="2"/>
      <c r="F423" s="2"/>
    </row>
    <row r="424" ht="12.0" customHeight="1">
      <c r="A424" s="2"/>
      <c r="B424" s="2"/>
      <c r="C424" s="2"/>
      <c r="D424" s="2"/>
      <c r="E424" s="2"/>
      <c r="F424" s="2"/>
    </row>
    <row r="425" ht="12.0" customHeight="1">
      <c r="A425" s="2"/>
      <c r="B425" s="2"/>
      <c r="C425" s="2"/>
      <c r="D425" s="2"/>
      <c r="E425" s="2"/>
      <c r="F425" s="2"/>
    </row>
    <row r="426" ht="12.0" customHeight="1">
      <c r="A426" s="2"/>
      <c r="B426" s="2"/>
      <c r="C426" s="2"/>
      <c r="D426" s="2"/>
      <c r="E426" s="2"/>
      <c r="F426" s="2"/>
    </row>
    <row r="427" ht="12.0" customHeight="1">
      <c r="A427" s="2"/>
      <c r="B427" s="2"/>
      <c r="C427" s="2"/>
      <c r="D427" s="2"/>
      <c r="E427" s="2"/>
      <c r="F427" s="2"/>
    </row>
    <row r="428" ht="12.0" customHeight="1">
      <c r="A428" s="2"/>
      <c r="B428" s="2"/>
      <c r="C428" s="2"/>
      <c r="D428" s="2"/>
      <c r="E428" s="2"/>
      <c r="F428" s="2"/>
    </row>
    <row r="429" ht="12.0" customHeight="1">
      <c r="A429" s="2"/>
      <c r="B429" s="2"/>
      <c r="C429" s="2"/>
      <c r="D429" s="2"/>
      <c r="E429" s="2"/>
      <c r="F429" s="2"/>
    </row>
    <row r="430" ht="12.0" customHeight="1">
      <c r="A430" s="2"/>
      <c r="B430" s="2"/>
      <c r="C430" s="2"/>
      <c r="D430" s="2"/>
      <c r="E430" s="2"/>
      <c r="F430" s="2"/>
    </row>
    <row r="431" ht="12.0" customHeight="1">
      <c r="A431" s="2"/>
      <c r="B431" s="2"/>
      <c r="C431" s="2"/>
      <c r="D431" s="2"/>
      <c r="E431" s="2"/>
      <c r="F431" s="2"/>
    </row>
    <row r="432" ht="12.0" customHeight="1">
      <c r="A432" s="2"/>
      <c r="B432" s="2"/>
      <c r="C432" s="2"/>
      <c r="D432" s="2"/>
      <c r="E432" s="2"/>
      <c r="F432" s="2"/>
    </row>
    <row r="433" ht="12.0" customHeight="1">
      <c r="A433" s="2"/>
      <c r="B433" s="2"/>
      <c r="C433" s="2"/>
      <c r="D433" s="2"/>
      <c r="E433" s="2"/>
      <c r="F433" s="2"/>
    </row>
    <row r="434" ht="12.0" customHeight="1">
      <c r="A434" s="2"/>
      <c r="B434" s="2"/>
      <c r="C434" s="2"/>
      <c r="D434" s="2"/>
      <c r="E434" s="2"/>
      <c r="F434" s="2"/>
    </row>
    <row r="435" ht="12.0" customHeight="1">
      <c r="A435" s="2"/>
      <c r="B435" s="2"/>
      <c r="C435" s="2"/>
      <c r="D435" s="2"/>
      <c r="E435" s="2"/>
      <c r="F435" s="2"/>
    </row>
    <row r="436" ht="12.0" customHeight="1">
      <c r="A436" s="2"/>
      <c r="B436" s="2"/>
      <c r="C436" s="2"/>
      <c r="D436" s="2"/>
      <c r="E436" s="2"/>
      <c r="F436" s="2"/>
    </row>
    <row r="437" ht="12.0" customHeight="1">
      <c r="A437" s="2"/>
      <c r="B437" s="2"/>
      <c r="C437" s="2"/>
      <c r="D437" s="2"/>
      <c r="E437" s="2"/>
      <c r="F437" s="2"/>
    </row>
    <row r="438" ht="12.0" customHeight="1">
      <c r="A438" s="2"/>
      <c r="B438" s="2"/>
      <c r="C438" s="2"/>
      <c r="D438" s="2"/>
      <c r="E438" s="2"/>
      <c r="F438" s="2"/>
    </row>
    <row r="439" ht="12.0" customHeight="1">
      <c r="A439" s="2"/>
      <c r="B439" s="2"/>
      <c r="C439" s="2"/>
      <c r="D439" s="2"/>
      <c r="E439" s="2"/>
      <c r="F439" s="2"/>
    </row>
    <row r="440" ht="12.0" customHeight="1">
      <c r="A440" s="2"/>
      <c r="B440" s="2"/>
      <c r="C440" s="2"/>
      <c r="D440" s="2"/>
      <c r="E440" s="2"/>
      <c r="F440" s="2"/>
    </row>
    <row r="441" ht="12.0" customHeight="1">
      <c r="A441" s="2"/>
      <c r="B441" s="2"/>
      <c r="C441" s="2"/>
      <c r="D441" s="2"/>
      <c r="E441" s="2"/>
      <c r="F441" s="2"/>
    </row>
    <row r="442" ht="12.0" customHeight="1">
      <c r="A442" s="2"/>
      <c r="B442" s="2"/>
      <c r="C442" s="2"/>
      <c r="D442" s="2"/>
      <c r="E442" s="2"/>
      <c r="F442" s="2"/>
    </row>
    <row r="443" ht="12.0" customHeight="1">
      <c r="A443" s="2"/>
      <c r="B443" s="2"/>
      <c r="C443" s="2"/>
      <c r="D443" s="2"/>
      <c r="E443" s="2"/>
      <c r="F443" s="2"/>
    </row>
    <row r="444" ht="12.0" customHeight="1">
      <c r="A444" s="2"/>
      <c r="B444" s="2"/>
      <c r="C444" s="2"/>
      <c r="D444" s="2"/>
      <c r="E444" s="2"/>
      <c r="F444" s="2"/>
    </row>
    <row r="445" ht="12.0" customHeight="1">
      <c r="A445" s="2"/>
      <c r="B445" s="2"/>
      <c r="C445" s="2"/>
      <c r="D445" s="2"/>
      <c r="E445" s="2"/>
      <c r="F445" s="2"/>
    </row>
    <row r="446" ht="12.0" customHeight="1">
      <c r="A446" s="2"/>
      <c r="B446" s="2"/>
      <c r="C446" s="2"/>
      <c r="D446" s="2"/>
      <c r="E446" s="2"/>
      <c r="F446" s="2"/>
    </row>
    <row r="447" ht="12.0" customHeight="1">
      <c r="A447" s="2"/>
      <c r="B447" s="2"/>
      <c r="C447" s="2"/>
      <c r="D447" s="2"/>
      <c r="E447" s="2"/>
      <c r="F447" s="2"/>
    </row>
    <row r="448" ht="12.0" customHeight="1">
      <c r="A448" s="2"/>
      <c r="B448" s="2"/>
      <c r="C448" s="2"/>
      <c r="D448" s="2"/>
      <c r="E448" s="2"/>
      <c r="F448" s="2"/>
    </row>
    <row r="449" ht="12.0" customHeight="1">
      <c r="A449" s="2"/>
      <c r="B449" s="2"/>
      <c r="C449" s="2"/>
      <c r="D449" s="2"/>
      <c r="E449" s="2"/>
      <c r="F449" s="2"/>
    </row>
    <row r="450" ht="12.0" customHeight="1">
      <c r="A450" s="2"/>
      <c r="B450" s="2"/>
      <c r="C450" s="2"/>
      <c r="D450" s="2"/>
      <c r="E450" s="2"/>
      <c r="F450" s="2"/>
    </row>
    <row r="451" ht="12.0" customHeight="1">
      <c r="A451" s="2"/>
      <c r="B451" s="2"/>
      <c r="C451" s="2"/>
      <c r="D451" s="2"/>
      <c r="E451" s="2"/>
      <c r="F451" s="2"/>
    </row>
    <row r="452" ht="12.0" customHeight="1">
      <c r="A452" s="2"/>
      <c r="B452" s="2"/>
      <c r="C452" s="2"/>
      <c r="D452" s="2"/>
      <c r="E452" s="2"/>
      <c r="F452" s="2"/>
    </row>
    <row r="453" ht="12.0" customHeight="1">
      <c r="A453" s="2"/>
      <c r="B453" s="2"/>
      <c r="C453" s="2"/>
      <c r="D453" s="2"/>
      <c r="E453" s="2"/>
      <c r="F453" s="2"/>
    </row>
    <row r="454" ht="12.0" customHeight="1">
      <c r="A454" s="2"/>
      <c r="B454" s="2"/>
      <c r="C454" s="2"/>
      <c r="D454" s="2"/>
      <c r="E454" s="2"/>
      <c r="F454" s="2"/>
    </row>
    <row r="455" ht="12.0" customHeight="1">
      <c r="A455" s="2"/>
      <c r="B455" s="2"/>
      <c r="C455" s="2"/>
      <c r="D455" s="2"/>
      <c r="E455" s="2"/>
      <c r="F455" s="2"/>
    </row>
    <row r="456" ht="12.0" customHeight="1">
      <c r="A456" s="2"/>
      <c r="B456" s="2"/>
      <c r="C456" s="2"/>
      <c r="D456" s="2"/>
      <c r="E456" s="2"/>
      <c r="F456" s="2"/>
    </row>
    <row r="457" ht="12.0" customHeight="1">
      <c r="A457" s="2"/>
      <c r="B457" s="2"/>
      <c r="C457" s="2"/>
      <c r="D457" s="2"/>
      <c r="E457" s="2"/>
      <c r="F457" s="2"/>
    </row>
    <row r="458" ht="12.0" customHeight="1">
      <c r="A458" s="2"/>
      <c r="B458" s="2"/>
      <c r="C458" s="2"/>
      <c r="D458" s="2"/>
      <c r="E458" s="2"/>
      <c r="F458" s="2"/>
    </row>
    <row r="459" ht="12.0" customHeight="1">
      <c r="A459" s="2"/>
      <c r="B459" s="2"/>
      <c r="C459" s="2"/>
      <c r="D459" s="2"/>
      <c r="E459" s="2"/>
      <c r="F459" s="2"/>
    </row>
    <row r="460" ht="12.0" customHeight="1">
      <c r="A460" s="2"/>
      <c r="B460" s="2"/>
      <c r="C460" s="2"/>
      <c r="D460" s="2"/>
      <c r="E460" s="2"/>
      <c r="F460" s="2"/>
    </row>
    <row r="461" ht="12.0" customHeight="1">
      <c r="A461" s="2"/>
      <c r="B461" s="2"/>
      <c r="C461" s="2"/>
      <c r="D461" s="2"/>
      <c r="E461" s="2"/>
      <c r="F461" s="2"/>
    </row>
    <row r="462" ht="12.0" customHeight="1">
      <c r="A462" s="2"/>
      <c r="B462" s="2"/>
      <c r="C462" s="2"/>
      <c r="D462" s="2"/>
      <c r="E462" s="2"/>
      <c r="F462" s="2"/>
    </row>
    <row r="463" ht="12.0" customHeight="1">
      <c r="A463" s="2"/>
      <c r="B463" s="2"/>
      <c r="C463" s="2"/>
      <c r="D463" s="2"/>
      <c r="E463" s="2"/>
      <c r="F463" s="2"/>
    </row>
    <row r="464" ht="12.0" customHeight="1">
      <c r="A464" s="2"/>
      <c r="B464" s="2"/>
      <c r="C464" s="2"/>
      <c r="D464" s="2"/>
      <c r="E464" s="2"/>
      <c r="F464" s="2"/>
    </row>
    <row r="465" ht="12.0" customHeight="1">
      <c r="A465" s="2"/>
      <c r="B465" s="2"/>
      <c r="C465" s="2"/>
      <c r="D465" s="2"/>
      <c r="E465" s="2"/>
      <c r="F465" s="2"/>
    </row>
    <row r="466" ht="12.0" customHeight="1">
      <c r="A466" s="2"/>
      <c r="B466" s="2"/>
      <c r="C466" s="2"/>
      <c r="D466" s="2"/>
      <c r="E466" s="2"/>
      <c r="F466" s="2"/>
    </row>
    <row r="467" ht="12.0" customHeight="1">
      <c r="A467" s="2"/>
      <c r="B467" s="2"/>
      <c r="C467" s="2"/>
      <c r="D467" s="2"/>
      <c r="E467" s="2"/>
      <c r="F467" s="2"/>
    </row>
    <row r="468" ht="12.0" customHeight="1">
      <c r="A468" s="2"/>
      <c r="B468" s="2"/>
      <c r="C468" s="2"/>
      <c r="D468" s="2"/>
      <c r="E468" s="2"/>
      <c r="F468" s="2"/>
    </row>
    <row r="469" ht="12.0" customHeight="1">
      <c r="A469" s="2"/>
      <c r="B469" s="2"/>
      <c r="C469" s="2"/>
      <c r="D469" s="2"/>
      <c r="E469" s="2"/>
      <c r="F469" s="2"/>
    </row>
    <row r="470" ht="12.0" customHeight="1">
      <c r="A470" s="2"/>
      <c r="B470" s="2"/>
      <c r="C470" s="2"/>
      <c r="D470" s="2"/>
      <c r="E470" s="2"/>
      <c r="F470" s="2"/>
    </row>
    <row r="471" ht="12.0" customHeight="1">
      <c r="A471" s="2"/>
      <c r="B471" s="2"/>
      <c r="C471" s="2"/>
      <c r="D471" s="2"/>
      <c r="E471" s="2"/>
      <c r="F471" s="2"/>
    </row>
    <row r="472" ht="12.0" customHeight="1">
      <c r="A472" s="2"/>
      <c r="B472" s="2"/>
      <c r="C472" s="2"/>
      <c r="D472" s="2"/>
      <c r="E472" s="2"/>
      <c r="F472" s="2"/>
    </row>
    <row r="473" ht="12.0" customHeight="1">
      <c r="A473" s="2"/>
      <c r="B473" s="2"/>
      <c r="C473" s="2"/>
      <c r="D473" s="2"/>
      <c r="E473" s="2"/>
      <c r="F473" s="2"/>
    </row>
    <row r="474" ht="12.0" customHeight="1">
      <c r="A474" s="2"/>
      <c r="B474" s="2"/>
      <c r="C474" s="2"/>
      <c r="D474" s="2"/>
      <c r="E474" s="2"/>
      <c r="F474" s="2"/>
    </row>
    <row r="475" ht="12.0" customHeight="1">
      <c r="A475" s="2"/>
      <c r="B475" s="2"/>
      <c r="C475" s="2"/>
      <c r="D475" s="2"/>
      <c r="E475" s="2"/>
      <c r="F475" s="2"/>
    </row>
    <row r="476" ht="12.0" customHeight="1">
      <c r="A476" s="2"/>
      <c r="B476" s="2"/>
      <c r="C476" s="2"/>
      <c r="D476" s="2"/>
      <c r="E476" s="2"/>
      <c r="F476" s="2"/>
    </row>
    <row r="477" ht="12.0" customHeight="1">
      <c r="A477" s="2"/>
      <c r="B477" s="2"/>
      <c r="C477" s="2"/>
      <c r="D477" s="2"/>
      <c r="E477" s="2"/>
      <c r="F477" s="2"/>
    </row>
    <row r="478" ht="12.0" customHeight="1">
      <c r="A478" s="2"/>
      <c r="B478" s="2"/>
      <c r="C478" s="2"/>
      <c r="D478" s="2"/>
      <c r="E478" s="2"/>
      <c r="F478" s="2"/>
    </row>
    <row r="479" ht="12.0" customHeight="1">
      <c r="A479" s="2"/>
      <c r="B479" s="2"/>
      <c r="C479" s="2"/>
      <c r="D479" s="2"/>
      <c r="E479" s="2"/>
      <c r="F479" s="2"/>
    </row>
    <row r="480" ht="12.0" customHeight="1">
      <c r="A480" s="2"/>
      <c r="B480" s="2"/>
      <c r="C480" s="2"/>
      <c r="D480" s="2"/>
      <c r="E480" s="2"/>
      <c r="F480" s="2"/>
    </row>
    <row r="481" ht="12.0" customHeight="1">
      <c r="A481" s="2"/>
      <c r="B481" s="2"/>
      <c r="C481" s="2"/>
      <c r="D481" s="2"/>
      <c r="E481" s="2"/>
      <c r="F481" s="2"/>
    </row>
    <row r="482" ht="12.0" customHeight="1">
      <c r="A482" s="2"/>
      <c r="B482" s="2"/>
      <c r="C482" s="2"/>
      <c r="D482" s="2"/>
      <c r="E482" s="2"/>
      <c r="F482" s="2"/>
    </row>
    <row r="483" ht="12.0" customHeight="1">
      <c r="A483" s="2"/>
      <c r="B483" s="2"/>
      <c r="C483" s="2"/>
      <c r="D483" s="2"/>
      <c r="E483" s="2"/>
      <c r="F483" s="2"/>
    </row>
    <row r="484" ht="12.0" customHeight="1">
      <c r="A484" s="2"/>
      <c r="B484" s="2"/>
      <c r="C484" s="2"/>
      <c r="D484" s="2"/>
      <c r="E484" s="2"/>
      <c r="F484" s="2"/>
    </row>
    <row r="485" ht="12.0" customHeight="1">
      <c r="A485" s="2"/>
      <c r="B485" s="2"/>
      <c r="C485" s="2"/>
      <c r="D485" s="2"/>
      <c r="E485" s="2"/>
      <c r="F485" s="2"/>
    </row>
    <row r="486" ht="12.0" customHeight="1">
      <c r="A486" s="2"/>
      <c r="B486" s="2"/>
      <c r="C486" s="2"/>
      <c r="D486" s="2"/>
      <c r="E486" s="2"/>
      <c r="F486" s="2"/>
    </row>
    <row r="487" ht="12.0" customHeight="1">
      <c r="A487" s="2"/>
      <c r="B487" s="2"/>
      <c r="C487" s="2"/>
      <c r="D487" s="2"/>
      <c r="E487" s="2"/>
      <c r="F487" s="2"/>
    </row>
    <row r="488" ht="12.0" customHeight="1">
      <c r="A488" s="2"/>
      <c r="B488" s="2"/>
      <c r="C488" s="2"/>
      <c r="D488" s="2"/>
      <c r="E488" s="2"/>
      <c r="F488" s="2"/>
    </row>
    <row r="489" ht="12.0" customHeight="1">
      <c r="A489" s="2"/>
      <c r="B489" s="2"/>
      <c r="C489" s="2"/>
      <c r="D489" s="2"/>
      <c r="E489" s="2"/>
      <c r="F489" s="2"/>
    </row>
    <row r="490" ht="12.0" customHeight="1">
      <c r="A490" s="2"/>
      <c r="B490" s="2"/>
      <c r="C490" s="2"/>
      <c r="D490" s="2"/>
      <c r="E490" s="2"/>
      <c r="F490" s="2"/>
    </row>
    <row r="491" ht="12.0" customHeight="1">
      <c r="A491" s="2"/>
      <c r="B491" s="2"/>
      <c r="C491" s="2"/>
      <c r="D491" s="2"/>
      <c r="E491" s="2"/>
      <c r="F491" s="2"/>
    </row>
    <row r="492" ht="12.0" customHeight="1">
      <c r="A492" s="2"/>
      <c r="B492" s="2"/>
      <c r="C492" s="2"/>
      <c r="D492" s="2"/>
      <c r="E492" s="2"/>
      <c r="F492" s="2"/>
    </row>
    <row r="493" ht="12.0" customHeight="1">
      <c r="A493" s="2"/>
      <c r="B493" s="2"/>
      <c r="C493" s="2"/>
      <c r="D493" s="2"/>
      <c r="E493" s="2"/>
      <c r="F493" s="2"/>
    </row>
    <row r="494" ht="12.0" customHeight="1">
      <c r="A494" s="2"/>
      <c r="B494" s="2"/>
      <c r="C494" s="2"/>
      <c r="D494" s="2"/>
      <c r="E494" s="2"/>
      <c r="F494" s="2"/>
    </row>
    <row r="495" ht="12.0" customHeight="1">
      <c r="A495" s="2"/>
      <c r="B495" s="2"/>
      <c r="C495" s="2"/>
      <c r="D495" s="2"/>
      <c r="E495" s="2"/>
      <c r="F495" s="2"/>
    </row>
    <row r="496" ht="12.0" customHeight="1">
      <c r="A496" s="2"/>
      <c r="B496" s="2"/>
      <c r="C496" s="2"/>
      <c r="D496" s="2"/>
      <c r="E496" s="2"/>
      <c r="F496" s="2"/>
    </row>
    <row r="497" ht="12.0" customHeight="1">
      <c r="A497" s="2"/>
      <c r="B497" s="2"/>
      <c r="C497" s="2"/>
      <c r="D497" s="2"/>
      <c r="E497" s="2"/>
      <c r="F497" s="2"/>
    </row>
    <row r="498" ht="12.0" customHeight="1">
      <c r="A498" s="2"/>
      <c r="B498" s="2"/>
      <c r="C498" s="2"/>
      <c r="D498" s="2"/>
      <c r="E498" s="2"/>
      <c r="F498" s="2"/>
    </row>
    <row r="499" ht="12.0" customHeight="1">
      <c r="A499" s="2"/>
      <c r="B499" s="2"/>
      <c r="C499" s="2"/>
      <c r="D499" s="2"/>
      <c r="E499" s="2"/>
      <c r="F499" s="2"/>
    </row>
    <row r="500" ht="12.0" customHeight="1">
      <c r="A500" s="2"/>
      <c r="B500" s="2"/>
      <c r="C500" s="2"/>
      <c r="D500" s="2"/>
      <c r="E500" s="2"/>
      <c r="F500" s="2"/>
    </row>
    <row r="501" ht="12.0" customHeight="1">
      <c r="A501" s="2"/>
      <c r="B501" s="2"/>
      <c r="C501" s="2"/>
      <c r="D501" s="2"/>
      <c r="E501" s="2"/>
      <c r="F501" s="2"/>
    </row>
    <row r="502" ht="12.0" customHeight="1">
      <c r="A502" s="2"/>
      <c r="B502" s="2"/>
      <c r="C502" s="2"/>
      <c r="D502" s="2"/>
      <c r="E502" s="2"/>
      <c r="F502" s="2"/>
    </row>
    <row r="503" ht="12.0" customHeight="1">
      <c r="A503" s="2"/>
      <c r="B503" s="2"/>
      <c r="C503" s="2"/>
      <c r="D503" s="2"/>
      <c r="E503" s="2"/>
      <c r="F503" s="2"/>
    </row>
    <row r="504" ht="12.0" customHeight="1">
      <c r="A504" s="2"/>
      <c r="B504" s="2"/>
      <c r="C504" s="2"/>
      <c r="D504" s="2"/>
      <c r="E504" s="2"/>
      <c r="F504" s="2"/>
    </row>
    <row r="505" ht="12.0" customHeight="1">
      <c r="A505" s="2"/>
      <c r="B505" s="2"/>
      <c r="C505" s="2"/>
      <c r="D505" s="2"/>
      <c r="E505" s="2"/>
      <c r="F505" s="2"/>
    </row>
    <row r="506" ht="12.0" customHeight="1">
      <c r="A506" s="2"/>
      <c r="B506" s="2"/>
      <c r="C506" s="2"/>
      <c r="D506" s="2"/>
      <c r="E506" s="2"/>
      <c r="F506" s="2"/>
    </row>
    <row r="507" ht="12.0" customHeight="1">
      <c r="A507" s="2"/>
      <c r="B507" s="2"/>
      <c r="C507" s="2"/>
      <c r="D507" s="2"/>
      <c r="E507" s="2"/>
      <c r="F507" s="2"/>
    </row>
    <row r="508" ht="12.0" customHeight="1">
      <c r="A508" s="2"/>
      <c r="B508" s="2"/>
      <c r="C508" s="2"/>
      <c r="D508" s="2"/>
      <c r="E508" s="2"/>
      <c r="F508" s="2"/>
    </row>
    <row r="509" ht="12.0" customHeight="1">
      <c r="A509" s="2"/>
      <c r="B509" s="2"/>
      <c r="C509" s="2"/>
      <c r="D509" s="2"/>
      <c r="E509" s="2"/>
      <c r="F509" s="2"/>
    </row>
    <row r="510" ht="12.0" customHeight="1">
      <c r="A510" s="2"/>
      <c r="B510" s="2"/>
      <c r="C510" s="2"/>
      <c r="D510" s="2"/>
      <c r="E510" s="2"/>
      <c r="F510" s="2"/>
    </row>
    <row r="511" ht="12.0" customHeight="1">
      <c r="A511" s="2"/>
      <c r="B511" s="2"/>
      <c r="C511" s="2"/>
      <c r="D511" s="2"/>
      <c r="E511" s="2"/>
      <c r="F511" s="2"/>
    </row>
    <row r="512" ht="12.0" customHeight="1">
      <c r="A512" s="2"/>
      <c r="B512" s="2"/>
      <c r="C512" s="2"/>
      <c r="D512" s="2"/>
      <c r="E512" s="2"/>
      <c r="F512" s="2"/>
    </row>
    <row r="513" ht="12.0" customHeight="1">
      <c r="A513" s="2"/>
      <c r="B513" s="2"/>
      <c r="C513" s="2"/>
      <c r="D513" s="2"/>
      <c r="E513" s="2"/>
      <c r="F513" s="2"/>
    </row>
    <row r="514" ht="12.0" customHeight="1">
      <c r="A514" s="2"/>
      <c r="B514" s="2"/>
      <c r="C514" s="2"/>
      <c r="D514" s="2"/>
      <c r="E514" s="2"/>
      <c r="F514" s="2"/>
    </row>
    <row r="515" ht="12.0" customHeight="1">
      <c r="A515" s="2"/>
      <c r="B515" s="2"/>
      <c r="C515" s="2"/>
      <c r="D515" s="2"/>
      <c r="E515" s="2"/>
      <c r="F515" s="2"/>
    </row>
    <row r="516" ht="12.0" customHeight="1">
      <c r="A516" s="2"/>
      <c r="B516" s="2"/>
      <c r="C516" s="2"/>
      <c r="D516" s="2"/>
      <c r="E516" s="2"/>
      <c r="F516" s="2"/>
    </row>
    <row r="517" ht="12.0" customHeight="1">
      <c r="A517" s="2"/>
      <c r="B517" s="2"/>
      <c r="C517" s="2"/>
      <c r="D517" s="2"/>
      <c r="E517" s="2"/>
      <c r="F517" s="2"/>
    </row>
    <row r="518" ht="12.0" customHeight="1">
      <c r="A518" s="2"/>
      <c r="B518" s="2"/>
      <c r="C518" s="2"/>
      <c r="D518" s="2"/>
      <c r="E518" s="2"/>
      <c r="F518" s="2"/>
    </row>
    <row r="519" ht="12.0" customHeight="1">
      <c r="A519" s="2"/>
      <c r="B519" s="2"/>
      <c r="C519" s="2"/>
      <c r="D519" s="2"/>
      <c r="E519" s="2"/>
      <c r="F519" s="2"/>
    </row>
    <row r="520" ht="12.0" customHeight="1">
      <c r="A520" s="2"/>
      <c r="B520" s="2"/>
      <c r="C520" s="2"/>
      <c r="D520" s="2"/>
      <c r="E520" s="2"/>
      <c r="F520" s="2"/>
    </row>
    <row r="521" ht="12.0" customHeight="1">
      <c r="A521" s="2"/>
      <c r="B521" s="2"/>
      <c r="C521" s="2"/>
      <c r="D521" s="2"/>
      <c r="E521" s="2"/>
      <c r="F521" s="2"/>
    </row>
    <row r="522" ht="12.0" customHeight="1">
      <c r="A522" s="2"/>
      <c r="B522" s="2"/>
      <c r="C522" s="2"/>
      <c r="D522" s="2"/>
      <c r="E522" s="2"/>
      <c r="F522" s="2"/>
    </row>
    <row r="523" ht="12.0" customHeight="1">
      <c r="A523" s="2"/>
      <c r="B523" s="2"/>
      <c r="C523" s="2"/>
      <c r="D523" s="2"/>
      <c r="E523" s="2"/>
      <c r="F523" s="2"/>
    </row>
    <row r="524" ht="12.0" customHeight="1">
      <c r="A524" s="2"/>
      <c r="B524" s="2"/>
      <c r="C524" s="2"/>
      <c r="D524" s="2"/>
      <c r="E524" s="2"/>
      <c r="F524" s="2"/>
    </row>
    <row r="525" ht="12.0" customHeight="1">
      <c r="A525" s="2"/>
      <c r="B525" s="2"/>
      <c r="C525" s="2"/>
      <c r="D525" s="2"/>
      <c r="E525" s="2"/>
      <c r="F525" s="2"/>
    </row>
    <row r="526" ht="12.0" customHeight="1">
      <c r="A526" s="2"/>
      <c r="B526" s="2"/>
      <c r="C526" s="2"/>
      <c r="D526" s="2"/>
      <c r="E526" s="2"/>
      <c r="F526" s="2"/>
    </row>
    <row r="527" ht="12.0" customHeight="1">
      <c r="A527" s="2"/>
      <c r="B527" s="2"/>
      <c r="C527" s="2"/>
      <c r="D527" s="2"/>
      <c r="E527" s="2"/>
      <c r="F527" s="2"/>
    </row>
    <row r="528" ht="12.0" customHeight="1">
      <c r="A528" s="2"/>
      <c r="B528" s="2"/>
      <c r="C528" s="2"/>
      <c r="D528" s="2"/>
      <c r="E528" s="2"/>
      <c r="F528" s="2"/>
    </row>
    <row r="529" ht="12.0" customHeight="1">
      <c r="A529" s="2"/>
      <c r="B529" s="2"/>
      <c r="C529" s="2"/>
      <c r="D529" s="2"/>
      <c r="E529" s="2"/>
      <c r="F529" s="2"/>
    </row>
    <row r="530" ht="12.0" customHeight="1">
      <c r="A530" s="2"/>
      <c r="B530" s="2"/>
      <c r="C530" s="2"/>
      <c r="D530" s="2"/>
      <c r="E530" s="2"/>
      <c r="F530" s="2"/>
    </row>
    <row r="531" ht="12.0" customHeight="1">
      <c r="A531" s="2"/>
      <c r="B531" s="2"/>
      <c r="C531" s="2"/>
      <c r="D531" s="2"/>
      <c r="E531" s="2"/>
      <c r="F531" s="2"/>
    </row>
    <row r="532" ht="12.0" customHeight="1">
      <c r="A532" s="2"/>
      <c r="B532" s="2"/>
      <c r="C532" s="2"/>
      <c r="D532" s="2"/>
      <c r="E532" s="2"/>
      <c r="F532" s="2"/>
    </row>
    <row r="533" ht="12.0" customHeight="1">
      <c r="A533" s="2"/>
      <c r="B533" s="2"/>
      <c r="C533" s="2"/>
      <c r="D533" s="2"/>
      <c r="E533" s="2"/>
      <c r="F533" s="2"/>
    </row>
    <row r="534" ht="12.0" customHeight="1">
      <c r="A534" s="2"/>
      <c r="B534" s="2"/>
      <c r="C534" s="2"/>
      <c r="D534" s="2"/>
      <c r="E534" s="2"/>
      <c r="F534" s="2"/>
    </row>
    <row r="535" ht="12.0" customHeight="1">
      <c r="A535" s="2"/>
      <c r="B535" s="2"/>
      <c r="C535" s="2"/>
      <c r="D535" s="2"/>
      <c r="E535" s="2"/>
      <c r="F535" s="2"/>
    </row>
    <row r="536" ht="12.0" customHeight="1">
      <c r="A536" s="2"/>
      <c r="B536" s="2"/>
      <c r="C536" s="2"/>
      <c r="D536" s="2"/>
      <c r="E536" s="2"/>
      <c r="F536" s="2"/>
    </row>
    <row r="537" ht="12.0" customHeight="1">
      <c r="A537" s="2"/>
      <c r="B537" s="2"/>
      <c r="C537" s="2"/>
      <c r="D537" s="2"/>
      <c r="E537" s="2"/>
      <c r="F537" s="2"/>
    </row>
    <row r="538" ht="12.0" customHeight="1">
      <c r="A538" s="2"/>
      <c r="B538" s="2"/>
      <c r="C538" s="2"/>
      <c r="D538" s="2"/>
      <c r="E538" s="2"/>
      <c r="F538" s="2"/>
    </row>
    <row r="539" ht="12.0" customHeight="1">
      <c r="A539" s="2"/>
      <c r="B539" s="2"/>
      <c r="C539" s="2"/>
      <c r="D539" s="2"/>
      <c r="E539" s="2"/>
      <c r="F539" s="2"/>
    </row>
    <row r="540" ht="12.0" customHeight="1">
      <c r="A540" s="2"/>
      <c r="B540" s="2"/>
      <c r="C540" s="2"/>
      <c r="D540" s="2"/>
      <c r="E540" s="2"/>
      <c r="F540" s="2"/>
    </row>
    <row r="541" ht="12.0" customHeight="1">
      <c r="A541" s="2"/>
      <c r="B541" s="2"/>
      <c r="C541" s="2"/>
      <c r="D541" s="2"/>
      <c r="E541" s="2"/>
      <c r="F541" s="2"/>
    </row>
    <row r="542" ht="12.0" customHeight="1">
      <c r="A542" s="2"/>
      <c r="B542" s="2"/>
      <c r="C542" s="2"/>
      <c r="D542" s="2"/>
      <c r="E542" s="2"/>
      <c r="F542" s="2"/>
    </row>
    <row r="543" ht="12.0" customHeight="1">
      <c r="A543" s="2"/>
      <c r="B543" s="2"/>
      <c r="C543" s="2"/>
      <c r="D543" s="2"/>
      <c r="E543" s="2"/>
      <c r="F543" s="2"/>
    </row>
    <row r="544" ht="12.0" customHeight="1">
      <c r="A544" s="2"/>
      <c r="B544" s="2"/>
      <c r="C544" s="2"/>
      <c r="D544" s="2"/>
      <c r="E544" s="2"/>
      <c r="F544" s="2"/>
    </row>
    <row r="545" ht="12.0" customHeight="1">
      <c r="A545" s="2"/>
      <c r="B545" s="2"/>
      <c r="C545" s="2"/>
      <c r="D545" s="2"/>
      <c r="E545" s="2"/>
      <c r="F545" s="2"/>
    </row>
    <row r="546" ht="12.0" customHeight="1">
      <c r="A546" s="2"/>
      <c r="B546" s="2"/>
      <c r="C546" s="2"/>
      <c r="D546" s="2"/>
      <c r="E546" s="2"/>
      <c r="F546" s="2"/>
    </row>
    <row r="547" ht="12.0" customHeight="1">
      <c r="A547" s="2"/>
      <c r="B547" s="2"/>
      <c r="C547" s="2"/>
      <c r="D547" s="2"/>
      <c r="E547" s="2"/>
      <c r="F547" s="2"/>
    </row>
    <row r="548" ht="12.0" customHeight="1">
      <c r="A548" s="2"/>
      <c r="B548" s="2"/>
      <c r="C548" s="2"/>
      <c r="D548" s="2"/>
      <c r="E548" s="2"/>
      <c r="F548" s="2"/>
    </row>
    <row r="549" ht="12.0" customHeight="1">
      <c r="A549" s="2"/>
      <c r="B549" s="2"/>
      <c r="C549" s="2"/>
      <c r="D549" s="2"/>
      <c r="E549" s="2"/>
      <c r="F549" s="2"/>
    </row>
    <row r="550" ht="12.0" customHeight="1">
      <c r="A550" s="2"/>
      <c r="B550" s="2"/>
      <c r="C550" s="2"/>
      <c r="D550" s="2"/>
      <c r="E550" s="2"/>
      <c r="F550" s="2"/>
    </row>
    <row r="551" ht="12.0" customHeight="1">
      <c r="A551" s="2"/>
      <c r="B551" s="2"/>
      <c r="C551" s="2"/>
      <c r="D551" s="2"/>
      <c r="E551" s="2"/>
      <c r="F551" s="2"/>
    </row>
    <row r="552" ht="12.0" customHeight="1">
      <c r="A552" s="2"/>
      <c r="B552" s="2"/>
      <c r="C552" s="2"/>
      <c r="D552" s="2"/>
      <c r="E552" s="2"/>
      <c r="F552" s="2"/>
    </row>
    <row r="553" ht="12.0" customHeight="1">
      <c r="A553" s="2"/>
      <c r="B553" s="2"/>
      <c r="C553" s="2"/>
      <c r="D553" s="2"/>
      <c r="E553" s="2"/>
      <c r="F553" s="2"/>
    </row>
    <row r="554" ht="12.0" customHeight="1">
      <c r="A554" s="2"/>
      <c r="B554" s="2"/>
      <c r="C554" s="2"/>
      <c r="D554" s="2"/>
      <c r="E554" s="2"/>
      <c r="F554" s="2"/>
    </row>
    <row r="555" ht="12.0" customHeight="1">
      <c r="A555" s="2"/>
      <c r="B555" s="2"/>
      <c r="C555" s="2"/>
      <c r="D555" s="2"/>
      <c r="E555" s="2"/>
      <c r="F555" s="2"/>
    </row>
    <row r="556" ht="12.0" customHeight="1">
      <c r="A556" s="2"/>
      <c r="B556" s="2"/>
      <c r="C556" s="2"/>
      <c r="D556" s="2"/>
      <c r="E556" s="2"/>
      <c r="F556" s="2"/>
    </row>
    <row r="557" ht="12.0" customHeight="1">
      <c r="A557" s="2"/>
      <c r="B557" s="2"/>
      <c r="C557" s="2"/>
      <c r="D557" s="2"/>
      <c r="E557" s="2"/>
      <c r="F557" s="2"/>
    </row>
    <row r="558" ht="12.0" customHeight="1">
      <c r="A558" s="2"/>
      <c r="B558" s="2"/>
      <c r="C558" s="2"/>
      <c r="D558" s="2"/>
      <c r="E558" s="2"/>
      <c r="F558" s="2"/>
    </row>
    <row r="559" ht="12.0" customHeight="1">
      <c r="A559" s="2"/>
      <c r="B559" s="2"/>
      <c r="C559" s="2"/>
      <c r="D559" s="2"/>
      <c r="E559" s="2"/>
      <c r="F559" s="2"/>
    </row>
    <row r="560" ht="12.0" customHeight="1">
      <c r="A560" s="2"/>
      <c r="B560" s="2"/>
      <c r="C560" s="2"/>
      <c r="D560" s="2"/>
      <c r="E560" s="2"/>
      <c r="F560" s="2"/>
    </row>
    <row r="561" ht="12.0" customHeight="1">
      <c r="A561" s="2"/>
      <c r="B561" s="2"/>
      <c r="C561" s="2"/>
      <c r="D561" s="2"/>
      <c r="E561" s="2"/>
      <c r="F561" s="2"/>
    </row>
    <row r="562" ht="12.0" customHeight="1">
      <c r="A562" s="2"/>
      <c r="B562" s="2"/>
      <c r="C562" s="2"/>
      <c r="D562" s="2"/>
      <c r="E562" s="2"/>
      <c r="F562" s="2"/>
    </row>
    <row r="563" ht="12.0" customHeight="1">
      <c r="A563" s="2"/>
      <c r="B563" s="2"/>
      <c r="C563" s="2"/>
      <c r="D563" s="2"/>
      <c r="E563" s="2"/>
      <c r="F563" s="2"/>
    </row>
    <row r="564" ht="12.0" customHeight="1">
      <c r="A564" s="2"/>
      <c r="B564" s="2"/>
      <c r="C564" s="2"/>
      <c r="D564" s="2"/>
      <c r="E564" s="2"/>
      <c r="F564" s="2"/>
    </row>
    <row r="565" ht="12.0" customHeight="1">
      <c r="A565" s="2"/>
      <c r="B565" s="2"/>
      <c r="C565" s="2"/>
      <c r="D565" s="2"/>
      <c r="E565" s="2"/>
      <c r="F565" s="2"/>
    </row>
    <row r="566" ht="12.0" customHeight="1">
      <c r="A566" s="2"/>
      <c r="B566" s="2"/>
      <c r="C566" s="2"/>
      <c r="D566" s="2"/>
      <c r="E566" s="2"/>
      <c r="F566" s="2"/>
    </row>
    <row r="567" ht="12.0" customHeight="1">
      <c r="A567" s="2"/>
      <c r="B567" s="2"/>
      <c r="C567" s="2"/>
      <c r="D567" s="2"/>
      <c r="E567" s="2"/>
      <c r="F567" s="2"/>
    </row>
    <row r="568" ht="12.0" customHeight="1">
      <c r="A568" s="2"/>
      <c r="B568" s="2"/>
      <c r="C568" s="2"/>
      <c r="D568" s="2"/>
      <c r="E568" s="2"/>
      <c r="F568" s="2"/>
    </row>
    <row r="569" ht="12.0" customHeight="1">
      <c r="A569" s="2"/>
      <c r="B569" s="2"/>
      <c r="C569" s="2"/>
      <c r="D569" s="2"/>
      <c r="E569" s="2"/>
      <c r="F569" s="2"/>
    </row>
    <row r="570" ht="12.0" customHeight="1">
      <c r="A570" s="2"/>
      <c r="B570" s="2"/>
      <c r="C570" s="2"/>
      <c r="D570" s="2"/>
      <c r="E570" s="2"/>
      <c r="F570" s="2"/>
    </row>
    <row r="571" ht="12.0" customHeight="1">
      <c r="A571" s="2"/>
      <c r="B571" s="2"/>
      <c r="C571" s="2"/>
      <c r="D571" s="2"/>
      <c r="E571" s="2"/>
      <c r="F571" s="2"/>
    </row>
    <row r="572" ht="12.0" customHeight="1">
      <c r="A572" s="2"/>
      <c r="B572" s="2"/>
      <c r="C572" s="2"/>
      <c r="D572" s="2"/>
      <c r="E572" s="2"/>
      <c r="F572" s="2"/>
    </row>
    <row r="573" ht="12.0" customHeight="1">
      <c r="A573" s="2"/>
      <c r="B573" s="2"/>
      <c r="C573" s="2"/>
      <c r="D573" s="2"/>
      <c r="E573" s="2"/>
      <c r="F573" s="2"/>
    </row>
    <row r="574" ht="12.0" customHeight="1">
      <c r="A574" s="2"/>
      <c r="B574" s="2"/>
      <c r="C574" s="2"/>
      <c r="D574" s="2"/>
      <c r="E574" s="2"/>
      <c r="F574" s="2"/>
    </row>
    <row r="575" ht="12.0" customHeight="1">
      <c r="A575" s="2"/>
      <c r="B575" s="2"/>
      <c r="C575" s="2"/>
      <c r="D575" s="2"/>
      <c r="E575" s="2"/>
      <c r="F575" s="2"/>
    </row>
    <row r="576" ht="12.0" customHeight="1">
      <c r="A576" s="2"/>
      <c r="B576" s="2"/>
      <c r="C576" s="2"/>
      <c r="D576" s="2"/>
      <c r="E576" s="2"/>
      <c r="F576" s="2"/>
    </row>
    <row r="577" ht="12.0" customHeight="1">
      <c r="A577" s="2"/>
      <c r="B577" s="2"/>
      <c r="C577" s="2"/>
      <c r="D577" s="2"/>
      <c r="E577" s="2"/>
      <c r="F577" s="2"/>
    </row>
    <row r="578" ht="12.0" customHeight="1">
      <c r="A578" s="2"/>
      <c r="B578" s="2"/>
      <c r="C578" s="2"/>
      <c r="D578" s="2"/>
      <c r="E578" s="2"/>
      <c r="F578" s="2"/>
    </row>
    <row r="579" ht="12.0" customHeight="1">
      <c r="A579" s="2"/>
      <c r="B579" s="2"/>
      <c r="C579" s="2"/>
      <c r="D579" s="2"/>
      <c r="E579" s="2"/>
      <c r="F579" s="2"/>
    </row>
    <row r="580" ht="12.0" customHeight="1">
      <c r="A580" s="2"/>
      <c r="B580" s="2"/>
      <c r="C580" s="2"/>
      <c r="D580" s="2"/>
      <c r="E580" s="2"/>
      <c r="F580" s="2"/>
    </row>
    <row r="581" ht="12.0" customHeight="1">
      <c r="A581" s="2"/>
      <c r="B581" s="2"/>
      <c r="C581" s="2"/>
      <c r="D581" s="2"/>
      <c r="E581" s="2"/>
      <c r="F581" s="2"/>
    </row>
    <row r="582" ht="12.0" customHeight="1">
      <c r="A582" s="2"/>
      <c r="B582" s="2"/>
      <c r="C582" s="2"/>
      <c r="D582" s="2"/>
      <c r="E582" s="2"/>
      <c r="F582" s="2"/>
    </row>
    <row r="583" ht="12.0" customHeight="1">
      <c r="A583" s="2"/>
      <c r="B583" s="2"/>
      <c r="C583" s="2"/>
      <c r="D583" s="2"/>
      <c r="E583" s="2"/>
      <c r="F583" s="2"/>
    </row>
    <row r="584" ht="12.0" customHeight="1">
      <c r="A584" s="2"/>
      <c r="B584" s="2"/>
      <c r="C584" s="2"/>
      <c r="D584" s="2"/>
      <c r="E584" s="2"/>
      <c r="F584" s="2"/>
    </row>
    <row r="585" ht="12.0" customHeight="1">
      <c r="A585" s="2"/>
      <c r="B585" s="2"/>
      <c r="C585" s="2"/>
      <c r="D585" s="2"/>
      <c r="E585" s="2"/>
      <c r="F585" s="2"/>
    </row>
    <row r="586" ht="12.0" customHeight="1">
      <c r="A586" s="2"/>
      <c r="B586" s="2"/>
      <c r="C586" s="2"/>
      <c r="D586" s="2"/>
      <c r="E586" s="2"/>
      <c r="F586" s="2"/>
    </row>
    <row r="587" ht="12.0" customHeight="1">
      <c r="A587" s="2"/>
      <c r="B587" s="2"/>
      <c r="C587" s="2"/>
      <c r="D587" s="2"/>
      <c r="E587" s="2"/>
      <c r="F587" s="2"/>
    </row>
    <row r="588" ht="12.0" customHeight="1">
      <c r="A588" s="2"/>
      <c r="B588" s="2"/>
      <c r="C588" s="2"/>
      <c r="D588" s="2"/>
      <c r="E588" s="2"/>
      <c r="F588" s="2"/>
    </row>
    <row r="589" ht="12.0" customHeight="1">
      <c r="A589" s="2"/>
      <c r="B589" s="2"/>
      <c r="C589" s="2"/>
      <c r="D589" s="2"/>
      <c r="E589" s="2"/>
      <c r="F589" s="2"/>
    </row>
    <row r="590" ht="12.0" customHeight="1">
      <c r="A590" s="2"/>
      <c r="B590" s="2"/>
      <c r="C590" s="2"/>
      <c r="D590" s="2"/>
      <c r="E590" s="2"/>
      <c r="F590" s="2"/>
    </row>
    <row r="591" ht="12.0" customHeight="1">
      <c r="A591" s="2"/>
      <c r="B591" s="2"/>
      <c r="C591" s="2"/>
      <c r="D591" s="2"/>
      <c r="E591" s="2"/>
      <c r="F591" s="2"/>
    </row>
    <row r="592" ht="12.0" customHeight="1">
      <c r="A592" s="2"/>
      <c r="B592" s="2"/>
      <c r="C592" s="2"/>
      <c r="D592" s="2"/>
      <c r="E592" s="2"/>
      <c r="F592" s="2"/>
    </row>
    <row r="593" ht="12.0" customHeight="1">
      <c r="A593" s="2"/>
      <c r="B593" s="2"/>
      <c r="C593" s="2"/>
      <c r="D593" s="2"/>
      <c r="E593" s="2"/>
      <c r="F593" s="2"/>
    </row>
    <row r="594" ht="12.0" customHeight="1">
      <c r="A594" s="2"/>
      <c r="B594" s="2"/>
      <c r="C594" s="2"/>
      <c r="D594" s="2"/>
      <c r="E594" s="2"/>
      <c r="F594" s="2"/>
    </row>
    <row r="595" ht="12.0" customHeight="1">
      <c r="A595" s="2"/>
      <c r="B595" s="2"/>
      <c r="C595" s="2"/>
      <c r="D595" s="2"/>
      <c r="E595" s="2"/>
      <c r="F595" s="2"/>
    </row>
    <row r="596" ht="12.0" customHeight="1">
      <c r="A596" s="2"/>
      <c r="B596" s="2"/>
      <c r="C596" s="2"/>
      <c r="D596" s="2"/>
      <c r="E596" s="2"/>
      <c r="F596" s="2"/>
    </row>
    <row r="597" ht="12.0" customHeight="1">
      <c r="A597" s="2"/>
      <c r="B597" s="2"/>
      <c r="C597" s="2"/>
      <c r="D597" s="2"/>
      <c r="E597" s="2"/>
      <c r="F597" s="2"/>
    </row>
    <row r="598" ht="12.0" customHeight="1">
      <c r="A598" s="2"/>
      <c r="B598" s="2"/>
      <c r="C598" s="2"/>
      <c r="D598" s="2"/>
      <c r="E598" s="2"/>
      <c r="F598" s="2"/>
    </row>
    <row r="599" ht="12.0" customHeight="1">
      <c r="A599" s="2"/>
      <c r="B599" s="2"/>
      <c r="C599" s="2"/>
      <c r="D599" s="2"/>
      <c r="E599" s="2"/>
      <c r="F599" s="2"/>
    </row>
    <row r="600" ht="12.0" customHeight="1">
      <c r="A600" s="2"/>
      <c r="B600" s="2"/>
      <c r="C600" s="2"/>
      <c r="D600" s="2"/>
      <c r="E600" s="2"/>
      <c r="F600" s="2"/>
    </row>
    <row r="601" ht="12.0" customHeight="1">
      <c r="A601" s="2"/>
      <c r="B601" s="2"/>
      <c r="C601" s="2"/>
      <c r="D601" s="2"/>
      <c r="E601" s="2"/>
      <c r="F601" s="2"/>
    </row>
    <row r="602" ht="12.0" customHeight="1">
      <c r="A602" s="2"/>
      <c r="B602" s="2"/>
      <c r="C602" s="2"/>
      <c r="D602" s="2"/>
      <c r="E602" s="2"/>
      <c r="F602" s="2"/>
    </row>
    <row r="603" ht="12.0" customHeight="1">
      <c r="A603" s="2"/>
      <c r="B603" s="2"/>
      <c r="C603" s="2"/>
      <c r="D603" s="2"/>
      <c r="E603" s="2"/>
      <c r="F603" s="2"/>
    </row>
    <row r="604" ht="12.0" customHeight="1">
      <c r="A604" s="2"/>
      <c r="B604" s="2"/>
      <c r="C604" s="2"/>
      <c r="D604" s="2"/>
      <c r="E604" s="2"/>
      <c r="F604" s="2"/>
    </row>
    <row r="605" ht="12.0" customHeight="1">
      <c r="A605" s="2"/>
      <c r="B605" s="2"/>
      <c r="C605" s="2"/>
      <c r="D605" s="2"/>
      <c r="E605" s="2"/>
      <c r="F605" s="2"/>
    </row>
    <row r="606" ht="12.0" customHeight="1">
      <c r="A606" s="2"/>
      <c r="B606" s="2"/>
      <c r="C606" s="2"/>
      <c r="D606" s="2"/>
      <c r="E606" s="2"/>
      <c r="F606" s="2"/>
    </row>
    <row r="607" ht="12.0" customHeight="1">
      <c r="A607" s="2"/>
      <c r="B607" s="2"/>
      <c r="C607" s="2"/>
      <c r="D607" s="2"/>
      <c r="E607" s="2"/>
      <c r="F607" s="2"/>
    </row>
    <row r="608" ht="12.0" customHeight="1">
      <c r="A608" s="2"/>
      <c r="B608" s="2"/>
      <c r="C608" s="2"/>
      <c r="D608" s="2"/>
      <c r="E608" s="2"/>
      <c r="F608" s="2"/>
    </row>
    <row r="609" ht="12.0" customHeight="1">
      <c r="A609" s="2"/>
      <c r="B609" s="2"/>
      <c r="C609" s="2"/>
      <c r="D609" s="2"/>
      <c r="E609" s="2"/>
      <c r="F609" s="2"/>
    </row>
    <row r="610" ht="12.0" customHeight="1">
      <c r="A610" s="2"/>
      <c r="B610" s="2"/>
      <c r="C610" s="2"/>
      <c r="D610" s="2"/>
      <c r="E610" s="2"/>
      <c r="F610" s="2"/>
    </row>
    <row r="611" ht="12.0" customHeight="1">
      <c r="A611" s="2"/>
      <c r="B611" s="2"/>
      <c r="C611" s="2"/>
      <c r="D611" s="2"/>
      <c r="E611" s="2"/>
      <c r="F611" s="2"/>
    </row>
    <row r="612" ht="12.0" customHeight="1">
      <c r="A612" s="2"/>
      <c r="B612" s="2"/>
      <c r="C612" s="2"/>
      <c r="D612" s="2"/>
      <c r="E612" s="2"/>
      <c r="F612" s="2"/>
    </row>
    <row r="613" ht="12.0" customHeight="1">
      <c r="A613" s="2"/>
      <c r="B613" s="2"/>
      <c r="C613" s="2"/>
      <c r="D613" s="2"/>
      <c r="E613" s="2"/>
      <c r="F613" s="2"/>
    </row>
    <row r="614" ht="12.0" customHeight="1">
      <c r="A614" s="2"/>
      <c r="B614" s="2"/>
      <c r="C614" s="2"/>
      <c r="D614" s="2"/>
      <c r="E614" s="2"/>
      <c r="F614" s="2"/>
    </row>
    <row r="615" ht="12.0" customHeight="1">
      <c r="A615" s="2"/>
      <c r="B615" s="2"/>
      <c r="C615" s="2"/>
      <c r="D615" s="2"/>
      <c r="E615" s="2"/>
      <c r="F615" s="2"/>
    </row>
    <row r="616" ht="12.0" customHeight="1">
      <c r="A616" s="2"/>
      <c r="B616" s="2"/>
      <c r="C616" s="2"/>
      <c r="D616" s="2"/>
      <c r="E616" s="2"/>
      <c r="F616" s="2"/>
    </row>
    <row r="617" ht="12.0" customHeight="1">
      <c r="A617" s="2"/>
      <c r="B617" s="2"/>
      <c r="C617" s="2"/>
      <c r="D617" s="2"/>
      <c r="E617" s="2"/>
      <c r="F617" s="2"/>
    </row>
    <row r="618" ht="12.0" customHeight="1">
      <c r="A618" s="2"/>
      <c r="B618" s="2"/>
      <c r="C618" s="2"/>
      <c r="D618" s="2"/>
      <c r="E618" s="2"/>
      <c r="F618" s="2"/>
    </row>
    <row r="619" ht="12.0" customHeight="1">
      <c r="A619" s="2"/>
      <c r="B619" s="2"/>
      <c r="C619" s="2"/>
      <c r="D619" s="2"/>
      <c r="E619" s="2"/>
      <c r="F619" s="2"/>
    </row>
    <row r="620" ht="12.0" customHeight="1">
      <c r="A620" s="2"/>
      <c r="B620" s="2"/>
      <c r="C620" s="2"/>
      <c r="D620" s="2"/>
      <c r="E620" s="2"/>
      <c r="F620" s="2"/>
    </row>
    <row r="621" ht="12.0" customHeight="1">
      <c r="A621" s="2"/>
      <c r="B621" s="2"/>
      <c r="C621" s="2"/>
      <c r="D621" s="2"/>
      <c r="E621" s="2"/>
      <c r="F621" s="2"/>
    </row>
    <row r="622" ht="12.0" customHeight="1">
      <c r="A622" s="2"/>
      <c r="B622" s="2"/>
      <c r="C622" s="2"/>
      <c r="D622" s="2"/>
      <c r="E622" s="2"/>
      <c r="F622" s="2"/>
    </row>
    <row r="623" ht="12.0" customHeight="1">
      <c r="A623" s="2"/>
      <c r="B623" s="2"/>
      <c r="C623" s="2"/>
      <c r="D623" s="2"/>
      <c r="E623" s="2"/>
      <c r="F623" s="2"/>
    </row>
    <row r="624" ht="12.0" customHeight="1">
      <c r="A624" s="2"/>
      <c r="B624" s="2"/>
      <c r="C624" s="2"/>
      <c r="D624" s="2"/>
      <c r="E624" s="2"/>
      <c r="F624" s="2"/>
    </row>
    <row r="625" ht="12.0" customHeight="1">
      <c r="A625" s="2"/>
      <c r="B625" s="2"/>
      <c r="C625" s="2"/>
      <c r="D625" s="2"/>
      <c r="E625" s="2"/>
      <c r="F625" s="2"/>
    </row>
    <row r="626" ht="12.0" customHeight="1">
      <c r="A626" s="2"/>
      <c r="B626" s="2"/>
      <c r="C626" s="2"/>
      <c r="D626" s="2"/>
      <c r="E626" s="2"/>
      <c r="F626" s="2"/>
    </row>
    <row r="627" ht="12.0" customHeight="1">
      <c r="A627" s="2"/>
      <c r="B627" s="2"/>
      <c r="C627" s="2"/>
      <c r="D627" s="2"/>
      <c r="E627" s="2"/>
      <c r="F627" s="2"/>
    </row>
    <row r="628" ht="12.0" customHeight="1">
      <c r="A628" s="2"/>
      <c r="B628" s="2"/>
      <c r="C628" s="2"/>
      <c r="D628" s="2"/>
      <c r="E628" s="2"/>
      <c r="F628" s="2"/>
    </row>
    <row r="629" ht="12.0" customHeight="1">
      <c r="A629" s="2"/>
      <c r="B629" s="2"/>
      <c r="C629" s="2"/>
      <c r="D629" s="2"/>
      <c r="E629" s="2"/>
      <c r="F629" s="2"/>
    </row>
    <row r="630" ht="12.0" customHeight="1">
      <c r="A630" s="2"/>
      <c r="B630" s="2"/>
      <c r="C630" s="2"/>
      <c r="D630" s="2"/>
      <c r="E630" s="2"/>
      <c r="F630" s="2"/>
    </row>
    <row r="631" ht="12.0" customHeight="1">
      <c r="A631" s="2"/>
      <c r="B631" s="2"/>
      <c r="C631" s="2"/>
      <c r="D631" s="2"/>
      <c r="E631" s="2"/>
      <c r="F631" s="2"/>
    </row>
    <row r="632" ht="12.0" customHeight="1">
      <c r="A632" s="2"/>
      <c r="B632" s="2"/>
      <c r="C632" s="2"/>
      <c r="D632" s="2"/>
      <c r="E632" s="2"/>
      <c r="F632" s="2"/>
    </row>
    <row r="633" ht="12.0" customHeight="1">
      <c r="A633" s="2"/>
      <c r="B633" s="2"/>
      <c r="C633" s="2"/>
      <c r="D633" s="2"/>
      <c r="E633" s="2"/>
      <c r="F633" s="2"/>
    </row>
    <row r="634" ht="12.0" customHeight="1">
      <c r="A634" s="2"/>
      <c r="B634" s="2"/>
      <c r="C634" s="2"/>
      <c r="D634" s="2"/>
      <c r="E634" s="2"/>
      <c r="F634" s="2"/>
    </row>
    <row r="635" ht="12.0" customHeight="1">
      <c r="A635" s="2"/>
      <c r="B635" s="2"/>
      <c r="C635" s="2"/>
      <c r="D635" s="2"/>
      <c r="E635" s="2"/>
      <c r="F635" s="2"/>
    </row>
    <row r="636" ht="12.0" customHeight="1">
      <c r="A636" s="2"/>
      <c r="B636" s="2"/>
      <c r="C636" s="2"/>
      <c r="D636" s="2"/>
      <c r="E636" s="2"/>
      <c r="F636" s="2"/>
    </row>
    <row r="637" ht="12.0" customHeight="1">
      <c r="A637" s="2"/>
      <c r="B637" s="2"/>
      <c r="C637" s="2"/>
      <c r="D637" s="2"/>
      <c r="E637" s="2"/>
      <c r="F637" s="2"/>
    </row>
    <row r="638" ht="12.0" customHeight="1">
      <c r="A638" s="2"/>
      <c r="B638" s="2"/>
      <c r="C638" s="2"/>
      <c r="D638" s="2"/>
      <c r="E638" s="2"/>
      <c r="F638" s="2"/>
    </row>
    <row r="639" ht="12.0" customHeight="1">
      <c r="A639" s="2"/>
      <c r="B639" s="2"/>
      <c r="C639" s="2"/>
      <c r="D639" s="2"/>
      <c r="E639" s="2"/>
      <c r="F639" s="2"/>
    </row>
    <row r="640" ht="12.0" customHeight="1">
      <c r="A640" s="2"/>
      <c r="B640" s="2"/>
      <c r="C640" s="2"/>
      <c r="D640" s="2"/>
      <c r="E640" s="2"/>
      <c r="F640" s="2"/>
    </row>
    <row r="641" ht="12.0" customHeight="1">
      <c r="A641" s="2"/>
      <c r="B641" s="2"/>
      <c r="C641" s="2"/>
      <c r="D641" s="2"/>
      <c r="E641" s="2"/>
      <c r="F641" s="2"/>
    </row>
    <row r="642" ht="12.0" customHeight="1">
      <c r="A642" s="2"/>
      <c r="B642" s="2"/>
      <c r="C642" s="2"/>
      <c r="D642" s="2"/>
      <c r="E642" s="2"/>
      <c r="F642" s="2"/>
    </row>
    <row r="643" ht="12.0" customHeight="1">
      <c r="A643" s="2"/>
      <c r="B643" s="2"/>
      <c r="C643" s="2"/>
      <c r="D643" s="2"/>
      <c r="E643" s="2"/>
      <c r="F643" s="2"/>
    </row>
    <row r="644" ht="12.0" customHeight="1">
      <c r="A644" s="2"/>
      <c r="B644" s="2"/>
      <c r="C644" s="2"/>
      <c r="D644" s="2"/>
      <c r="E644" s="2"/>
      <c r="F644" s="2"/>
    </row>
    <row r="645" ht="12.0" customHeight="1">
      <c r="A645" s="2"/>
      <c r="B645" s="2"/>
      <c r="C645" s="2"/>
      <c r="D645" s="2"/>
      <c r="E645" s="2"/>
      <c r="F645" s="2"/>
    </row>
    <row r="646" ht="12.0" customHeight="1">
      <c r="A646" s="2"/>
      <c r="B646" s="2"/>
      <c r="C646" s="2"/>
      <c r="D646" s="2"/>
      <c r="E646" s="2"/>
      <c r="F646" s="2"/>
    </row>
    <row r="647" ht="12.0" customHeight="1">
      <c r="A647" s="2"/>
      <c r="B647" s="2"/>
      <c r="C647" s="2"/>
      <c r="D647" s="2"/>
      <c r="E647" s="2"/>
      <c r="F647" s="2"/>
    </row>
    <row r="648" ht="12.0" customHeight="1">
      <c r="A648" s="2"/>
      <c r="B648" s="2"/>
      <c r="C648" s="2"/>
      <c r="D648" s="2"/>
      <c r="E648" s="2"/>
      <c r="F648" s="2"/>
    </row>
    <row r="649" ht="12.0" customHeight="1">
      <c r="A649" s="2"/>
      <c r="B649" s="2"/>
      <c r="C649" s="2"/>
      <c r="D649" s="2"/>
      <c r="E649" s="2"/>
      <c r="F649" s="2"/>
    </row>
    <row r="650" ht="12.0" customHeight="1">
      <c r="A650" s="2"/>
      <c r="B650" s="2"/>
      <c r="C650" s="2"/>
      <c r="D650" s="2"/>
      <c r="E650" s="2"/>
      <c r="F650" s="2"/>
    </row>
    <row r="651" ht="12.0" customHeight="1">
      <c r="A651" s="2"/>
      <c r="B651" s="2"/>
      <c r="C651" s="2"/>
      <c r="D651" s="2"/>
      <c r="E651" s="2"/>
      <c r="F651" s="2"/>
    </row>
    <row r="652" ht="12.0" customHeight="1">
      <c r="A652" s="2"/>
      <c r="B652" s="2"/>
      <c r="C652" s="2"/>
      <c r="D652" s="2"/>
      <c r="E652" s="2"/>
      <c r="F652" s="2"/>
    </row>
    <row r="653" ht="12.0" customHeight="1">
      <c r="A653" s="2"/>
      <c r="B653" s="2"/>
      <c r="C653" s="2"/>
      <c r="D653" s="2"/>
      <c r="E653" s="2"/>
      <c r="F653" s="2"/>
    </row>
    <row r="654" ht="12.0" customHeight="1">
      <c r="A654" s="2"/>
      <c r="B654" s="2"/>
      <c r="C654" s="2"/>
      <c r="D654" s="2"/>
      <c r="E654" s="2"/>
      <c r="F654" s="2"/>
    </row>
    <row r="655" ht="12.0" customHeight="1">
      <c r="A655" s="2"/>
      <c r="B655" s="2"/>
      <c r="C655" s="2"/>
      <c r="D655" s="2"/>
      <c r="E655" s="2"/>
      <c r="F655" s="2"/>
    </row>
    <row r="656" ht="12.0" customHeight="1">
      <c r="A656" s="2"/>
      <c r="B656" s="2"/>
      <c r="C656" s="2"/>
      <c r="D656" s="2"/>
      <c r="E656" s="2"/>
      <c r="F656" s="2"/>
    </row>
    <row r="657" ht="12.0" customHeight="1">
      <c r="A657" s="2"/>
      <c r="B657" s="2"/>
      <c r="C657" s="2"/>
      <c r="D657" s="2"/>
      <c r="E657" s="2"/>
      <c r="F657" s="2"/>
    </row>
    <row r="658" ht="12.0" customHeight="1">
      <c r="A658" s="2"/>
      <c r="B658" s="2"/>
      <c r="C658" s="2"/>
      <c r="D658" s="2"/>
      <c r="E658" s="2"/>
      <c r="F658" s="2"/>
    </row>
    <row r="659" ht="12.0" customHeight="1">
      <c r="A659" s="2"/>
      <c r="B659" s="2"/>
      <c r="C659" s="2"/>
      <c r="D659" s="2"/>
      <c r="E659" s="2"/>
      <c r="F659" s="2"/>
    </row>
    <row r="660" ht="12.0" customHeight="1">
      <c r="A660" s="2"/>
      <c r="B660" s="2"/>
      <c r="C660" s="2"/>
      <c r="D660" s="2"/>
      <c r="E660" s="2"/>
      <c r="F660" s="2"/>
    </row>
    <row r="661" ht="12.0" customHeight="1">
      <c r="A661" s="2"/>
      <c r="B661" s="2"/>
      <c r="C661" s="2"/>
      <c r="D661" s="2"/>
      <c r="E661" s="2"/>
      <c r="F661" s="2"/>
    </row>
    <row r="662" ht="12.0" customHeight="1">
      <c r="A662" s="2"/>
      <c r="B662" s="2"/>
      <c r="C662" s="2"/>
      <c r="D662" s="2"/>
      <c r="E662" s="2"/>
      <c r="F662" s="2"/>
    </row>
    <row r="663" ht="12.0" customHeight="1">
      <c r="A663" s="2"/>
      <c r="B663" s="2"/>
      <c r="C663" s="2"/>
      <c r="D663" s="2"/>
      <c r="E663" s="2"/>
      <c r="F663" s="2"/>
    </row>
    <row r="664" ht="12.0" customHeight="1">
      <c r="A664" s="2"/>
      <c r="B664" s="2"/>
      <c r="C664" s="2"/>
      <c r="D664" s="2"/>
      <c r="E664" s="2"/>
      <c r="F664" s="2"/>
    </row>
    <row r="665" ht="12.0" customHeight="1">
      <c r="A665" s="2"/>
      <c r="B665" s="2"/>
      <c r="C665" s="2"/>
      <c r="D665" s="2"/>
      <c r="E665" s="2"/>
      <c r="F665" s="2"/>
    </row>
    <row r="666" ht="12.0" customHeight="1">
      <c r="A666" s="2"/>
      <c r="B666" s="2"/>
      <c r="C666" s="2"/>
      <c r="D666" s="2"/>
      <c r="E666" s="2"/>
      <c r="F666" s="2"/>
    </row>
    <row r="667" ht="12.0" customHeight="1">
      <c r="A667" s="2"/>
      <c r="B667" s="2"/>
      <c r="C667" s="2"/>
      <c r="D667" s="2"/>
      <c r="E667" s="2"/>
      <c r="F667" s="2"/>
    </row>
    <row r="668" ht="12.0" customHeight="1">
      <c r="A668" s="2"/>
      <c r="B668" s="2"/>
      <c r="C668" s="2"/>
      <c r="D668" s="2"/>
      <c r="E668" s="2"/>
      <c r="F668" s="2"/>
    </row>
    <row r="669" ht="12.0" customHeight="1">
      <c r="A669" s="2"/>
      <c r="B669" s="2"/>
      <c r="C669" s="2"/>
      <c r="D669" s="2"/>
      <c r="E669" s="2"/>
      <c r="F669" s="2"/>
    </row>
    <row r="670" ht="12.0" customHeight="1">
      <c r="A670" s="2"/>
      <c r="B670" s="2"/>
      <c r="C670" s="2"/>
      <c r="D670" s="2"/>
      <c r="E670" s="2"/>
      <c r="F670" s="2"/>
    </row>
    <row r="671" ht="12.0" customHeight="1">
      <c r="A671" s="2"/>
      <c r="B671" s="2"/>
      <c r="C671" s="2"/>
      <c r="D671" s="2"/>
      <c r="E671" s="2"/>
      <c r="F671" s="2"/>
    </row>
    <row r="672" ht="12.0" customHeight="1">
      <c r="A672" s="2"/>
      <c r="B672" s="2"/>
      <c r="C672" s="2"/>
      <c r="D672" s="2"/>
      <c r="E672" s="2"/>
      <c r="F672" s="2"/>
    </row>
    <row r="673" ht="12.0" customHeight="1">
      <c r="A673" s="2"/>
      <c r="B673" s="2"/>
      <c r="C673" s="2"/>
      <c r="D673" s="2"/>
      <c r="E673" s="2"/>
      <c r="F673" s="2"/>
    </row>
    <row r="674" ht="12.0" customHeight="1">
      <c r="A674" s="2"/>
      <c r="B674" s="2"/>
      <c r="C674" s="2"/>
      <c r="D674" s="2"/>
      <c r="E674" s="2"/>
      <c r="F674" s="2"/>
    </row>
    <row r="675" ht="12.0" customHeight="1">
      <c r="A675" s="2"/>
      <c r="B675" s="2"/>
      <c r="C675" s="2"/>
      <c r="D675" s="2"/>
      <c r="E675" s="2"/>
      <c r="F675" s="2"/>
    </row>
    <row r="676" ht="12.0" customHeight="1">
      <c r="A676" s="2"/>
      <c r="B676" s="2"/>
      <c r="C676" s="2"/>
      <c r="D676" s="2"/>
      <c r="E676" s="2"/>
      <c r="F676" s="2"/>
    </row>
    <row r="677" ht="12.0" customHeight="1">
      <c r="A677" s="2"/>
      <c r="B677" s="2"/>
      <c r="C677" s="2"/>
      <c r="D677" s="2"/>
      <c r="E677" s="2"/>
      <c r="F677" s="2"/>
    </row>
    <row r="678" ht="12.0" customHeight="1">
      <c r="A678" s="2"/>
      <c r="B678" s="2"/>
      <c r="C678" s="2"/>
      <c r="D678" s="2"/>
      <c r="E678" s="2"/>
      <c r="F678" s="2"/>
    </row>
    <row r="679" ht="12.0" customHeight="1">
      <c r="A679" s="2"/>
      <c r="B679" s="2"/>
      <c r="C679" s="2"/>
      <c r="D679" s="2"/>
      <c r="E679" s="2"/>
      <c r="F679" s="2"/>
    </row>
    <row r="680" ht="12.0" customHeight="1">
      <c r="A680" s="2"/>
      <c r="B680" s="2"/>
      <c r="C680" s="2"/>
      <c r="D680" s="2"/>
      <c r="E680" s="2"/>
      <c r="F680" s="2"/>
    </row>
    <row r="681" ht="12.0" customHeight="1">
      <c r="A681" s="2"/>
      <c r="B681" s="2"/>
      <c r="C681" s="2"/>
      <c r="D681" s="2"/>
      <c r="E681" s="2"/>
      <c r="F681" s="2"/>
    </row>
    <row r="682" ht="12.0" customHeight="1">
      <c r="A682" s="2"/>
      <c r="B682" s="2"/>
      <c r="C682" s="2"/>
      <c r="D682" s="2"/>
      <c r="E682" s="2"/>
      <c r="F682" s="2"/>
    </row>
    <row r="683" ht="12.0" customHeight="1">
      <c r="A683" s="2"/>
      <c r="B683" s="2"/>
      <c r="C683" s="2"/>
      <c r="D683" s="2"/>
      <c r="E683" s="2"/>
      <c r="F683" s="2"/>
    </row>
    <row r="684" ht="12.0" customHeight="1">
      <c r="A684" s="2"/>
      <c r="B684" s="2"/>
      <c r="C684" s="2"/>
      <c r="D684" s="2"/>
      <c r="E684" s="2"/>
      <c r="F684" s="2"/>
    </row>
    <row r="685" ht="12.0" customHeight="1">
      <c r="A685" s="2"/>
      <c r="B685" s="2"/>
      <c r="C685" s="2"/>
      <c r="D685" s="2"/>
      <c r="E685" s="2"/>
      <c r="F685" s="2"/>
    </row>
    <row r="686" ht="12.0" customHeight="1">
      <c r="A686" s="2"/>
      <c r="B686" s="2"/>
      <c r="C686" s="2"/>
      <c r="D686" s="2"/>
      <c r="E686" s="2"/>
      <c r="F686" s="2"/>
    </row>
    <row r="687" ht="12.0" customHeight="1">
      <c r="A687" s="2"/>
      <c r="B687" s="2"/>
      <c r="C687" s="2"/>
      <c r="D687" s="2"/>
      <c r="E687" s="2"/>
      <c r="F687" s="2"/>
    </row>
    <row r="688" ht="12.0" customHeight="1">
      <c r="A688" s="2"/>
      <c r="B688" s="2"/>
      <c r="C688" s="2"/>
      <c r="D688" s="2"/>
      <c r="E688" s="2"/>
      <c r="F688" s="2"/>
    </row>
    <row r="689" ht="12.0" customHeight="1">
      <c r="A689" s="2"/>
      <c r="B689" s="2"/>
      <c r="C689" s="2"/>
      <c r="D689" s="2"/>
      <c r="E689" s="2"/>
      <c r="F689" s="2"/>
    </row>
    <row r="690" ht="12.0" customHeight="1">
      <c r="A690" s="2"/>
      <c r="B690" s="2"/>
      <c r="C690" s="2"/>
      <c r="D690" s="2"/>
      <c r="E690" s="2"/>
      <c r="F690" s="2"/>
    </row>
    <row r="691" ht="12.0" customHeight="1">
      <c r="A691" s="2"/>
      <c r="B691" s="2"/>
      <c r="C691" s="2"/>
      <c r="D691" s="2"/>
      <c r="E691" s="2"/>
      <c r="F691" s="2"/>
    </row>
    <row r="692" ht="12.0" customHeight="1">
      <c r="A692" s="2"/>
      <c r="B692" s="2"/>
      <c r="C692" s="2"/>
      <c r="D692" s="2"/>
      <c r="E692" s="2"/>
      <c r="F692" s="2"/>
    </row>
    <row r="693" ht="12.0" customHeight="1">
      <c r="A693" s="2"/>
      <c r="B693" s="2"/>
      <c r="C693" s="2"/>
      <c r="D693" s="2"/>
      <c r="E693" s="2"/>
      <c r="F693" s="2"/>
    </row>
    <row r="694" ht="12.0" customHeight="1">
      <c r="A694" s="2"/>
      <c r="B694" s="2"/>
      <c r="C694" s="2"/>
      <c r="D694" s="2"/>
      <c r="E694" s="2"/>
      <c r="F694" s="2"/>
    </row>
    <row r="695" ht="12.0" customHeight="1">
      <c r="A695" s="2"/>
      <c r="B695" s="2"/>
      <c r="C695" s="2"/>
      <c r="D695" s="2"/>
      <c r="E695" s="2"/>
      <c r="F695" s="2"/>
    </row>
    <row r="696" ht="12.0" customHeight="1">
      <c r="A696" s="2"/>
      <c r="B696" s="2"/>
      <c r="C696" s="2"/>
      <c r="D696" s="2"/>
      <c r="E696" s="2"/>
      <c r="F696" s="2"/>
    </row>
    <row r="697" ht="12.0" customHeight="1">
      <c r="A697" s="2"/>
      <c r="B697" s="2"/>
      <c r="C697" s="2"/>
      <c r="D697" s="2"/>
      <c r="E697" s="2"/>
      <c r="F697" s="2"/>
    </row>
    <row r="698" ht="12.0" customHeight="1">
      <c r="A698" s="2"/>
      <c r="B698" s="2"/>
      <c r="C698" s="2"/>
      <c r="D698" s="2"/>
      <c r="E698" s="2"/>
      <c r="F698" s="2"/>
    </row>
    <row r="699" ht="12.0" customHeight="1">
      <c r="A699" s="2"/>
      <c r="B699" s="2"/>
      <c r="C699" s="2"/>
      <c r="D699" s="2"/>
      <c r="E699" s="2"/>
      <c r="F699" s="2"/>
    </row>
    <row r="700" ht="12.0" customHeight="1">
      <c r="A700" s="2"/>
      <c r="B700" s="2"/>
      <c r="C700" s="2"/>
      <c r="D700" s="2"/>
      <c r="E700" s="2"/>
      <c r="F700" s="2"/>
    </row>
    <row r="701" ht="12.0" customHeight="1">
      <c r="A701" s="2"/>
      <c r="B701" s="2"/>
      <c r="C701" s="2"/>
      <c r="D701" s="2"/>
      <c r="E701" s="2"/>
      <c r="F701" s="2"/>
    </row>
    <row r="702" ht="12.0" customHeight="1">
      <c r="A702" s="2"/>
      <c r="B702" s="2"/>
      <c r="C702" s="2"/>
      <c r="D702" s="2"/>
      <c r="E702" s="2"/>
      <c r="F702" s="2"/>
    </row>
    <row r="703" ht="12.0" customHeight="1">
      <c r="A703" s="2"/>
      <c r="B703" s="2"/>
      <c r="C703" s="2"/>
      <c r="D703" s="2"/>
      <c r="E703" s="2"/>
      <c r="F703" s="2"/>
    </row>
    <row r="704" ht="12.0" customHeight="1">
      <c r="A704" s="2"/>
      <c r="B704" s="2"/>
      <c r="C704" s="2"/>
      <c r="D704" s="2"/>
      <c r="E704" s="2"/>
      <c r="F704" s="2"/>
    </row>
    <row r="705" ht="12.0" customHeight="1">
      <c r="A705" s="2"/>
      <c r="B705" s="2"/>
      <c r="C705" s="2"/>
      <c r="D705" s="2"/>
      <c r="E705" s="2"/>
      <c r="F705" s="2"/>
    </row>
    <row r="706" ht="12.0" customHeight="1">
      <c r="A706" s="2"/>
      <c r="B706" s="2"/>
      <c r="C706" s="2"/>
      <c r="D706" s="2"/>
      <c r="E706" s="2"/>
      <c r="F706" s="2"/>
    </row>
    <row r="707" ht="12.0" customHeight="1">
      <c r="A707" s="2"/>
      <c r="B707" s="2"/>
      <c r="C707" s="2"/>
      <c r="D707" s="2"/>
      <c r="E707" s="2"/>
      <c r="F707" s="2"/>
    </row>
    <row r="708" ht="12.0" customHeight="1">
      <c r="A708" s="2"/>
      <c r="B708" s="2"/>
      <c r="C708" s="2"/>
      <c r="D708" s="2"/>
      <c r="E708" s="2"/>
      <c r="F708" s="2"/>
    </row>
    <row r="709" ht="12.0" customHeight="1">
      <c r="A709" s="2"/>
      <c r="B709" s="2"/>
      <c r="C709" s="2"/>
      <c r="D709" s="2"/>
      <c r="E709" s="2"/>
      <c r="F709" s="2"/>
    </row>
    <row r="710" ht="12.0" customHeight="1">
      <c r="A710" s="2"/>
      <c r="B710" s="2"/>
      <c r="C710" s="2"/>
      <c r="D710" s="2"/>
      <c r="E710" s="2"/>
      <c r="F710" s="2"/>
    </row>
    <row r="711" ht="12.0" customHeight="1">
      <c r="A711" s="2"/>
      <c r="B711" s="2"/>
      <c r="C711" s="2"/>
      <c r="D711" s="2"/>
      <c r="E711" s="2"/>
      <c r="F711" s="2"/>
    </row>
    <row r="712" ht="12.0" customHeight="1">
      <c r="A712" s="2"/>
      <c r="B712" s="2"/>
      <c r="C712" s="2"/>
      <c r="D712" s="2"/>
      <c r="E712" s="2"/>
      <c r="F712" s="2"/>
    </row>
    <row r="713" ht="12.0" customHeight="1">
      <c r="A713" s="2"/>
      <c r="B713" s="2"/>
      <c r="C713" s="2"/>
      <c r="D713" s="2"/>
      <c r="E713" s="2"/>
      <c r="F713" s="2"/>
    </row>
    <row r="714" ht="12.0" customHeight="1">
      <c r="A714" s="2"/>
      <c r="B714" s="2"/>
      <c r="C714" s="2"/>
      <c r="D714" s="2"/>
      <c r="E714" s="2"/>
      <c r="F714" s="2"/>
    </row>
    <row r="715" ht="12.0" customHeight="1">
      <c r="A715" s="2"/>
      <c r="B715" s="2"/>
      <c r="C715" s="2"/>
      <c r="D715" s="2"/>
      <c r="E715" s="2"/>
      <c r="F715" s="2"/>
    </row>
    <row r="716" ht="12.0" customHeight="1">
      <c r="A716" s="2"/>
      <c r="B716" s="2"/>
      <c r="C716" s="2"/>
      <c r="D716" s="2"/>
      <c r="E716" s="2"/>
      <c r="F716" s="2"/>
    </row>
    <row r="717" ht="12.0" customHeight="1">
      <c r="A717" s="2"/>
      <c r="B717" s="2"/>
      <c r="C717" s="2"/>
      <c r="D717" s="2"/>
      <c r="E717" s="2"/>
      <c r="F717" s="2"/>
    </row>
    <row r="718" ht="12.0" customHeight="1">
      <c r="A718" s="2"/>
      <c r="B718" s="2"/>
      <c r="C718" s="2"/>
      <c r="D718" s="2"/>
      <c r="E718" s="2"/>
      <c r="F718" s="2"/>
    </row>
    <row r="719" ht="12.0" customHeight="1">
      <c r="A719" s="2"/>
      <c r="B719" s="2"/>
      <c r="C719" s="2"/>
      <c r="D719" s="2"/>
      <c r="E719" s="2"/>
      <c r="F719" s="2"/>
    </row>
    <row r="720" ht="12.0" customHeight="1">
      <c r="A720" s="2"/>
      <c r="B720" s="2"/>
      <c r="C720" s="2"/>
      <c r="D720" s="2"/>
      <c r="E720" s="2"/>
      <c r="F720" s="2"/>
    </row>
    <row r="721" ht="12.0" customHeight="1">
      <c r="A721" s="2"/>
      <c r="B721" s="2"/>
      <c r="C721" s="2"/>
      <c r="D721" s="2"/>
      <c r="E721" s="2"/>
      <c r="F721" s="2"/>
    </row>
    <row r="722" ht="12.0" customHeight="1">
      <c r="A722" s="2"/>
      <c r="B722" s="2"/>
      <c r="C722" s="2"/>
      <c r="D722" s="2"/>
      <c r="E722" s="2"/>
      <c r="F722" s="2"/>
    </row>
    <row r="723" ht="12.0" customHeight="1">
      <c r="A723" s="2"/>
      <c r="B723" s="2"/>
      <c r="C723" s="2"/>
      <c r="D723" s="2"/>
      <c r="E723" s="2"/>
      <c r="F723" s="2"/>
    </row>
    <row r="724" ht="12.0" customHeight="1">
      <c r="A724" s="2"/>
      <c r="B724" s="2"/>
      <c r="C724" s="2"/>
      <c r="D724" s="2"/>
      <c r="E724" s="2"/>
      <c r="F724" s="2"/>
    </row>
    <row r="725" ht="12.0" customHeight="1">
      <c r="A725" s="2"/>
      <c r="B725" s="2"/>
      <c r="C725" s="2"/>
      <c r="D725" s="2"/>
      <c r="E725" s="2"/>
      <c r="F725" s="2"/>
    </row>
    <row r="726" ht="12.0" customHeight="1">
      <c r="A726" s="2"/>
      <c r="B726" s="2"/>
      <c r="C726" s="2"/>
      <c r="D726" s="2"/>
      <c r="E726" s="2"/>
      <c r="F726" s="2"/>
    </row>
    <row r="727" ht="12.0" customHeight="1">
      <c r="A727" s="2"/>
      <c r="B727" s="2"/>
      <c r="C727" s="2"/>
      <c r="D727" s="2"/>
      <c r="E727" s="2"/>
      <c r="F727" s="2"/>
    </row>
    <row r="728" ht="12.0" customHeight="1">
      <c r="A728" s="2"/>
      <c r="B728" s="2"/>
      <c r="C728" s="2"/>
      <c r="D728" s="2"/>
      <c r="E728" s="2"/>
      <c r="F728" s="2"/>
    </row>
    <row r="729" ht="12.0" customHeight="1">
      <c r="A729" s="2"/>
      <c r="B729" s="2"/>
      <c r="C729" s="2"/>
      <c r="D729" s="2"/>
      <c r="E729" s="2"/>
      <c r="F729" s="2"/>
    </row>
    <row r="730" ht="12.0" customHeight="1">
      <c r="A730" s="2"/>
      <c r="B730" s="2"/>
      <c r="C730" s="2"/>
      <c r="D730" s="2"/>
      <c r="E730" s="2"/>
      <c r="F730" s="2"/>
    </row>
    <row r="731" ht="12.0" customHeight="1">
      <c r="A731" s="2"/>
      <c r="B731" s="2"/>
      <c r="C731" s="2"/>
      <c r="D731" s="2"/>
      <c r="E731" s="2"/>
      <c r="F731" s="2"/>
    </row>
    <row r="732" ht="12.0" customHeight="1">
      <c r="A732" s="2"/>
      <c r="B732" s="2"/>
      <c r="C732" s="2"/>
      <c r="D732" s="2"/>
      <c r="E732" s="2"/>
      <c r="F732" s="2"/>
    </row>
    <row r="733" ht="12.0" customHeight="1">
      <c r="A733" s="2"/>
      <c r="B733" s="2"/>
      <c r="C733" s="2"/>
      <c r="D733" s="2"/>
      <c r="E733" s="2"/>
      <c r="F733" s="2"/>
    </row>
    <row r="734" ht="12.0" customHeight="1">
      <c r="A734" s="2"/>
      <c r="B734" s="2"/>
      <c r="C734" s="2"/>
      <c r="D734" s="2"/>
      <c r="E734" s="2"/>
      <c r="F734" s="2"/>
    </row>
    <row r="735" ht="12.0" customHeight="1">
      <c r="A735" s="2"/>
      <c r="B735" s="2"/>
      <c r="C735" s="2"/>
      <c r="D735" s="2"/>
      <c r="E735" s="2"/>
      <c r="F735" s="2"/>
    </row>
    <row r="736" ht="12.0" customHeight="1">
      <c r="A736" s="2"/>
      <c r="B736" s="2"/>
      <c r="C736" s="2"/>
      <c r="D736" s="2"/>
      <c r="E736" s="2"/>
      <c r="F736" s="2"/>
    </row>
    <row r="737" ht="12.0" customHeight="1">
      <c r="A737" s="2"/>
      <c r="B737" s="2"/>
      <c r="C737" s="2"/>
      <c r="D737" s="2"/>
      <c r="E737" s="2"/>
      <c r="F737" s="2"/>
    </row>
    <row r="738" ht="12.0" customHeight="1">
      <c r="A738" s="2"/>
      <c r="B738" s="2"/>
      <c r="C738" s="2"/>
      <c r="D738" s="2"/>
      <c r="E738" s="2"/>
      <c r="F738" s="2"/>
    </row>
    <row r="739" ht="12.0" customHeight="1">
      <c r="A739" s="2"/>
      <c r="B739" s="2"/>
      <c r="C739" s="2"/>
      <c r="D739" s="2"/>
      <c r="E739" s="2"/>
      <c r="F739" s="2"/>
    </row>
    <row r="740" ht="12.0" customHeight="1">
      <c r="A740" s="2"/>
      <c r="B740" s="2"/>
      <c r="C740" s="2"/>
      <c r="D740" s="2"/>
      <c r="E740" s="2"/>
      <c r="F740" s="2"/>
    </row>
    <row r="741" ht="12.0" customHeight="1">
      <c r="A741" s="2"/>
      <c r="B741" s="2"/>
      <c r="C741" s="2"/>
      <c r="D741" s="2"/>
      <c r="E741" s="2"/>
      <c r="F741" s="2"/>
    </row>
    <row r="742" ht="12.0" customHeight="1">
      <c r="A742" s="2"/>
      <c r="B742" s="2"/>
      <c r="C742" s="2"/>
      <c r="D742" s="2"/>
      <c r="E742" s="2"/>
      <c r="F742" s="2"/>
    </row>
    <row r="743" ht="12.0" customHeight="1">
      <c r="A743" s="2"/>
      <c r="B743" s="2"/>
      <c r="C743" s="2"/>
      <c r="D743" s="2"/>
      <c r="E743" s="2"/>
      <c r="F743" s="2"/>
    </row>
    <row r="744" ht="12.0" customHeight="1">
      <c r="A744" s="2"/>
      <c r="B744" s="2"/>
      <c r="C744" s="2"/>
      <c r="D744" s="2"/>
      <c r="E744" s="2"/>
      <c r="F744" s="2"/>
    </row>
    <row r="745" ht="12.0" customHeight="1">
      <c r="A745" s="2"/>
      <c r="B745" s="2"/>
      <c r="C745" s="2"/>
      <c r="D745" s="2"/>
      <c r="E745" s="2"/>
      <c r="F745" s="2"/>
    </row>
    <row r="746" ht="12.0" customHeight="1">
      <c r="A746" s="2"/>
      <c r="B746" s="2"/>
      <c r="C746" s="2"/>
      <c r="D746" s="2"/>
      <c r="E746" s="2"/>
      <c r="F746" s="2"/>
    </row>
    <row r="747" ht="12.0" customHeight="1">
      <c r="A747" s="2"/>
      <c r="B747" s="2"/>
      <c r="C747" s="2"/>
      <c r="D747" s="2"/>
      <c r="E747" s="2"/>
      <c r="F747" s="2"/>
    </row>
    <row r="748" ht="12.0" customHeight="1">
      <c r="A748" s="2"/>
      <c r="B748" s="2"/>
      <c r="C748" s="2"/>
      <c r="D748" s="2"/>
      <c r="E748" s="2"/>
      <c r="F748" s="2"/>
    </row>
    <row r="749" ht="12.0" customHeight="1">
      <c r="A749" s="2"/>
      <c r="B749" s="2"/>
      <c r="C749" s="2"/>
      <c r="D749" s="2"/>
      <c r="E749" s="2"/>
      <c r="F749" s="2"/>
    </row>
    <row r="750" ht="12.0" customHeight="1">
      <c r="A750" s="2"/>
      <c r="B750" s="2"/>
      <c r="C750" s="2"/>
      <c r="D750" s="2"/>
      <c r="E750" s="2"/>
      <c r="F750" s="2"/>
    </row>
    <row r="751" ht="12.0" customHeight="1">
      <c r="A751" s="2"/>
      <c r="B751" s="2"/>
      <c r="C751" s="2"/>
      <c r="D751" s="2"/>
      <c r="E751" s="2"/>
      <c r="F751" s="2"/>
    </row>
    <row r="752" ht="12.0" customHeight="1">
      <c r="A752" s="2"/>
      <c r="B752" s="2"/>
      <c r="C752" s="2"/>
      <c r="D752" s="2"/>
      <c r="E752" s="2"/>
      <c r="F752" s="2"/>
    </row>
    <row r="753" ht="12.0" customHeight="1">
      <c r="A753" s="2"/>
      <c r="B753" s="2"/>
      <c r="C753" s="2"/>
      <c r="D753" s="2"/>
      <c r="E753" s="2"/>
      <c r="F753" s="2"/>
    </row>
    <row r="754" ht="12.0" customHeight="1">
      <c r="A754" s="2"/>
      <c r="B754" s="2"/>
      <c r="C754" s="2"/>
      <c r="D754" s="2"/>
      <c r="E754" s="2"/>
      <c r="F754" s="2"/>
    </row>
    <row r="755" ht="12.0" customHeight="1">
      <c r="A755" s="2"/>
      <c r="B755" s="2"/>
      <c r="C755" s="2"/>
      <c r="D755" s="2"/>
      <c r="E755" s="2"/>
      <c r="F755" s="2"/>
    </row>
    <row r="756" ht="12.0" customHeight="1">
      <c r="A756" s="2"/>
      <c r="B756" s="2"/>
      <c r="C756" s="2"/>
      <c r="D756" s="2"/>
      <c r="E756" s="2"/>
      <c r="F756" s="2"/>
    </row>
    <row r="757" ht="12.0" customHeight="1">
      <c r="A757" s="2"/>
      <c r="B757" s="2"/>
      <c r="C757" s="2"/>
      <c r="D757" s="2"/>
      <c r="E757" s="2"/>
      <c r="F757" s="2"/>
    </row>
    <row r="758" ht="12.0" customHeight="1">
      <c r="A758" s="2"/>
      <c r="B758" s="2"/>
      <c r="C758" s="2"/>
      <c r="D758" s="2"/>
      <c r="E758" s="2"/>
      <c r="F758" s="2"/>
    </row>
    <row r="759" ht="12.0" customHeight="1">
      <c r="A759" s="2"/>
      <c r="B759" s="2"/>
      <c r="C759" s="2"/>
      <c r="D759" s="2"/>
      <c r="E759" s="2"/>
      <c r="F759" s="2"/>
    </row>
    <row r="760" ht="12.0" customHeight="1">
      <c r="A760" s="2"/>
      <c r="B760" s="2"/>
      <c r="C760" s="2"/>
      <c r="D760" s="2"/>
      <c r="E760" s="2"/>
      <c r="F760" s="2"/>
    </row>
    <row r="761" ht="12.0" customHeight="1">
      <c r="A761" s="2"/>
      <c r="B761" s="2"/>
      <c r="C761" s="2"/>
      <c r="D761" s="2"/>
      <c r="E761" s="2"/>
      <c r="F761" s="2"/>
    </row>
    <row r="762" ht="12.0" customHeight="1">
      <c r="A762" s="2"/>
      <c r="B762" s="2"/>
      <c r="C762" s="2"/>
      <c r="D762" s="2"/>
      <c r="E762" s="2"/>
      <c r="F762" s="2"/>
    </row>
    <row r="763" ht="12.0" customHeight="1">
      <c r="A763" s="2"/>
      <c r="B763" s="2"/>
      <c r="C763" s="2"/>
      <c r="D763" s="2"/>
      <c r="E763" s="2"/>
      <c r="F763" s="2"/>
    </row>
    <row r="764" ht="12.0" customHeight="1">
      <c r="A764" s="2"/>
      <c r="B764" s="2"/>
      <c r="C764" s="2"/>
      <c r="D764" s="2"/>
      <c r="E764" s="2"/>
      <c r="F764" s="2"/>
    </row>
    <row r="765" ht="12.0" customHeight="1">
      <c r="A765" s="2"/>
      <c r="B765" s="2"/>
      <c r="C765" s="2"/>
      <c r="D765" s="2"/>
      <c r="E765" s="2"/>
      <c r="F765" s="2"/>
    </row>
    <row r="766" ht="12.0" customHeight="1">
      <c r="A766" s="2"/>
      <c r="B766" s="2"/>
      <c r="C766" s="2"/>
      <c r="D766" s="2"/>
      <c r="E766" s="2"/>
      <c r="F766" s="2"/>
    </row>
    <row r="767" ht="12.0" customHeight="1">
      <c r="A767" s="2"/>
      <c r="B767" s="2"/>
      <c r="C767" s="2"/>
      <c r="D767" s="2"/>
      <c r="E767" s="2"/>
      <c r="F767" s="2"/>
    </row>
    <row r="768" ht="12.0" customHeight="1">
      <c r="A768" s="2"/>
      <c r="B768" s="2"/>
      <c r="C768" s="2"/>
      <c r="D768" s="2"/>
      <c r="E768" s="2"/>
      <c r="F768" s="2"/>
    </row>
    <row r="769" ht="12.0" customHeight="1">
      <c r="A769" s="2"/>
      <c r="B769" s="2"/>
      <c r="C769" s="2"/>
      <c r="D769" s="2"/>
      <c r="E769" s="2"/>
      <c r="F769" s="2"/>
    </row>
    <row r="770" ht="12.0" customHeight="1">
      <c r="A770" s="2"/>
      <c r="B770" s="2"/>
      <c r="C770" s="2"/>
      <c r="D770" s="2"/>
      <c r="E770" s="2"/>
      <c r="F770" s="2"/>
    </row>
    <row r="771" ht="12.0" customHeight="1">
      <c r="A771" s="2"/>
      <c r="B771" s="2"/>
      <c r="C771" s="2"/>
      <c r="D771" s="2"/>
      <c r="E771" s="2"/>
      <c r="F771" s="2"/>
    </row>
    <row r="772" ht="12.0" customHeight="1">
      <c r="A772" s="2"/>
      <c r="B772" s="2"/>
      <c r="C772" s="2"/>
      <c r="D772" s="2"/>
      <c r="E772" s="2"/>
      <c r="F772" s="2"/>
    </row>
    <row r="773" ht="12.0" customHeight="1">
      <c r="A773" s="2"/>
      <c r="B773" s="2"/>
      <c r="C773" s="2"/>
      <c r="D773" s="2"/>
      <c r="E773" s="2"/>
      <c r="F773" s="2"/>
    </row>
    <row r="774" ht="12.0" customHeight="1">
      <c r="A774" s="2"/>
      <c r="B774" s="2"/>
      <c r="C774" s="2"/>
      <c r="D774" s="2"/>
      <c r="E774" s="2"/>
      <c r="F774" s="2"/>
    </row>
    <row r="775" ht="12.0" customHeight="1">
      <c r="A775" s="2"/>
      <c r="B775" s="2"/>
      <c r="C775" s="2"/>
      <c r="D775" s="2"/>
      <c r="E775" s="2"/>
      <c r="F775" s="2"/>
    </row>
    <row r="776" ht="12.0" customHeight="1">
      <c r="A776" s="2"/>
      <c r="B776" s="2"/>
      <c r="C776" s="2"/>
      <c r="D776" s="2"/>
      <c r="E776" s="2"/>
      <c r="F776" s="2"/>
    </row>
    <row r="777" ht="12.0" customHeight="1">
      <c r="A777" s="2"/>
      <c r="B777" s="2"/>
      <c r="C777" s="2"/>
      <c r="D777" s="2"/>
      <c r="E777" s="2"/>
      <c r="F777" s="2"/>
    </row>
    <row r="778" ht="12.0" customHeight="1">
      <c r="A778" s="2"/>
      <c r="B778" s="2"/>
      <c r="C778" s="2"/>
      <c r="D778" s="2"/>
      <c r="E778" s="2"/>
      <c r="F778" s="2"/>
    </row>
    <row r="779" ht="12.0" customHeight="1">
      <c r="A779" s="2"/>
      <c r="B779" s="2"/>
      <c r="C779" s="2"/>
      <c r="D779" s="2"/>
      <c r="E779" s="2"/>
      <c r="F779" s="2"/>
    </row>
    <row r="780" ht="12.0" customHeight="1">
      <c r="A780" s="2"/>
      <c r="B780" s="2"/>
      <c r="C780" s="2"/>
      <c r="D780" s="2"/>
      <c r="E780" s="2"/>
      <c r="F780" s="2"/>
    </row>
    <row r="781" ht="12.0" customHeight="1">
      <c r="A781" s="2"/>
      <c r="B781" s="2"/>
      <c r="C781" s="2"/>
      <c r="D781" s="2"/>
      <c r="E781" s="2"/>
      <c r="F781" s="2"/>
    </row>
    <row r="782" ht="12.0" customHeight="1">
      <c r="A782" s="2"/>
      <c r="B782" s="2"/>
      <c r="C782" s="2"/>
      <c r="D782" s="2"/>
      <c r="E782" s="2"/>
      <c r="F782" s="2"/>
    </row>
    <row r="783" ht="12.0" customHeight="1">
      <c r="A783" s="2"/>
      <c r="B783" s="2"/>
      <c r="C783" s="2"/>
      <c r="D783" s="2"/>
      <c r="E783" s="2"/>
      <c r="F783" s="2"/>
    </row>
    <row r="784" ht="12.0" customHeight="1">
      <c r="A784" s="2"/>
      <c r="B784" s="2"/>
      <c r="C784" s="2"/>
      <c r="D784" s="2"/>
      <c r="E784" s="2"/>
      <c r="F784" s="2"/>
    </row>
    <row r="785" ht="12.0" customHeight="1">
      <c r="A785" s="2"/>
      <c r="B785" s="2"/>
      <c r="C785" s="2"/>
      <c r="D785" s="2"/>
      <c r="E785" s="2"/>
      <c r="F785" s="2"/>
    </row>
    <row r="786" ht="12.0" customHeight="1">
      <c r="A786" s="2"/>
      <c r="B786" s="2"/>
      <c r="C786" s="2"/>
      <c r="D786" s="2"/>
      <c r="E786" s="2"/>
      <c r="F786" s="2"/>
    </row>
    <row r="787" ht="12.0" customHeight="1">
      <c r="A787" s="2"/>
      <c r="B787" s="2"/>
      <c r="C787" s="2"/>
      <c r="D787" s="2"/>
      <c r="E787" s="2"/>
      <c r="F787" s="2"/>
    </row>
    <row r="788" ht="12.0" customHeight="1">
      <c r="A788" s="2"/>
      <c r="B788" s="2"/>
      <c r="C788" s="2"/>
      <c r="D788" s="2"/>
      <c r="E788" s="2"/>
      <c r="F788" s="2"/>
    </row>
    <row r="789" ht="12.0" customHeight="1">
      <c r="A789" s="2"/>
      <c r="B789" s="2"/>
      <c r="C789" s="2"/>
      <c r="D789" s="2"/>
      <c r="E789" s="2"/>
      <c r="F789" s="2"/>
    </row>
    <row r="790" ht="12.0" customHeight="1">
      <c r="A790" s="2"/>
      <c r="B790" s="2"/>
      <c r="C790" s="2"/>
      <c r="D790" s="2"/>
      <c r="E790" s="2"/>
      <c r="F790" s="2"/>
    </row>
    <row r="791" ht="12.0" customHeight="1">
      <c r="A791" s="2"/>
      <c r="B791" s="2"/>
      <c r="C791" s="2"/>
      <c r="D791" s="2"/>
      <c r="E791" s="2"/>
      <c r="F791" s="2"/>
    </row>
    <row r="792" ht="12.0" customHeight="1">
      <c r="A792" s="2"/>
      <c r="B792" s="2"/>
      <c r="C792" s="2"/>
      <c r="D792" s="2"/>
      <c r="E792" s="2"/>
      <c r="F792" s="2"/>
    </row>
    <row r="793" ht="12.0" customHeight="1">
      <c r="A793" s="2"/>
      <c r="B793" s="2"/>
      <c r="C793" s="2"/>
      <c r="D793" s="2"/>
      <c r="E793" s="2"/>
      <c r="F793" s="2"/>
    </row>
    <row r="794" ht="12.0" customHeight="1">
      <c r="A794" s="2"/>
      <c r="B794" s="2"/>
      <c r="C794" s="2"/>
      <c r="D794" s="2"/>
      <c r="E794" s="2"/>
      <c r="F794" s="2"/>
    </row>
    <row r="795" ht="12.0" customHeight="1">
      <c r="A795" s="2"/>
      <c r="B795" s="2"/>
      <c r="C795" s="2"/>
      <c r="D795" s="2"/>
      <c r="E795" s="2"/>
      <c r="F795" s="2"/>
    </row>
    <row r="796" ht="12.0" customHeight="1">
      <c r="A796" s="2"/>
      <c r="B796" s="2"/>
      <c r="C796" s="2"/>
      <c r="D796" s="2"/>
      <c r="E796" s="2"/>
      <c r="F796" s="2"/>
    </row>
    <row r="797" ht="12.0" customHeight="1">
      <c r="A797" s="2"/>
      <c r="B797" s="2"/>
      <c r="C797" s="2"/>
      <c r="D797" s="2"/>
      <c r="E797" s="2"/>
      <c r="F797" s="2"/>
    </row>
    <row r="798" ht="12.0" customHeight="1">
      <c r="A798" s="2"/>
      <c r="B798" s="2"/>
      <c r="C798" s="2"/>
      <c r="D798" s="2"/>
      <c r="E798" s="2"/>
      <c r="F798" s="2"/>
    </row>
    <row r="799" ht="12.0" customHeight="1">
      <c r="A799" s="2"/>
      <c r="B799" s="2"/>
      <c r="C799" s="2"/>
      <c r="D799" s="2"/>
      <c r="E799" s="2"/>
      <c r="F799" s="2"/>
    </row>
    <row r="800" ht="12.0" customHeight="1">
      <c r="A800" s="2"/>
      <c r="B800" s="2"/>
      <c r="C800" s="2"/>
      <c r="D800" s="2"/>
      <c r="E800" s="2"/>
      <c r="F800" s="2"/>
    </row>
    <row r="801" ht="12.0" customHeight="1">
      <c r="A801" s="2"/>
      <c r="B801" s="2"/>
      <c r="C801" s="2"/>
      <c r="D801" s="2"/>
      <c r="E801" s="2"/>
      <c r="F801" s="2"/>
    </row>
    <row r="802" ht="12.0" customHeight="1">
      <c r="A802" s="2"/>
      <c r="B802" s="2"/>
      <c r="C802" s="2"/>
      <c r="D802" s="2"/>
      <c r="E802" s="2"/>
      <c r="F802" s="2"/>
    </row>
    <row r="803" ht="12.0" customHeight="1">
      <c r="A803" s="2"/>
      <c r="B803" s="2"/>
      <c r="C803" s="2"/>
      <c r="D803" s="2"/>
      <c r="E803" s="2"/>
      <c r="F803" s="2"/>
    </row>
    <row r="804" ht="12.0" customHeight="1">
      <c r="A804" s="2"/>
      <c r="B804" s="2"/>
      <c r="C804" s="2"/>
      <c r="D804" s="2"/>
      <c r="E804" s="2"/>
      <c r="F804" s="2"/>
    </row>
    <row r="805" ht="12.0" customHeight="1">
      <c r="A805" s="2"/>
      <c r="B805" s="2"/>
      <c r="C805" s="2"/>
      <c r="D805" s="2"/>
      <c r="E805" s="2"/>
      <c r="F805" s="2"/>
    </row>
    <row r="806" ht="12.0" customHeight="1">
      <c r="A806" s="2"/>
      <c r="B806" s="2"/>
      <c r="C806" s="2"/>
      <c r="D806" s="2"/>
      <c r="E806" s="2"/>
      <c r="F806" s="2"/>
    </row>
    <row r="807" ht="12.0" customHeight="1">
      <c r="A807" s="2"/>
      <c r="B807" s="2"/>
      <c r="C807" s="2"/>
      <c r="D807" s="2"/>
      <c r="E807" s="2"/>
      <c r="F807" s="2"/>
    </row>
    <row r="808" ht="12.0" customHeight="1">
      <c r="A808" s="2"/>
      <c r="B808" s="2"/>
      <c r="C808" s="2"/>
      <c r="D808" s="2"/>
      <c r="E808" s="2"/>
      <c r="F808" s="2"/>
    </row>
    <row r="809" ht="12.0" customHeight="1">
      <c r="A809" s="2"/>
      <c r="B809" s="2"/>
      <c r="C809" s="2"/>
      <c r="D809" s="2"/>
      <c r="E809" s="2"/>
      <c r="F809" s="2"/>
    </row>
    <row r="810" ht="12.0" customHeight="1">
      <c r="A810" s="2"/>
      <c r="B810" s="2"/>
      <c r="C810" s="2"/>
      <c r="D810" s="2"/>
      <c r="E810" s="2"/>
      <c r="F810" s="2"/>
    </row>
    <row r="811" ht="12.0" customHeight="1">
      <c r="A811" s="2"/>
      <c r="B811" s="2"/>
      <c r="C811" s="2"/>
      <c r="D811" s="2"/>
      <c r="E811" s="2"/>
      <c r="F811" s="2"/>
    </row>
    <row r="812" ht="12.0" customHeight="1">
      <c r="A812" s="2"/>
      <c r="B812" s="2"/>
      <c r="C812" s="2"/>
      <c r="D812" s="2"/>
      <c r="E812" s="2"/>
      <c r="F812" s="2"/>
    </row>
    <row r="813" ht="12.0" customHeight="1">
      <c r="A813" s="2"/>
      <c r="B813" s="2"/>
      <c r="C813" s="2"/>
      <c r="D813" s="2"/>
      <c r="E813" s="2"/>
      <c r="F813" s="2"/>
    </row>
    <row r="814" ht="12.0" customHeight="1">
      <c r="A814" s="2"/>
      <c r="B814" s="2"/>
      <c r="C814" s="2"/>
      <c r="D814" s="2"/>
      <c r="E814" s="2"/>
      <c r="F814" s="2"/>
    </row>
    <row r="815" ht="12.0" customHeight="1">
      <c r="A815" s="2"/>
      <c r="B815" s="2"/>
      <c r="C815" s="2"/>
      <c r="D815" s="2"/>
      <c r="E815" s="2"/>
      <c r="F815" s="2"/>
    </row>
    <row r="816" ht="12.0" customHeight="1">
      <c r="A816" s="2"/>
      <c r="B816" s="2"/>
      <c r="C816" s="2"/>
      <c r="D816" s="2"/>
      <c r="E816" s="2"/>
      <c r="F816" s="2"/>
    </row>
    <row r="817" ht="12.0" customHeight="1">
      <c r="A817" s="2"/>
      <c r="B817" s="2"/>
      <c r="C817" s="2"/>
      <c r="D817" s="2"/>
      <c r="E817" s="2"/>
      <c r="F817" s="2"/>
    </row>
    <row r="818" ht="12.0" customHeight="1">
      <c r="A818" s="2"/>
      <c r="B818" s="2"/>
      <c r="C818" s="2"/>
      <c r="D818" s="2"/>
      <c r="E818" s="2"/>
      <c r="F818" s="2"/>
    </row>
    <row r="819" ht="12.0" customHeight="1">
      <c r="A819" s="2"/>
      <c r="B819" s="2"/>
      <c r="C819" s="2"/>
      <c r="D819" s="2"/>
      <c r="E819" s="2"/>
      <c r="F819" s="2"/>
    </row>
    <row r="820" ht="12.0" customHeight="1">
      <c r="A820" s="2"/>
      <c r="B820" s="2"/>
      <c r="C820" s="2"/>
      <c r="D820" s="2"/>
      <c r="E820" s="2"/>
      <c r="F820" s="2"/>
    </row>
    <row r="821" ht="12.0" customHeight="1">
      <c r="A821" s="2"/>
      <c r="B821" s="2"/>
      <c r="C821" s="2"/>
      <c r="D821" s="2"/>
      <c r="E821" s="2"/>
      <c r="F821" s="2"/>
    </row>
    <row r="822" ht="12.0" customHeight="1">
      <c r="A822" s="2"/>
      <c r="B822" s="2"/>
      <c r="C822" s="2"/>
      <c r="D822" s="2"/>
      <c r="E822" s="2"/>
      <c r="F822" s="2"/>
    </row>
    <row r="823" ht="12.0" customHeight="1">
      <c r="A823" s="2"/>
      <c r="B823" s="2"/>
      <c r="C823" s="2"/>
      <c r="D823" s="2"/>
      <c r="E823" s="2"/>
      <c r="F823" s="2"/>
    </row>
    <row r="824" ht="12.0" customHeight="1">
      <c r="A824" s="2"/>
      <c r="B824" s="2"/>
      <c r="C824" s="2"/>
      <c r="D824" s="2"/>
      <c r="E824" s="2"/>
      <c r="F824" s="2"/>
    </row>
    <row r="825" ht="12.0" customHeight="1">
      <c r="A825" s="2"/>
      <c r="B825" s="2"/>
      <c r="C825" s="2"/>
      <c r="D825" s="2"/>
      <c r="E825" s="2"/>
      <c r="F825" s="2"/>
    </row>
    <row r="826" ht="12.0" customHeight="1">
      <c r="A826" s="2"/>
      <c r="B826" s="2"/>
      <c r="C826" s="2"/>
      <c r="D826" s="2"/>
      <c r="E826" s="2"/>
      <c r="F826" s="2"/>
    </row>
    <row r="827" ht="12.0" customHeight="1">
      <c r="A827" s="2"/>
      <c r="B827" s="2"/>
      <c r="C827" s="2"/>
      <c r="D827" s="2"/>
      <c r="E827" s="2"/>
      <c r="F827" s="2"/>
    </row>
    <row r="828" ht="12.0" customHeight="1">
      <c r="A828" s="2"/>
      <c r="B828" s="2"/>
      <c r="C828" s="2"/>
      <c r="D828" s="2"/>
      <c r="E828" s="2"/>
      <c r="F828" s="2"/>
    </row>
    <row r="829" ht="12.0" customHeight="1">
      <c r="A829" s="2"/>
      <c r="B829" s="2"/>
      <c r="C829" s="2"/>
      <c r="D829" s="2"/>
      <c r="E829" s="2"/>
      <c r="F829" s="2"/>
    </row>
    <row r="830" ht="12.0" customHeight="1">
      <c r="A830" s="2"/>
      <c r="B830" s="2"/>
      <c r="C830" s="2"/>
      <c r="D830" s="2"/>
      <c r="E830" s="2"/>
      <c r="F830" s="2"/>
    </row>
    <row r="831" ht="12.0" customHeight="1">
      <c r="A831" s="2"/>
      <c r="B831" s="2"/>
      <c r="C831" s="2"/>
      <c r="D831" s="2"/>
      <c r="E831" s="2"/>
      <c r="F831" s="2"/>
    </row>
    <row r="832" ht="12.0" customHeight="1">
      <c r="A832" s="2"/>
      <c r="B832" s="2"/>
      <c r="C832" s="2"/>
      <c r="D832" s="2"/>
      <c r="E832" s="2"/>
      <c r="F832" s="2"/>
    </row>
    <row r="833" ht="12.0" customHeight="1">
      <c r="A833" s="2"/>
      <c r="B833" s="2"/>
      <c r="C833" s="2"/>
      <c r="D833" s="2"/>
      <c r="E833" s="2"/>
      <c r="F833" s="2"/>
    </row>
    <row r="834" ht="12.0" customHeight="1">
      <c r="A834" s="2"/>
      <c r="B834" s="2"/>
      <c r="C834" s="2"/>
      <c r="D834" s="2"/>
      <c r="E834" s="2"/>
      <c r="F834" s="2"/>
    </row>
    <row r="835" ht="12.0" customHeight="1">
      <c r="A835" s="2"/>
      <c r="B835" s="2"/>
      <c r="C835" s="2"/>
      <c r="D835" s="2"/>
      <c r="E835" s="2"/>
      <c r="F835" s="2"/>
    </row>
    <row r="836" ht="12.0" customHeight="1">
      <c r="A836" s="2"/>
      <c r="B836" s="2"/>
      <c r="C836" s="2"/>
      <c r="D836" s="2"/>
      <c r="E836" s="2"/>
      <c r="F836" s="2"/>
    </row>
    <row r="837" ht="12.0" customHeight="1">
      <c r="A837" s="2"/>
      <c r="B837" s="2"/>
      <c r="C837" s="2"/>
      <c r="D837" s="2"/>
      <c r="E837" s="2"/>
      <c r="F837" s="2"/>
    </row>
    <row r="838" ht="12.0" customHeight="1">
      <c r="A838" s="2"/>
      <c r="B838" s="2"/>
      <c r="C838" s="2"/>
      <c r="D838" s="2"/>
      <c r="E838" s="2"/>
      <c r="F838" s="2"/>
    </row>
    <row r="839" ht="12.0" customHeight="1">
      <c r="A839" s="2"/>
      <c r="B839" s="2"/>
      <c r="C839" s="2"/>
      <c r="D839" s="2"/>
      <c r="E839" s="2"/>
      <c r="F839" s="2"/>
    </row>
    <row r="840" ht="12.0" customHeight="1">
      <c r="A840" s="2"/>
      <c r="B840" s="2"/>
      <c r="C840" s="2"/>
      <c r="D840" s="2"/>
      <c r="E840" s="2"/>
      <c r="F840" s="2"/>
    </row>
    <row r="841" ht="12.0" customHeight="1">
      <c r="A841" s="2"/>
      <c r="B841" s="2"/>
      <c r="C841" s="2"/>
      <c r="D841" s="2"/>
      <c r="E841" s="2"/>
      <c r="F841" s="2"/>
    </row>
    <row r="842" ht="12.0" customHeight="1">
      <c r="A842" s="2"/>
      <c r="B842" s="2"/>
      <c r="C842" s="2"/>
      <c r="D842" s="2"/>
      <c r="E842" s="2"/>
      <c r="F842" s="2"/>
    </row>
    <row r="843" ht="12.0" customHeight="1">
      <c r="A843" s="2"/>
      <c r="B843" s="2"/>
      <c r="C843" s="2"/>
      <c r="D843" s="2"/>
      <c r="E843" s="2"/>
      <c r="F843" s="2"/>
    </row>
    <row r="844" ht="12.0" customHeight="1">
      <c r="A844" s="2"/>
      <c r="B844" s="2"/>
      <c r="C844" s="2"/>
      <c r="D844" s="2"/>
      <c r="E844" s="2"/>
      <c r="F844" s="2"/>
    </row>
    <row r="845" ht="12.0" customHeight="1">
      <c r="A845" s="2"/>
      <c r="B845" s="2"/>
      <c r="C845" s="2"/>
      <c r="D845" s="2"/>
      <c r="E845" s="2"/>
      <c r="F845" s="2"/>
    </row>
    <row r="846" ht="12.0" customHeight="1">
      <c r="A846" s="2"/>
      <c r="B846" s="2"/>
      <c r="C846" s="2"/>
      <c r="D846" s="2"/>
      <c r="E846" s="2"/>
      <c r="F846" s="2"/>
    </row>
    <row r="847" ht="12.0" customHeight="1">
      <c r="A847" s="2"/>
      <c r="B847" s="2"/>
      <c r="C847" s="2"/>
      <c r="D847" s="2"/>
      <c r="E847" s="2"/>
      <c r="F847" s="2"/>
    </row>
    <row r="848" ht="12.0" customHeight="1">
      <c r="A848" s="2"/>
      <c r="B848" s="2"/>
      <c r="C848" s="2"/>
      <c r="D848" s="2"/>
      <c r="E848" s="2"/>
      <c r="F848" s="2"/>
    </row>
    <row r="849" ht="12.0" customHeight="1">
      <c r="A849" s="2"/>
      <c r="B849" s="2"/>
      <c r="C849" s="2"/>
      <c r="D849" s="2"/>
      <c r="E849" s="2"/>
      <c r="F849" s="2"/>
    </row>
    <row r="850" ht="12.0" customHeight="1">
      <c r="A850" s="2"/>
      <c r="B850" s="2"/>
      <c r="C850" s="2"/>
      <c r="D850" s="2"/>
      <c r="E850" s="2"/>
      <c r="F850" s="2"/>
    </row>
    <row r="851" ht="12.0" customHeight="1">
      <c r="A851" s="2"/>
      <c r="B851" s="2"/>
      <c r="C851" s="2"/>
      <c r="D851" s="2"/>
      <c r="E851" s="2"/>
      <c r="F851" s="2"/>
    </row>
    <row r="852" ht="12.0" customHeight="1">
      <c r="A852" s="2"/>
      <c r="B852" s="2"/>
      <c r="C852" s="2"/>
      <c r="D852" s="2"/>
      <c r="E852" s="2"/>
      <c r="F852" s="2"/>
    </row>
    <row r="853" ht="12.0" customHeight="1">
      <c r="A853" s="2"/>
      <c r="B853" s="2"/>
      <c r="C853" s="2"/>
      <c r="D853" s="2"/>
      <c r="E853" s="2"/>
      <c r="F853" s="2"/>
    </row>
    <row r="854" ht="12.0" customHeight="1">
      <c r="A854" s="2"/>
      <c r="B854" s="2"/>
      <c r="C854" s="2"/>
      <c r="D854" s="2"/>
      <c r="E854" s="2"/>
      <c r="F854" s="2"/>
    </row>
    <row r="855" ht="12.0" customHeight="1">
      <c r="A855" s="2"/>
      <c r="B855" s="2"/>
      <c r="C855" s="2"/>
      <c r="D855" s="2"/>
      <c r="E855" s="2"/>
      <c r="F855" s="2"/>
    </row>
    <row r="856" ht="12.0" customHeight="1">
      <c r="A856" s="2"/>
      <c r="B856" s="2"/>
      <c r="C856" s="2"/>
      <c r="D856" s="2"/>
      <c r="E856" s="2"/>
      <c r="F856" s="2"/>
    </row>
    <row r="857" ht="12.0" customHeight="1">
      <c r="A857" s="2"/>
      <c r="B857" s="2"/>
      <c r="C857" s="2"/>
      <c r="D857" s="2"/>
      <c r="E857" s="2"/>
      <c r="F857" s="2"/>
    </row>
    <row r="858" ht="12.0" customHeight="1">
      <c r="A858" s="2"/>
      <c r="B858" s="2"/>
      <c r="C858" s="2"/>
      <c r="D858" s="2"/>
      <c r="E858" s="2"/>
      <c r="F858" s="2"/>
    </row>
    <row r="859" ht="12.0" customHeight="1">
      <c r="A859" s="2"/>
      <c r="B859" s="2"/>
      <c r="C859" s="2"/>
      <c r="D859" s="2"/>
      <c r="E859" s="2"/>
      <c r="F859" s="2"/>
    </row>
    <row r="860" ht="12.0" customHeight="1">
      <c r="A860" s="2"/>
      <c r="B860" s="2"/>
      <c r="C860" s="2"/>
      <c r="D860" s="2"/>
      <c r="E860" s="2"/>
      <c r="F860" s="2"/>
    </row>
    <row r="861" ht="12.0" customHeight="1">
      <c r="A861" s="2"/>
      <c r="B861" s="2"/>
      <c r="C861" s="2"/>
      <c r="D861" s="2"/>
      <c r="E861" s="2"/>
      <c r="F861" s="2"/>
    </row>
    <row r="862" ht="12.0" customHeight="1">
      <c r="A862" s="2"/>
      <c r="B862" s="2"/>
      <c r="C862" s="2"/>
      <c r="D862" s="2"/>
      <c r="E862" s="2"/>
      <c r="F862" s="2"/>
    </row>
    <row r="863" ht="12.0" customHeight="1">
      <c r="A863" s="2"/>
      <c r="B863" s="2"/>
      <c r="C863" s="2"/>
      <c r="D863" s="2"/>
      <c r="E863" s="2"/>
      <c r="F863" s="2"/>
    </row>
    <row r="864" ht="12.0" customHeight="1">
      <c r="A864" s="2"/>
      <c r="B864" s="2"/>
      <c r="C864" s="2"/>
      <c r="D864" s="2"/>
      <c r="E864" s="2"/>
      <c r="F864" s="2"/>
    </row>
    <row r="865" ht="12.0" customHeight="1">
      <c r="A865" s="2"/>
      <c r="B865" s="2"/>
      <c r="C865" s="2"/>
      <c r="D865" s="2"/>
      <c r="E865" s="2"/>
      <c r="F865" s="2"/>
    </row>
    <row r="866" ht="12.0" customHeight="1">
      <c r="A866" s="2"/>
      <c r="B866" s="2"/>
      <c r="C866" s="2"/>
      <c r="D866" s="2"/>
      <c r="E866" s="2"/>
      <c r="F866" s="2"/>
    </row>
    <row r="867" ht="12.0" customHeight="1">
      <c r="A867" s="2"/>
      <c r="B867" s="2"/>
      <c r="C867" s="2"/>
      <c r="D867" s="2"/>
      <c r="E867" s="2"/>
      <c r="F867" s="2"/>
    </row>
    <row r="868" ht="12.0" customHeight="1">
      <c r="A868" s="2"/>
      <c r="B868" s="2"/>
      <c r="C868" s="2"/>
      <c r="D868" s="2"/>
      <c r="E868" s="2"/>
      <c r="F868" s="2"/>
    </row>
    <row r="869" ht="12.0" customHeight="1">
      <c r="A869" s="2"/>
      <c r="B869" s="2"/>
      <c r="C869" s="2"/>
      <c r="D869" s="2"/>
      <c r="E869" s="2"/>
      <c r="F869" s="2"/>
    </row>
    <row r="870" ht="12.0" customHeight="1">
      <c r="A870" s="2"/>
      <c r="B870" s="2"/>
      <c r="C870" s="2"/>
      <c r="D870" s="2"/>
      <c r="E870" s="2"/>
      <c r="F870" s="2"/>
    </row>
    <row r="871" ht="12.0" customHeight="1">
      <c r="A871" s="2"/>
      <c r="B871" s="2"/>
      <c r="C871" s="2"/>
      <c r="D871" s="2"/>
      <c r="E871" s="2"/>
      <c r="F871" s="2"/>
    </row>
    <row r="872" ht="12.0" customHeight="1">
      <c r="A872" s="2"/>
      <c r="B872" s="2"/>
      <c r="C872" s="2"/>
      <c r="D872" s="2"/>
      <c r="E872" s="2"/>
      <c r="F872" s="2"/>
    </row>
    <row r="873" ht="12.0" customHeight="1">
      <c r="A873" s="2"/>
      <c r="B873" s="2"/>
      <c r="C873" s="2"/>
      <c r="D873" s="2"/>
      <c r="E873" s="2"/>
      <c r="F873" s="2"/>
    </row>
    <row r="874" ht="12.0" customHeight="1">
      <c r="A874" s="2"/>
      <c r="B874" s="2"/>
      <c r="C874" s="2"/>
      <c r="D874" s="2"/>
      <c r="E874" s="2"/>
      <c r="F874" s="2"/>
    </row>
    <row r="875" ht="12.0" customHeight="1">
      <c r="A875" s="2"/>
      <c r="B875" s="2"/>
      <c r="C875" s="2"/>
      <c r="D875" s="2"/>
      <c r="E875" s="2"/>
      <c r="F875" s="2"/>
    </row>
    <row r="876" ht="12.0" customHeight="1">
      <c r="A876" s="2"/>
      <c r="B876" s="2"/>
      <c r="C876" s="2"/>
      <c r="D876" s="2"/>
      <c r="E876" s="2"/>
      <c r="F876" s="2"/>
    </row>
    <row r="877" ht="12.0" customHeight="1">
      <c r="A877" s="2"/>
      <c r="B877" s="2"/>
      <c r="C877" s="2"/>
      <c r="D877" s="2"/>
      <c r="E877" s="2"/>
      <c r="F877" s="2"/>
    </row>
    <row r="878" ht="12.0" customHeight="1">
      <c r="A878" s="2"/>
      <c r="B878" s="2"/>
      <c r="C878" s="2"/>
      <c r="D878" s="2"/>
      <c r="E878" s="2"/>
      <c r="F878" s="2"/>
    </row>
    <row r="879" ht="12.0" customHeight="1">
      <c r="A879" s="2"/>
      <c r="B879" s="2"/>
      <c r="C879" s="2"/>
      <c r="D879" s="2"/>
      <c r="E879" s="2"/>
      <c r="F879" s="2"/>
    </row>
    <row r="880" ht="12.0" customHeight="1">
      <c r="A880" s="2"/>
      <c r="B880" s="2"/>
      <c r="C880" s="2"/>
      <c r="D880" s="2"/>
      <c r="E880" s="2"/>
      <c r="F880" s="2"/>
    </row>
    <row r="881" ht="12.0" customHeight="1">
      <c r="A881" s="2"/>
      <c r="B881" s="2"/>
      <c r="C881" s="2"/>
      <c r="D881" s="2"/>
      <c r="E881" s="2"/>
      <c r="F881" s="2"/>
    </row>
    <row r="882" ht="12.0" customHeight="1">
      <c r="A882" s="2"/>
      <c r="B882" s="2"/>
      <c r="C882" s="2"/>
      <c r="D882" s="2"/>
      <c r="E882" s="2"/>
      <c r="F882" s="2"/>
    </row>
    <row r="883" ht="12.0" customHeight="1">
      <c r="A883" s="2"/>
      <c r="B883" s="2"/>
      <c r="C883" s="2"/>
      <c r="D883" s="2"/>
      <c r="E883" s="2"/>
      <c r="F883" s="2"/>
    </row>
    <row r="884" ht="12.0" customHeight="1">
      <c r="A884" s="2"/>
      <c r="B884" s="2"/>
      <c r="C884" s="2"/>
      <c r="D884" s="2"/>
      <c r="E884" s="2"/>
      <c r="F884" s="2"/>
    </row>
    <row r="885" ht="12.0" customHeight="1">
      <c r="A885" s="2"/>
      <c r="B885" s="2"/>
      <c r="C885" s="2"/>
      <c r="D885" s="2"/>
      <c r="E885" s="2"/>
      <c r="F885" s="2"/>
    </row>
    <row r="886" ht="12.0" customHeight="1">
      <c r="A886" s="2"/>
      <c r="B886" s="2"/>
      <c r="C886" s="2"/>
      <c r="D886" s="2"/>
      <c r="E886" s="2"/>
      <c r="F886" s="2"/>
    </row>
    <row r="887" ht="12.0" customHeight="1">
      <c r="A887" s="2"/>
      <c r="B887" s="2"/>
      <c r="C887" s="2"/>
      <c r="D887" s="2"/>
      <c r="E887" s="2"/>
      <c r="F887" s="2"/>
    </row>
    <row r="888" ht="12.0" customHeight="1">
      <c r="A888" s="2"/>
      <c r="B888" s="2"/>
      <c r="C888" s="2"/>
      <c r="D888" s="2"/>
      <c r="E888" s="2"/>
      <c r="F888" s="2"/>
    </row>
    <row r="889" ht="12.0" customHeight="1">
      <c r="A889" s="2"/>
      <c r="B889" s="2"/>
      <c r="C889" s="2"/>
      <c r="D889" s="2"/>
      <c r="E889" s="2"/>
      <c r="F889" s="2"/>
    </row>
    <row r="890" ht="12.0" customHeight="1">
      <c r="A890" s="2"/>
      <c r="B890" s="2"/>
      <c r="C890" s="2"/>
      <c r="D890" s="2"/>
      <c r="E890" s="2"/>
      <c r="F890" s="2"/>
    </row>
    <row r="891" ht="12.0" customHeight="1">
      <c r="A891" s="2"/>
      <c r="B891" s="2"/>
      <c r="C891" s="2"/>
      <c r="D891" s="2"/>
      <c r="E891" s="2"/>
      <c r="F891" s="2"/>
    </row>
    <row r="892" ht="12.0" customHeight="1">
      <c r="A892" s="2"/>
      <c r="B892" s="2"/>
      <c r="C892" s="2"/>
      <c r="D892" s="2"/>
      <c r="E892" s="2"/>
      <c r="F892" s="2"/>
    </row>
    <row r="893" ht="12.0" customHeight="1">
      <c r="A893" s="2"/>
      <c r="B893" s="2"/>
      <c r="C893" s="2"/>
      <c r="D893" s="2"/>
      <c r="E893" s="2"/>
      <c r="F893" s="2"/>
    </row>
    <row r="894" ht="12.0" customHeight="1">
      <c r="A894" s="2"/>
      <c r="B894" s="2"/>
      <c r="C894" s="2"/>
      <c r="D894" s="2"/>
      <c r="E894" s="2"/>
      <c r="F894" s="2"/>
    </row>
    <row r="895" ht="12.0" customHeight="1">
      <c r="A895" s="2"/>
      <c r="B895" s="2"/>
      <c r="C895" s="2"/>
      <c r="D895" s="2"/>
      <c r="E895" s="2"/>
      <c r="F895" s="2"/>
    </row>
    <row r="896" ht="12.0" customHeight="1">
      <c r="A896" s="2"/>
      <c r="B896" s="2"/>
      <c r="C896" s="2"/>
      <c r="D896" s="2"/>
      <c r="E896" s="2"/>
      <c r="F896" s="2"/>
    </row>
    <row r="897" ht="12.0" customHeight="1">
      <c r="A897" s="2"/>
      <c r="B897" s="2"/>
      <c r="C897" s="2"/>
      <c r="D897" s="2"/>
      <c r="E897" s="2"/>
      <c r="F897" s="2"/>
    </row>
    <row r="898" ht="12.0" customHeight="1">
      <c r="A898" s="2"/>
      <c r="B898" s="2"/>
      <c r="C898" s="2"/>
      <c r="D898" s="2"/>
      <c r="E898" s="2"/>
      <c r="F898" s="2"/>
    </row>
    <row r="899" ht="12.0" customHeight="1">
      <c r="A899" s="2"/>
      <c r="B899" s="2"/>
      <c r="C899" s="2"/>
      <c r="D899" s="2"/>
      <c r="E899" s="2"/>
      <c r="F899" s="2"/>
    </row>
    <row r="900" ht="12.0" customHeight="1">
      <c r="A900" s="2"/>
      <c r="B900" s="2"/>
      <c r="C900" s="2"/>
      <c r="D900" s="2"/>
      <c r="E900" s="2"/>
      <c r="F900" s="2"/>
    </row>
    <row r="901" ht="12.0" customHeight="1">
      <c r="A901" s="2"/>
      <c r="B901" s="2"/>
      <c r="C901" s="2"/>
      <c r="D901" s="2"/>
      <c r="E901" s="2"/>
      <c r="F901" s="2"/>
    </row>
    <row r="902" ht="12.0" customHeight="1">
      <c r="A902" s="2"/>
      <c r="B902" s="2"/>
      <c r="C902" s="2"/>
      <c r="D902" s="2"/>
      <c r="E902" s="2"/>
      <c r="F902" s="2"/>
    </row>
    <row r="903" ht="12.0" customHeight="1">
      <c r="A903" s="2"/>
      <c r="B903" s="2"/>
      <c r="C903" s="2"/>
      <c r="D903" s="2"/>
      <c r="E903" s="2"/>
      <c r="F903" s="2"/>
    </row>
    <row r="904" ht="12.0" customHeight="1">
      <c r="A904" s="2"/>
      <c r="B904" s="2"/>
      <c r="C904" s="2"/>
      <c r="D904" s="2"/>
      <c r="E904" s="2"/>
      <c r="F904" s="2"/>
    </row>
    <row r="905" ht="12.0" customHeight="1">
      <c r="A905" s="2"/>
      <c r="B905" s="2"/>
      <c r="C905" s="2"/>
      <c r="D905" s="2"/>
      <c r="E905" s="2"/>
      <c r="F905" s="2"/>
    </row>
    <row r="906" ht="12.0" customHeight="1">
      <c r="A906" s="2"/>
      <c r="B906" s="2"/>
      <c r="C906" s="2"/>
      <c r="D906" s="2"/>
      <c r="E906" s="2"/>
      <c r="F906" s="2"/>
    </row>
    <row r="907" ht="12.0" customHeight="1">
      <c r="A907" s="2"/>
      <c r="B907" s="2"/>
      <c r="C907" s="2"/>
      <c r="D907" s="2"/>
      <c r="E907" s="2"/>
      <c r="F907" s="2"/>
    </row>
    <row r="908" ht="12.0" customHeight="1">
      <c r="A908" s="2"/>
      <c r="B908" s="2"/>
      <c r="C908" s="2"/>
      <c r="D908" s="2"/>
      <c r="E908" s="2"/>
      <c r="F908" s="2"/>
    </row>
    <row r="909" ht="12.0" customHeight="1">
      <c r="A909" s="2"/>
      <c r="B909" s="2"/>
      <c r="C909" s="2"/>
      <c r="D909" s="2"/>
      <c r="E909" s="2"/>
      <c r="F909" s="2"/>
    </row>
    <row r="910" ht="12.0" customHeight="1">
      <c r="A910" s="2"/>
      <c r="B910" s="2"/>
      <c r="C910" s="2"/>
      <c r="D910" s="2"/>
      <c r="E910" s="2"/>
      <c r="F910" s="2"/>
    </row>
    <row r="911" ht="12.0" customHeight="1">
      <c r="A911" s="2"/>
      <c r="B911" s="2"/>
      <c r="C911" s="2"/>
      <c r="D911" s="2"/>
      <c r="E911" s="2"/>
      <c r="F911" s="2"/>
    </row>
    <row r="912" ht="12.0" customHeight="1">
      <c r="A912" s="2"/>
      <c r="B912" s="2"/>
      <c r="C912" s="2"/>
      <c r="D912" s="2"/>
      <c r="E912" s="2"/>
      <c r="F912" s="2"/>
    </row>
    <row r="913" ht="12.0" customHeight="1">
      <c r="A913" s="2"/>
      <c r="B913" s="2"/>
      <c r="C913" s="2"/>
      <c r="D913" s="2"/>
      <c r="E913" s="2"/>
      <c r="F913" s="2"/>
    </row>
    <row r="914" ht="12.0" customHeight="1">
      <c r="A914" s="2"/>
      <c r="B914" s="2"/>
      <c r="C914" s="2"/>
      <c r="D914" s="2"/>
      <c r="E914" s="2"/>
      <c r="F914" s="2"/>
    </row>
    <row r="915" ht="12.0" customHeight="1">
      <c r="A915" s="2"/>
      <c r="B915" s="2"/>
      <c r="C915" s="2"/>
      <c r="D915" s="2"/>
      <c r="E915" s="2"/>
      <c r="F915" s="2"/>
    </row>
    <row r="916" ht="12.0" customHeight="1">
      <c r="A916" s="2"/>
      <c r="B916" s="2"/>
      <c r="C916" s="2"/>
      <c r="D916" s="2"/>
      <c r="E916" s="2"/>
      <c r="F916" s="2"/>
    </row>
    <row r="917" ht="12.0" customHeight="1">
      <c r="A917" s="2"/>
      <c r="B917" s="2"/>
      <c r="C917" s="2"/>
      <c r="D917" s="2"/>
      <c r="E917" s="2"/>
      <c r="F917" s="2"/>
    </row>
    <row r="918" ht="12.0" customHeight="1">
      <c r="A918" s="2"/>
      <c r="B918" s="2"/>
      <c r="C918" s="2"/>
      <c r="D918" s="2"/>
      <c r="E918" s="2"/>
      <c r="F918" s="2"/>
    </row>
    <row r="919" ht="12.0" customHeight="1">
      <c r="A919" s="2"/>
      <c r="B919" s="2"/>
      <c r="C919" s="2"/>
      <c r="D919" s="2"/>
      <c r="E919" s="2"/>
      <c r="F919" s="2"/>
    </row>
    <row r="920" ht="12.0" customHeight="1">
      <c r="A920" s="2"/>
      <c r="B920" s="2"/>
      <c r="C920" s="2"/>
      <c r="D920" s="2"/>
      <c r="E920" s="2"/>
      <c r="F920" s="2"/>
    </row>
    <row r="921" ht="12.0" customHeight="1">
      <c r="A921" s="2"/>
      <c r="B921" s="2"/>
      <c r="C921" s="2"/>
      <c r="D921" s="2"/>
      <c r="E921" s="2"/>
      <c r="F921" s="2"/>
    </row>
    <row r="922" ht="12.0" customHeight="1">
      <c r="A922" s="2"/>
      <c r="B922" s="2"/>
      <c r="C922" s="2"/>
      <c r="D922" s="2"/>
      <c r="E922" s="2"/>
      <c r="F922" s="2"/>
    </row>
    <row r="923" ht="12.0" customHeight="1">
      <c r="A923" s="2"/>
      <c r="B923" s="2"/>
      <c r="C923" s="2"/>
      <c r="D923" s="2"/>
      <c r="E923" s="2"/>
      <c r="F923" s="2"/>
    </row>
    <row r="924" ht="12.0" customHeight="1">
      <c r="A924" s="2"/>
      <c r="B924" s="2"/>
      <c r="C924" s="2"/>
      <c r="D924" s="2"/>
      <c r="E924" s="2"/>
      <c r="F924" s="2"/>
    </row>
    <row r="925" ht="12.0" customHeight="1">
      <c r="A925" s="2"/>
      <c r="B925" s="2"/>
      <c r="C925" s="2"/>
      <c r="D925" s="2"/>
      <c r="E925" s="2"/>
      <c r="F925" s="2"/>
    </row>
    <row r="926" ht="12.0" customHeight="1">
      <c r="A926" s="2"/>
      <c r="B926" s="2"/>
      <c r="C926" s="2"/>
      <c r="D926" s="2"/>
      <c r="E926" s="2"/>
      <c r="F926" s="2"/>
    </row>
    <row r="927" ht="12.0" customHeight="1">
      <c r="A927" s="2"/>
      <c r="B927" s="2"/>
      <c r="C927" s="2"/>
      <c r="D927" s="2"/>
      <c r="E927" s="2"/>
      <c r="F927" s="2"/>
    </row>
    <row r="928" ht="12.0" customHeight="1">
      <c r="A928" s="2"/>
      <c r="B928" s="2"/>
      <c r="C928" s="2"/>
      <c r="D928" s="2"/>
      <c r="E928" s="2"/>
      <c r="F928" s="2"/>
    </row>
    <row r="929" ht="12.0" customHeight="1">
      <c r="A929" s="2"/>
      <c r="B929" s="2"/>
      <c r="C929" s="2"/>
      <c r="D929" s="2"/>
      <c r="E929" s="2"/>
      <c r="F929" s="2"/>
    </row>
    <row r="930" ht="12.0" customHeight="1">
      <c r="A930" s="2"/>
      <c r="B930" s="2"/>
      <c r="C930" s="2"/>
      <c r="D930" s="2"/>
      <c r="E930" s="2"/>
      <c r="F930" s="2"/>
    </row>
    <row r="931" ht="12.0" customHeight="1">
      <c r="A931" s="2"/>
      <c r="B931" s="2"/>
      <c r="C931" s="2"/>
      <c r="D931" s="2"/>
      <c r="E931" s="2"/>
      <c r="F931" s="2"/>
    </row>
    <row r="932" ht="12.0" customHeight="1">
      <c r="A932" s="2"/>
      <c r="B932" s="2"/>
      <c r="C932" s="2"/>
      <c r="D932" s="2"/>
      <c r="E932" s="2"/>
      <c r="F932" s="2"/>
    </row>
    <row r="933" ht="12.0" customHeight="1">
      <c r="A933" s="2"/>
      <c r="B933" s="2"/>
      <c r="C933" s="2"/>
      <c r="D933" s="2"/>
      <c r="E933" s="2"/>
      <c r="F933" s="2"/>
    </row>
    <row r="934" ht="12.0" customHeight="1">
      <c r="A934" s="2"/>
      <c r="B934" s="2"/>
      <c r="C934" s="2"/>
      <c r="D934" s="2"/>
      <c r="E934" s="2"/>
      <c r="F934" s="2"/>
    </row>
    <row r="935" ht="12.0" customHeight="1">
      <c r="A935" s="2"/>
      <c r="B935" s="2"/>
      <c r="C935" s="2"/>
      <c r="D935" s="2"/>
      <c r="E935" s="2"/>
      <c r="F935" s="2"/>
    </row>
    <row r="936" ht="12.0" customHeight="1">
      <c r="A936" s="2"/>
      <c r="B936" s="2"/>
      <c r="C936" s="2"/>
      <c r="D936" s="2"/>
      <c r="E936" s="2"/>
      <c r="F936" s="2"/>
    </row>
    <row r="937" ht="12.0" customHeight="1">
      <c r="A937" s="2"/>
      <c r="B937" s="2"/>
      <c r="C937" s="2"/>
      <c r="D937" s="2"/>
      <c r="E937" s="2"/>
      <c r="F937" s="2"/>
    </row>
    <row r="938" ht="12.0" customHeight="1">
      <c r="A938" s="2"/>
      <c r="B938" s="2"/>
      <c r="C938" s="2"/>
      <c r="D938" s="2"/>
      <c r="E938" s="2"/>
      <c r="F938" s="2"/>
    </row>
    <row r="939" ht="12.0" customHeight="1">
      <c r="A939" s="2"/>
      <c r="B939" s="2"/>
      <c r="C939" s="2"/>
      <c r="D939" s="2"/>
      <c r="E939" s="2"/>
      <c r="F939" s="2"/>
    </row>
    <row r="940" ht="12.0" customHeight="1">
      <c r="A940" s="2"/>
      <c r="B940" s="2"/>
      <c r="C940" s="2"/>
      <c r="D940" s="2"/>
      <c r="E940" s="2"/>
      <c r="F940" s="2"/>
    </row>
    <row r="941" ht="12.0" customHeight="1">
      <c r="A941" s="2"/>
      <c r="B941" s="2"/>
      <c r="C941" s="2"/>
      <c r="D941" s="2"/>
      <c r="E941" s="2"/>
      <c r="F941" s="2"/>
    </row>
    <row r="942" ht="12.0" customHeight="1">
      <c r="A942" s="2"/>
      <c r="B942" s="2"/>
      <c r="C942" s="2"/>
      <c r="D942" s="2"/>
      <c r="E942" s="2"/>
      <c r="F942" s="2"/>
    </row>
    <row r="943" ht="12.0" customHeight="1">
      <c r="A943" s="2"/>
      <c r="B943" s="2"/>
      <c r="C943" s="2"/>
      <c r="D943" s="2"/>
      <c r="E943" s="2"/>
      <c r="F943" s="2"/>
    </row>
    <row r="944" ht="12.0" customHeight="1">
      <c r="A944" s="2"/>
      <c r="B944" s="2"/>
      <c r="C944" s="2"/>
      <c r="D944" s="2"/>
      <c r="E944" s="2"/>
      <c r="F944" s="2"/>
    </row>
    <row r="945" ht="12.0" customHeight="1">
      <c r="A945" s="2"/>
      <c r="B945" s="2"/>
      <c r="C945" s="2"/>
      <c r="D945" s="2"/>
      <c r="E945" s="2"/>
      <c r="F945" s="2"/>
    </row>
    <row r="946" ht="12.0" customHeight="1">
      <c r="A946" s="2"/>
      <c r="B946" s="2"/>
      <c r="C946" s="2"/>
      <c r="D946" s="2"/>
      <c r="E946" s="2"/>
      <c r="F946" s="2"/>
    </row>
    <row r="947" ht="12.0" customHeight="1">
      <c r="A947" s="2"/>
      <c r="B947" s="2"/>
      <c r="C947" s="2"/>
      <c r="D947" s="2"/>
      <c r="E947" s="2"/>
      <c r="F947" s="2"/>
    </row>
    <row r="948" ht="12.0" customHeight="1">
      <c r="A948" s="2"/>
      <c r="B948" s="2"/>
      <c r="C948" s="2"/>
      <c r="D948" s="2"/>
      <c r="E948" s="2"/>
      <c r="F948" s="2"/>
    </row>
    <row r="949" ht="12.0" customHeight="1">
      <c r="A949" s="2"/>
      <c r="B949" s="2"/>
      <c r="C949" s="2"/>
      <c r="D949" s="2"/>
      <c r="E949" s="2"/>
      <c r="F949" s="2"/>
    </row>
    <row r="950" ht="12.0" customHeight="1">
      <c r="A950" s="2"/>
      <c r="B950" s="2"/>
      <c r="C950" s="2"/>
      <c r="D950" s="2"/>
      <c r="E950" s="2"/>
      <c r="F950" s="2"/>
    </row>
    <row r="951" ht="12.0" customHeight="1">
      <c r="A951" s="2"/>
      <c r="B951" s="2"/>
      <c r="C951" s="2"/>
      <c r="D951" s="2"/>
      <c r="E951" s="2"/>
      <c r="F951" s="2"/>
    </row>
    <row r="952" ht="12.0" customHeight="1">
      <c r="A952" s="2"/>
      <c r="B952" s="2"/>
      <c r="C952" s="2"/>
      <c r="D952" s="2"/>
      <c r="E952" s="2"/>
      <c r="F952" s="2"/>
    </row>
    <row r="953" ht="12.0" customHeight="1">
      <c r="A953" s="2"/>
      <c r="B953" s="2"/>
      <c r="C953" s="2"/>
      <c r="D953" s="2"/>
      <c r="E953" s="2"/>
      <c r="F953" s="2"/>
    </row>
    <row r="954" ht="12.0" customHeight="1">
      <c r="A954" s="2"/>
      <c r="B954" s="2"/>
      <c r="C954" s="2"/>
      <c r="D954" s="2"/>
      <c r="E954" s="2"/>
      <c r="F954" s="2"/>
    </row>
    <row r="955" ht="12.0" customHeight="1">
      <c r="A955" s="2"/>
      <c r="B955" s="2"/>
      <c r="C955" s="2"/>
      <c r="D955" s="2"/>
      <c r="E955" s="2"/>
      <c r="F955" s="2"/>
    </row>
    <row r="956" ht="12.0" customHeight="1">
      <c r="A956" s="2"/>
      <c r="B956" s="2"/>
      <c r="C956" s="2"/>
      <c r="D956" s="2"/>
      <c r="E956" s="2"/>
      <c r="F956" s="2"/>
    </row>
    <row r="957" ht="12.0" customHeight="1">
      <c r="A957" s="2"/>
      <c r="B957" s="2"/>
      <c r="C957" s="2"/>
      <c r="D957" s="2"/>
      <c r="E957" s="2"/>
      <c r="F957" s="2"/>
    </row>
    <row r="958" ht="12.0" customHeight="1">
      <c r="A958" s="2"/>
      <c r="B958" s="2"/>
      <c r="C958" s="2"/>
      <c r="D958" s="2"/>
      <c r="E958" s="2"/>
      <c r="F958" s="2"/>
    </row>
    <row r="959" ht="12.0" customHeight="1">
      <c r="A959" s="2"/>
      <c r="B959" s="2"/>
      <c r="C959" s="2"/>
      <c r="D959" s="2"/>
      <c r="E959" s="2"/>
      <c r="F959" s="2"/>
    </row>
    <row r="960" ht="12.0" customHeight="1">
      <c r="A960" s="2"/>
      <c r="B960" s="2"/>
      <c r="C960" s="2"/>
      <c r="D960" s="2"/>
      <c r="E960" s="2"/>
      <c r="F960" s="2"/>
    </row>
    <row r="961" ht="12.0" customHeight="1">
      <c r="A961" s="2"/>
      <c r="B961" s="2"/>
      <c r="C961" s="2"/>
      <c r="D961" s="2"/>
      <c r="E961" s="2"/>
      <c r="F961" s="2"/>
    </row>
    <row r="962" ht="12.0" customHeight="1">
      <c r="A962" s="2"/>
      <c r="B962" s="2"/>
      <c r="C962" s="2"/>
      <c r="D962" s="2"/>
      <c r="E962" s="2"/>
      <c r="F962" s="2"/>
    </row>
    <row r="963" ht="12.0" customHeight="1">
      <c r="A963" s="2"/>
      <c r="B963" s="2"/>
      <c r="C963" s="2"/>
      <c r="D963" s="2"/>
      <c r="E963" s="2"/>
      <c r="F963" s="2"/>
    </row>
    <row r="964" ht="12.0" customHeight="1">
      <c r="A964" s="2"/>
      <c r="B964" s="2"/>
      <c r="C964" s="2"/>
      <c r="D964" s="2"/>
      <c r="E964" s="2"/>
      <c r="F964" s="2"/>
    </row>
    <row r="965" ht="12.0" customHeight="1">
      <c r="A965" s="2"/>
      <c r="B965" s="2"/>
      <c r="C965" s="2"/>
      <c r="D965" s="2"/>
      <c r="E965" s="2"/>
      <c r="F965" s="2"/>
    </row>
    <row r="966" ht="12.0" customHeight="1">
      <c r="A966" s="2"/>
      <c r="B966" s="2"/>
      <c r="C966" s="2"/>
      <c r="D966" s="2"/>
      <c r="E966" s="2"/>
      <c r="F966" s="2"/>
    </row>
    <row r="967" ht="12.0" customHeight="1">
      <c r="A967" s="2"/>
      <c r="B967" s="2"/>
      <c r="C967" s="2"/>
      <c r="D967" s="2"/>
      <c r="E967" s="2"/>
      <c r="F967" s="2"/>
    </row>
    <row r="968" ht="12.0" customHeight="1">
      <c r="A968" s="2"/>
      <c r="B968" s="2"/>
      <c r="C968" s="2"/>
      <c r="D968" s="2"/>
      <c r="E968" s="2"/>
      <c r="F968" s="2"/>
    </row>
    <row r="969" ht="12.0" customHeight="1">
      <c r="A969" s="2"/>
      <c r="B969" s="2"/>
      <c r="C969" s="2"/>
      <c r="D969" s="2"/>
      <c r="E969" s="2"/>
      <c r="F969" s="2"/>
    </row>
    <row r="970" ht="12.0" customHeight="1">
      <c r="A970" s="2"/>
      <c r="B970" s="2"/>
      <c r="C970" s="2"/>
      <c r="D970" s="2"/>
      <c r="E970" s="2"/>
      <c r="F970" s="2"/>
    </row>
    <row r="971" ht="12.0" customHeight="1">
      <c r="A971" s="2"/>
      <c r="B971" s="2"/>
      <c r="C971" s="2"/>
      <c r="D971" s="2"/>
      <c r="E971" s="2"/>
      <c r="F971" s="2"/>
    </row>
    <row r="972" ht="12.0" customHeight="1">
      <c r="A972" s="2"/>
      <c r="B972" s="2"/>
      <c r="C972" s="2"/>
      <c r="D972" s="2"/>
      <c r="E972" s="2"/>
      <c r="F972" s="2"/>
    </row>
    <row r="973" ht="12.0" customHeight="1">
      <c r="A973" s="2"/>
      <c r="B973" s="2"/>
      <c r="C973" s="2"/>
      <c r="D973" s="2"/>
      <c r="E973" s="2"/>
      <c r="F973" s="2"/>
    </row>
    <row r="974" ht="12.0" customHeight="1">
      <c r="A974" s="2"/>
      <c r="B974" s="2"/>
      <c r="C974" s="2"/>
      <c r="D974" s="2"/>
      <c r="E974" s="2"/>
      <c r="F974" s="2"/>
    </row>
    <row r="975" ht="12.0" customHeight="1">
      <c r="A975" s="2"/>
      <c r="B975" s="2"/>
      <c r="C975" s="2"/>
      <c r="D975" s="2"/>
      <c r="E975" s="2"/>
      <c r="F975" s="2"/>
    </row>
    <row r="976" ht="12.0" customHeight="1">
      <c r="A976" s="2"/>
      <c r="B976" s="2"/>
      <c r="C976" s="2"/>
      <c r="D976" s="2"/>
      <c r="E976" s="2"/>
      <c r="F976" s="2"/>
    </row>
    <row r="977" ht="12.0" customHeight="1">
      <c r="A977" s="2"/>
      <c r="B977" s="2"/>
      <c r="C977" s="2"/>
      <c r="D977" s="2"/>
      <c r="E977" s="2"/>
      <c r="F977" s="2"/>
    </row>
    <row r="978" ht="12.0" customHeight="1">
      <c r="A978" s="2"/>
      <c r="B978" s="2"/>
      <c r="C978" s="2"/>
      <c r="D978" s="2"/>
      <c r="E978" s="2"/>
      <c r="F978" s="2"/>
    </row>
    <row r="979" ht="12.0" customHeight="1">
      <c r="A979" s="2"/>
      <c r="B979" s="2"/>
      <c r="C979" s="2"/>
      <c r="D979" s="2"/>
      <c r="E979" s="2"/>
      <c r="F979" s="2"/>
    </row>
    <row r="980" ht="12.0" customHeight="1">
      <c r="A980" s="2"/>
      <c r="B980" s="2"/>
      <c r="C980" s="2"/>
      <c r="D980" s="2"/>
      <c r="E980" s="2"/>
      <c r="F980" s="2"/>
    </row>
    <row r="981" ht="12.0" customHeight="1">
      <c r="A981" s="2"/>
      <c r="B981" s="2"/>
      <c r="C981" s="2"/>
      <c r="D981" s="2"/>
      <c r="E981" s="2"/>
      <c r="F981" s="2"/>
    </row>
    <row r="982" ht="12.0" customHeight="1">
      <c r="A982" s="2"/>
      <c r="B982" s="2"/>
      <c r="C982" s="2"/>
      <c r="D982" s="2"/>
      <c r="E982" s="2"/>
      <c r="F982" s="2"/>
    </row>
    <row r="983" ht="12.0" customHeight="1">
      <c r="A983" s="2"/>
      <c r="B983" s="2"/>
      <c r="C983" s="2"/>
      <c r="D983" s="2"/>
      <c r="E983" s="2"/>
      <c r="F983" s="2"/>
    </row>
    <row r="984" ht="12.0" customHeight="1">
      <c r="A984" s="2"/>
      <c r="B984" s="2"/>
      <c r="C984" s="2"/>
      <c r="D984" s="2"/>
      <c r="E984" s="2"/>
      <c r="F984" s="2"/>
    </row>
    <row r="985" ht="12.0" customHeight="1">
      <c r="A985" s="2"/>
      <c r="B985" s="2"/>
      <c r="C985" s="2"/>
      <c r="D985" s="2"/>
      <c r="E985" s="2"/>
      <c r="F985" s="2"/>
    </row>
    <row r="986" ht="12.0" customHeight="1">
      <c r="A986" s="2"/>
      <c r="B986" s="2"/>
      <c r="C986" s="2"/>
      <c r="D986" s="2"/>
      <c r="E986" s="2"/>
      <c r="F986" s="2"/>
    </row>
    <row r="987" ht="12.0" customHeight="1">
      <c r="A987" s="2"/>
      <c r="B987" s="2"/>
      <c r="C987" s="2"/>
      <c r="D987" s="2"/>
      <c r="E987" s="2"/>
      <c r="F987" s="2"/>
    </row>
    <row r="988" ht="12.0" customHeight="1">
      <c r="A988" s="2"/>
      <c r="B988" s="2"/>
      <c r="C988" s="2"/>
      <c r="D988" s="2"/>
      <c r="E988" s="2"/>
      <c r="F988" s="2"/>
    </row>
    <row r="989" ht="12.0" customHeight="1">
      <c r="A989" s="2"/>
      <c r="B989" s="2"/>
      <c r="C989" s="2"/>
      <c r="D989" s="2"/>
      <c r="E989" s="2"/>
      <c r="F989" s="2"/>
    </row>
    <row r="990" ht="12.0" customHeight="1">
      <c r="A990" s="2"/>
      <c r="B990" s="2"/>
      <c r="C990" s="2"/>
      <c r="D990" s="2"/>
      <c r="E990" s="2"/>
      <c r="F990" s="2"/>
    </row>
    <row r="991" ht="12.0" customHeight="1">
      <c r="A991" s="2"/>
      <c r="B991" s="2"/>
      <c r="C991" s="2"/>
      <c r="D991" s="2"/>
      <c r="E991" s="2"/>
      <c r="F991" s="2"/>
    </row>
    <row r="992" ht="12.0" customHeight="1">
      <c r="A992" s="2"/>
      <c r="B992" s="2"/>
      <c r="C992" s="2"/>
      <c r="D992" s="2"/>
      <c r="E992" s="2"/>
      <c r="F992" s="2"/>
    </row>
    <row r="993" ht="12.0" customHeight="1">
      <c r="A993" s="2"/>
      <c r="B993" s="2"/>
      <c r="C993" s="2"/>
      <c r="D993" s="2"/>
      <c r="E993" s="2"/>
      <c r="F993" s="2"/>
    </row>
    <row r="994" ht="12.0" customHeight="1">
      <c r="A994" s="2"/>
      <c r="B994" s="2"/>
      <c r="C994" s="2"/>
      <c r="D994" s="2"/>
      <c r="E994" s="2"/>
      <c r="F994" s="2"/>
    </row>
    <row r="995" ht="12.0" customHeight="1">
      <c r="A995" s="2"/>
      <c r="B995" s="2"/>
      <c r="C995" s="2"/>
      <c r="D995" s="2"/>
      <c r="E995" s="2"/>
      <c r="F995" s="2"/>
    </row>
    <row r="996" ht="12.0" customHeight="1">
      <c r="A996" s="2"/>
      <c r="B996" s="2"/>
      <c r="C996" s="2"/>
      <c r="D996" s="2"/>
      <c r="E996" s="2"/>
      <c r="F996" s="2"/>
    </row>
    <row r="997" ht="12.0" customHeight="1">
      <c r="A997" s="2"/>
      <c r="B997" s="2"/>
      <c r="C997" s="2"/>
      <c r="D997" s="2"/>
      <c r="E997" s="2"/>
      <c r="F997" s="2"/>
    </row>
    <row r="998" ht="12.0" customHeight="1">
      <c r="A998" s="2"/>
      <c r="B998" s="2"/>
      <c r="C998" s="2"/>
      <c r="D998" s="2"/>
      <c r="E998" s="2"/>
      <c r="F998" s="2"/>
    </row>
    <row r="999" ht="12.0" customHeight="1">
      <c r="A999" s="2"/>
      <c r="B999" s="2"/>
      <c r="C999" s="2"/>
      <c r="D999" s="2"/>
      <c r="E999" s="2"/>
      <c r="F999" s="2"/>
    </row>
    <row r="1000" ht="12.0" customHeight="1">
      <c r="A1000" s="2"/>
      <c r="B1000" s="2"/>
      <c r="C1000" s="2"/>
      <c r="D1000" s="2"/>
      <c r="E1000" s="2"/>
      <c r="F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7.0" topLeftCell="D8" activePane="bottomRight" state="frozen"/>
      <selection activeCell="D1" sqref="D1" pane="topRight"/>
      <selection activeCell="A8" sqref="A8" pane="bottomLeft"/>
      <selection activeCell="D8" sqref="D8" pane="bottomRight"/>
    </sheetView>
  </sheetViews>
  <sheetFormatPr customHeight="1" defaultColWidth="14.43" defaultRowHeight="15.0" outlineLevelCol="1"/>
  <cols>
    <col customWidth="1" min="1" max="1" width="2.71"/>
    <col customWidth="1" min="2" max="2" width="20.57"/>
    <col customWidth="1" min="3" max="3" width="15.14"/>
    <col customWidth="1" hidden="1" min="4" max="4" width="13.71" outlineLevel="1"/>
    <col collapsed="1" customWidth="1" min="5" max="5" width="13.71"/>
    <col customWidth="1" min="6" max="16" width="13.71"/>
  </cols>
  <sheetData>
    <row r="1" ht="25.5" customHeight="1">
      <c r="A1" s="3"/>
      <c r="B1" s="4"/>
      <c r="C1" s="4"/>
      <c r="D1" s="4"/>
      <c r="E1" s="5"/>
      <c r="N1" s="4"/>
      <c r="P1" s="4"/>
    </row>
    <row r="2" ht="25.5" customHeight="1">
      <c r="A2" s="3" t="str">
        <f>Macro!A2</f>
        <v>StartUp Co</v>
      </c>
      <c r="B2" s="4"/>
      <c r="C2" s="4"/>
      <c r="D2" s="4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ht="12.0" customHeight="1">
      <c r="B3" s="8" t="s">
        <v>1</v>
      </c>
      <c r="C3" s="4"/>
      <c r="D3" s="9">
        <f>'Top line'!D3</f>
        <v>2020</v>
      </c>
      <c r="E3" s="9">
        <f>'Top line'!J3</f>
        <v>2021</v>
      </c>
      <c r="F3" s="10"/>
      <c r="G3" s="10"/>
      <c r="H3" s="11"/>
      <c r="I3" s="9">
        <f>'Top line'!V3</f>
        <v>2022</v>
      </c>
      <c r="J3" s="10"/>
      <c r="K3" s="10"/>
      <c r="L3" s="11"/>
      <c r="M3" s="9">
        <f>'Top line'!AH3</f>
        <v>2023</v>
      </c>
      <c r="N3" s="10"/>
      <c r="O3" s="10"/>
      <c r="P3" s="11"/>
    </row>
    <row r="4" ht="12.0" customHeight="1">
      <c r="B4" s="8" t="s">
        <v>2</v>
      </c>
      <c r="C4" s="4"/>
      <c r="D4" s="12" t="s">
        <v>3</v>
      </c>
      <c r="E4" s="13" t="s">
        <v>4</v>
      </c>
      <c r="F4" s="14" t="s">
        <v>5</v>
      </c>
      <c r="G4" s="14" t="s">
        <v>6</v>
      </c>
      <c r="H4" s="15" t="s">
        <v>3</v>
      </c>
      <c r="I4" s="13" t="s">
        <v>4</v>
      </c>
      <c r="J4" s="14" t="s">
        <v>5</v>
      </c>
      <c r="K4" s="14" t="s">
        <v>6</v>
      </c>
      <c r="L4" s="15" t="s">
        <v>3</v>
      </c>
      <c r="M4" s="13" t="s">
        <v>4</v>
      </c>
      <c r="N4" s="14" t="s">
        <v>5</v>
      </c>
      <c r="O4" s="14" t="s">
        <v>6</v>
      </c>
      <c r="P4" s="15" t="s">
        <v>3</v>
      </c>
    </row>
    <row r="5" ht="12.0" customHeight="1">
      <c r="B5" s="8" t="s">
        <v>7</v>
      </c>
      <c r="C5" s="4"/>
      <c r="D5" s="16">
        <f>'Top line'!I5</f>
        <v>43861</v>
      </c>
      <c r="E5" s="17">
        <f t="shared" ref="E5:P5" si="1">EDATE(D5+1,3)-1</f>
        <v>43951</v>
      </c>
      <c r="F5" s="18">
        <f t="shared" si="1"/>
        <v>44043</v>
      </c>
      <c r="G5" s="18">
        <f t="shared" si="1"/>
        <v>44135</v>
      </c>
      <c r="H5" s="19">
        <f t="shared" si="1"/>
        <v>44227</v>
      </c>
      <c r="I5" s="17">
        <f t="shared" si="1"/>
        <v>44316</v>
      </c>
      <c r="J5" s="18">
        <f t="shared" si="1"/>
        <v>44408</v>
      </c>
      <c r="K5" s="18">
        <f t="shared" si="1"/>
        <v>44500</v>
      </c>
      <c r="L5" s="19">
        <f t="shared" si="1"/>
        <v>44592</v>
      </c>
      <c r="M5" s="17">
        <f t="shared" si="1"/>
        <v>44681</v>
      </c>
      <c r="N5" s="18">
        <f t="shared" si="1"/>
        <v>44773</v>
      </c>
      <c r="O5" s="18">
        <f t="shared" si="1"/>
        <v>44865</v>
      </c>
      <c r="P5" s="19">
        <f t="shared" si="1"/>
        <v>44957</v>
      </c>
    </row>
    <row r="6" ht="12.0" customHeight="1">
      <c r="B6" s="8"/>
      <c r="C6" s="4"/>
      <c r="D6" s="20" t="str">
        <f>Team!I6</f>
        <v>Act</v>
      </c>
      <c r="E6" s="21" t="str">
        <f>'Top line'!L6</f>
        <v>Act</v>
      </c>
      <c r="F6" s="22" t="str">
        <f>'Top line'!O6</f>
        <v>Fcst</v>
      </c>
      <c r="G6" s="22" t="str">
        <f>'Top line'!R6</f>
        <v>Fcst</v>
      </c>
      <c r="H6" s="23" t="str">
        <f>Team!U6</f>
        <v>Fcst</v>
      </c>
      <c r="I6" s="21" t="str">
        <f>'Top line'!X6</f>
        <v>Fcst</v>
      </c>
      <c r="J6" s="22" t="str">
        <f>'Top line'!AA6</f>
        <v>Fcst</v>
      </c>
      <c r="K6" s="22" t="str">
        <f>'Top line'!AD6</f>
        <v>Fcst</v>
      </c>
      <c r="L6" s="23" t="str">
        <f>'Top line'!AG6</f>
        <v>Fcst</v>
      </c>
      <c r="M6" s="21" t="str">
        <f>'Top line'!AJ6</f>
        <v>Fcst</v>
      </c>
      <c r="N6" s="22" t="str">
        <f>'Top line'!AM6</f>
        <v>Fcst</v>
      </c>
      <c r="O6" s="22" t="str">
        <f>'Top line'!AP6</f>
        <v>Fcst</v>
      </c>
      <c r="P6" s="23" t="str">
        <f>'Top line'!AS6</f>
        <v>Fcst</v>
      </c>
    </row>
    <row r="7" ht="4.5" customHeight="1">
      <c r="B7" s="4"/>
      <c r="C7" s="4"/>
      <c r="D7" s="24"/>
      <c r="E7" s="25"/>
      <c r="F7" s="26"/>
      <c r="G7" s="26"/>
      <c r="H7" s="27"/>
      <c r="I7" s="25"/>
      <c r="J7" s="26"/>
      <c r="K7" s="26"/>
      <c r="L7" s="27"/>
      <c r="M7" s="25"/>
      <c r="N7" s="26"/>
      <c r="O7" s="26"/>
      <c r="P7" s="27"/>
    </row>
    <row r="8" ht="15.0" customHeight="1">
      <c r="B8" s="28" t="s">
        <v>8</v>
      </c>
      <c r="C8" s="29"/>
      <c r="D8" s="30"/>
      <c r="E8" s="30"/>
      <c r="F8" s="31"/>
      <c r="G8" s="31"/>
      <c r="H8" s="32"/>
      <c r="I8" s="30"/>
      <c r="J8" s="31"/>
      <c r="K8" s="31"/>
      <c r="L8" s="32"/>
      <c r="M8" s="30"/>
      <c r="N8" s="31"/>
      <c r="O8" s="31"/>
      <c r="P8" s="32"/>
    </row>
    <row r="9" ht="12.0" customHeight="1">
      <c r="A9" s="4"/>
      <c r="B9" s="33" t="s">
        <v>9</v>
      </c>
      <c r="C9" s="4"/>
      <c r="D9" s="34">
        <f>'Key metrics'!I9</f>
        <v>210000</v>
      </c>
      <c r="E9" s="34">
        <f>'Top line'!L39</f>
        <v>630000</v>
      </c>
      <c r="F9" s="35" t="str">
        <f>'Top line'!O39</f>
        <v>#VALUE!</v>
      </c>
      <c r="G9" s="35" t="str">
        <f>'Top line'!R39</f>
        <v>#VALUE!</v>
      </c>
      <c r="H9" s="36" t="str">
        <f>'Top line'!U39</f>
        <v>#VALUE!</v>
      </c>
      <c r="I9" s="34" t="str">
        <f>'Top line'!X39</f>
        <v>#VALUE!</v>
      </c>
      <c r="J9" s="35" t="str">
        <f>'Top line'!AA39</f>
        <v>#VALUE!</v>
      </c>
      <c r="K9" s="35" t="str">
        <f>'Top line'!AD39</f>
        <v>#VALUE!</v>
      </c>
      <c r="L9" s="36" t="str">
        <f>'Top line'!AG39</f>
        <v>#VALUE!</v>
      </c>
      <c r="M9" s="34" t="str">
        <f>'Top line'!AJ39</f>
        <v>#VALUE!</v>
      </c>
      <c r="N9" s="35" t="str">
        <f>'Top line'!AM39</f>
        <v>#VALUE!</v>
      </c>
      <c r="O9" s="35" t="str">
        <f>'Top line'!AP39</f>
        <v>#VALUE!</v>
      </c>
      <c r="P9" s="36" t="str">
        <f>'Top line'!AS39</f>
        <v>#VALUE!</v>
      </c>
    </row>
    <row r="10" ht="15.0" customHeight="1">
      <c r="A10" s="4"/>
      <c r="B10" s="37" t="s">
        <v>10</v>
      </c>
      <c r="C10" s="4"/>
      <c r="D10" s="34">
        <f>'Key metrics'!I10</f>
        <v>1837320</v>
      </c>
      <c r="E10" s="34">
        <f>'Key metrics'!L10</f>
        <v>711980</v>
      </c>
      <c r="F10" s="35" t="str">
        <f>'Key metrics'!O10</f>
        <v>NA</v>
      </c>
      <c r="G10" s="35" t="str">
        <f>'Key metrics'!R10</f>
        <v>NA</v>
      </c>
      <c r="H10" s="36" t="str">
        <f>'Key metrics'!U10</f>
        <v>NA</v>
      </c>
      <c r="I10" s="38" t="str">
        <f>'Key metrics'!X10</f>
        <v>NA</v>
      </c>
      <c r="J10" s="39" t="str">
        <f>'Key metrics'!AA10</f>
        <v>NA</v>
      </c>
      <c r="K10" s="39" t="str">
        <f>'Key metrics'!AD10</f>
        <v>NA</v>
      </c>
      <c r="L10" s="40" t="str">
        <f>'Key metrics'!AG10</f>
        <v>NA</v>
      </c>
      <c r="M10" s="38" t="str">
        <f>'Key metrics'!AJ10</f>
        <v>NA</v>
      </c>
      <c r="N10" s="39" t="str">
        <f>'Key metrics'!AM10</f>
        <v>NA</v>
      </c>
      <c r="O10" s="39" t="str">
        <f>'Key metrics'!AP10</f>
        <v>NA</v>
      </c>
      <c r="P10" s="40" t="str">
        <f>'Key metrics'!AS10</f>
        <v>NA</v>
      </c>
    </row>
    <row r="11" ht="15.0" customHeight="1">
      <c r="B11" s="37" t="s">
        <v>11</v>
      </c>
      <c r="C11" s="4"/>
      <c r="D11" s="34" t="str">
        <f>'Key metrics'!I11</f>
        <v>NA</v>
      </c>
      <c r="E11" s="38" t="str">
        <f>'Key metrics'!L11</f>
        <v>NA</v>
      </c>
      <c r="F11" s="39" t="str">
        <f>'Key metrics'!O11</f>
        <v>NA</v>
      </c>
      <c r="G11" s="39" t="str">
        <f>'Key metrics'!R11</f>
        <v>NA</v>
      </c>
      <c r="H11" s="40" t="str">
        <f>'Key metrics'!U11</f>
        <v>NA</v>
      </c>
      <c r="I11" s="38" t="str">
        <f>'Key metrics'!X11</f>
        <v>NA</v>
      </c>
      <c r="J11" s="39" t="str">
        <f>'Key metrics'!AA11</f>
        <v>NA</v>
      </c>
      <c r="K11" s="39" t="str">
        <f>'Key metrics'!AD11</f>
        <v>NA</v>
      </c>
      <c r="L11" s="40" t="str">
        <f>'Key metrics'!AG11</f>
        <v>NA</v>
      </c>
      <c r="M11" s="38" t="str">
        <f>'Key metrics'!AJ11</f>
        <v>NA</v>
      </c>
      <c r="N11" s="39" t="str">
        <f>'Key metrics'!AM11</f>
        <v>NA</v>
      </c>
      <c r="O11" s="39" t="str">
        <f>'Key metrics'!AP11</f>
        <v>NA</v>
      </c>
      <c r="P11" s="40" t="str">
        <f>'Key metrics'!AS11</f>
        <v>NA</v>
      </c>
    </row>
    <row r="12" ht="15.0" customHeight="1">
      <c r="B12" s="37" t="s">
        <v>12</v>
      </c>
      <c r="C12" s="41" t="str">
        <f t="array" ref="C12">IFERROR(INDEX('Cash analysis'!$J$5:$AS$5,1,MATCH(1,'Cash analysis'!$J$24:$AS$24,0)),"NA")</f>
        <v>NA</v>
      </c>
      <c r="D12" s="34"/>
      <c r="E12" s="34"/>
      <c r="F12" s="35"/>
      <c r="G12" s="35"/>
      <c r="H12" s="36"/>
      <c r="I12" s="34"/>
      <c r="J12" s="35"/>
      <c r="K12" s="35"/>
      <c r="L12" s="36"/>
      <c r="M12" s="34"/>
      <c r="N12" s="35"/>
      <c r="O12" s="35"/>
      <c r="P12" s="36"/>
    </row>
    <row r="13" ht="15.0" customHeight="1">
      <c r="B13" s="4"/>
      <c r="C13" s="4"/>
      <c r="D13" s="25"/>
      <c r="E13" s="25"/>
      <c r="F13" s="26"/>
      <c r="G13" s="26"/>
      <c r="H13" s="27"/>
      <c r="I13" s="25"/>
      <c r="J13" s="26"/>
      <c r="K13" s="26"/>
      <c r="L13" s="27"/>
      <c r="M13" s="25"/>
      <c r="N13" s="26"/>
      <c r="O13" s="26"/>
      <c r="P13" s="27"/>
    </row>
    <row r="14" ht="15.0" customHeight="1">
      <c r="B14" s="28" t="s">
        <v>13</v>
      </c>
      <c r="C14" s="29"/>
      <c r="D14" s="30"/>
      <c r="E14" s="30"/>
      <c r="F14" s="31"/>
      <c r="G14" s="31"/>
      <c r="H14" s="32"/>
      <c r="I14" s="30"/>
      <c r="J14" s="31"/>
      <c r="K14" s="31"/>
      <c r="L14" s="32"/>
      <c r="M14" s="30"/>
      <c r="N14" s="31"/>
      <c r="O14" s="31"/>
      <c r="P14" s="32"/>
    </row>
    <row r="15" ht="15.0" customHeight="1">
      <c r="A15" s="8"/>
      <c r="B15" s="42" t="s">
        <v>9</v>
      </c>
      <c r="C15" s="4"/>
      <c r="D15" s="34"/>
      <c r="E15" s="34"/>
      <c r="F15" s="35"/>
      <c r="G15" s="43"/>
      <c r="H15" s="44"/>
      <c r="I15" s="45"/>
      <c r="J15" s="43"/>
      <c r="K15" s="43"/>
      <c r="L15" s="44"/>
      <c r="M15" s="45"/>
      <c r="N15" s="43"/>
      <c r="O15" s="43"/>
      <c r="P15" s="44"/>
    </row>
    <row r="16" ht="12.0" customHeight="1">
      <c r="B16" s="33" t="s">
        <v>14</v>
      </c>
      <c r="C16" s="4"/>
      <c r="D16" s="34"/>
      <c r="E16" s="34">
        <f>SUM('Top line'!J41:L41)</f>
        <v>480000</v>
      </c>
      <c r="F16" s="35" t="str">
        <f>SUM('Top line'!M41:O41)</f>
        <v>#VALUE!</v>
      </c>
      <c r="G16" s="35" t="str">
        <f>SUM('Top line'!P41:R41)</f>
        <v>#VALUE!</v>
      </c>
      <c r="H16" s="36" t="str">
        <f>SUM('Top line'!S41:U41)</f>
        <v>#VALUE!</v>
      </c>
      <c r="I16" s="34" t="str">
        <f>SUM('Top line'!V41:X41)</f>
        <v>#VALUE!</v>
      </c>
      <c r="J16" s="35" t="str">
        <f>SUM('Top line'!Y41:AA41)</f>
        <v>#VALUE!</v>
      </c>
      <c r="K16" s="35" t="str">
        <f>SUM('Top line'!AB41:AD41)</f>
        <v>#VALUE!</v>
      </c>
      <c r="L16" s="36" t="str">
        <f>SUM('Top line'!AE41:AG41)</f>
        <v>#VALUE!</v>
      </c>
      <c r="M16" s="34" t="str">
        <f>SUM('Top line'!AH41:AJ41)</f>
        <v>#VALUE!</v>
      </c>
      <c r="N16" s="35" t="str">
        <f>SUM('Top line'!AK41:AM41)</f>
        <v>#VALUE!</v>
      </c>
      <c r="O16" s="35" t="str">
        <f>SUM('Top line'!AN41:AP41)</f>
        <v>#VALUE!</v>
      </c>
      <c r="P16" s="36" t="str">
        <f>SUM('Top line'!AQ41:AS41)</f>
        <v>#VALUE!</v>
      </c>
    </row>
    <row r="17" ht="12.0" customHeight="1">
      <c r="B17" s="33" t="s">
        <v>15</v>
      </c>
      <c r="C17" s="4"/>
      <c r="D17" s="34"/>
      <c r="E17" s="34">
        <f>SUM('Top line'!J42:L42)</f>
        <v>0</v>
      </c>
      <c r="F17" s="35">
        <f>SUM('Top line'!M42:O42)</f>
        <v>0</v>
      </c>
      <c r="G17" s="35">
        <f>SUM('Top line'!P42:R42)</f>
        <v>30000</v>
      </c>
      <c r="H17" s="36">
        <f>SUM('Top line'!S42:U42)</f>
        <v>37500</v>
      </c>
      <c r="I17" s="34">
        <f>SUM('Top line'!V42:X42)</f>
        <v>60000</v>
      </c>
      <c r="J17" s="35">
        <f>SUM('Top line'!Y42:AA42)</f>
        <v>0</v>
      </c>
      <c r="K17" s="35">
        <f>SUM('Top line'!AB42:AD42)</f>
        <v>0</v>
      </c>
      <c r="L17" s="36">
        <f>SUM('Top line'!AE42:AG42)</f>
        <v>0</v>
      </c>
      <c r="M17" s="34">
        <f>SUM('Top line'!AH42:AJ42)</f>
        <v>0</v>
      </c>
      <c r="N17" s="35">
        <f>SUM('Top line'!AK42:AM42)</f>
        <v>0</v>
      </c>
      <c r="O17" s="35">
        <f>SUM('Top line'!AN42:AP42)</f>
        <v>0</v>
      </c>
      <c r="P17" s="36">
        <f>SUM('Top line'!AQ42:AS42)</f>
        <v>0</v>
      </c>
    </row>
    <row r="18" ht="12.0" customHeight="1">
      <c r="B18" s="46" t="s">
        <v>16</v>
      </c>
      <c r="C18" s="47"/>
      <c r="D18" s="48"/>
      <c r="E18" s="48">
        <f>SUM('Top line'!J43:L43)</f>
        <v>-60000</v>
      </c>
      <c r="F18" s="49">
        <f>SUM('Top line'!M43:O43)</f>
        <v>0</v>
      </c>
      <c r="G18" s="49">
        <f>SUM('Top line'!P43:R43)</f>
        <v>-60000</v>
      </c>
      <c r="H18" s="50">
        <f>SUM('Top line'!S43:U43)</f>
        <v>-75000</v>
      </c>
      <c r="I18" s="48">
        <f>SUM('Top line'!V43:X43)</f>
        <v>-120000</v>
      </c>
      <c r="J18" s="49">
        <f>SUM('Top line'!Y43:AA43)</f>
        <v>0</v>
      </c>
      <c r="K18" s="49">
        <f>SUM('Top line'!AB43:AD43)</f>
        <v>0</v>
      </c>
      <c r="L18" s="50">
        <f>SUM('Top line'!AE43:AG43)</f>
        <v>0</v>
      </c>
      <c r="M18" s="48">
        <f>SUM('Top line'!AH43:AJ43)</f>
        <v>0</v>
      </c>
      <c r="N18" s="49">
        <f>SUM('Top line'!AK43:AM43)</f>
        <v>0</v>
      </c>
      <c r="O18" s="49">
        <f>SUM('Top line'!AN43:AP43)</f>
        <v>0</v>
      </c>
      <c r="P18" s="50">
        <f>SUM('Top line'!AQ43:AS43)</f>
        <v>0</v>
      </c>
    </row>
    <row r="19" ht="12.0" customHeight="1">
      <c r="B19" s="42" t="s">
        <v>17</v>
      </c>
      <c r="C19" s="8"/>
      <c r="D19" s="51"/>
      <c r="E19" s="51">
        <f t="shared" ref="E19:P19" si="2">SUM(E16:E18)</f>
        <v>420000</v>
      </c>
      <c r="F19" s="52" t="str">
        <f t="shared" si="2"/>
        <v>#VALUE!</v>
      </c>
      <c r="G19" s="52" t="str">
        <f t="shared" si="2"/>
        <v>#VALUE!</v>
      </c>
      <c r="H19" s="53" t="str">
        <f t="shared" si="2"/>
        <v>#VALUE!</v>
      </c>
      <c r="I19" s="51" t="str">
        <f t="shared" si="2"/>
        <v>#VALUE!</v>
      </c>
      <c r="J19" s="52" t="str">
        <f t="shared" si="2"/>
        <v>#VALUE!</v>
      </c>
      <c r="K19" s="52" t="str">
        <f t="shared" si="2"/>
        <v>#VALUE!</v>
      </c>
      <c r="L19" s="53" t="str">
        <f t="shared" si="2"/>
        <v>#VALUE!</v>
      </c>
      <c r="M19" s="51" t="str">
        <f t="shared" si="2"/>
        <v>#VALUE!</v>
      </c>
      <c r="N19" s="52" t="str">
        <f t="shared" si="2"/>
        <v>#VALUE!</v>
      </c>
      <c r="O19" s="52" t="str">
        <f t="shared" si="2"/>
        <v>#VALUE!</v>
      </c>
      <c r="P19" s="53" t="str">
        <f t="shared" si="2"/>
        <v>#VALUE!</v>
      </c>
    </row>
    <row r="20" ht="12.0" customHeight="1">
      <c r="A20" s="54"/>
      <c r="B20" s="55" t="s">
        <v>18</v>
      </c>
      <c r="C20" s="54"/>
      <c r="D20" s="56"/>
      <c r="E20" s="57" t="b">
        <f t="shared" ref="E20:P20" si="3">(E9-D9)=E19</f>
        <v>1</v>
      </c>
      <c r="F20" s="58" t="str">
        <f t="shared" si="3"/>
        <v>#VALUE!</v>
      </c>
      <c r="G20" s="58" t="str">
        <f t="shared" si="3"/>
        <v>#VALUE!</v>
      </c>
      <c r="H20" s="59" t="str">
        <f t="shared" si="3"/>
        <v>#VALUE!</v>
      </c>
      <c r="I20" s="57" t="str">
        <f t="shared" si="3"/>
        <v>#VALUE!</v>
      </c>
      <c r="J20" s="58" t="str">
        <f t="shared" si="3"/>
        <v>#VALUE!</v>
      </c>
      <c r="K20" s="58" t="str">
        <f t="shared" si="3"/>
        <v>#VALUE!</v>
      </c>
      <c r="L20" s="59" t="str">
        <f t="shared" si="3"/>
        <v>#VALUE!</v>
      </c>
      <c r="M20" s="57" t="str">
        <f t="shared" si="3"/>
        <v>#VALUE!</v>
      </c>
      <c r="N20" s="58" t="str">
        <f t="shared" si="3"/>
        <v>#VALUE!</v>
      </c>
      <c r="O20" s="58" t="str">
        <f t="shared" si="3"/>
        <v>#VALUE!</v>
      </c>
      <c r="P20" s="59" t="str">
        <f t="shared" si="3"/>
        <v>#VALUE!</v>
      </c>
    </row>
    <row r="21" ht="12.0" customHeight="1">
      <c r="B21" s="60"/>
      <c r="C21" s="4"/>
      <c r="D21" s="34"/>
      <c r="E21" s="34"/>
      <c r="F21" s="35"/>
      <c r="G21" s="35"/>
      <c r="H21" s="36"/>
      <c r="I21" s="34"/>
      <c r="J21" s="35"/>
      <c r="K21" s="35"/>
      <c r="L21" s="36"/>
      <c r="M21" s="34"/>
      <c r="N21" s="35"/>
      <c r="O21" s="35"/>
      <c r="P21" s="36"/>
    </row>
    <row r="22" ht="12.0" customHeight="1">
      <c r="B22" s="33" t="s">
        <v>19</v>
      </c>
      <c r="C22" s="4"/>
      <c r="D22" s="34">
        <f>SUM(Team!G228:I228)+SUM(Expenses!G129:I129)</f>
        <v>60000</v>
      </c>
      <c r="E22" s="34">
        <f>SUM(Team!J228:L228)+SUM(Expenses!J129:L129)</f>
        <v>136860</v>
      </c>
      <c r="F22" s="35" t="str">
        <f>SUM(Team!M228:O228)+SUM(Expenses!M129:O129)</f>
        <v>#VALUE!</v>
      </c>
      <c r="G22" s="35" t="str">
        <f>SUM(Team!P228:R228)+SUM(Expenses!P129:R129)</f>
        <v>#VALUE!</v>
      </c>
      <c r="H22" s="36" t="str">
        <f>SUM(Team!S228:U228)+SUM(Expenses!S129:U129)</f>
        <v>#VALUE!</v>
      </c>
      <c r="I22" s="34" t="str">
        <f>SUM(Team!V228:X228)+SUM(Expenses!V129:X129)</f>
        <v>#VALUE!</v>
      </c>
      <c r="J22" s="35" t="str">
        <f>SUM(Team!Y228:AA228)+SUM(Expenses!Y129:AA129)</f>
        <v>#VALUE!</v>
      </c>
      <c r="K22" s="35" t="str">
        <f>SUM(Team!AB228:AD228)+SUM(Expenses!AB129:AD129)</f>
        <v>#VALUE!</v>
      </c>
      <c r="L22" s="36" t="str">
        <f>SUM(Team!AE228:AG228)+SUM(Expenses!AE129:AG129)</f>
        <v>#VALUE!</v>
      </c>
      <c r="M22" s="34" t="str">
        <f>SUM(Team!AH228:AJ228)+SUM(Expenses!AH129:AJ129)</f>
        <v>#VALUE!</v>
      </c>
      <c r="N22" s="35" t="str">
        <f>SUM(Team!AK228:AM228)+SUM(Expenses!AK129:AM129)</f>
        <v>#VALUE!</v>
      </c>
      <c r="O22" s="35" t="str">
        <f>SUM(Team!AN228:AP228)+SUM(Expenses!AN129:AP129)</f>
        <v>#VALUE!</v>
      </c>
      <c r="P22" s="36" t="str">
        <f>SUM(Team!AQ228:AS228)+SUM(Expenses!AQ129:AS129)</f>
        <v>#VALUE!</v>
      </c>
    </row>
    <row r="23" ht="12.0" customHeight="1">
      <c r="B23" s="33" t="s">
        <v>20</v>
      </c>
      <c r="C23" s="4"/>
      <c r="D23" s="34">
        <f>SUM(Team!G243:I243)+SUM(Expenses!G130:I130)</f>
        <v>75000</v>
      </c>
      <c r="E23" s="34">
        <f>SUM(Team!J243:L243)+SUM(Expenses!J130:L130)</f>
        <v>237560</v>
      </c>
      <c r="F23" s="35">
        <f>SUM(Team!M243:O243)+SUM(Expenses!M130:O130)</f>
        <v>237560</v>
      </c>
      <c r="G23" s="35">
        <f>SUM(Team!P243:R243)+SUM(Expenses!P130:R130)</f>
        <v>262560</v>
      </c>
      <c r="H23" s="36">
        <f>SUM(Team!S243:U243)+SUM(Expenses!S130:U130)</f>
        <v>262560</v>
      </c>
      <c r="I23" s="34">
        <f>SUM(Team!V243:X243)+SUM(Expenses!V130:X130)</f>
        <v>255060</v>
      </c>
      <c r="J23" s="35">
        <f>SUM(Team!Y243:AA243)+SUM(Expenses!Y130:AA130)</f>
        <v>317560</v>
      </c>
      <c r="K23" s="35">
        <f>SUM(Team!AB243:AD243)+SUM(Expenses!AB130:AD130)</f>
        <v>330060</v>
      </c>
      <c r="L23" s="36">
        <f>SUM(Team!AE243:AG243)+SUM(Expenses!AE130:AG130)</f>
        <v>330060</v>
      </c>
      <c r="M23" s="34">
        <f>SUM(Team!AH243:AJ243)+SUM(Expenses!AH130:AJ130)</f>
        <v>343393.3333</v>
      </c>
      <c r="N23" s="35">
        <f>SUM(Team!AK243:AM243)+SUM(Expenses!AK130:AM130)</f>
        <v>410060</v>
      </c>
      <c r="O23" s="35">
        <f>SUM(Team!AN243:AP243)+SUM(Expenses!AN130:AP130)</f>
        <v>410060</v>
      </c>
      <c r="P23" s="36">
        <f>SUM(Team!AQ243:AS243)+SUM(Expenses!AQ130:AS130)</f>
        <v>410060</v>
      </c>
    </row>
    <row r="24" ht="12.0" customHeight="1">
      <c r="B24" s="46" t="s">
        <v>21</v>
      </c>
      <c r="C24" s="47"/>
      <c r="D24" s="48">
        <f>SUM(Team!G297:I297)+SUM(Expenses!G131:I131)</f>
        <v>75000</v>
      </c>
      <c r="E24" s="48">
        <f>SUM(Team!J297:L297)+SUM(Expenses!J131:L131)</f>
        <v>75060</v>
      </c>
      <c r="F24" s="49">
        <f>SUM(Team!M297:O297)+SUM(Expenses!M131:O131)</f>
        <v>100060</v>
      </c>
      <c r="G24" s="49">
        <f>SUM(Team!P297:R297)+SUM(Expenses!P131:R131)</f>
        <v>112560</v>
      </c>
      <c r="H24" s="50">
        <f>SUM(Team!S297:U297)+SUM(Expenses!S131:U131)</f>
        <v>150060</v>
      </c>
      <c r="I24" s="48">
        <f>SUM(Team!V297:X297)+SUM(Expenses!V131:X131)</f>
        <v>100060</v>
      </c>
      <c r="J24" s="49">
        <f>SUM(Team!Y297:AA297)+SUM(Expenses!Y131:AA131)</f>
        <v>187560</v>
      </c>
      <c r="K24" s="49">
        <f>SUM(Team!AB297:AD297)+SUM(Expenses!AB131:AD131)</f>
        <v>187560</v>
      </c>
      <c r="L24" s="50">
        <f>SUM(Team!AE297:AG297)+SUM(Expenses!AE131:AG131)</f>
        <v>225060</v>
      </c>
      <c r="M24" s="48">
        <f>SUM(Team!AH297:AJ297)+SUM(Expenses!AH131:AJ131)</f>
        <v>183393.3333</v>
      </c>
      <c r="N24" s="49">
        <f>SUM(Team!AK297:AM297)+SUM(Expenses!AK131:AM131)</f>
        <v>312560</v>
      </c>
      <c r="O24" s="49">
        <f>SUM(Team!AN297:AP297)+SUM(Expenses!AN131:AP131)</f>
        <v>312560</v>
      </c>
      <c r="P24" s="50">
        <f>SUM(Team!AQ297:AS297)+SUM(Expenses!AQ131:AS131)</f>
        <v>350060</v>
      </c>
    </row>
    <row r="25" ht="12.0" customHeight="1">
      <c r="B25" s="42" t="s">
        <v>22</v>
      </c>
      <c r="C25" s="4"/>
      <c r="D25" s="61">
        <f t="shared" ref="D25:P25" si="4">SUM(D22:D24)</f>
        <v>210000</v>
      </c>
      <c r="E25" s="61">
        <f t="shared" si="4"/>
        <v>449480</v>
      </c>
      <c r="F25" s="62" t="str">
        <f t="shared" si="4"/>
        <v>#VALUE!</v>
      </c>
      <c r="G25" s="62" t="str">
        <f t="shared" si="4"/>
        <v>#VALUE!</v>
      </c>
      <c r="H25" s="63" t="str">
        <f t="shared" si="4"/>
        <v>#VALUE!</v>
      </c>
      <c r="I25" s="61" t="str">
        <f t="shared" si="4"/>
        <v>#VALUE!</v>
      </c>
      <c r="J25" s="62" t="str">
        <f t="shared" si="4"/>
        <v>#VALUE!</v>
      </c>
      <c r="K25" s="62" t="str">
        <f t="shared" si="4"/>
        <v>#VALUE!</v>
      </c>
      <c r="L25" s="63" t="str">
        <f t="shared" si="4"/>
        <v>#VALUE!</v>
      </c>
      <c r="M25" s="61" t="str">
        <f t="shared" si="4"/>
        <v>#VALUE!</v>
      </c>
      <c r="N25" s="62" t="str">
        <f t="shared" si="4"/>
        <v>#VALUE!</v>
      </c>
      <c r="O25" s="62" t="str">
        <f t="shared" si="4"/>
        <v>#VALUE!</v>
      </c>
      <c r="P25" s="63" t="str">
        <f t="shared" si="4"/>
        <v>#VALUE!</v>
      </c>
    </row>
    <row r="26" ht="12.0" customHeight="1">
      <c r="B26" s="60"/>
      <c r="C26" s="8"/>
      <c r="D26" s="51"/>
      <c r="E26" s="51"/>
      <c r="F26" s="52"/>
      <c r="G26" s="52"/>
      <c r="H26" s="53"/>
      <c r="I26" s="51"/>
      <c r="J26" s="52"/>
      <c r="K26" s="52"/>
      <c r="L26" s="53"/>
      <c r="M26" s="51"/>
      <c r="N26" s="52"/>
      <c r="O26" s="52"/>
      <c r="P26" s="53"/>
    </row>
    <row r="27" ht="12.0" customHeight="1">
      <c r="B27" s="33" t="s">
        <v>23</v>
      </c>
      <c r="C27" s="4"/>
      <c r="D27" s="34"/>
      <c r="E27" s="34">
        <f>SUM('Cash analysis'!J25:L25)</f>
        <v>-1125340</v>
      </c>
      <c r="F27" s="35" t="str">
        <f>SUM('Cash analysis'!M25:O25)</f>
        <v>#VALUE!</v>
      </c>
      <c r="G27" s="35" t="str">
        <f>SUM('Cash analysis'!P25:R25)</f>
        <v>#VALUE!</v>
      </c>
      <c r="H27" s="36" t="str">
        <f>SUM('Cash analysis'!S25:U25)</f>
        <v>#VALUE!</v>
      </c>
      <c r="I27" s="34" t="str">
        <f>SUM('Cash analysis'!V25:X25)</f>
        <v>#VALUE!</v>
      </c>
      <c r="J27" s="35" t="str">
        <f>SUM('Cash analysis'!Y25:AA25)</f>
        <v>#VALUE!</v>
      </c>
      <c r="K27" s="35" t="str">
        <f>SUM('Cash analysis'!AB25:AD25)</f>
        <v>#VALUE!</v>
      </c>
      <c r="L27" s="36" t="str">
        <f>SUM('Cash analysis'!AE25:AG25)</f>
        <v>#VALUE!</v>
      </c>
      <c r="M27" s="34" t="str">
        <f>SUM('Cash analysis'!AH25:AJ25)</f>
        <v>#VALUE!</v>
      </c>
      <c r="N27" s="35" t="str">
        <f>SUM('Cash analysis'!AK25:AM25)</f>
        <v>#VALUE!</v>
      </c>
      <c r="O27" s="35" t="str">
        <f>SUM('Cash analysis'!AN25:AP25)</f>
        <v>#VALUE!</v>
      </c>
      <c r="P27" s="36" t="str">
        <f>SUM('Cash analysis'!AQ25:AS25)</f>
        <v>#VALUE!</v>
      </c>
    </row>
    <row r="28" ht="12.0" customHeight="1">
      <c r="B28" s="33" t="s">
        <v>24</v>
      </c>
      <c r="C28" s="4"/>
      <c r="D28" s="34"/>
      <c r="E28" s="34">
        <f>-SUM('Cash analysis'!J19:L19)</f>
        <v>-1745340</v>
      </c>
      <c r="F28" s="35" t="str">
        <f>-SUM('Cash analysis'!M19:O19)</f>
        <v>#VALUE!</v>
      </c>
      <c r="G28" s="35" t="str">
        <f>-SUM('Cash analysis'!P19:R19)</f>
        <v>#VALUE!</v>
      </c>
      <c r="H28" s="36" t="str">
        <f>-SUM('Cash analysis'!S19:U19)</f>
        <v>#VALUE!</v>
      </c>
      <c r="I28" s="34" t="str">
        <f>-SUM('Cash analysis'!V19:X19)</f>
        <v>#VALUE!</v>
      </c>
      <c r="J28" s="35" t="str">
        <f>-SUM('Cash analysis'!Y19:AA19)</f>
        <v>#VALUE!</v>
      </c>
      <c r="K28" s="35" t="str">
        <f>-SUM('Cash analysis'!AB19:AD19)</f>
        <v>#VALUE!</v>
      </c>
      <c r="L28" s="36" t="str">
        <f>-SUM('Cash analysis'!AE19:AG19)</f>
        <v>#VALUE!</v>
      </c>
      <c r="M28" s="34" t="str">
        <f>-SUM('Cash analysis'!AH19:AJ19)</f>
        <v>#VALUE!</v>
      </c>
      <c r="N28" s="35" t="str">
        <f>-SUM('Cash analysis'!AK19:AM19)</f>
        <v>#VALUE!</v>
      </c>
      <c r="O28" s="35" t="str">
        <f>-SUM('Cash analysis'!AN19:AP19)</f>
        <v>#VALUE!</v>
      </c>
      <c r="P28" s="36" t="str">
        <f>-SUM('Cash analysis'!AQ19:AS19)</f>
        <v>#VALUE!</v>
      </c>
    </row>
    <row r="29" ht="12.0" customHeight="1">
      <c r="B29" s="60"/>
      <c r="C29" s="4"/>
      <c r="D29" s="64"/>
      <c r="E29" s="64"/>
      <c r="F29" s="35"/>
      <c r="G29" s="4"/>
      <c r="H29" s="65"/>
      <c r="I29" s="64"/>
      <c r="J29" s="4"/>
      <c r="K29" s="4"/>
      <c r="L29" s="65"/>
      <c r="M29" s="64"/>
      <c r="N29" s="4"/>
      <c r="O29" s="4"/>
      <c r="P29" s="65"/>
    </row>
    <row r="30" ht="15.0" customHeight="1">
      <c r="B30" s="28" t="s">
        <v>25</v>
      </c>
      <c r="C30" s="29"/>
      <c r="D30" s="30"/>
      <c r="E30" s="30"/>
      <c r="F30" s="31"/>
      <c r="G30" s="31"/>
      <c r="H30" s="32"/>
      <c r="I30" s="30"/>
      <c r="J30" s="31"/>
      <c r="K30" s="31"/>
      <c r="L30" s="32"/>
      <c r="M30" s="30"/>
      <c r="N30" s="31"/>
      <c r="O30" s="31"/>
      <c r="P30" s="32"/>
    </row>
    <row r="31" ht="12.0" customHeight="1">
      <c r="A31" s="8"/>
      <c r="B31" s="33" t="s">
        <v>26</v>
      </c>
      <c r="C31" s="4"/>
      <c r="D31" s="64"/>
      <c r="E31" s="66">
        <f t="shared" ref="E31:P31" si="5">IFERROR(SUM(E16:E17)/SUM(D22:D24),"NA")</f>
        <v>2.285714286</v>
      </c>
      <c r="F31" s="67" t="str">
        <f t="shared" si="5"/>
        <v>NA</v>
      </c>
      <c r="G31" s="67" t="str">
        <f t="shared" si="5"/>
        <v>NA</v>
      </c>
      <c r="H31" s="68" t="str">
        <f t="shared" si="5"/>
        <v>NA</v>
      </c>
      <c r="I31" s="69" t="str">
        <f t="shared" si="5"/>
        <v>NA</v>
      </c>
      <c r="J31" s="67" t="str">
        <f t="shared" si="5"/>
        <v>NA</v>
      </c>
      <c r="K31" s="67" t="str">
        <f t="shared" si="5"/>
        <v>NA</v>
      </c>
      <c r="L31" s="68" t="str">
        <f t="shared" si="5"/>
        <v>NA</v>
      </c>
      <c r="M31" s="69" t="str">
        <f t="shared" si="5"/>
        <v>NA</v>
      </c>
      <c r="N31" s="67" t="str">
        <f t="shared" si="5"/>
        <v>NA</v>
      </c>
      <c r="O31" s="67" t="str">
        <f t="shared" si="5"/>
        <v>NA</v>
      </c>
      <c r="P31" s="68" t="str">
        <f t="shared" si="5"/>
        <v>NA</v>
      </c>
    </row>
    <row r="32" ht="12.0" customHeight="1">
      <c r="A32" s="8"/>
      <c r="B32" s="33" t="s">
        <v>27</v>
      </c>
      <c r="C32" s="4"/>
      <c r="D32" s="64"/>
      <c r="E32" s="66">
        <f t="shared" ref="E32:P32" si="6">IFERROR(E19/SUM(D25),"NA")</f>
        <v>2</v>
      </c>
      <c r="F32" s="67" t="str">
        <f t="shared" si="6"/>
        <v>NA</v>
      </c>
      <c r="G32" s="67" t="str">
        <f t="shared" si="6"/>
        <v>NA</v>
      </c>
      <c r="H32" s="68" t="str">
        <f t="shared" si="6"/>
        <v>NA</v>
      </c>
      <c r="I32" s="69" t="str">
        <f t="shared" si="6"/>
        <v>NA</v>
      </c>
      <c r="J32" s="67" t="str">
        <f t="shared" si="6"/>
        <v>NA</v>
      </c>
      <c r="K32" s="67" t="str">
        <f t="shared" si="6"/>
        <v>NA</v>
      </c>
      <c r="L32" s="68" t="str">
        <f t="shared" si="6"/>
        <v>NA</v>
      </c>
      <c r="M32" s="69" t="str">
        <f t="shared" si="6"/>
        <v>NA</v>
      </c>
      <c r="N32" s="67" t="str">
        <f t="shared" si="6"/>
        <v>NA</v>
      </c>
      <c r="O32" s="67" t="str">
        <f t="shared" si="6"/>
        <v>NA</v>
      </c>
      <c r="P32" s="68" t="str">
        <f t="shared" si="6"/>
        <v>NA</v>
      </c>
    </row>
    <row r="33" ht="15.0" customHeight="1">
      <c r="A33" s="8"/>
      <c r="B33" s="33" t="s">
        <v>28</v>
      </c>
      <c r="C33" s="4"/>
      <c r="D33" s="64"/>
      <c r="E33" s="70">
        <f>IFERROR(E32*Macro!$D$8,"NA")</f>
        <v>1.6</v>
      </c>
      <c r="F33" s="71" t="str">
        <f>IFERROR(F32*Macro!$D$8,"NA")</f>
        <v>NA</v>
      </c>
      <c r="G33" s="71" t="str">
        <f>IFERROR(G32*Macro!$D$8,"NA")</f>
        <v>NA</v>
      </c>
      <c r="H33" s="72" t="str">
        <f>IFERROR(H32*Macro!$D$8,"NA")</f>
        <v>NA</v>
      </c>
      <c r="I33" s="71" t="str">
        <f>IFERROR(I32*Macro!$D$8,"NA")</f>
        <v>NA</v>
      </c>
      <c r="J33" s="71" t="str">
        <f>IFERROR(J32*Macro!$D$8,"NA")</f>
        <v>NA</v>
      </c>
      <c r="K33" s="71" t="str">
        <f>IFERROR(K32*Macro!$D$8,"NA")</f>
        <v>NA</v>
      </c>
      <c r="L33" s="72" t="str">
        <f>IFERROR(L32*Macro!$D$8,"NA")</f>
        <v>NA</v>
      </c>
      <c r="M33" s="73" t="str">
        <f>IFERROR(M32*Macro!$D$8,"NA")</f>
        <v>NA</v>
      </c>
      <c r="N33" s="71" t="str">
        <f>IFERROR(N32*Macro!$D$8,"NA")</f>
        <v>NA</v>
      </c>
      <c r="O33" s="71" t="str">
        <f>IFERROR(O32*Macro!$D$8,"NA")</f>
        <v>NA</v>
      </c>
      <c r="P33" s="72" t="str">
        <f>IFERROR(P32*Macro!$D$8,"NA")</f>
        <v>NA</v>
      </c>
    </row>
    <row r="34" ht="12.0" customHeight="1">
      <c r="A34" s="8"/>
      <c r="B34" s="33" t="s">
        <v>29</v>
      </c>
      <c r="C34" s="4"/>
      <c r="D34" s="64"/>
      <c r="E34" s="66">
        <f t="shared" ref="E34:P34" si="7">IFERROR(1/E33*12,"NA")</f>
        <v>7.5</v>
      </c>
      <c r="F34" s="67" t="str">
        <f t="shared" si="7"/>
        <v>NA</v>
      </c>
      <c r="G34" s="67" t="str">
        <f t="shared" si="7"/>
        <v>NA</v>
      </c>
      <c r="H34" s="68" t="str">
        <f t="shared" si="7"/>
        <v>NA</v>
      </c>
      <c r="I34" s="69" t="str">
        <f t="shared" si="7"/>
        <v>NA</v>
      </c>
      <c r="J34" s="67" t="str">
        <f t="shared" si="7"/>
        <v>NA</v>
      </c>
      <c r="K34" s="67" t="str">
        <f t="shared" si="7"/>
        <v>NA</v>
      </c>
      <c r="L34" s="68" t="str">
        <f t="shared" si="7"/>
        <v>NA</v>
      </c>
      <c r="M34" s="69" t="str">
        <f t="shared" si="7"/>
        <v>NA</v>
      </c>
      <c r="N34" s="67" t="str">
        <f t="shared" si="7"/>
        <v>NA</v>
      </c>
      <c r="O34" s="67" t="str">
        <f t="shared" si="7"/>
        <v>NA</v>
      </c>
      <c r="P34" s="68" t="str">
        <f t="shared" si="7"/>
        <v>NA</v>
      </c>
    </row>
    <row r="35" ht="12.0" customHeight="1">
      <c r="A35" s="8"/>
      <c r="B35" s="60"/>
      <c r="C35" s="4"/>
      <c r="D35" s="64"/>
      <c r="E35" s="74"/>
      <c r="F35" s="75"/>
      <c r="G35" s="75"/>
      <c r="H35" s="76"/>
      <c r="I35" s="77"/>
      <c r="J35" s="75"/>
      <c r="K35" s="75"/>
      <c r="L35" s="76"/>
      <c r="M35" s="77"/>
      <c r="N35" s="75"/>
      <c r="O35" s="75"/>
      <c r="P35" s="76"/>
    </row>
    <row r="36" ht="12.0" customHeight="1">
      <c r="A36" s="8"/>
      <c r="B36" s="33" t="s">
        <v>30</v>
      </c>
      <c r="C36" s="4"/>
      <c r="D36" s="64"/>
      <c r="E36" s="78"/>
      <c r="F36" s="79"/>
      <c r="G36" s="79"/>
      <c r="H36" s="80" t="str">
        <f>IFERROR(SUM(E19:H19)/SUM(E25:H25),"NA")</f>
        <v>NA</v>
      </c>
      <c r="I36" s="81"/>
      <c r="J36" s="82"/>
      <c r="K36" s="82"/>
      <c r="L36" s="80" t="str">
        <f>IFERROR(SUM(I19:L19)/SUM(I25:L25),"NA")</f>
        <v>NA</v>
      </c>
      <c r="M36" s="81"/>
      <c r="N36" s="82"/>
      <c r="O36" s="82"/>
      <c r="P36" s="80" t="str">
        <f>IFERROR(SUM(M19:P19)/SUM(M25:P25),"NA")</f>
        <v>NA</v>
      </c>
    </row>
    <row r="37" ht="12.0" customHeight="1">
      <c r="A37" s="8"/>
      <c r="B37" s="33" t="s">
        <v>31</v>
      </c>
      <c r="C37" s="4"/>
      <c r="D37" s="64"/>
      <c r="E37" s="81">
        <f t="shared" ref="E37:H37" si="8">IFERROR((E19/E27)*-1,"NA")</f>
        <v>0.3732205378</v>
      </c>
      <c r="F37" s="83" t="str">
        <f t="shared" si="8"/>
        <v>NA</v>
      </c>
      <c r="G37" s="83" t="str">
        <f t="shared" si="8"/>
        <v>NA</v>
      </c>
      <c r="H37" s="84" t="str">
        <f t="shared" si="8"/>
        <v>NA</v>
      </c>
      <c r="I37" s="85"/>
      <c r="J37" s="83" t="str">
        <f t="shared" ref="J37:L37" si="9">IFERROR((J19/J27)*-1,"NA")</f>
        <v>NA</v>
      </c>
      <c r="K37" s="83" t="str">
        <f t="shared" si="9"/>
        <v>NA</v>
      </c>
      <c r="L37" s="84" t="str">
        <f t="shared" si="9"/>
        <v>NA</v>
      </c>
      <c r="M37" s="85"/>
      <c r="N37" s="83" t="str">
        <f t="shared" ref="N37:P37" si="10">IFERROR((N19/N27)*-1,"NA")</f>
        <v>NA</v>
      </c>
      <c r="O37" s="83" t="str">
        <f t="shared" si="10"/>
        <v>NA</v>
      </c>
      <c r="P37" s="84" t="str">
        <f t="shared" si="10"/>
        <v>NA</v>
      </c>
    </row>
    <row r="38" ht="12.0" customHeight="1">
      <c r="A38" s="8"/>
      <c r="B38" s="33" t="s">
        <v>32</v>
      </c>
      <c r="C38" s="4"/>
      <c r="D38" s="64"/>
      <c r="E38" s="86"/>
      <c r="F38" s="79"/>
      <c r="G38" s="79"/>
      <c r="H38" s="84" t="str">
        <f>IFERROR(-SUM(E19:H19)/SUM(E27:H27),"NA")</f>
        <v>NA</v>
      </c>
      <c r="I38" s="85"/>
      <c r="J38" s="79"/>
      <c r="K38" s="79"/>
      <c r="L38" s="84" t="str">
        <f>IFERROR(-SUM(I19:L19)/SUM(I27:L27),"NA")</f>
        <v>NA</v>
      </c>
      <c r="M38" s="85"/>
      <c r="N38" s="79"/>
      <c r="O38" s="79"/>
      <c r="P38" s="84" t="str">
        <f>IFERROR(-SUM(M19:P19)/SUM(M27:P27),"NA")</f>
        <v>NA</v>
      </c>
    </row>
    <row r="39" ht="12.0" customHeight="1">
      <c r="A39" s="8"/>
      <c r="B39" s="60"/>
      <c r="C39" s="4"/>
      <c r="D39" s="64"/>
      <c r="E39" s="64"/>
      <c r="F39" s="4"/>
      <c r="G39" s="4"/>
      <c r="H39" s="65"/>
      <c r="I39" s="64"/>
      <c r="J39" s="4"/>
      <c r="K39" s="4"/>
      <c r="L39" s="65"/>
      <c r="M39" s="64"/>
      <c r="N39" s="4"/>
      <c r="O39" s="4"/>
      <c r="P39" s="65"/>
    </row>
    <row r="40" ht="15.0" customHeight="1">
      <c r="B40" s="28" t="s">
        <v>33</v>
      </c>
      <c r="C40" s="29"/>
      <c r="D40" s="30"/>
      <c r="E40" s="30"/>
      <c r="F40" s="31"/>
      <c r="G40" s="31"/>
      <c r="H40" s="32"/>
      <c r="I40" s="30"/>
      <c r="J40" s="31"/>
      <c r="K40" s="31"/>
      <c r="L40" s="32"/>
      <c r="M40" s="30"/>
      <c r="N40" s="31"/>
      <c r="O40" s="31"/>
      <c r="P40" s="32"/>
    </row>
    <row r="41" ht="12.0" customHeight="1">
      <c r="A41" s="8"/>
      <c r="B41" s="33" t="s">
        <v>34</v>
      </c>
      <c r="C41" s="4"/>
      <c r="D41" s="38"/>
      <c r="E41" s="38">
        <f>SUM('Top line'!J15:L15)</f>
        <v>12</v>
      </c>
      <c r="F41" s="39" t="str">
        <f>SUM('Top line'!M15:O15)</f>
        <v>#VALUE!</v>
      </c>
      <c r="G41" s="39" t="str">
        <f>SUM('Top line'!P15:R15)</f>
        <v>#VALUE!</v>
      </c>
      <c r="H41" s="40" t="str">
        <f>SUM('Top line'!S15:U15)</f>
        <v>#VALUE!</v>
      </c>
      <c r="I41" s="38" t="str">
        <f>SUM('Top line'!V15:X15)</f>
        <v>#VALUE!</v>
      </c>
      <c r="J41" s="39" t="str">
        <f>SUM('Top line'!Y15:AA15)</f>
        <v>#VALUE!</v>
      </c>
      <c r="K41" s="39" t="str">
        <f>SUM('Top line'!AB15:AD15)</f>
        <v>#VALUE!</v>
      </c>
      <c r="L41" s="40" t="str">
        <f>SUM('Top line'!AE15:AG15)</f>
        <v>#VALUE!</v>
      </c>
      <c r="M41" s="38" t="str">
        <f>SUM('Top line'!AH15:AJ15)</f>
        <v>#VALUE!</v>
      </c>
      <c r="N41" s="39" t="str">
        <f>SUM('Top line'!AK15:AM15)</f>
        <v>#VALUE!</v>
      </c>
      <c r="O41" s="39" t="str">
        <f>SUM('Top line'!AN15:AP15)</f>
        <v>#VALUE!</v>
      </c>
      <c r="P41" s="40" t="str">
        <f>SUM('Top line'!AQ15:AS15)</f>
        <v>#VALUE!</v>
      </c>
    </row>
    <row r="42" ht="12.0" customHeight="1">
      <c r="A42" s="8"/>
      <c r="B42" s="33" t="s">
        <v>35</v>
      </c>
      <c r="C42" s="4"/>
      <c r="D42" s="61"/>
      <c r="E42" s="87">
        <f t="shared" ref="E42:P42" si="11">E16/E41</f>
        <v>40000</v>
      </c>
      <c r="F42" s="88" t="str">
        <f t="shared" si="11"/>
        <v>#VALUE!</v>
      </c>
      <c r="G42" s="88" t="str">
        <f t="shared" si="11"/>
        <v>#VALUE!</v>
      </c>
      <c r="H42" s="89" t="str">
        <f t="shared" si="11"/>
        <v>#VALUE!</v>
      </c>
      <c r="I42" s="87" t="str">
        <f t="shared" si="11"/>
        <v>#VALUE!</v>
      </c>
      <c r="J42" s="88" t="str">
        <f t="shared" si="11"/>
        <v>#VALUE!</v>
      </c>
      <c r="K42" s="88" t="str">
        <f t="shared" si="11"/>
        <v>#VALUE!</v>
      </c>
      <c r="L42" s="89" t="str">
        <f t="shared" si="11"/>
        <v>#VALUE!</v>
      </c>
      <c r="M42" s="87" t="str">
        <f t="shared" si="11"/>
        <v>#VALUE!</v>
      </c>
      <c r="N42" s="88" t="str">
        <f t="shared" si="11"/>
        <v>#VALUE!</v>
      </c>
      <c r="O42" s="88" t="str">
        <f t="shared" si="11"/>
        <v>#VALUE!</v>
      </c>
      <c r="P42" s="89" t="str">
        <f t="shared" si="11"/>
        <v>#VALUE!</v>
      </c>
    </row>
    <row r="43" ht="12.0" customHeight="1">
      <c r="A43" s="8"/>
      <c r="B43" s="33" t="s">
        <v>36</v>
      </c>
      <c r="C43" s="4"/>
      <c r="D43" s="64"/>
      <c r="E43" s="90">
        <f>Macro!$D$7</f>
        <v>3</v>
      </c>
      <c r="F43" s="91">
        <f>Macro!$D$7</f>
        <v>3</v>
      </c>
      <c r="G43" s="91">
        <f>Macro!$D$7</f>
        <v>3</v>
      </c>
      <c r="H43" s="92">
        <f>Macro!$D$7</f>
        <v>3</v>
      </c>
      <c r="I43" s="90">
        <f>Macro!$D$7</f>
        <v>3</v>
      </c>
      <c r="J43" s="91">
        <f>Macro!$D$7</f>
        <v>3</v>
      </c>
      <c r="K43" s="91">
        <f>Macro!$D$7</f>
        <v>3</v>
      </c>
      <c r="L43" s="92">
        <f>Macro!$D$7</f>
        <v>3</v>
      </c>
      <c r="M43" s="90">
        <f>Macro!$D$7</f>
        <v>3</v>
      </c>
      <c r="N43" s="91">
        <f>Macro!$D$7</f>
        <v>3</v>
      </c>
      <c r="O43" s="91">
        <f>Macro!$D$7</f>
        <v>3</v>
      </c>
      <c r="P43" s="92">
        <f>Macro!$D$7</f>
        <v>3</v>
      </c>
    </row>
    <row r="44" ht="12.0" customHeight="1">
      <c r="A44" s="8"/>
      <c r="B44" s="42" t="s">
        <v>37</v>
      </c>
      <c r="C44" s="8"/>
      <c r="D44" s="93"/>
      <c r="E44" s="94">
        <f t="shared" ref="E44:P44" si="12">IFERROR(E42*E43,"NA")</f>
        <v>120000</v>
      </c>
      <c r="F44" s="95" t="str">
        <f t="shared" si="12"/>
        <v>NA</v>
      </c>
      <c r="G44" s="95" t="str">
        <f t="shared" si="12"/>
        <v>NA</v>
      </c>
      <c r="H44" s="96" t="str">
        <f t="shared" si="12"/>
        <v>NA</v>
      </c>
      <c r="I44" s="94" t="str">
        <f t="shared" si="12"/>
        <v>NA</v>
      </c>
      <c r="J44" s="95" t="str">
        <f t="shared" si="12"/>
        <v>NA</v>
      </c>
      <c r="K44" s="95" t="str">
        <f t="shared" si="12"/>
        <v>NA</v>
      </c>
      <c r="L44" s="96" t="str">
        <f t="shared" si="12"/>
        <v>NA</v>
      </c>
      <c r="M44" s="94" t="str">
        <f t="shared" si="12"/>
        <v>NA</v>
      </c>
      <c r="N44" s="95" t="str">
        <f t="shared" si="12"/>
        <v>NA</v>
      </c>
      <c r="O44" s="95" t="str">
        <f t="shared" si="12"/>
        <v>NA</v>
      </c>
      <c r="P44" s="96" t="str">
        <f t="shared" si="12"/>
        <v>NA</v>
      </c>
    </row>
    <row r="45" ht="12.0" customHeight="1">
      <c r="A45" s="8"/>
      <c r="B45" s="33" t="s">
        <v>38</v>
      </c>
      <c r="C45" s="4"/>
      <c r="D45" s="64"/>
      <c r="E45" s="97">
        <f>Macro!$D$8</f>
        <v>0.8</v>
      </c>
      <c r="F45" s="98">
        <f>Macro!$D$8</f>
        <v>0.8</v>
      </c>
      <c r="G45" s="98">
        <f>Macro!$D$8</f>
        <v>0.8</v>
      </c>
      <c r="H45" s="99">
        <f>Macro!$D$8</f>
        <v>0.8</v>
      </c>
      <c r="I45" s="97">
        <f>Macro!$D$8</f>
        <v>0.8</v>
      </c>
      <c r="J45" s="98">
        <f>Macro!$D$8</f>
        <v>0.8</v>
      </c>
      <c r="K45" s="98">
        <f>Macro!$D$8</f>
        <v>0.8</v>
      </c>
      <c r="L45" s="99">
        <f>Macro!$D$8</f>
        <v>0.8</v>
      </c>
      <c r="M45" s="97">
        <f>Macro!$D$8</f>
        <v>0.8</v>
      </c>
      <c r="N45" s="98">
        <f>Macro!$D$8</f>
        <v>0.8</v>
      </c>
      <c r="O45" s="98">
        <f>Macro!$D$8</f>
        <v>0.8</v>
      </c>
      <c r="P45" s="99">
        <f>Macro!$D$8</f>
        <v>0.8</v>
      </c>
    </row>
    <row r="46" ht="12.0" customHeight="1">
      <c r="A46" s="8"/>
      <c r="B46" s="33" t="s">
        <v>39</v>
      </c>
      <c r="C46" s="4"/>
      <c r="D46" s="64"/>
      <c r="E46" s="87">
        <f t="shared" ref="E46:P46" si="13">IFERROR(E44*E45,"NA")</f>
        <v>96000</v>
      </c>
      <c r="F46" s="88" t="str">
        <f t="shared" si="13"/>
        <v>NA</v>
      </c>
      <c r="G46" s="88" t="str">
        <f t="shared" si="13"/>
        <v>NA</v>
      </c>
      <c r="H46" s="89" t="str">
        <f t="shared" si="13"/>
        <v>NA</v>
      </c>
      <c r="I46" s="87" t="str">
        <f t="shared" si="13"/>
        <v>NA</v>
      </c>
      <c r="J46" s="88" t="str">
        <f t="shared" si="13"/>
        <v>NA</v>
      </c>
      <c r="K46" s="88" t="str">
        <f t="shared" si="13"/>
        <v>NA</v>
      </c>
      <c r="L46" s="89" t="str">
        <f t="shared" si="13"/>
        <v>NA</v>
      </c>
      <c r="M46" s="87" t="str">
        <f t="shared" si="13"/>
        <v>NA</v>
      </c>
      <c r="N46" s="88" t="str">
        <f t="shared" si="13"/>
        <v>NA</v>
      </c>
      <c r="O46" s="88" t="str">
        <f t="shared" si="13"/>
        <v>NA</v>
      </c>
      <c r="P46" s="89" t="str">
        <f t="shared" si="13"/>
        <v>NA</v>
      </c>
    </row>
    <row r="47" ht="12.0" customHeight="1">
      <c r="A47" s="8"/>
      <c r="B47" s="42" t="s">
        <v>40</v>
      </c>
      <c r="C47" s="8"/>
      <c r="D47" s="93"/>
      <c r="E47" s="94">
        <f t="shared" ref="E47:P47" si="14">IFERROR(SUM(D22:D24)/E41,"NA")</f>
        <v>17500</v>
      </c>
      <c r="F47" s="95" t="str">
        <f t="shared" si="14"/>
        <v>NA</v>
      </c>
      <c r="G47" s="95" t="str">
        <f t="shared" si="14"/>
        <v>NA</v>
      </c>
      <c r="H47" s="96" t="str">
        <f t="shared" si="14"/>
        <v>NA</v>
      </c>
      <c r="I47" s="94" t="str">
        <f t="shared" si="14"/>
        <v>NA</v>
      </c>
      <c r="J47" s="95" t="str">
        <f t="shared" si="14"/>
        <v>NA</v>
      </c>
      <c r="K47" s="95" t="str">
        <f t="shared" si="14"/>
        <v>NA</v>
      </c>
      <c r="L47" s="96" t="str">
        <f t="shared" si="14"/>
        <v>NA</v>
      </c>
      <c r="M47" s="94" t="str">
        <f t="shared" si="14"/>
        <v>NA</v>
      </c>
      <c r="N47" s="95" t="str">
        <f t="shared" si="14"/>
        <v>NA</v>
      </c>
      <c r="O47" s="95" t="str">
        <f t="shared" si="14"/>
        <v>NA</v>
      </c>
      <c r="P47" s="96" t="str">
        <f t="shared" si="14"/>
        <v>NA</v>
      </c>
    </row>
    <row r="48" ht="12.0" customHeight="1">
      <c r="A48" s="8"/>
      <c r="B48" s="42" t="s">
        <v>41</v>
      </c>
      <c r="C48" s="8"/>
      <c r="D48" s="100"/>
      <c r="E48" s="101">
        <f t="shared" ref="E48:P48" si="15">IFERROR(E46/E47,"NA")</f>
        <v>5.485714286</v>
      </c>
      <c r="F48" s="102" t="str">
        <f t="shared" si="15"/>
        <v>NA</v>
      </c>
      <c r="G48" s="102" t="str">
        <f t="shared" si="15"/>
        <v>NA</v>
      </c>
      <c r="H48" s="103" t="str">
        <f t="shared" si="15"/>
        <v>NA</v>
      </c>
      <c r="I48" s="101" t="str">
        <f t="shared" si="15"/>
        <v>NA</v>
      </c>
      <c r="J48" s="102" t="str">
        <f t="shared" si="15"/>
        <v>NA</v>
      </c>
      <c r="K48" s="102" t="str">
        <f t="shared" si="15"/>
        <v>NA</v>
      </c>
      <c r="L48" s="103" t="str">
        <f t="shared" si="15"/>
        <v>NA</v>
      </c>
      <c r="M48" s="101" t="str">
        <f t="shared" si="15"/>
        <v>NA</v>
      </c>
      <c r="N48" s="102" t="str">
        <f t="shared" si="15"/>
        <v>NA</v>
      </c>
      <c r="O48" s="102" t="str">
        <f t="shared" si="15"/>
        <v>NA</v>
      </c>
      <c r="P48" s="103" t="str">
        <f t="shared" si="15"/>
        <v>NA</v>
      </c>
    </row>
    <row r="49" ht="12.0" customHeight="1">
      <c r="B49" s="60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ht="12.0" hidden="1" customHeight="1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ht="12.0" hidden="1" customHeight="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ht="12.0" hidden="1" customHeight="1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 ht="12.0" hidden="1" customHeight="1">
      <c r="A53" s="8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 ht="12.0" hidden="1" customHeight="1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 ht="12.0" hidden="1" customHeight="1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ht="12.0" hidden="1" customHeight="1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 ht="12.0" hidden="1" customHeight="1">
      <c r="A57" s="8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 ht="12.0" hidden="1" customHeight="1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 ht="12.0" hidden="1" customHeight="1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 ht="12.0" hidden="1" customHeight="1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ht="12.0" hidden="1" customHeight="1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 ht="12.0" hidden="1" customHeight="1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 ht="12.0" hidden="1" customHeight="1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ht="12.0" hidden="1" customHeight="1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ht="12.0" hidden="1" customHeight="1">
      <c r="A65" s="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ht="12.0" hidden="1" customHeight="1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ht="12.0" hidden="1" customHeight="1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 ht="12.0" hidden="1" customHeight="1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 ht="12.0" hidden="1" customHeight="1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 ht="12.0" hidden="1" customHeight="1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ht="12.0" hidden="1" customHeight="1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ht="12.0" hidden="1" customHeight="1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ht="12.0" hidden="1" customHeight="1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ht="12.0" hidden="1" customHeight="1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ht="12.0" hidden="1" customHeight="1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ht="12.0" hidden="1" customHeight="1">
      <c r="A76" s="8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ht="12.0" hidden="1" customHeight="1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ht="12.0" hidden="1" customHeight="1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 ht="12.0" hidden="1" customHeight="1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 ht="12.0" hidden="1" customHeight="1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ht="12.0" hidden="1" customHeight="1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 ht="12.0" hidden="1" customHeight="1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 ht="12.0" hidden="1" customHeight="1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 ht="12.0" hidden="1" customHeight="1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 ht="12.0" hidden="1" customHeight="1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ht="12.0" hidden="1" customHeight="1">
      <c r="A86" s="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 ht="12.0" hidden="1" customHeight="1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 ht="12.0" hidden="1" customHeight="1">
      <c r="A88" s="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 ht="12.0" hidden="1" customHeight="1">
      <c r="A89" s="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 ht="12.0" hidden="1" customHeight="1">
      <c r="A90" s="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 ht="12.0" hidden="1" customHeight="1">
      <c r="A91" s="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 ht="12.0" hidden="1" customHeight="1">
      <c r="A92" s="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 ht="12.0" hidden="1" customHeight="1">
      <c r="A93" s="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 ht="12.0" hidden="1" customHeight="1">
      <c r="A94" s="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 ht="12.0" hidden="1" customHeight="1">
      <c r="A95" s="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 ht="12.0" hidden="1" customHeight="1">
      <c r="A96" s="8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 ht="12.0" hidden="1" customHeight="1">
      <c r="A97" s="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 ht="12.0" hidden="1" customHeight="1">
      <c r="A98" s="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 ht="12.0" hidden="1" customHeight="1">
      <c r="A99" s="8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 ht="12.0" hidden="1" customHeight="1">
      <c r="A100" s="8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 ht="12.0" hidden="1" customHeight="1">
      <c r="A101" s="8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 ht="12.0" hidden="1" customHeight="1">
      <c r="A102" s="8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</row>
    <row r="103" ht="12.0" hidden="1" customHeight="1">
      <c r="A103" s="8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 ht="12.0" hidden="1" customHeight="1">
      <c r="A104" s="8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 ht="12.0" hidden="1" customHeight="1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 ht="12.0" hidden="1" customHeight="1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 ht="12.0" hidden="1" customHeight="1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 ht="12.0" hidden="1" customHeight="1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 ht="12.0" hidden="1" customHeight="1">
      <c r="A109" s="8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</row>
    <row r="110" ht="12.0" hidden="1" customHeight="1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 ht="12.0" hidden="1" customHeight="1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 ht="12.0" hidden="1" customHeight="1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 ht="12.0" hidden="1" customHeight="1">
      <c r="A113" s="8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 ht="12.0" hidden="1" customHeight="1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 ht="12.0" hidden="1" customHeight="1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 ht="12.0" hidden="1" customHeight="1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</row>
    <row r="117" ht="12.0" hidden="1" customHeight="1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</row>
    <row r="118" ht="12.0" hidden="1" customHeight="1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</row>
    <row r="119" ht="12.0" hidden="1" customHeight="1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</row>
    <row r="120" ht="12.0" hidden="1" customHeight="1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 ht="12.0" hidden="1" customHeight="1">
      <c r="A121" s="8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 ht="12.0" hidden="1" customHeight="1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</row>
    <row r="123" ht="12.0" hidden="1" customHeight="1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</row>
    <row r="124" ht="12.0" hidden="1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</row>
    <row r="125" ht="12.0" hidden="1" customHeight="1">
      <c r="A125" s="5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 ht="12.0" hidden="1" customHeight="1">
      <c r="A126" s="10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</row>
    <row r="127" ht="12.0" hidden="1" customHeight="1">
      <c r="A127" s="10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</row>
    <row r="128" ht="12.0" hidden="1" customHeight="1">
      <c r="A128" s="10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 ht="12.0" hidden="1" customHeight="1">
      <c r="A129" s="10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 ht="12.0" hidden="1" customHeight="1">
      <c r="A130" s="10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ht="12.0" hidden="1" customHeight="1">
      <c r="A131" s="10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 ht="12.0" hidden="1" customHeight="1">
      <c r="A132" s="8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 ht="12.0" hidden="1" customHeight="1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 ht="12.0" hidden="1" customHeight="1">
      <c r="A134" s="5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 ht="12.0" hidden="1" customHeight="1">
      <c r="A135" s="10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 ht="12.0" hidden="1" customHeight="1">
      <c r="A136" s="10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 ht="12.0" hidden="1" customHeight="1">
      <c r="A137" s="10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 ht="12.0" hidden="1" customHeight="1">
      <c r="A138" s="10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 ht="12.0" hidden="1" customHeight="1">
      <c r="A139" s="10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 ht="12.0" hidden="1" customHeight="1">
      <c r="A140" s="10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 ht="12.0" hidden="1" customHeight="1">
      <c r="A141" s="10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 ht="12.0" hidden="1" customHeight="1">
      <c r="A142" s="8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 ht="12.0" hidden="1" customHeight="1">
      <c r="A143" s="8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 ht="12.0" hidden="1" customHeight="1">
      <c r="A144" s="8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 ht="12.0" hidden="1" customHeight="1">
      <c r="A145" s="10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ht="12.0" hidden="1" customHeight="1">
      <c r="A146" s="10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 ht="12.0" hidden="1" customHeight="1">
      <c r="A147" s="10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ht="12.0" hidden="1" customHeight="1">
      <c r="A148" s="10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ht="12.0" hidden="1" customHeight="1">
      <c r="A149" s="10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 ht="12.0" hidden="1" customHeight="1">
      <c r="A150" s="10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ht="12.0" hidden="1" customHeight="1">
      <c r="A151" s="10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ht="12.0" hidden="1" customHeight="1">
      <c r="A152" s="10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 ht="12.0" hidden="1" customHeight="1">
      <c r="A153" s="10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 ht="12.0" hidden="1" customHeight="1">
      <c r="A154" s="10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 ht="12.0" hidden="1" customHeight="1">
      <c r="A155" s="10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ht="12.0" hidden="1" customHeight="1">
      <c r="A156" s="10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ht="12.0" hidden="1" customHeight="1">
      <c r="A157" s="10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 ht="12.0" hidden="1" customHeight="1">
      <c r="A158" s="10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ht="12.0" hidden="1" customHeight="1">
      <c r="A159" s="8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 ht="12.0" hidden="1" customHeight="1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ht="12.0" hidden="1" customHeight="1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 ht="12.0" hidden="1" customHeight="1">
      <c r="A162" s="10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ht="12.0" hidden="1" customHeight="1">
      <c r="A163" s="10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 ht="12.0" hidden="1" customHeight="1">
      <c r="A164" s="10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 ht="12.0" hidden="1" customHeight="1">
      <c r="A165" s="8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 ht="12.0" hidden="1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 ht="12.0" hidden="1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 ht="12.0" hidden="1" customHeight="1">
      <c r="A168" s="10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 ht="12.0" hidden="1" customHeight="1">
      <c r="A169" s="8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 ht="12.0" hidden="1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 ht="12.0" hidden="1" customHeight="1">
      <c r="A171" s="5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 ht="12.0" hidden="1" customHeight="1">
      <c r="A172" s="10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 ht="12.0" hidden="1" customHeight="1">
      <c r="A173" s="10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 ht="12.0" hidden="1" customHeight="1">
      <c r="A174" s="10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 ht="12.0" hidden="1" customHeight="1">
      <c r="A175" s="10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 ht="12.0" hidden="1" customHeight="1">
      <c r="A176" s="10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 ht="12.0" hidden="1" customHeight="1">
      <c r="A177" s="8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 ht="12.0" customHeight="1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 ht="12.0" customHeight="1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 ht="12.0" customHeight="1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 ht="12.0" customHeight="1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 ht="12.0" customHeight="1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 ht="12.0" customHeight="1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 ht="12.0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 ht="12.0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 ht="12.0" customHeight="1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 ht="12.0" customHeight="1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 ht="12.0" customHeight="1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 ht="12.0" customHeight="1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 ht="12.0" customHeight="1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 ht="12.0" customHeight="1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 ht="12.0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 ht="12.0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 ht="12.0" customHeight="1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 ht="12.0" customHeight="1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 ht="12.0" customHeight="1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 ht="12.0" customHeight="1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 ht="12.0" customHeight="1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 ht="12.0" customHeight="1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 ht="12.0" customHeight="1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 ht="12.0" customHeight="1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 ht="12.0" customHeight="1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 ht="12.0" customHeight="1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 ht="12.0" customHeight="1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 ht="12.0" customHeight="1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 ht="12.0" customHeight="1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 ht="12.0" customHeight="1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 ht="12.0" customHeight="1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 ht="12.0" customHeight="1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 ht="12.0" customHeight="1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 ht="12.0" customHeight="1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 ht="12.0" customHeight="1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 ht="12.0" customHeight="1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 ht="12.0" customHeight="1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 ht="12.0" customHeight="1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 ht="12.0" customHeight="1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 ht="12.0" customHeight="1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 ht="12.0" customHeight="1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 ht="12.0" customHeight="1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 ht="12.0" customHeight="1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 ht="12.0" customHeight="1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 ht="12.0" customHeight="1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 ht="12.0" customHeight="1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 ht="12.0" customHeight="1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 ht="12.0" customHeight="1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 ht="12.0" customHeight="1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 ht="12.0" customHeight="1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 ht="12.0" customHeight="1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 ht="12.0" customHeight="1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 ht="12.0" customHeight="1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 ht="12.0" customHeight="1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 ht="12.0" customHeight="1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 ht="12.0" customHeight="1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 ht="12.0" customHeight="1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 ht="12.0" customHeight="1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 ht="12.0" customHeight="1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 ht="12.0" customHeight="1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 ht="12.0" customHeight="1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 ht="12.0" customHeight="1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 ht="12.0" customHeight="1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 ht="12.0" customHeight="1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 ht="12.0" customHeight="1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 ht="12.0" customHeight="1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</row>
    <row r="244" ht="12.0" customHeight="1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</row>
    <row r="245" ht="12.0" customHeight="1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 ht="12.0" customHeight="1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</row>
    <row r="247" ht="12.0" customHeight="1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</row>
    <row r="248" ht="12.0" customHeight="1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</row>
    <row r="249" ht="12.0" customHeight="1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</row>
    <row r="250" ht="12.0" customHeight="1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 ht="12.0" customHeight="1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</row>
    <row r="252" ht="12.0" customHeight="1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</row>
    <row r="253" ht="12.0" customHeight="1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</row>
    <row r="254" ht="12.0" customHeight="1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</row>
    <row r="255" ht="12.0" customHeight="1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  <row r="256" ht="12.0" customHeight="1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</row>
    <row r="257" ht="12.0" customHeight="1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</row>
    <row r="258" ht="12.0" customHeight="1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</row>
    <row r="259" ht="12.0" customHeight="1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</row>
    <row r="260" ht="12.0" customHeight="1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 ht="12.0" customHeight="1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</row>
    <row r="262" ht="12.0" customHeight="1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</row>
    <row r="263" ht="12.0" customHeight="1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</row>
    <row r="264" ht="12.0" customHeight="1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 ht="12.0" customHeight="1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 ht="12.0" customHeight="1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</row>
    <row r="267" ht="12.0" customHeight="1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</row>
    <row r="268" ht="12.0" customHeight="1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 ht="12.0" customHeight="1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</row>
    <row r="270" ht="12.0" customHeight="1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</row>
    <row r="271" ht="12.0" customHeight="1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</row>
    <row r="272" ht="12.0" customHeight="1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</row>
    <row r="273" ht="12.0" customHeight="1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</row>
    <row r="274" ht="12.0" customHeight="1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</row>
    <row r="275" ht="12.0" customHeight="1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</row>
    <row r="276" ht="12.0" customHeight="1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</row>
    <row r="277" ht="12.0" customHeight="1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</row>
    <row r="278" ht="12.0" customHeight="1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</row>
    <row r="279" ht="12.0" customHeight="1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</row>
    <row r="280" ht="12.0" customHeight="1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</row>
    <row r="281" ht="12.0" customHeight="1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</row>
    <row r="282" ht="12.0" customHeight="1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</row>
    <row r="283" ht="12.0" customHeight="1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</row>
    <row r="284" ht="12.0" customHeight="1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</row>
    <row r="285" ht="12.0" customHeight="1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</row>
    <row r="286" ht="12.0" customHeight="1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</row>
    <row r="287" ht="12.0" customHeight="1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</row>
    <row r="288" ht="12.0" customHeight="1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</row>
    <row r="289" ht="12.0" customHeight="1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</row>
    <row r="290" ht="12.0" customHeight="1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</row>
    <row r="291" ht="12.0" customHeight="1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</row>
    <row r="292" ht="12.0" customHeight="1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</row>
    <row r="293" ht="12.0" customHeight="1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</row>
    <row r="294" ht="12.0" customHeight="1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</row>
    <row r="295" ht="12.0" customHeight="1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</row>
    <row r="296" ht="12.0" customHeight="1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</row>
    <row r="297" ht="12.0" customHeight="1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</row>
    <row r="298" ht="12.0" customHeight="1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</row>
    <row r="299" ht="12.0" customHeight="1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</row>
    <row r="300" ht="12.0" customHeight="1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</row>
    <row r="301" ht="12.0" customHeight="1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</row>
    <row r="302" ht="12.0" customHeight="1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</row>
    <row r="303" ht="12.0" customHeight="1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</row>
    <row r="304" ht="12.0" customHeight="1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 ht="12.0" customHeight="1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</row>
    <row r="306" ht="12.0" customHeight="1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</row>
    <row r="307" ht="12.0" customHeight="1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</row>
    <row r="308" ht="12.0" customHeight="1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</row>
    <row r="309" ht="12.0" customHeight="1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</row>
    <row r="310" ht="12.0" customHeight="1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</row>
    <row r="311" ht="12.0" customHeight="1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</row>
    <row r="312" ht="12.0" customHeight="1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</row>
    <row r="313" ht="12.0" customHeight="1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</row>
    <row r="314" ht="12.0" customHeight="1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</row>
    <row r="315" ht="12.0" customHeight="1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</row>
    <row r="316" ht="12.0" customHeight="1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</row>
    <row r="317" ht="12.0" customHeight="1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</row>
    <row r="318" ht="12.0" customHeight="1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</row>
    <row r="319" ht="12.0" customHeight="1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</row>
    <row r="320" ht="12.0" customHeight="1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</row>
    <row r="321" ht="12.0" customHeight="1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</row>
    <row r="322" ht="12.0" customHeight="1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</row>
    <row r="323" ht="12.0" customHeight="1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</row>
    <row r="324" ht="12.0" customHeight="1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</row>
    <row r="325" ht="12.0" customHeight="1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</row>
    <row r="326" ht="12.0" customHeight="1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</row>
    <row r="327" ht="12.0" customHeight="1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</row>
    <row r="328" ht="12.0" customHeight="1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</row>
    <row r="329" ht="12.0" customHeight="1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</row>
    <row r="330" ht="12.0" customHeight="1"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</row>
    <row r="331" ht="12.0" customHeight="1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</row>
    <row r="332" ht="12.0" customHeight="1"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</row>
    <row r="333" ht="12.0" customHeight="1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</row>
    <row r="334" ht="12.0" customHeight="1"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</row>
    <row r="335" ht="12.0" customHeight="1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</row>
    <row r="336" ht="12.0" customHeight="1"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</row>
    <row r="337" ht="12.0" customHeight="1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</row>
    <row r="338" ht="12.0" customHeight="1"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</row>
    <row r="339" ht="12.0" customHeight="1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</row>
    <row r="340" ht="12.0" customHeight="1"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</row>
    <row r="341" ht="12.0" customHeight="1"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</row>
    <row r="342" ht="12.0" customHeight="1"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 ht="12.0" customHeight="1"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</row>
    <row r="344" ht="12.0" customHeight="1"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</row>
    <row r="345" ht="12.0" customHeight="1"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 ht="12.0" customHeight="1"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</row>
    <row r="347" ht="12.0" customHeight="1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</row>
    <row r="348" ht="12.0" customHeight="1"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</row>
    <row r="349" ht="12.0" customHeight="1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</row>
    <row r="350" ht="12.0" customHeight="1"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</row>
    <row r="351" ht="12.0" customHeight="1"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</row>
    <row r="352" ht="12.0" customHeight="1"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</row>
    <row r="353" ht="12.0" customHeight="1"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</row>
    <row r="354" ht="12.0" customHeight="1"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</row>
    <row r="355" ht="12.0" customHeight="1"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</row>
    <row r="356" ht="12.0" customHeight="1"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</row>
    <row r="357" ht="12.0" customHeight="1"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</row>
    <row r="358" ht="12.0" customHeight="1"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</row>
    <row r="359" ht="12.0" customHeight="1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</row>
    <row r="360" ht="12.0" customHeight="1"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 ht="12.0" customHeight="1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</row>
    <row r="362" ht="12.0" customHeight="1"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</row>
    <row r="363" ht="12.0" customHeight="1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</row>
    <row r="364" ht="12.0" customHeight="1"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</row>
    <row r="365" ht="12.0" customHeight="1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</row>
    <row r="366" ht="12.0" customHeight="1"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</row>
    <row r="367" ht="12.0" customHeight="1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</row>
    <row r="368" ht="12.0" customHeight="1"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</row>
    <row r="369" ht="12.0" customHeight="1"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</row>
    <row r="370" ht="12.0" customHeight="1"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</row>
    <row r="371" ht="12.0" customHeight="1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</row>
    <row r="372" ht="12.0" customHeight="1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 ht="12.0" customHeight="1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</row>
    <row r="374" ht="12.0" customHeight="1"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</row>
    <row r="375" ht="12.0" customHeight="1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</row>
    <row r="376" ht="12.0" customHeight="1"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</row>
    <row r="377" ht="12.0" customHeight="1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</row>
    <row r="378" ht="12.0" customHeight="1"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</row>
    <row r="379" ht="12.0" customHeight="1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</row>
    <row r="380" ht="12.0" customHeight="1"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</row>
    <row r="381" ht="12.0" customHeight="1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</row>
    <row r="382" ht="12.0" customHeight="1"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</row>
    <row r="383" ht="12.0" customHeight="1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</row>
    <row r="384" ht="12.0" customHeight="1"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</row>
    <row r="385" ht="12.0" customHeight="1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</row>
    <row r="386" ht="12.0" customHeight="1"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</row>
    <row r="387" ht="12.0" customHeight="1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</row>
    <row r="388" ht="12.0" customHeight="1"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</row>
    <row r="389" ht="12.0" customHeight="1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</row>
    <row r="390" ht="12.0" customHeight="1"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</row>
    <row r="391" ht="12.0" customHeight="1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</row>
    <row r="392" ht="12.0" customHeight="1"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</row>
    <row r="393" ht="12.0" customHeight="1"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</row>
    <row r="394" ht="12.0" customHeight="1"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</row>
    <row r="395" ht="12.0" customHeight="1"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</row>
    <row r="396" ht="12.0" customHeight="1"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</row>
    <row r="397" ht="12.0" customHeight="1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</row>
    <row r="398" ht="12.0" customHeight="1"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</row>
    <row r="399" ht="12.0" customHeight="1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</row>
    <row r="400" ht="12.0" customHeight="1"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 ht="12.0" customHeight="1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</row>
    <row r="402" ht="12.0" customHeight="1"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</row>
    <row r="403" ht="12.0" customHeight="1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 ht="12.0" customHeight="1"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</row>
    <row r="405" ht="12.0" customHeight="1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</row>
    <row r="406" ht="12.0" customHeight="1"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</row>
    <row r="407" ht="12.0" customHeight="1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</row>
    <row r="408" ht="12.0" customHeight="1"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</row>
    <row r="409" ht="12.0" customHeight="1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</row>
    <row r="410" ht="12.0" customHeight="1"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</row>
    <row r="411" ht="12.0" customHeight="1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</row>
    <row r="412" ht="12.0" customHeight="1"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</row>
    <row r="413" ht="12.0" customHeight="1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</row>
    <row r="414" ht="12.0" customHeight="1"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</row>
    <row r="415" ht="12.0" customHeight="1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</row>
    <row r="416" ht="12.0" customHeight="1"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</row>
    <row r="417" ht="12.0" customHeight="1"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 ht="12.0" customHeight="1"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</row>
    <row r="419" ht="12.0" customHeight="1"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</row>
    <row r="420" ht="12.0" customHeight="1"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 ht="12.0" customHeight="1"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</row>
    <row r="422" ht="12.0" customHeight="1"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</row>
    <row r="423" ht="12.0" customHeight="1"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 ht="12.0" customHeight="1"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</row>
    <row r="425" ht="12.0" customHeight="1"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</row>
    <row r="426" ht="12.0" customHeight="1"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</row>
    <row r="427" ht="12.0" customHeight="1"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</row>
    <row r="428" ht="12.0" customHeight="1"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</row>
    <row r="429" ht="12.0" customHeight="1"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</row>
    <row r="430" ht="12.0" customHeight="1"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</row>
    <row r="431" ht="12.0" customHeight="1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</row>
    <row r="432" ht="12.0" customHeight="1"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</row>
    <row r="433" ht="12.0" customHeight="1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</row>
    <row r="434" ht="12.0" customHeight="1"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 ht="12.0" customHeight="1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</row>
    <row r="436" ht="12.0" customHeight="1"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</row>
    <row r="437" ht="12.0" customHeight="1"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</row>
    <row r="438" ht="12.0" customHeight="1"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</row>
    <row r="439" ht="12.0" customHeight="1"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</row>
    <row r="440" ht="12.0" customHeight="1"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</row>
    <row r="441" ht="12.0" customHeight="1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 ht="12.0" customHeight="1"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</row>
    <row r="443" ht="12.0" customHeight="1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</row>
    <row r="444" ht="12.0" customHeight="1"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</row>
    <row r="445" ht="12.0" customHeight="1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</row>
    <row r="446" ht="12.0" customHeight="1"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</row>
    <row r="447" ht="12.0" customHeight="1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</row>
    <row r="448" ht="12.0" customHeight="1"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</row>
    <row r="449" ht="12.0" customHeight="1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</row>
    <row r="450" ht="12.0" customHeight="1"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</row>
    <row r="451" ht="12.0" customHeight="1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</row>
    <row r="452" ht="12.0" customHeight="1"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</row>
    <row r="453" ht="12.0" customHeight="1"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</row>
    <row r="454" ht="12.0" customHeight="1"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</row>
    <row r="455" ht="12.0" customHeight="1"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</row>
    <row r="456" ht="12.0" customHeight="1"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</row>
    <row r="457" ht="12.0" customHeight="1"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</row>
    <row r="458" ht="12.0" customHeight="1"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</row>
    <row r="459" ht="12.0" customHeight="1"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</row>
    <row r="460" ht="12.0" customHeight="1"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</row>
    <row r="461" ht="12.0" customHeight="1"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</row>
    <row r="462" ht="12.0" customHeight="1"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</row>
    <row r="463" ht="12.0" customHeight="1"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</row>
    <row r="464" ht="12.0" customHeight="1"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</row>
    <row r="465" ht="12.0" customHeight="1"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</row>
    <row r="466" ht="12.0" customHeight="1"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</row>
    <row r="467" ht="12.0" customHeight="1"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</row>
    <row r="468" ht="12.0" customHeight="1"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</row>
    <row r="469" ht="12.0" customHeight="1"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</row>
    <row r="470" ht="12.0" customHeight="1"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</row>
    <row r="471" ht="12.0" customHeight="1"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</row>
    <row r="472" ht="12.0" customHeight="1"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</row>
    <row r="473" ht="12.0" customHeight="1"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</row>
    <row r="474" ht="12.0" customHeight="1"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</row>
    <row r="475" ht="12.0" customHeight="1"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</row>
    <row r="476" ht="12.0" customHeight="1"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</row>
    <row r="477" ht="12.0" customHeight="1"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</row>
    <row r="478" ht="12.0" customHeight="1"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</row>
    <row r="479" ht="12.0" customHeight="1"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</row>
    <row r="480" ht="12.0" customHeight="1"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</row>
    <row r="481" ht="12.0" customHeight="1"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</row>
    <row r="482" ht="12.0" customHeight="1"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</row>
    <row r="483" ht="12.0" customHeight="1"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</row>
    <row r="484" ht="12.0" customHeight="1"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</row>
    <row r="485" ht="12.0" customHeight="1"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</row>
    <row r="486" ht="12.0" customHeight="1"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</row>
    <row r="487" ht="12.0" customHeight="1"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</row>
    <row r="488" ht="12.0" customHeight="1"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</row>
    <row r="489" ht="12.0" customHeight="1"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</row>
    <row r="490" ht="12.0" customHeight="1"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</row>
    <row r="491" ht="12.0" customHeight="1"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</row>
    <row r="492" ht="12.0" customHeight="1"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</row>
    <row r="493" ht="12.0" customHeight="1"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</row>
    <row r="494" ht="12.0" customHeight="1"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</row>
    <row r="495" ht="12.0" customHeight="1"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</row>
    <row r="496" ht="12.0" customHeight="1"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</row>
    <row r="497" ht="12.0" customHeight="1"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</row>
    <row r="498" ht="12.0" customHeight="1"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</row>
    <row r="499" ht="12.0" customHeight="1"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</row>
    <row r="500" ht="12.0" customHeight="1"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</row>
    <row r="501" ht="12.0" customHeight="1"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</row>
    <row r="502" ht="12.0" customHeight="1"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</row>
    <row r="503" ht="12.0" customHeight="1"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</row>
    <row r="504" ht="12.0" customHeight="1"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</row>
    <row r="505" ht="12.0" customHeight="1"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</row>
    <row r="506" ht="12.0" customHeight="1"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</row>
    <row r="507" ht="12.0" customHeight="1"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</row>
    <row r="508" ht="12.0" customHeight="1"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</row>
    <row r="509" ht="12.0" customHeight="1"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</row>
    <row r="510" ht="12.0" customHeight="1"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</row>
    <row r="511" ht="12.0" customHeight="1"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</row>
    <row r="512" ht="12.0" customHeight="1"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</row>
    <row r="513" ht="12.0" customHeight="1"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</row>
    <row r="514" ht="12.0" customHeight="1"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</row>
    <row r="515" ht="12.0" customHeight="1"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</row>
    <row r="516" ht="12.0" customHeight="1"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</row>
    <row r="517" ht="12.0" customHeight="1"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</row>
    <row r="518" ht="12.0" customHeight="1"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</row>
    <row r="519" ht="12.0" customHeight="1"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</row>
    <row r="520" ht="12.0" customHeight="1"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</row>
    <row r="521" ht="12.0" customHeight="1"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</row>
    <row r="522" ht="12.0" customHeight="1"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</row>
    <row r="523" ht="12.0" customHeight="1"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</row>
    <row r="524" ht="12.0" customHeight="1"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</row>
    <row r="525" ht="12.0" customHeight="1"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</row>
    <row r="526" ht="12.0" customHeight="1"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</row>
    <row r="527" ht="12.0" customHeight="1"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</row>
    <row r="528" ht="12.0" customHeight="1"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</row>
    <row r="529" ht="12.0" customHeight="1"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</row>
    <row r="530" ht="12.0" customHeight="1"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</row>
    <row r="531" ht="12.0" customHeight="1"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</row>
    <row r="532" ht="12.0" customHeight="1"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</row>
    <row r="533" ht="12.0" customHeight="1"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</row>
    <row r="534" ht="12.0" customHeight="1"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</row>
    <row r="535" ht="12.0" customHeight="1"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</row>
    <row r="536" ht="12.0" customHeight="1"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</row>
    <row r="537" ht="12.0" customHeight="1"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</row>
    <row r="538" ht="12.0" customHeight="1"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</row>
    <row r="539" ht="12.0" customHeight="1"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</row>
    <row r="540" ht="12.0" customHeight="1"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</row>
    <row r="541" ht="12.0" customHeight="1"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</row>
    <row r="542" ht="12.0" customHeight="1"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</row>
    <row r="543" ht="12.0" customHeight="1"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</row>
    <row r="544" ht="12.0" customHeight="1"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</row>
    <row r="545" ht="12.0" customHeight="1"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</row>
    <row r="546" ht="12.0" customHeight="1"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</row>
    <row r="547" ht="12.0" customHeight="1"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</row>
    <row r="548" ht="12.0" customHeight="1"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</row>
    <row r="549" ht="12.0" customHeight="1"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</row>
    <row r="550" ht="12.0" customHeight="1"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</row>
    <row r="551" ht="12.0" customHeight="1"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</row>
    <row r="552" ht="12.0" customHeight="1"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</row>
    <row r="553" ht="12.0" customHeight="1"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</row>
    <row r="554" ht="12.0" customHeight="1"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</row>
    <row r="555" ht="12.0" customHeight="1"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</row>
    <row r="556" ht="12.0" customHeight="1"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</row>
    <row r="557" ht="12.0" customHeight="1"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</row>
    <row r="558" ht="12.0" customHeight="1"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</row>
    <row r="559" ht="12.0" customHeight="1"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</row>
    <row r="560" ht="12.0" customHeight="1"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</row>
    <row r="561" ht="12.0" customHeight="1"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</row>
    <row r="562" ht="12.0" customHeight="1"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</row>
    <row r="563" ht="12.0" customHeight="1"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</row>
    <row r="564" ht="12.0" customHeight="1"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</row>
    <row r="565" ht="12.0" customHeight="1"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</row>
    <row r="566" ht="12.0" customHeight="1"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</row>
    <row r="567" ht="12.0" customHeight="1"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</row>
    <row r="568" ht="12.0" customHeight="1"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</row>
    <row r="569" ht="12.0" customHeight="1"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</row>
    <row r="570" ht="12.0" customHeight="1"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</row>
    <row r="571" ht="12.0" customHeight="1"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</row>
    <row r="572" ht="12.0" customHeight="1"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</row>
    <row r="573" ht="12.0" customHeight="1"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</row>
    <row r="574" ht="12.0" customHeight="1"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</row>
    <row r="575" ht="12.0" customHeight="1"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</row>
    <row r="576" ht="12.0" customHeight="1"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</row>
    <row r="577" ht="12.0" customHeight="1"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</row>
    <row r="578" ht="12.0" customHeight="1"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</row>
    <row r="579" ht="12.0" customHeight="1"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</row>
    <row r="580" ht="12.0" customHeight="1"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</row>
    <row r="581" ht="12.0" customHeight="1"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</row>
    <row r="582" ht="12.0" customHeight="1"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</row>
    <row r="583" ht="12.0" customHeight="1"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</row>
    <row r="584" ht="12.0" customHeight="1"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</row>
    <row r="585" ht="12.0" customHeight="1"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</row>
    <row r="586" ht="12.0" customHeight="1"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</row>
    <row r="587" ht="12.0" customHeight="1"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</row>
    <row r="588" ht="12.0" customHeight="1"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</row>
    <row r="589" ht="12.0" customHeight="1"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</row>
    <row r="590" ht="12.0" customHeight="1"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</row>
    <row r="591" ht="12.0" customHeight="1"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</row>
    <row r="592" ht="12.0" customHeight="1"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</row>
    <row r="593" ht="12.0" customHeight="1"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</row>
    <row r="594" ht="12.0" customHeight="1"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</row>
    <row r="595" ht="12.0" customHeight="1"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</row>
    <row r="596" ht="12.0" customHeight="1"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</row>
    <row r="597" ht="12.0" customHeight="1"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</row>
    <row r="598" ht="12.0" customHeight="1"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</row>
    <row r="599" ht="12.0" customHeight="1"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</row>
    <row r="600" ht="12.0" customHeight="1"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</row>
    <row r="601" ht="12.0" customHeight="1"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</row>
    <row r="602" ht="12.0" customHeight="1"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</row>
    <row r="603" ht="12.0" customHeight="1"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</row>
    <row r="604" ht="12.0" customHeight="1"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</row>
    <row r="605" ht="12.0" customHeight="1"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</row>
    <row r="606" ht="12.0" customHeight="1"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</row>
    <row r="607" ht="12.0" customHeight="1"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</row>
    <row r="608" ht="12.0" customHeight="1"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</row>
    <row r="609" ht="12.0" customHeight="1"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</row>
    <row r="610" ht="12.0" customHeight="1"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</row>
    <row r="611" ht="12.0" customHeight="1"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</row>
    <row r="612" ht="12.0" customHeight="1"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</row>
    <row r="613" ht="12.0" customHeight="1"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</row>
    <row r="614" ht="12.0" customHeight="1"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</row>
    <row r="615" ht="12.0" customHeight="1"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</row>
    <row r="616" ht="12.0" customHeight="1"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</row>
    <row r="617" ht="12.0" customHeight="1"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</row>
    <row r="618" ht="12.0" customHeight="1"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</row>
    <row r="619" ht="12.0" customHeight="1"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</row>
    <row r="620" ht="12.0" customHeight="1"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</row>
    <row r="621" ht="12.0" customHeight="1"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</row>
    <row r="622" ht="12.0" customHeight="1"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</row>
    <row r="623" ht="12.0" customHeight="1"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</row>
    <row r="624" ht="12.0" customHeight="1"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</row>
    <row r="625" ht="12.0" customHeight="1"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</row>
    <row r="626" ht="12.0" customHeight="1"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</row>
    <row r="627" ht="12.0" customHeight="1"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</row>
    <row r="628" ht="12.0" customHeight="1"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</row>
    <row r="629" ht="12.0" customHeight="1"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</row>
    <row r="630" ht="12.0" customHeight="1"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</row>
    <row r="631" ht="12.0" customHeight="1"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</row>
    <row r="632" ht="12.0" customHeight="1"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</row>
    <row r="633" ht="12.0" customHeight="1"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</row>
    <row r="634" ht="12.0" customHeight="1"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</row>
    <row r="635" ht="12.0" customHeight="1"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</row>
    <row r="636" ht="12.0" customHeight="1"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</row>
    <row r="637" ht="12.0" customHeight="1"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</row>
    <row r="638" ht="12.0" customHeight="1"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</row>
    <row r="639" ht="12.0" customHeight="1"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</row>
    <row r="640" ht="12.0" customHeight="1"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</row>
    <row r="641" ht="12.0" customHeight="1"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</row>
    <row r="642" ht="12.0" customHeight="1"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</row>
    <row r="643" ht="12.0" customHeight="1"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</row>
    <row r="644" ht="12.0" customHeight="1"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</row>
    <row r="645" ht="12.0" customHeight="1"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</row>
    <row r="646" ht="12.0" customHeight="1"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</row>
    <row r="647" ht="12.0" customHeight="1"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</row>
    <row r="648" ht="12.0" customHeight="1"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</row>
    <row r="649" ht="12.0" customHeight="1"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</row>
    <row r="650" ht="12.0" customHeight="1"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</row>
    <row r="651" ht="12.0" customHeight="1"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</row>
    <row r="652" ht="12.0" customHeight="1"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</row>
    <row r="653" ht="12.0" customHeight="1"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</row>
    <row r="654" ht="12.0" customHeight="1"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</row>
    <row r="655" ht="12.0" customHeight="1"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</row>
    <row r="656" ht="12.0" customHeight="1"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</row>
    <row r="657" ht="12.0" customHeight="1"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</row>
    <row r="658" ht="12.0" customHeight="1"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</row>
    <row r="659" ht="12.0" customHeight="1"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</row>
    <row r="660" ht="12.0" customHeight="1"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</row>
    <row r="661" ht="12.0" customHeight="1"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</row>
    <row r="662" ht="12.0" customHeight="1"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</row>
    <row r="663" ht="12.0" customHeight="1"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</row>
    <row r="664" ht="12.0" customHeight="1"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</row>
    <row r="665" ht="12.0" customHeight="1"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</row>
    <row r="666" ht="12.0" customHeight="1"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</row>
    <row r="667" ht="12.0" customHeight="1"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</row>
    <row r="668" ht="12.0" customHeight="1"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</row>
    <row r="669" ht="12.0" customHeight="1"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</row>
    <row r="670" ht="12.0" customHeight="1"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</row>
    <row r="671" ht="12.0" customHeight="1"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</row>
    <row r="672" ht="12.0" customHeight="1"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</row>
    <row r="673" ht="12.0" customHeight="1"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</row>
    <row r="674" ht="12.0" customHeight="1"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</row>
    <row r="675" ht="12.0" customHeight="1"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</row>
    <row r="676" ht="12.0" customHeight="1"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</row>
    <row r="677" ht="12.0" customHeight="1"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</row>
    <row r="678" ht="12.0" customHeight="1"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</row>
    <row r="679" ht="12.0" customHeight="1"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</row>
    <row r="680" ht="12.0" customHeight="1"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</row>
    <row r="681" ht="12.0" customHeight="1"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</row>
    <row r="682" ht="12.0" customHeight="1"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</row>
    <row r="683" ht="12.0" customHeight="1"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</row>
    <row r="684" ht="12.0" customHeight="1"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</row>
    <row r="685" ht="12.0" customHeight="1"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</row>
    <row r="686" ht="12.0" customHeight="1"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</row>
    <row r="687" ht="12.0" customHeight="1"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</row>
    <row r="688" ht="12.0" customHeight="1"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</row>
    <row r="689" ht="12.0" customHeight="1"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</row>
    <row r="690" ht="12.0" customHeight="1"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</row>
    <row r="691" ht="12.0" customHeight="1"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</row>
    <row r="692" ht="12.0" customHeight="1"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</row>
    <row r="693" ht="12.0" customHeight="1"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</row>
    <row r="694" ht="12.0" customHeight="1"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</row>
    <row r="695" ht="12.0" customHeight="1"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</row>
    <row r="696" ht="12.0" customHeight="1"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</row>
    <row r="697" ht="12.0" customHeight="1"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</row>
    <row r="698" ht="12.0" customHeight="1"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</row>
    <row r="699" ht="12.0" customHeight="1"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</row>
    <row r="700" ht="12.0" customHeight="1"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</row>
    <row r="701" ht="12.0" customHeight="1"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</row>
    <row r="702" ht="12.0" customHeight="1"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</row>
    <row r="703" ht="12.0" customHeight="1"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</row>
    <row r="704" ht="12.0" customHeight="1"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</row>
    <row r="705" ht="12.0" customHeight="1"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</row>
    <row r="706" ht="12.0" customHeight="1"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</row>
    <row r="707" ht="12.0" customHeight="1"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</row>
    <row r="708" ht="12.0" customHeight="1"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</row>
    <row r="709" ht="12.0" customHeight="1"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</row>
    <row r="710" ht="12.0" customHeight="1"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</row>
    <row r="711" ht="12.0" customHeight="1"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</row>
    <row r="712" ht="12.0" customHeight="1"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</row>
    <row r="713" ht="12.0" customHeight="1"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</row>
    <row r="714" ht="12.0" customHeight="1"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</row>
    <row r="715" ht="12.0" customHeight="1"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</row>
    <row r="716" ht="12.0" customHeight="1"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</row>
    <row r="717" ht="12.0" customHeight="1"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</row>
    <row r="718" ht="12.0" customHeight="1"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</row>
    <row r="719" ht="12.0" customHeight="1"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</row>
    <row r="720" ht="12.0" customHeight="1"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</row>
    <row r="721" ht="12.0" customHeight="1"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</row>
    <row r="722" ht="12.0" customHeight="1"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</row>
    <row r="723" ht="12.0" customHeight="1"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</row>
    <row r="724" ht="12.0" customHeight="1"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</row>
    <row r="725" ht="12.0" customHeight="1"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</row>
    <row r="726" ht="12.0" customHeight="1"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</row>
    <row r="727" ht="12.0" customHeight="1"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</row>
    <row r="728" ht="12.0" customHeight="1"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</row>
    <row r="729" ht="12.0" customHeight="1"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</row>
    <row r="730" ht="12.0" customHeight="1"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</row>
    <row r="731" ht="12.0" customHeight="1"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</row>
    <row r="732" ht="12.0" customHeight="1"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</row>
    <row r="733" ht="12.0" customHeight="1"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</row>
    <row r="734" ht="12.0" customHeight="1"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</row>
    <row r="735" ht="12.0" customHeight="1"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</row>
    <row r="736" ht="12.0" customHeight="1"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</row>
    <row r="737" ht="12.0" customHeight="1"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</row>
    <row r="738" ht="12.0" customHeight="1"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</row>
    <row r="739" ht="12.0" customHeight="1"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</row>
    <row r="740" ht="12.0" customHeight="1"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</row>
    <row r="741" ht="12.0" customHeight="1"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</row>
    <row r="742" ht="12.0" customHeight="1"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</row>
    <row r="743" ht="12.0" customHeight="1"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</row>
    <row r="744" ht="12.0" customHeight="1"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</row>
    <row r="745" ht="12.0" customHeight="1"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</row>
    <row r="746" ht="12.0" customHeight="1"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</row>
    <row r="747" ht="12.0" customHeight="1"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</row>
    <row r="748" ht="12.0" customHeight="1"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</row>
    <row r="749" ht="12.0" customHeight="1"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</row>
    <row r="750" ht="12.0" customHeight="1"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</row>
    <row r="751" ht="12.0" customHeight="1"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</row>
    <row r="752" ht="12.0" customHeight="1"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</row>
    <row r="753" ht="12.0" customHeight="1"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</row>
    <row r="754" ht="12.0" customHeight="1"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</row>
    <row r="755" ht="12.0" customHeight="1"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</row>
    <row r="756" ht="12.0" customHeight="1"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</row>
    <row r="757" ht="12.0" customHeight="1"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</row>
    <row r="758" ht="12.0" customHeight="1"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</row>
    <row r="759" ht="12.0" customHeight="1"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</row>
    <row r="760" ht="12.0" customHeight="1"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</row>
    <row r="761" ht="12.0" customHeight="1"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</row>
    <row r="762" ht="12.0" customHeight="1"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</row>
    <row r="763" ht="12.0" customHeight="1"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</row>
    <row r="764" ht="12.0" customHeight="1"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</row>
    <row r="765" ht="12.0" customHeight="1"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</row>
    <row r="766" ht="12.0" customHeight="1"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</row>
    <row r="767" ht="12.0" customHeight="1"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</row>
    <row r="768" ht="12.0" customHeight="1"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</row>
    <row r="769" ht="12.0" customHeight="1"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</row>
    <row r="770" ht="12.0" customHeight="1"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</row>
    <row r="771" ht="12.0" customHeight="1"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</row>
    <row r="772" ht="12.0" customHeight="1"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</row>
    <row r="773" ht="12.0" customHeight="1"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</row>
    <row r="774" ht="12.0" customHeight="1"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</row>
    <row r="775" ht="12.0" customHeight="1"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</row>
    <row r="776" ht="12.0" customHeight="1"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</row>
    <row r="777" ht="12.0" customHeight="1"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</row>
    <row r="778" ht="12.0" customHeight="1"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</row>
    <row r="779" ht="12.0" customHeight="1"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</row>
    <row r="780" ht="12.0" customHeight="1"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</row>
    <row r="781" ht="12.0" customHeight="1"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</row>
    <row r="782" ht="12.0" customHeight="1"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</row>
    <row r="783" ht="12.0" customHeight="1"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</row>
    <row r="784" ht="12.0" customHeight="1"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</row>
    <row r="785" ht="12.0" customHeight="1"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</row>
    <row r="786" ht="12.0" customHeight="1"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</row>
    <row r="787" ht="12.0" customHeight="1"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</row>
    <row r="788" ht="12.0" customHeight="1"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</row>
    <row r="789" ht="12.0" customHeight="1"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</row>
    <row r="790" ht="12.0" customHeight="1"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</row>
    <row r="791" ht="12.0" customHeight="1"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</row>
    <row r="792" ht="12.0" customHeight="1"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</row>
    <row r="793" ht="12.0" customHeight="1"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</row>
    <row r="794" ht="12.0" customHeight="1"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</row>
    <row r="795" ht="12.0" customHeight="1"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</row>
    <row r="796" ht="12.0" customHeight="1"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</row>
    <row r="797" ht="12.0" customHeight="1"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</row>
    <row r="798" ht="12.0" customHeight="1"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</row>
    <row r="799" ht="12.0" customHeight="1"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</row>
    <row r="800" ht="12.0" customHeight="1"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</row>
    <row r="801" ht="12.0" customHeight="1"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</row>
    <row r="802" ht="12.0" customHeight="1"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</row>
    <row r="803" ht="12.0" customHeight="1"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</row>
    <row r="804" ht="12.0" customHeight="1"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</row>
    <row r="805" ht="12.0" customHeight="1"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</row>
    <row r="806" ht="12.0" customHeight="1"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</row>
    <row r="807" ht="12.0" customHeight="1"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</row>
    <row r="808" ht="12.0" customHeight="1"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</row>
    <row r="809" ht="12.0" customHeight="1"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</row>
    <row r="810" ht="12.0" customHeight="1"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</row>
    <row r="811" ht="12.0" customHeight="1"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</row>
    <row r="812" ht="12.0" customHeight="1"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</row>
    <row r="813" ht="12.0" customHeight="1"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</row>
    <row r="814" ht="12.0" customHeight="1"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</row>
    <row r="815" ht="12.0" customHeight="1"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</row>
    <row r="816" ht="12.0" customHeight="1"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</row>
    <row r="817" ht="12.0" customHeight="1"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</row>
    <row r="818" ht="12.0" customHeight="1"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</row>
    <row r="819" ht="12.0" customHeight="1"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</row>
    <row r="820" ht="12.0" customHeight="1"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</row>
    <row r="821" ht="12.0" customHeight="1"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</row>
    <row r="822" ht="12.0" customHeight="1"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</row>
    <row r="823" ht="12.0" customHeight="1"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</row>
    <row r="824" ht="12.0" customHeight="1"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</row>
    <row r="825" ht="12.0" customHeight="1"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</row>
    <row r="826" ht="12.0" customHeight="1"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</row>
    <row r="827" ht="12.0" customHeight="1"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</row>
    <row r="828" ht="12.0" customHeight="1"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</row>
    <row r="829" ht="12.0" customHeight="1"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</row>
    <row r="830" ht="12.0" customHeight="1"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</row>
    <row r="831" ht="12.0" customHeight="1"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</row>
    <row r="832" ht="12.0" customHeight="1"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</row>
    <row r="833" ht="12.0" customHeight="1"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</row>
    <row r="834" ht="12.0" customHeight="1"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</row>
    <row r="835" ht="12.0" customHeight="1"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</row>
    <row r="836" ht="12.0" customHeight="1"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</row>
    <row r="837" ht="12.0" customHeight="1"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</row>
    <row r="838" ht="12.0" customHeight="1"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</row>
    <row r="839" ht="12.0" customHeight="1"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</row>
    <row r="840" ht="12.0" customHeight="1"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</row>
    <row r="841" ht="12.0" customHeight="1"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</row>
    <row r="842" ht="12.0" customHeight="1"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</row>
    <row r="843" ht="12.0" customHeight="1"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</row>
    <row r="844" ht="12.0" customHeight="1"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</row>
    <row r="845" ht="12.0" customHeight="1"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</row>
    <row r="846" ht="12.0" customHeight="1"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</row>
    <row r="847" ht="12.0" customHeight="1"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</row>
    <row r="848" ht="12.0" customHeight="1"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</row>
    <row r="849" ht="12.0" customHeight="1"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</row>
    <row r="850" ht="12.0" customHeight="1"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</row>
    <row r="851" ht="12.0" customHeight="1"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</row>
    <row r="852" ht="12.0" customHeight="1"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</row>
    <row r="853" ht="12.0" customHeight="1"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</row>
    <row r="854" ht="12.0" customHeight="1"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</row>
    <row r="855" ht="12.0" customHeight="1"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</row>
    <row r="856" ht="12.0" customHeight="1"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</row>
    <row r="857" ht="12.0" customHeight="1"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</row>
    <row r="858" ht="12.0" customHeight="1"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</row>
    <row r="859" ht="12.0" customHeight="1"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</row>
    <row r="860" ht="12.0" customHeight="1"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</row>
    <row r="861" ht="12.0" customHeight="1"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</row>
    <row r="862" ht="12.0" customHeight="1"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</row>
    <row r="863" ht="12.0" customHeight="1"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</row>
    <row r="864" ht="12.0" customHeight="1"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</row>
    <row r="865" ht="12.0" customHeight="1"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</row>
    <row r="866" ht="12.0" customHeight="1"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</row>
    <row r="867" ht="12.0" customHeight="1"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</row>
    <row r="868" ht="12.0" customHeight="1"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</row>
    <row r="869" ht="12.0" customHeight="1"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</row>
    <row r="870" ht="12.0" customHeight="1"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</row>
    <row r="871" ht="12.0" customHeight="1"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</row>
    <row r="872" ht="12.0" customHeight="1"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</row>
    <row r="873" ht="12.0" customHeight="1"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</row>
    <row r="874" ht="12.0" customHeight="1"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</row>
    <row r="875" ht="12.0" customHeight="1"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</row>
    <row r="876" ht="12.0" customHeight="1"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</row>
    <row r="877" ht="12.0" customHeight="1"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</row>
    <row r="878" ht="12.0" customHeight="1"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</row>
    <row r="879" ht="12.0" customHeight="1"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</row>
    <row r="880" ht="12.0" customHeight="1"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</row>
    <row r="881" ht="12.0" customHeight="1"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</row>
    <row r="882" ht="12.0" customHeight="1"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</row>
    <row r="883" ht="12.0" customHeight="1"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</row>
    <row r="884" ht="12.0" customHeight="1"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</row>
    <row r="885" ht="12.0" customHeight="1"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</row>
    <row r="886" ht="12.0" customHeight="1"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</row>
    <row r="887" ht="12.0" customHeight="1"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</row>
    <row r="888" ht="12.0" customHeight="1"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</row>
    <row r="889" ht="12.0" customHeight="1"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</row>
    <row r="890" ht="12.0" customHeight="1"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</row>
    <row r="891" ht="12.0" customHeight="1"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</row>
    <row r="892" ht="12.0" customHeight="1"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</row>
    <row r="893" ht="12.0" customHeight="1"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</row>
    <row r="894" ht="12.0" customHeight="1"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</row>
    <row r="895" ht="12.0" customHeight="1"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</row>
    <row r="896" ht="12.0" customHeight="1"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</row>
    <row r="897" ht="12.0" customHeight="1"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</row>
    <row r="898" ht="12.0" customHeight="1"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</row>
    <row r="899" ht="12.0" customHeight="1"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</row>
    <row r="900" ht="12.0" customHeight="1"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</row>
    <row r="901" ht="12.0" customHeight="1"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</row>
    <row r="902" ht="12.0" customHeight="1"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</row>
    <row r="903" ht="12.0" customHeight="1"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</row>
    <row r="904" ht="12.0" customHeight="1"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</row>
    <row r="905" ht="12.0" customHeight="1"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</row>
    <row r="906" ht="12.0" customHeight="1"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</row>
    <row r="907" ht="12.0" customHeight="1"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</row>
    <row r="908" ht="12.0" customHeight="1"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</row>
    <row r="909" ht="12.0" customHeight="1"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</row>
    <row r="910" ht="12.0" customHeight="1"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</row>
    <row r="911" ht="12.0" customHeight="1"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</row>
    <row r="912" ht="12.0" customHeight="1"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</row>
    <row r="913" ht="12.0" customHeight="1"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</row>
    <row r="914" ht="12.0" customHeight="1"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</row>
    <row r="915" ht="12.0" customHeight="1"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</row>
    <row r="916" ht="12.0" customHeight="1"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</row>
    <row r="917" ht="12.0" customHeight="1"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</row>
    <row r="918" ht="12.0" customHeight="1"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</row>
    <row r="919" ht="12.0" customHeight="1"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</row>
    <row r="920" ht="12.0" customHeight="1"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</row>
    <row r="921" ht="12.0" customHeight="1"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</row>
    <row r="922" ht="12.0" customHeight="1"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</row>
    <row r="923" ht="12.0" customHeight="1"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</row>
    <row r="924" ht="12.0" customHeight="1"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</row>
    <row r="925" ht="12.0" customHeight="1"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</row>
    <row r="926" ht="12.0" customHeight="1"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</row>
    <row r="927" ht="12.0" customHeight="1"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</row>
    <row r="928" ht="12.0" customHeight="1"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</row>
    <row r="929" ht="12.0" customHeight="1"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</row>
    <row r="930" ht="12.0" customHeight="1"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</row>
    <row r="931" ht="12.0" customHeight="1"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</row>
    <row r="932" ht="12.0" customHeight="1"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</row>
    <row r="933" ht="12.0" customHeight="1"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</row>
    <row r="934" ht="12.0" customHeight="1"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</row>
    <row r="935" ht="12.0" customHeight="1"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</row>
    <row r="936" ht="12.0" customHeight="1"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</row>
    <row r="937" ht="12.0" customHeight="1"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</row>
    <row r="938" ht="12.0" customHeight="1"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</row>
    <row r="939" ht="12.0" customHeight="1"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</row>
    <row r="940" ht="12.0" customHeight="1"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</row>
    <row r="941" ht="12.0" customHeight="1"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</row>
    <row r="942" ht="12.0" customHeight="1"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</row>
    <row r="943" ht="12.0" customHeight="1"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</row>
    <row r="944" ht="12.0" customHeight="1"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</row>
    <row r="945" ht="12.0" customHeight="1"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</row>
    <row r="946" ht="12.0" customHeight="1"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</row>
    <row r="947" ht="12.0" customHeight="1"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</row>
    <row r="948" ht="12.0" customHeight="1"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</row>
    <row r="949" ht="12.0" customHeight="1"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</row>
    <row r="950" ht="12.0" customHeight="1"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</row>
    <row r="951" ht="12.0" customHeight="1"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</row>
    <row r="952" ht="12.0" customHeight="1"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</row>
    <row r="953" ht="12.0" customHeight="1"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</row>
    <row r="954" ht="12.0" customHeight="1"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</row>
    <row r="955" ht="12.0" customHeight="1"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</row>
    <row r="956" ht="12.0" customHeight="1"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</row>
    <row r="957" ht="12.0" customHeight="1"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</row>
    <row r="958" ht="12.0" customHeight="1"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</row>
    <row r="959" ht="12.0" customHeight="1"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</row>
    <row r="960" ht="12.0" customHeight="1"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</row>
    <row r="961" ht="12.0" customHeight="1"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</row>
    <row r="962" ht="12.0" customHeight="1"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</row>
    <row r="963" ht="12.0" customHeight="1"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</row>
    <row r="964" ht="12.0" customHeight="1"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</row>
    <row r="965" ht="12.0" customHeight="1"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</row>
    <row r="966" ht="12.0" customHeight="1"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</row>
    <row r="967" ht="12.0" customHeight="1"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</row>
    <row r="968" ht="12.0" customHeight="1"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</row>
    <row r="969" ht="12.0" customHeight="1"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</row>
    <row r="970" ht="12.0" customHeight="1"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</row>
    <row r="971" ht="12.0" customHeight="1"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</row>
    <row r="972" ht="12.0" customHeight="1"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</row>
    <row r="973" ht="12.0" customHeight="1"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</row>
    <row r="974" ht="12.0" customHeight="1"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</row>
    <row r="975" ht="12.0" customHeight="1"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</row>
    <row r="976" ht="12.0" customHeight="1"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</row>
    <row r="977" ht="12.0" customHeight="1"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</row>
    <row r="978" ht="12.0" customHeight="1"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</row>
    <row r="979" ht="12.0" customHeight="1"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</row>
    <row r="980" ht="12.0" customHeight="1"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</row>
    <row r="981" ht="12.0" customHeight="1"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</row>
    <row r="982" ht="12.0" customHeight="1"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</row>
    <row r="983" ht="12.0" customHeight="1"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</row>
    <row r="984" ht="12.0" customHeight="1"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</row>
    <row r="985" ht="12.0" customHeight="1"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</row>
    <row r="986" ht="12.0" customHeight="1"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</row>
    <row r="987" ht="12.0" customHeight="1"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</row>
    <row r="988" ht="12.0" customHeight="1"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</row>
    <row r="989" ht="12.0" customHeight="1"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</row>
    <row r="990" ht="12.0" customHeight="1"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</row>
    <row r="991" ht="12.0" customHeight="1"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</row>
    <row r="992" ht="12.0" customHeight="1"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</row>
    <row r="993" ht="12.0" customHeight="1"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</row>
    <row r="994" ht="12.0" customHeight="1"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</row>
    <row r="995" ht="12.0" customHeight="1"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</row>
    <row r="996" ht="12.0" customHeight="1"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</row>
    <row r="997" ht="12.0" customHeight="1"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</row>
    <row r="998" ht="12.0" customHeight="1"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</row>
    <row r="999" ht="12.0" customHeight="1"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</row>
    <row r="1000" ht="12.0" customHeight="1"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</row>
    <row r="1001" ht="12.0" customHeight="1"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</row>
  </sheetData>
  <mergeCells count="5">
    <mergeCell ref="E1:M1"/>
    <mergeCell ref="N1:O1"/>
    <mergeCell ref="E3:H3"/>
    <mergeCell ref="I3:L3"/>
    <mergeCell ref="M3:P3"/>
  </mergeCells>
  <conditionalFormatting sqref="F20:P20">
    <cfRule type="cellIs" dxfId="0" priority="1" operator="equal">
      <formula>"""FALSE"""</formula>
    </cfRule>
  </conditionalFormatting>
  <conditionalFormatting sqref="F20:P20">
    <cfRule type="cellIs" dxfId="0" priority="2" operator="equal">
      <formula>"FALSE"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7.0" topLeftCell="D8" activePane="bottomRight" state="frozen"/>
      <selection activeCell="D1" sqref="D1" pane="topRight"/>
      <selection activeCell="A8" sqref="A8" pane="bottomLeft"/>
      <selection activeCell="D8" sqref="D8" pane="bottomRight"/>
    </sheetView>
  </sheetViews>
  <sheetFormatPr customHeight="1" defaultColWidth="14.43" defaultRowHeight="15.0" outlineLevelCol="1"/>
  <cols>
    <col customWidth="1" min="1" max="1" width="2.71"/>
    <col customWidth="1" min="2" max="2" width="3.0"/>
    <col customWidth="1" min="3" max="3" width="22.0"/>
    <col customWidth="1" hidden="1" min="4" max="6" width="10.71" outlineLevel="1"/>
    <col customWidth="1" hidden="1" min="7" max="9" width="11.71" outlineLevel="1"/>
    <col customWidth="1" min="10" max="45" width="12.71"/>
  </cols>
  <sheetData>
    <row r="1" ht="24.0" customHeight="1">
      <c r="A1" s="105"/>
      <c r="J1" s="106"/>
      <c r="S1" s="4"/>
    </row>
    <row r="2" ht="24.0" customHeight="1">
      <c r="A2" s="105" t="str">
        <f>Macro!A2</f>
        <v>StartUp Co</v>
      </c>
    </row>
    <row r="3" ht="12.0" customHeight="1">
      <c r="B3" s="8" t="s">
        <v>1</v>
      </c>
      <c r="D3" s="107">
        <f>'Top line'!D3</f>
        <v>2020</v>
      </c>
      <c r="E3" s="108"/>
      <c r="F3" s="108"/>
      <c r="G3" s="108"/>
      <c r="H3" s="108"/>
      <c r="I3" s="109"/>
      <c r="J3" s="107">
        <f>'Top line'!J3</f>
        <v>2021</v>
      </c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9"/>
      <c r="V3" s="107">
        <f>'Top line'!V3</f>
        <v>2022</v>
      </c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9"/>
      <c r="AH3" s="107">
        <f>'Top line'!AH3</f>
        <v>2023</v>
      </c>
      <c r="AI3" s="108"/>
      <c r="AJ3" s="108"/>
      <c r="AK3" s="108"/>
      <c r="AL3" s="108"/>
      <c r="AM3" s="108"/>
      <c r="AN3" s="108"/>
      <c r="AO3" s="108"/>
      <c r="AP3" s="108"/>
      <c r="AQ3" s="108"/>
      <c r="AR3" s="108"/>
      <c r="AS3" s="109"/>
    </row>
    <row r="4" ht="12.0" customHeight="1">
      <c r="C4" s="8" t="s">
        <v>2</v>
      </c>
      <c r="D4" s="110">
        <f>'Top line'!D4</f>
        <v>3</v>
      </c>
      <c r="E4" s="111"/>
      <c r="F4" s="112"/>
      <c r="G4" s="107">
        <f>'Top line'!G4</f>
        <v>4</v>
      </c>
      <c r="H4" s="108"/>
      <c r="I4" s="109"/>
      <c r="J4" s="107">
        <f>'Top line'!J4</f>
        <v>1</v>
      </c>
      <c r="K4" s="108"/>
      <c r="L4" s="109"/>
      <c r="M4" s="107">
        <f>'Top line'!M4</f>
        <v>2</v>
      </c>
      <c r="N4" s="108"/>
      <c r="O4" s="109"/>
      <c r="P4" s="107">
        <f>'Top line'!P4</f>
        <v>3</v>
      </c>
      <c r="Q4" s="108"/>
      <c r="R4" s="109"/>
      <c r="S4" s="107">
        <f>'Top line'!S4</f>
        <v>4</v>
      </c>
      <c r="T4" s="108"/>
      <c r="U4" s="109"/>
      <c r="V4" s="107">
        <f>'Top line'!V4</f>
        <v>1</v>
      </c>
      <c r="W4" s="108"/>
      <c r="X4" s="109"/>
      <c r="Y4" s="107">
        <f>'Top line'!Y4</f>
        <v>2</v>
      </c>
      <c r="Z4" s="108"/>
      <c r="AA4" s="109"/>
      <c r="AB4" s="107">
        <f>'Top line'!AB4</f>
        <v>3</v>
      </c>
      <c r="AC4" s="108"/>
      <c r="AD4" s="109"/>
      <c r="AE4" s="107">
        <f>'Top line'!AE4</f>
        <v>4</v>
      </c>
      <c r="AF4" s="108"/>
      <c r="AG4" s="109"/>
      <c r="AH4" s="107">
        <f>'Top line'!AH4</f>
        <v>1</v>
      </c>
      <c r="AI4" s="108"/>
      <c r="AJ4" s="109"/>
      <c r="AK4" s="107">
        <f>'Top line'!AK4</f>
        <v>2</v>
      </c>
      <c r="AL4" s="108"/>
      <c r="AM4" s="109"/>
      <c r="AN4" s="107">
        <f>'Top line'!AN4</f>
        <v>3</v>
      </c>
      <c r="AO4" s="108"/>
      <c r="AP4" s="109"/>
      <c r="AQ4" s="107">
        <f>'Top line'!AQ4</f>
        <v>4</v>
      </c>
      <c r="AR4" s="108"/>
      <c r="AS4" s="109"/>
    </row>
    <row r="5" ht="12.0" customHeight="1">
      <c r="C5" s="8" t="s">
        <v>7</v>
      </c>
      <c r="D5" s="113">
        <f>'Top line'!D5</f>
        <v>43707</v>
      </c>
      <c r="E5" s="114">
        <f>'Top line'!E5</f>
        <v>43738</v>
      </c>
      <c r="F5" s="115">
        <f>'Top line'!F5</f>
        <v>43769</v>
      </c>
      <c r="G5" s="113">
        <f>'Top line'!G5</f>
        <v>43799</v>
      </c>
      <c r="H5" s="114">
        <f>'Top line'!H5</f>
        <v>43830</v>
      </c>
      <c r="I5" s="115">
        <f>'Top line'!I5</f>
        <v>43861</v>
      </c>
      <c r="J5" s="113">
        <f>'Top line'!J5</f>
        <v>43890</v>
      </c>
      <c r="K5" s="114">
        <f>'Top line'!K5</f>
        <v>43921</v>
      </c>
      <c r="L5" s="115">
        <f>'Top line'!L5</f>
        <v>43951</v>
      </c>
      <c r="M5" s="114">
        <f>'Top line'!M5</f>
        <v>43982</v>
      </c>
      <c r="N5" s="114">
        <f>'Top line'!N5</f>
        <v>44012</v>
      </c>
      <c r="O5" s="115">
        <f>'Top line'!O5</f>
        <v>44043</v>
      </c>
      <c r="P5" s="113">
        <f>'Top line'!P5</f>
        <v>44074</v>
      </c>
      <c r="Q5" s="114">
        <f>'Top line'!Q5</f>
        <v>44104</v>
      </c>
      <c r="R5" s="115">
        <f>'Top line'!R5</f>
        <v>44135</v>
      </c>
      <c r="S5" s="113">
        <f>'Top line'!S5</f>
        <v>44165</v>
      </c>
      <c r="T5" s="114">
        <f>'Top line'!T5</f>
        <v>44196</v>
      </c>
      <c r="U5" s="115">
        <f>'Top line'!U5</f>
        <v>44227</v>
      </c>
      <c r="V5" s="113">
        <f>'Top line'!V5</f>
        <v>44255</v>
      </c>
      <c r="W5" s="114">
        <f>'Top line'!W5</f>
        <v>44286</v>
      </c>
      <c r="X5" s="115">
        <f>'Top line'!X5</f>
        <v>44316</v>
      </c>
      <c r="Y5" s="113">
        <f>'Top line'!Y5</f>
        <v>44347</v>
      </c>
      <c r="Z5" s="114">
        <f>'Top line'!Z5</f>
        <v>44377</v>
      </c>
      <c r="AA5" s="115">
        <f>'Top line'!AA5</f>
        <v>44408</v>
      </c>
      <c r="AB5" s="113">
        <f>'Top line'!AB5</f>
        <v>44439</v>
      </c>
      <c r="AC5" s="114">
        <f>'Top line'!AC5</f>
        <v>44469</v>
      </c>
      <c r="AD5" s="115">
        <f>'Top line'!AD5</f>
        <v>44500</v>
      </c>
      <c r="AE5" s="113">
        <f>'Top line'!AE5</f>
        <v>44530</v>
      </c>
      <c r="AF5" s="114">
        <f>'Top line'!AF5</f>
        <v>44561</v>
      </c>
      <c r="AG5" s="115">
        <f>'Top line'!AG5</f>
        <v>44592</v>
      </c>
      <c r="AH5" s="113">
        <f>'Top line'!AH5</f>
        <v>44620</v>
      </c>
      <c r="AI5" s="114">
        <f>'Top line'!AI5</f>
        <v>44651</v>
      </c>
      <c r="AJ5" s="115">
        <f>'Top line'!AJ5</f>
        <v>44681</v>
      </c>
      <c r="AK5" s="113">
        <f>'Top line'!AK5</f>
        <v>44712</v>
      </c>
      <c r="AL5" s="114">
        <f>'Top line'!AL5</f>
        <v>44742</v>
      </c>
      <c r="AM5" s="115">
        <f>'Top line'!AM5</f>
        <v>44773</v>
      </c>
      <c r="AN5" s="113">
        <f>'Top line'!AN5</f>
        <v>44804</v>
      </c>
      <c r="AO5" s="114">
        <f>'Top line'!AO5</f>
        <v>44834</v>
      </c>
      <c r="AP5" s="115">
        <f>'Top line'!AP5</f>
        <v>44865</v>
      </c>
      <c r="AQ5" s="113">
        <f>'Top line'!AQ5</f>
        <v>44895</v>
      </c>
      <c r="AR5" s="114">
        <f>'Top line'!AR5</f>
        <v>44926</v>
      </c>
      <c r="AS5" s="115">
        <f>'Top line'!AS5</f>
        <v>44957</v>
      </c>
    </row>
    <row r="6" ht="15.0" customHeight="1">
      <c r="D6" s="116" t="s">
        <v>42</v>
      </c>
      <c r="E6" s="117" t="s">
        <v>42</v>
      </c>
      <c r="F6" s="118" t="s">
        <v>42</v>
      </c>
      <c r="G6" s="116" t="s">
        <v>42</v>
      </c>
      <c r="H6" s="117" t="s">
        <v>42</v>
      </c>
      <c r="I6" s="118" t="s">
        <v>42</v>
      </c>
      <c r="J6" s="119" t="s">
        <v>42</v>
      </c>
      <c r="K6" s="120" t="s">
        <v>42</v>
      </c>
      <c r="L6" s="120" t="s">
        <v>42</v>
      </c>
      <c r="M6" s="119" t="s">
        <v>43</v>
      </c>
      <c r="N6" s="120" t="s">
        <v>43</v>
      </c>
      <c r="O6" s="121" t="s">
        <v>43</v>
      </c>
      <c r="P6" s="119" t="s">
        <v>43</v>
      </c>
      <c r="Q6" s="120" t="s">
        <v>43</v>
      </c>
      <c r="R6" s="121" t="s">
        <v>43</v>
      </c>
      <c r="S6" s="119" t="s">
        <v>43</v>
      </c>
      <c r="T6" s="120" t="s">
        <v>43</v>
      </c>
      <c r="U6" s="121" t="s">
        <v>43</v>
      </c>
      <c r="V6" s="119" t="s">
        <v>43</v>
      </c>
      <c r="W6" s="120" t="s">
        <v>43</v>
      </c>
      <c r="X6" s="121" t="s">
        <v>43</v>
      </c>
      <c r="Y6" s="119" t="s">
        <v>43</v>
      </c>
      <c r="Z6" s="120" t="s">
        <v>43</v>
      </c>
      <c r="AA6" s="121" t="s">
        <v>43</v>
      </c>
      <c r="AB6" s="119" t="s">
        <v>43</v>
      </c>
      <c r="AC6" s="120" t="s">
        <v>43</v>
      </c>
      <c r="AD6" s="121" t="s">
        <v>43</v>
      </c>
      <c r="AE6" s="119" t="s">
        <v>43</v>
      </c>
      <c r="AF6" s="120" t="s">
        <v>43</v>
      </c>
      <c r="AG6" s="121" t="s">
        <v>43</v>
      </c>
      <c r="AH6" s="119" t="s">
        <v>43</v>
      </c>
      <c r="AI6" s="120" t="s">
        <v>43</v>
      </c>
      <c r="AJ6" s="121" t="s">
        <v>43</v>
      </c>
      <c r="AK6" s="119" t="s">
        <v>43</v>
      </c>
      <c r="AL6" s="120" t="s">
        <v>43</v>
      </c>
      <c r="AM6" s="121" t="s">
        <v>43</v>
      </c>
      <c r="AN6" s="119" t="s">
        <v>43</v>
      </c>
      <c r="AO6" s="120" t="s">
        <v>43</v>
      </c>
      <c r="AP6" s="121" t="s">
        <v>43</v>
      </c>
      <c r="AQ6" s="119" t="s">
        <v>43</v>
      </c>
      <c r="AR6" s="120" t="s">
        <v>43</v>
      </c>
      <c r="AS6" s="121" t="s">
        <v>43</v>
      </c>
    </row>
    <row r="7" ht="4.5" customHeight="1">
      <c r="D7" s="25"/>
      <c r="E7" s="26"/>
      <c r="F7" s="27"/>
      <c r="G7" s="25"/>
      <c r="H7" s="26"/>
      <c r="I7" s="27"/>
      <c r="J7" s="25"/>
      <c r="K7" s="26"/>
      <c r="L7" s="27"/>
      <c r="M7" s="26"/>
      <c r="N7" s="26"/>
      <c r="O7" s="26"/>
      <c r="P7" s="25"/>
      <c r="Q7" s="26"/>
      <c r="R7" s="27"/>
      <c r="S7" s="26"/>
      <c r="T7" s="26"/>
      <c r="U7" s="26"/>
      <c r="V7" s="25"/>
      <c r="W7" s="26"/>
      <c r="X7" s="27"/>
      <c r="Y7" s="26"/>
      <c r="Z7" s="26"/>
      <c r="AA7" s="26"/>
      <c r="AB7" s="25"/>
      <c r="AC7" s="26"/>
      <c r="AD7" s="27"/>
      <c r="AE7" s="26"/>
      <c r="AF7" s="26"/>
      <c r="AG7" s="26"/>
      <c r="AH7" s="25"/>
      <c r="AI7" s="26"/>
      <c r="AJ7" s="27"/>
      <c r="AK7" s="26"/>
      <c r="AL7" s="26"/>
      <c r="AM7" s="26"/>
      <c r="AN7" s="25"/>
      <c r="AO7" s="26"/>
      <c r="AP7" s="27"/>
      <c r="AQ7" s="26"/>
      <c r="AR7" s="26"/>
      <c r="AS7" s="27"/>
    </row>
    <row r="8" ht="12.0" customHeight="1">
      <c r="B8" s="122" t="s">
        <v>8</v>
      </c>
      <c r="C8" s="29"/>
      <c r="D8" s="30"/>
      <c r="E8" s="31"/>
      <c r="F8" s="32"/>
      <c r="G8" s="30"/>
      <c r="H8" s="31"/>
      <c r="I8" s="32"/>
      <c r="J8" s="30"/>
      <c r="K8" s="31"/>
      <c r="L8" s="32"/>
      <c r="M8" s="31"/>
      <c r="N8" s="31"/>
      <c r="O8" s="31"/>
      <c r="P8" s="30"/>
      <c r="Q8" s="31"/>
      <c r="R8" s="32"/>
      <c r="S8" s="31"/>
      <c r="T8" s="31"/>
      <c r="U8" s="31"/>
      <c r="V8" s="30"/>
      <c r="W8" s="31"/>
      <c r="X8" s="32"/>
      <c r="Y8" s="31"/>
      <c r="Z8" s="31"/>
      <c r="AA8" s="31"/>
      <c r="AB8" s="30"/>
      <c r="AC8" s="31"/>
      <c r="AD8" s="32"/>
      <c r="AE8" s="31"/>
      <c r="AF8" s="31"/>
      <c r="AG8" s="31"/>
      <c r="AH8" s="30"/>
      <c r="AI8" s="31"/>
      <c r="AJ8" s="32"/>
      <c r="AK8" s="31"/>
      <c r="AL8" s="31"/>
      <c r="AM8" s="31"/>
      <c r="AN8" s="30"/>
      <c r="AO8" s="31"/>
      <c r="AP8" s="32"/>
      <c r="AQ8" s="31"/>
      <c r="AR8" s="31"/>
      <c r="AS8" s="32"/>
    </row>
    <row r="9" ht="12.0" customHeight="1">
      <c r="C9" s="123" t="s">
        <v>9</v>
      </c>
      <c r="D9" s="64"/>
      <c r="E9" s="4"/>
      <c r="F9" s="65"/>
      <c r="G9" s="34">
        <f>'Top line'!G39</f>
        <v>110000</v>
      </c>
      <c r="H9" s="35">
        <f>'Top line'!H39</f>
        <v>160000</v>
      </c>
      <c r="I9" s="36">
        <f>'Top line'!I39</f>
        <v>210000</v>
      </c>
      <c r="J9" s="34">
        <f>'Top line'!J39</f>
        <v>350000</v>
      </c>
      <c r="K9" s="35">
        <f>'Top line'!K39</f>
        <v>490000</v>
      </c>
      <c r="L9" s="36">
        <f>'Top line'!L39</f>
        <v>630000</v>
      </c>
      <c r="M9" s="35" t="str">
        <f>'Top line'!M39</f>
        <v>#VALUE!</v>
      </c>
      <c r="N9" s="35" t="str">
        <f>'Top line'!N39</f>
        <v>#VALUE!</v>
      </c>
      <c r="O9" s="35" t="str">
        <f>'Top line'!O39</f>
        <v>#VALUE!</v>
      </c>
      <c r="P9" s="34" t="str">
        <f>'Top line'!P39</f>
        <v>#VALUE!</v>
      </c>
      <c r="Q9" s="35" t="str">
        <f>'Top line'!Q39</f>
        <v>#VALUE!</v>
      </c>
      <c r="R9" s="36" t="str">
        <f>'Top line'!R39</f>
        <v>#VALUE!</v>
      </c>
      <c r="S9" s="35" t="str">
        <f>'Top line'!S39</f>
        <v>#VALUE!</v>
      </c>
      <c r="T9" s="35" t="str">
        <f>'Top line'!T39</f>
        <v>#VALUE!</v>
      </c>
      <c r="U9" s="35" t="str">
        <f>'Top line'!U39</f>
        <v>#VALUE!</v>
      </c>
      <c r="V9" s="34" t="str">
        <f>'Top line'!V39</f>
        <v>#VALUE!</v>
      </c>
      <c r="W9" s="35" t="str">
        <f>'Top line'!W39</f>
        <v>#VALUE!</v>
      </c>
      <c r="X9" s="36" t="str">
        <f>'Top line'!X39</f>
        <v>#VALUE!</v>
      </c>
      <c r="Y9" s="35" t="str">
        <f>'Top line'!Y39</f>
        <v>#VALUE!</v>
      </c>
      <c r="Z9" s="35" t="str">
        <f>'Top line'!Z39</f>
        <v>#VALUE!</v>
      </c>
      <c r="AA9" s="35" t="str">
        <f>'Top line'!AA39</f>
        <v>#VALUE!</v>
      </c>
      <c r="AB9" s="34" t="str">
        <f>'Top line'!AB39</f>
        <v>#VALUE!</v>
      </c>
      <c r="AC9" s="35" t="str">
        <f>'Top line'!AC39</f>
        <v>#VALUE!</v>
      </c>
      <c r="AD9" s="36" t="str">
        <f>'Top line'!AD39</f>
        <v>#VALUE!</v>
      </c>
      <c r="AE9" s="35" t="str">
        <f>'Top line'!AE39</f>
        <v>#VALUE!</v>
      </c>
      <c r="AF9" s="35" t="str">
        <f>'Top line'!AF39</f>
        <v>#VALUE!</v>
      </c>
      <c r="AG9" s="35" t="str">
        <f>'Top line'!AG39</f>
        <v>#VALUE!</v>
      </c>
      <c r="AH9" s="34" t="str">
        <f>'Top line'!AH39</f>
        <v>#VALUE!</v>
      </c>
      <c r="AI9" s="35" t="str">
        <f>'Top line'!AI39</f>
        <v>#VALUE!</v>
      </c>
      <c r="AJ9" s="36" t="str">
        <f>'Top line'!AJ39</f>
        <v>#VALUE!</v>
      </c>
      <c r="AK9" s="35" t="str">
        <f>'Top line'!AK39</f>
        <v>#VALUE!</v>
      </c>
      <c r="AL9" s="35" t="str">
        <f>'Top line'!AL39</f>
        <v>#VALUE!</v>
      </c>
      <c r="AM9" s="35" t="str">
        <f>'Top line'!AM39</f>
        <v>#VALUE!</v>
      </c>
      <c r="AN9" s="34" t="str">
        <f>'Top line'!AN39</f>
        <v>#VALUE!</v>
      </c>
      <c r="AO9" s="35" t="str">
        <f>'Top line'!AO39</f>
        <v>#VALUE!</v>
      </c>
      <c r="AP9" s="36" t="str">
        <f>'Top line'!AP39</f>
        <v>#VALUE!</v>
      </c>
      <c r="AQ9" s="35" t="str">
        <f>'Top line'!AQ39</f>
        <v>#VALUE!</v>
      </c>
      <c r="AR9" s="35" t="str">
        <f>'Top line'!AR39</f>
        <v>#VALUE!</v>
      </c>
      <c r="AS9" s="36" t="str">
        <f>'Top line'!AS39</f>
        <v>#VALUE!</v>
      </c>
    </row>
    <row r="10" ht="12.0" customHeight="1">
      <c r="C10" s="4" t="s">
        <v>44</v>
      </c>
      <c r="D10" s="64"/>
      <c r="E10" s="4"/>
      <c r="F10" s="65"/>
      <c r="G10" s="38">
        <f>IFERROR('Cash analysis'!G23,"NA")</f>
        <v>2612440</v>
      </c>
      <c r="H10" s="39">
        <f>IFERROR('Cash analysis'!H23,"NA")</f>
        <v>2224880</v>
      </c>
      <c r="I10" s="40">
        <f>IFERROR('Cash analysis'!I23,"NA")</f>
        <v>1837320</v>
      </c>
      <c r="J10" s="38">
        <f>IFERROR('Cash analysis'!J23,"NA")</f>
        <v>1449760</v>
      </c>
      <c r="K10" s="39">
        <f>IFERROR('Cash analysis'!K23,"NA")</f>
        <v>1062200</v>
      </c>
      <c r="L10" s="40">
        <f>IFERROR('Cash analysis'!L23,"NA")</f>
        <v>711980</v>
      </c>
      <c r="M10" s="39" t="str">
        <f>IFERROR('Cash analysis'!M23,"NA")</f>
        <v>NA</v>
      </c>
      <c r="N10" s="39" t="str">
        <f>IFERROR('Cash analysis'!N23,"NA")</f>
        <v>NA</v>
      </c>
      <c r="O10" s="39" t="str">
        <f>IFERROR('Cash analysis'!O23,"NA")</f>
        <v>NA</v>
      </c>
      <c r="P10" s="38" t="str">
        <f>IFERROR('Cash analysis'!P23,"NA")</f>
        <v>NA</v>
      </c>
      <c r="Q10" s="39" t="str">
        <f>IFERROR('Cash analysis'!Q23,"NA")</f>
        <v>NA</v>
      </c>
      <c r="R10" s="40" t="str">
        <f>IFERROR('Cash analysis'!R23,"NA")</f>
        <v>NA</v>
      </c>
      <c r="S10" s="39" t="str">
        <f>IFERROR('Cash analysis'!S23,"NA")</f>
        <v>NA</v>
      </c>
      <c r="T10" s="39" t="str">
        <f>IFERROR('Cash analysis'!T23,"NA")</f>
        <v>NA</v>
      </c>
      <c r="U10" s="39" t="str">
        <f>IFERROR('Cash analysis'!U23,"NA")</f>
        <v>NA</v>
      </c>
      <c r="V10" s="38" t="str">
        <f>IFERROR('Cash analysis'!V23,"NA")</f>
        <v>NA</v>
      </c>
      <c r="W10" s="39" t="str">
        <f>IFERROR('Cash analysis'!W23,"NA")</f>
        <v>NA</v>
      </c>
      <c r="X10" s="40" t="str">
        <f>IFERROR('Cash analysis'!X23,"NA")</f>
        <v>NA</v>
      </c>
      <c r="Y10" s="39" t="str">
        <f>IFERROR('Cash analysis'!Y23,"NA")</f>
        <v>NA</v>
      </c>
      <c r="Z10" s="39" t="str">
        <f>IFERROR('Cash analysis'!Z23,"NA")</f>
        <v>NA</v>
      </c>
      <c r="AA10" s="39" t="str">
        <f>IFERROR('Cash analysis'!AA23,"NA")</f>
        <v>NA</v>
      </c>
      <c r="AB10" s="38" t="str">
        <f>IFERROR('Cash analysis'!AB23,"NA")</f>
        <v>NA</v>
      </c>
      <c r="AC10" s="39" t="str">
        <f>IFERROR('Cash analysis'!AC23,"NA")</f>
        <v>NA</v>
      </c>
      <c r="AD10" s="40" t="str">
        <f>IFERROR('Cash analysis'!AD23,"NA")</f>
        <v>NA</v>
      </c>
      <c r="AE10" s="39" t="str">
        <f>IFERROR('Cash analysis'!AE23,"NA")</f>
        <v>NA</v>
      </c>
      <c r="AF10" s="39" t="str">
        <f>IFERROR('Cash analysis'!AF23,"NA")</f>
        <v>NA</v>
      </c>
      <c r="AG10" s="39" t="str">
        <f>IFERROR('Cash analysis'!AG23,"NA")</f>
        <v>NA</v>
      </c>
      <c r="AH10" s="38" t="str">
        <f>IFERROR('Cash analysis'!AH23,"NA")</f>
        <v>NA</v>
      </c>
      <c r="AI10" s="39" t="str">
        <f>IFERROR('Cash analysis'!AI23,"NA")</f>
        <v>NA</v>
      </c>
      <c r="AJ10" s="40" t="str">
        <f>IFERROR('Cash analysis'!AJ23,"NA")</f>
        <v>NA</v>
      </c>
      <c r="AK10" s="39" t="str">
        <f>IFERROR('Cash analysis'!AK23,"NA")</f>
        <v>NA</v>
      </c>
      <c r="AL10" s="39" t="str">
        <f>IFERROR('Cash analysis'!AL23,"NA")</f>
        <v>NA</v>
      </c>
      <c r="AM10" s="39" t="str">
        <f>IFERROR('Cash analysis'!AM23,"NA")</f>
        <v>NA</v>
      </c>
      <c r="AN10" s="38" t="str">
        <f>IFERROR('Cash analysis'!AN23,"NA")</f>
        <v>NA</v>
      </c>
      <c r="AO10" s="39" t="str">
        <f>IFERROR('Cash analysis'!AO23,"NA")</f>
        <v>NA</v>
      </c>
      <c r="AP10" s="40" t="str">
        <f>IFERROR('Cash analysis'!AP23,"NA")</f>
        <v>NA</v>
      </c>
      <c r="AQ10" s="39" t="str">
        <f>IFERROR('Cash analysis'!AQ23,"NA")</f>
        <v>NA</v>
      </c>
      <c r="AR10" s="39" t="str">
        <f>IFERROR('Cash analysis'!AR23,"NA")</f>
        <v>NA</v>
      </c>
      <c r="AS10" s="40" t="str">
        <f>IFERROR('Cash analysis'!AS23,"NA")</f>
        <v>NA</v>
      </c>
    </row>
    <row r="11" ht="12.0" customHeight="1">
      <c r="C11" s="4" t="s">
        <v>45</v>
      </c>
      <c r="D11" s="124"/>
      <c r="E11" s="125"/>
      <c r="F11" s="126"/>
      <c r="G11" s="127" t="str">
        <f t="array" ref="G11">IFERROR(MAX((INDEX('Cash analysis'!$J$5:$AS$5,1,MATCH(1,'Cash analysis'!$J$24:$AS$24,0))-G5)/30,0),"NA")</f>
        <v>NA</v>
      </c>
      <c r="H11" s="128" t="str">
        <f t="array" ref="H11">IFERROR(MAX((INDEX('Cash analysis'!$J$5:$AS$5,1,MATCH(1,'Cash analysis'!$J$24:$AS$24,0))-H5)/30,0),"NA")</f>
        <v>NA</v>
      </c>
      <c r="I11" s="129" t="str">
        <f t="array" ref="I11">IFERROR(MAX((INDEX('Cash analysis'!$J$5:$AS$5,1,MATCH(1,'Cash analysis'!$J$24:$AS$24,0))-I5)/30,0),"NA")</f>
        <v>NA</v>
      </c>
      <c r="J11" s="127" t="str">
        <f t="array" ref="J11">IFERROR(MAX((INDEX('Cash analysis'!$J$5:$AS$5,1,MATCH(1,'Cash analysis'!$J$24:$AS$24,0))-J5)/30,0),"NA")</f>
        <v>NA</v>
      </c>
      <c r="K11" s="128" t="str">
        <f t="array" ref="K11">IFERROR(MAX((INDEX('Cash analysis'!$J$5:$AS$5,1,MATCH(1,'Cash analysis'!$J$24:$AS$24,0))-K5)/30,0),"NA")</f>
        <v>NA</v>
      </c>
      <c r="L11" s="129" t="str">
        <f t="array" ref="L11">IFERROR(MAX((INDEX('Cash analysis'!$J$5:$AS$5,1,MATCH(1,'Cash analysis'!$J$24:$AS$24,0))-L5)/30,0),"NA")</f>
        <v>NA</v>
      </c>
      <c r="M11" s="128" t="str">
        <f t="array" ref="M11">IFERROR(MAX((INDEX('Cash analysis'!$J$5:$AS$5,1,MATCH(1,'Cash analysis'!$J$24:$AS$24,0))-M5)/30,0),"NA")</f>
        <v>NA</v>
      </c>
      <c r="N11" s="128" t="str">
        <f t="array" ref="N11">IFERROR(MAX((INDEX('Cash analysis'!$J$5:$AS$5,1,MATCH(1,'Cash analysis'!$J$24:$AS$24,0))-N5)/30,0),"NA")</f>
        <v>NA</v>
      </c>
      <c r="O11" s="128" t="str">
        <f t="array" ref="O11">IFERROR(MAX((INDEX('Cash analysis'!$J$5:$AS$5,1,MATCH(1,'Cash analysis'!$J$24:$AS$24,0))-O5)/30,0),"NA")</f>
        <v>NA</v>
      </c>
      <c r="P11" s="127" t="str">
        <f t="array" ref="P11">IFERROR(MAX((INDEX('Cash analysis'!$J$5:$AS$5,1,MATCH(1,'Cash analysis'!$J$24:$AS$24,0))-P5)/30,0),"NA")</f>
        <v>NA</v>
      </c>
      <c r="Q11" s="128" t="str">
        <f t="array" ref="Q11">IFERROR(MAX((INDEX('Cash analysis'!$J$5:$AS$5,1,MATCH(1,'Cash analysis'!$J$24:$AS$24,0))-Q5)/30,0),"NA")</f>
        <v>NA</v>
      </c>
      <c r="R11" s="129" t="str">
        <f t="array" ref="R11">IFERROR(MAX((INDEX('Cash analysis'!$J$5:$AS$5,1,MATCH(1,'Cash analysis'!$J$24:$AS$24,0))-R5)/30,0),"NA")</f>
        <v>NA</v>
      </c>
      <c r="S11" s="128" t="str">
        <f t="array" ref="S11">IFERROR(MAX((INDEX('Cash analysis'!$J$5:$AS$5,1,MATCH(1,'Cash analysis'!$J$24:$AS$24,0))-S5)/30,0),"NA")</f>
        <v>NA</v>
      </c>
      <c r="T11" s="128" t="str">
        <f t="array" ref="T11">IFERROR(MAX((INDEX('Cash analysis'!$J$5:$AS$5,1,MATCH(1,'Cash analysis'!$J$24:$AS$24,0))-T5)/30,0),"NA")</f>
        <v>NA</v>
      </c>
      <c r="U11" s="128" t="str">
        <f t="array" ref="U11">IFERROR(MAX((INDEX('Cash analysis'!$J$5:$AS$5,1,MATCH(1,'Cash analysis'!$J$24:$AS$24,0))-U5)/30,0),"NA")</f>
        <v>NA</v>
      </c>
      <c r="V11" s="127" t="str">
        <f t="array" ref="V11">IFERROR(MAX((INDEX('Cash analysis'!$J$5:$AS$5,1,MATCH(1,'Cash analysis'!$J$24:$AS$24,0))-V5)/30,0),"NA")</f>
        <v>NA</v>
      </c>
      <c r="W11" s="128" t="str">
        <f t="array" ref="W11">IFERROR(MAX((INDEX('Cash analysis'!$J$5:$AS$5,1,MATCH(1,'Cash analysis'!$J$24:$AS$24,0))-W5)/30,0),"NA")</f>
        <v>NA</v>
      </c>
      <c r="X11" s="129" t="str">
        <f t="array" ref="X11">IFERROR(MAX((INDEX('Cash analysis'!$J$5:$AS$5,1,MATCH(1,'Cash analysis'!$J$24:$AS$24,0))-X5)/30,0),"NA")</f>
        <v>NA</v>
      </c>
      <c r="Y11" s="128" t="str">
        <f t="array" ref="Y11">IFERROR(MAX((INDEX('Cash analysis'!$J$5:$AS$5,1,MATCH(1,'Cash analysis'!$J$24:$AS$24,0))-Y5)/30,0),"NA")</f>
        <v>NA</v>
      </c>
      <c r="Z11" s="128" t="str">
        <f t="array" ref="Z11">IFERROR(MAX((INDEX('Cash analysis'!$J$5:$AS$5,1,MATCH(1,'Cash analysis'!$J$24:$AS$24,0))-Z5)/30,0),"NA")</f>
        <v>NA</v>
      </c>
      <c r="AA11" s="128" t="str">
        <f t="array" ref="AA11">IFERROR(MAX((INDEX('Cash analysis'!$J$5:$AS$5,1,MATCH(1,'Cash analysis'!$J$24:$AS$24,0))-AA5)/30,0),"NA")</f>
        <v>NA</v>
      </c>
      <c r="AB11" s="127" t="str">
        <f t="array" ref="AB11">IFERROR(MAX((INDEX('Cash analysis'!$J$5:$AS$5,1,MATCH(1,'Cash analysis'!$J$24:$AS$24,0))-AB5)/30,0),"NA")</f>
        <v>NA</v>
      </c>
      <c r="AC11" s="128" t="str">
        <f t="array" ref="AC11">IFERROR(MAX((INDEX('Cash analysis'!$J$5:$AS$5,1,MATCH(1,'Cash analysis'!$J$24:$AS$24,0))-AC5)/30,0),"NA")</f>
        <v>NA</v>
      </c>
      <c r="AD11" s="129" t="str">
        <f t="array" ref="AD11">IFERROR(MAX((INDEX('Cash analysis'!$J$5:$AS$5,1,MATCH(1,'Cash analysis'!$J$24:$AS$24,0))-AD5)/30,0),"NA")</f>
        <v>NA</v>
      </c>
      <c r="AE11" s="128" t="str">
        <f t="array" ref="AE11">IFERROR(MAX((INDEX('Cash analysis'!$J$5:$AS$5,1,MATCH(1,'Cash analysis'!$J$24:$AS$24,0))-AE5)/30,0),"NA")</f>
        <v>NA</v>
      </c>
      <c r="AF11" s="128" t="str">
        <f t="array" ref="AF11">IFERROR(MAX((INDEX('Cash analysis'!$J$5:$AS$5,1,MATCH(1,'Cash analysis'!$J$24:$AS$24,0))-AF5)/30,0),"NA")</f>
        <v>NA</v>
      </c>
      <c r="AG11" s="128" t="str">
        <f t="array" ref="AG11">IFERROR(MAX((INDEX('Cash analysis'!$J$5:$AS$5,1,MATCH(1,'Cash analysis'!$J$24:$AS$24,0))-AG5)/30,0),"NA")</f>
        <v>NA</v>
      </c>
      <c r="AH11" s="127" t="str">
        <f t="array" ref="AH11">IFERROR(MAX((INDEX('Cash analysis'!$J$5:$AS$5,1,MATCH(1,'Cash analysis'!$J$24:$AS$24,0))-AH5)/30,0),"NA")</f>
        <v>NA</v>
      </c>
      <c r="AI11" s="128" t="str">
        <f t="array" ref="AI11">IFERROR(MAX((INDEX('Cash analysis'!$J$5:$AS$5,1,MATCH(1,'Cash analysis'!$J$24:$AS$24,0))-AI5)/30,0),"NA")</f>
        <v>NA</v>
      </c>
      <c r="AJ11" s="129" t="str">
        <f t="array" ref="AJ11">IFERROR(MAX((INDEX('Cash analysis'!$J$5:$AS$5,1,MATCH(1,'Cash analysis'!$J$24:$AS$24,0))-AJ5)/30,0),"NA")</f>
        <v>NA</v>
      </c>
      <c r="AK11" s="128" t="str">
        <f t="array" ref="AK11">IFERROR(MAX((INDEX('Cash analysis'!$J$5:$AS$5,1,MATCH(1,'Cash analysis'!$J$24:$AS$24,0))-AK5)/30,0),"NA")</f>
        <v>NA</v>
      </c>
      <c r="AL11" s="128" t="str">
        <f t="array" ref="AL11">IFERROR(MAX((INDEX('Cash analysis'!$J$5:$AS$5,1,MATCH(1,'Cash analysis'!$J$24:$AS$24,0))-AL5)/30,0),"NA")</f>
        <v>NA</v>
      </c>
      <c r="AM11" s="128" t="str">
        <f t="array" ref="AM11">IFERROR(MAX((INDEX('Cash analysis'!$J$5:$AS$5,1,MATCH(1,'Cash analysis'!$J$24:$AS$24,0))-AM5)/30,0),"NA")</f>
        <v>NA</v>
      </c>
      <c r="AN11" s="127" t="str">
        <f t="array" ref="AN11">IFERROR(MAX((INDEX('Cash analysis'!$J$5:$AS$5,1,MATCH(1,'Cash analysis'!$J$24:$AS$24,0))-AN5)/30,0),"NA")</f>
        <v>NA</v>
      </c>
      <c r="AO11" s="128" t="str">
        <f t="array" ref="AO11">IFERROR(MAX((INDEX('Cash analysis'!$J$5:$AS$5,1,MATCH(1,'Cash analysis'!$J$24:$AS$24,0))-AO5)/30,0),"NA")</f>
        <v>NA</v>
      </c>
      <c r="AP11" s="129" t="str">
        <f t="array" ref="AP11">IFERROR(MAX((INDEX('Cash analysis'!$J$5:$AS$5,1,MATCH(1,'Cash analysis'!$J$24:$AS$24,0))-AP5)/30,0),"NA")</f>
        <v>NA</v>
      </c>
      <c r="AQ11" s="128" t="str">
        <f t="array" ref="AQ11">IFERROR(MAX((INDEX('Cash analysis'!$J$5:$AS$5,1,MATCH(1,'Cash analysis'!$J$24:$AS$24,0))-AQ5)/30,0),"NA")</f>
        <v>NA</v>
      </c>
      <c r="AR11" s="128" t="str">
        <f t="array" ref="AR11">IFERROR(MAX((INDEX('Cash analysis'!$J$5:$AS$5,1,MATCH(1,'Cash analysis'!$J$24:$AS$24,0))-AR5)/30,0),"NA")</f>
        <v>NA</v>
      </c>
      <c r="AS11" s="129" t="str">
        <f t="array" ref="AS11">IFERROR(MAX((INDEX('Cash analysis'!$J$5:$AS$5,1,MATCH(1,'Cash analysis'!$J$24:$AS$24,0))-AS5)/30,0),"NA")</f>
        <v>NA</v>
      </c>
    </row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  <row r="1001" ht="12.0" customHeight="1"/>
  </sheetData>
  <mergeCells count="20">
    <mergeCell ref="G4:I4"/>
    <mergeCell ref="J4:L4"/>
    <mergeCell ref="M4:O4"/>
    <mergeCell ref="P4:R4"/>
    <mergeCell ref="S4:U4"/>
    <mergeCell ref="V4:X4"/>
    <mergeCell ref="Y4:AA4"/>
    <mergeCell ref="AB4:AD4"/>
    <mergeCell ref="AE4:AG4"/>
    <mergeCell ref="AH4:AJ4"/>
    <mergeCell ref="AK4:AM4"/>
    <mergeCell ref="AN4:AP4"/>
    <mergeCell ref="J1:R1"/>
    <mergeCell ref="S1:T1"/>
    <mergeCell ref="D3:I3"/>
    <mergeCell ref="J3:U3"/>
    <mergeCell ref="V3:AG3"/>
    <mergeCell ref="AH3:AS3"/>
    <mergeCell ref="D4:F4"/>
    <mergeCell ref="AQ4:AS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workbookViewId="0"/>
  </sheetViews>
  <sheetFormatPr customHeight="1" defaultColWidth="14.43" defaultRowHeight="15.0"/>
  <cols>
    <col customWidth="1" min="1" max="1" width="223.71"/>
    <col customWidth="1" hidden="1" min="2" max="2" width="41.71"/>
    <col customWidth="1" hidden="1" min="3" max="3" width="21.14"/>
    <col customWidth="1" hidden="1" min="4" max="6" width="9.14"/>
    <col customWidth="1" min="7" max="26" width="8.71"/>
  </cols>
  <sheetData>
    <row r="1" ht="339.0" customHeight="1">
      <c r="A1" s="130" t="s">
        <v>46</v>
      </c>
    </row>
    <row r="2" ht="69.0" hidden="1" customHeight="1"/>
    <row r="3" ht="64.5" hidden="1" customHeight="1"/>
    <row r="4" ht="12.75" hidden="1" customHeight="1"/>
    <row r="5" ht="12.75" hidden="1" customHeight="1"/>
    <row r="6" ht="12.75" hidden="1" customHeight="1"/>
    <row r="7" ht="12.75" hidden="1" customHeight="1"/>
    <row r="8" ht="12.75" hidden="1" customHeight="1"/>
    <row r="9" ht="12.75" hidden="1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86"/>
    <col customWidth="1" min="2" max="2" width="26.86"/>
    <col customWidth="1" min="3" max="3" width="3.43"/>
    <col customWidth="1" min="4" max="6" width="20.71"/>
    <col customWidth="1" min="7" max="7" width="2.71"/>
    <col customWidth="1" min="8" max="8" width="20.71"/>
    <col customWidth="1" min="9" max="9" width="11.43"/>
    <col customWidth="1" min="10" max="10" width="9.14"/>
    <col customWidth="1" min="11" max="11" width="12.29"/>
    <col customWidth="1" min="12" max="12" width="9.14"/>
  </cols>
  <sheetData>
    <row r="1" ht="27.0" customHeight="1">
      <c r="A1" s="131"/>
      <c r="J1" s="4"/>
      <c r="L1" s="132"/>
    </row>
    <row r="2" ht="27.0" customHeight="1">
      <c r="A2" s="133" t="s">
        <v>47</v>
      </c>
      <c r="B2" s="134"/>
      <c r="C2" s="135"/>
      <c r="D2" s="135"/>
      <c r="E2" s="135"/>
      <c r="F2" s="135"/>
      <c r="G2" s="135"/>
      <c r="H2" s="135"/>
      <c r="I2" s="135"/>
      <c r="J2" s="135"/>
      <c r="K2" s="136"/>
      <c r="L2" s="137"/>
    </row>
    <row r="3" ht="12.75" customHeight="1">
      <c r="A3" s="135"/>
      <c r="B3" s="135"/>
      <c r="C3" s="135"/>
      <c r="D3" s="135"/>
      <c r="E3" s="135"/>
      <c r="F3" s="135"/>
      <c r="G3" s="135"/>
      <c r="H3" s="135"/>
      <c r="I3" s="135"/>
      <c r="J3" s="135"/>
      <c r="K3" s="136"/>
      <c r="L3" s="137"/>
    </row>
    <row r="4" ht="12.75" customHeight="1">
      <c r="A4" s="135"/>
      <c r="B4" s="135"/>
      <c r="C4" s="135"/>
      <c r="D4" s="135"/>
      <c r="E4" s="135"/>
      <c r="F4" s="135"/>
      <c r="G4" s="135"/>
      <c r="H4" s="135"/>
      <c r="I4" s="135"/>
      <c r="J4" s="135"/>
      <c r="K4" s="136"/>
      <c r="L4" s="137"/>
    </row>
    <row r="5" ht="12.75" customHeight="1">
      <c r="A5" s="138" t="s">
        <v>48</v>
      </c>
      <c r="B5" s="135"/>
      <c r="C5" s="135"/>
      <c r="D5" s="139">
        <v>1.0</v>
      </c>
      <c r="E5" s="135"/>
      <c r="F5" s="135"/>
      <c r="G5" s="135"/>
      <c r="H5" s="135"/>
      <c r="I5" s="135"/>
      <c r="J5" s="135"/>
      <c r="K5" s="136"/>
      <c r="L5" s="137"/>
    </row>
    <row r="6" ht="12.75" customHeight="1">
      <c r="A6" s="138" t="s">
        <v>49</v>
      </c>
      <c r="B6" s="135"/>
      <c r="C6" s="135"/>
      <c r="D6" s="140">
        <v>100000.0</v>
      </c>
      <c r="E6" s="135"/>
      <c r="F6" s="135"/>
      <c r="G6" s="135"/>
      <c r="H6" s="135"/>
      <c r="I6" s="135"/>
      <c r="J6" s="135"/>
      <c r="K6" s="136"/>
      <c r="L6" s="137"/>
    </row>
    <row r="7" ht="12.75" customHeight="1">
      <c r="A7" s="138" t="s">
        <v>50</v>
      </c>
      <c r="B7" s="135"/>
      <c r="C7" s="135"/>
      <c r="D7" s="139">
        <v>3.0</v>
      </c>
      <c r="E7" s="135"/>
      <c r="F7" s="135"/>
      <c r="G7" s="135"/>
      <c r="H7" s="135"/>
      <c r="I7" s="135"/>
      <c r="J7" s="135"/>
      <c r="K7" s="136"/>
      <c r="L7" s="137"/>
    </row>
    <row r="8" ht="12.75" customHeight="1">
      <c r="A8" s="138" t="s">
        <v>51</v>
      </c>
      <c r="B8" s="135"/>
      <c r="C8" s="135"/>
      <c r="D8" s="141">
        <v>0.8</v>
      </c>
      <c r="E8" s="135"/>
      <c r="F8" s="135"/>
      <c r="G8" s="135"/>
      <c r="H8" s="135"/>
      <c r="I8" s="135"/>
      <c r="J8" s="135"/>
      <c r="K8" s="136"/>
      <c r="L8" s="137"/>
    </row>
    <row r="9" ht="12.75" customHeight="1">
      <c r="A9" s="135"/>
      <c r="B9" s="135"/>
      <c r="C9" s="135"/>
      <c r="D9" s="135"/>
      <c r="E9" s="135"/>
      <c r="F9" s="135"/>
      <c r="G9" s="135"/>
      <c r="H9" s="135"/>
      <c r="I9" s="135"/>
      <c r="J9" s="135"/>
      <c r="K9" s="136"/>
      <c r="L9" s="137"/>
    </row>
    <row r="10" ht="12.75" customHeight="1">
      <c r="A10" s="142" t="s">
        <v>19</v>
      </c>
      <c r="B10" s="143"/>
      <c r="C10" s="143"/>
      <c r="D10" s="144"/>
      <c r="E10" s="144"/>
      <c r="F10" s="144"/>
      <c r="G10" s="143"/>
      <c r="H10" s="144"/>
      <c r="I10" s="143"/>
      <c r="J10" s="143"/>
      <c r="K10" s="145"/>
      <c r="L10" s="146"/>
    </row>
    <row r="11" ht="12.75" customHeight="1">
      <c r="A11" s="147"/>
      <c r="B11" s="135"/>
      <c r="C11" s="135"/>
      <c r="D11" s="148" t="s">
        <v>52</v>
      </c>
      <c r="E11" s="148" t="s">
        <v>53</v>
      </c>
      <c r="F11" s="148" t="s">
        <v>54</v>
      </c>
      <c r="G11" s="135"/>
      <c r="H11" s="148" t="s">
        <v>55</v>
      </c>
      <c r="I11" s="135"/>
      <c r="J11" s="135"/>
      <c r="K11" s="136"/>
      <c r="L11" s="137"/>
    </row>
    <row r="12" ht="12.75" customHeight="1">
      <c r="A12" s="135"/>
      <c r="B12" s="147" t="s">
        <v>56</v>
      </c>
      <c r="C12" s="135"/>
      <c r="D12" s="149"/>
      <c r="E12" s="150"/>
      <c r="F12" s="150"/>
      <c r="G12" s="135"/>
      <c r="H12" s="151"/>
      <c r="I12" s="135"/>
      <c r="J12" s="135"/>
      <c r="K12" s="136"/>
      <c r="L12" s="137"/>
    </row>
    <row r="13" ht="12.75" customHeight="1">
      <c r="A13" s="135"/>
      <c r="B13" s="135" t="s">
        <v>57</v>
      </c>
      <c r="C13" s="135"/>
      <c r="D13" s="141">
        <v>0.0</v>
      </c>
      <c r="E13" s="141">
        <v>0.0</v>
      </c>
      <c r="F13" s="141">
        <v>0.0</v>
      </c>
      <c r="G13" s="135"/>
      <c r="H13" s="151">
        <f t="shared" ref="H13:H15" si="1">OFFSET(C13,0,$D$5)</f>
        <v>0</v>
      </c>
      <c r="I13" s="135"/>
      <c r="J13" s="135"/>
      <c r="K13" s="136"/>
      <c r="L13" s="137"/>
    </row>
    <row r="14" ht="12.75" customHeight="1">
      <c r="A14" s="135"/>
      <c r="B14" s="135" t="s">
        <v>58</v>
      </c>
      <c r="C14" s="135"/>
      <c r="D14" s="139">
        <v>6.0</v>
      </c>
      <c r="E14" s="139">
        <v>6.0</v>
      </c>
      <c r="F14" s="139">
        <v>6.0</v>
      </c>
      <c r="G14" s="135"/>
      <c r="H14" s="152">
        <f t="shared" si="1"/>
        <v>6</v>
      </c>
      <c r="I14" s="135"/>
      <c r="J14" s="135"/>
      <c r="K14" s="136"/>
      <c r="L14" s="137"/>
    </row>
    <row r="15" ht="12.75" customHeight="1">
      <c r="A15" s="135"/>
      <c r="B15" s="135" t="s">
        <v>59</v>
      </c>
      <c r="C15" s="135"/>
      <c r="D15" s="139">
        <v>3.0</v>
      </c>
      <c r="E15" s="139">
        <v>3.0</v>
      </c>
      <c r="F15" s="139">
        <v>5.0</v>
      </c>
      <c r="G15" s="135"/>
      <c r="H15" s="152">
        <f t="shared" si="1"/>
        <v>3</v>
      </c>
      <c r="I15" s="135"/>
      <c r="J15" s="135"/>
      <c r="K15" s="136"/>
      <c r="L15" s="137"/>
    </row>
    <row r="16" ht="12.75" customHeight="1">
      <c r="A16" s="135"/>
      <c r="B16" s="135"/>
      <c r="C16" s="135"/>
      <c r="D16" s="135"/>
      <c r="E16" s="135"/>
      <c r="F16" s="135"/>
      <c r="G16" s="135"/>
      <c r="H16" s="135"/>
      <c r="I16" s="135"/>
      <c r="J16" s="135"/>
      <c r="K16" s="136"/>
      <c r="L16" s="137"/>
    </row>
    <row r="17" ht="12.75" customHeight="1">
      <c r="A17" s="135"/>
      <c r="B17" s="147" t="s">
        <v>60</v>
      </c>
      <c r="C17" s="135"/>
      <c r="D17" s="135"/>
      <c r="E17" s="135"/>
      <c r="F17" s="135"/>
      <c r="G17" s="135"/>
      <c r="H17" s="135"/>
      <c r="I17" s="135"/>
      <c r="J17" s="135"/>
      <c r="K17" s="136"/>
      <c r="L17" s="137"/>
    </row>
    <row r="18" ht="12.75" customHeight="1">
      <c r="A18" s="135"/>
      <c r="B18" s="135" t="s">
        <v>61</v>
      </c>
      <c r="C18" s="135"/>
      <c r="D18" s="153">
        <v>50000.0</v>
      </c>
      <c r="E18" s="153">
        <v>50000.0</v>
      </c>
      <c r="F18" s="153">
        <v>50000.0</v>
      </c>
      <c r="G18" s="135"/>
      <c r="H18" s="154">
        <f t="shared" ref="H18:H23" si="2">OFFSET(C18,0,$D$5)</f>
        <v>50000</v>
      </c>
      <c r="I18" s="135"/>
      <c r="J18" s="135"/>
      <c r="K18" s="136"/>
      <c r="L18" s="137"/>
    </row>
    <row r="19" ht="12.75" customHeight="1">
      <c r="A19" s="135"/>
      <c r="B19" s="135" t="s">
        <v>62</v>
      </c>
      <c r="C19" s="135"/>
      <c r="D19" s="139">
        <v>12.0</v>
      </c>
      <c r="E19" s="139">
        <v>12.0</v>
      </c>
      <c r="F19" s="139">
        <v>12.0</v>
      </c>
      <c r="G19" s="135"/>
      <c r="H19" s="152">
        <f t="shared" si="2"/>
        <v>12</v>
      </c>
      <c r="I19" s="135"/>
      <c r="J19" s="135"/>
      <c r="K19" s="136"/>
      <c r="L19" s="137"/>
    </row>
    <row r="20" ht="12.75" customHeight="1">
      <c r="A20" s="135"/>
      <c r="B20" s="135" t="s">
        <v>63</v>
      </c>
      <c r="C20" s="135"/>
      <c r="D20" s="141">
        <v>0.1</v>
      </c>
      <c r="E20" s="141">
        <v>0.1</v>
      </c>
      <c r="F20" s="141">
        <v>0.1</v>
      </c>
      <c r="G20" s="135"/>
      <c r="H20" s="151">
        <f t="shared" si="2"/>
        <v>0.1</v>
      </c>
      <c r="I20" s="155" t="s">
        <v>64</v>
      </c>
      <c r="J20" s="135"/>
      <c r="K20" s="136"/>
      <c r="L20" s="137"/>
    </row>
    <row r="21" ht="12.75" customHeight="1">
      <c r="A21" s="135"/>
      <c r="B21" s="135" t="s">
        <v>65</v>
      </c>
      <c r="C21" s="135"/>
      <c r="D21" s="139">
        <v>1.0</v>
      </c>
      <c r="E21" s="139">
        <v>1.0</v>
      </c>
      <c r="F21" s="139">
        <v>1.0</v>
      </c>
      <c r="G21" s="135"/>
      <c r="H21" s="152">
        <f t="shared" si="2"/>
        <v>1</v>
      </c>
      <c r="I21" s="135"/>
      <c r="J21" s="135"/>
      <c r="K21" s="136"/>
      <c r="L21" s="137"/>
    </row>
    <row r="22" ht="12.75" customHeight="1">
      <c r="A22" s="135"/>
      <c r="B22" s="135" t="s">
        <v>66</v>
      </c>
      <c r="C22" s="135"/>
      <c r="D22" s="141">
        <v>0.25</v>
      </c>
      <c r="E22" s="141">
        <v>0.25</v>
      </c>
      <c r="F22" s="141">
        <v>0.25</v>
      </c>
      <c r="G22" s="135"/>
      <c r="H22" s="151">
        <f t="shared" si="2"/>
        <v>0.25</v>
      </c>
      <c r="I22" s="155" t="s">
        <v>64</v>
      </c>
      <c r="J22" s="135"/>
      <c r="K22" s="136"/>
      <c r="L22" s="137"/>
    </row>
    <row r="23" ht="12.75" customHeight="1">
      <c r="A23" s="135"/>
      <c r="B23" s="135" t="s">
        <v>67</v>
      </c>
      <c r="C23" s="135"/>
      <c r="D23" s="141">
        <v>0.5</v>
      </c>
      <c r="E23" s="141">
        <v>0.5</v>
      </c>
      <c r="F23" s="141">
        <v>0.5</v>
      </c>
      <c r="G23" s="135"/>
      <c r="H23" s="151">
        <f t="shared" si="2"/>
        <v>0.5</v>
      </c>
      <c r="I23" s="135"/>
      <c r="J23" s="135"/>
      <c r="K23" s="136"/>
      <c r="L23" s="137"/>
    </row>
    <row r="24" ht="12.75" customHeight="1">
      <c r="A24" s="135"/>
      <c r="B24" s="135"/>
      <c r="C24" s="135"/>
      <c r="D24" s="150"/>
      <c r="E24" s="150"/>
      <c r="F24" s="150"/>
      <c r="G24" s="135"/>
      <c r="H24" s="152"/>
      <c r="I24" s="135"/>
      <c r="J24" s="135"/>
      <c r="K24" s="136"/>
      <c r="L24" s="137"/>
    </row>
    <row r="25" ht="12.75" customHeight="1">
      <c r="A25" s="135"/>
      <c r="B25" s="147" t="s">
        <v>68</v>
      </c>
      <c r="C25" s="135"/>
      <c r="D25" s="135"/>
      <c r="E25" s="135"/>
      <c r="F25" s="135"/>
      <c r="G25" s="135"/>
      <c r="H25" s="135"/>
      <c r="I25" s="135"/>
      <c r="J25" s="135"/>
      <c r="K25" s="136"/>
      <c r="L25" s="137"/>
    </row>
    <row r="26" ht="12.75" customHeight="1">
      <c r="A26" s="135"/>
      <c r="B26" s="135" t="s">
        <v>69</v>
      </c>
      <c r="C26" s="135"/>
      <c r="D26" s="156">
        <f t="shared" ref="D26:F26" si="3">1/6</f>
        <v>0.1666666667</v>
      </c>
      <c r="E26" s="156">
        <f t="shared" si="3"/>
        <v>0.1666666667</v>
      </c>
      <c r="F26" s="156">
        <f t="shared" si="3"/>
        <v>0.1666666667</v>
      </c>
      <c r="G26" s="135"/>
      <c r="H26" s="157">
        <f t="shared" ref="H26:H28" si="4">OFFSET(C26,0,$D$5)</f>
        <v>0.1666666667</v>
      </c>
      <c r="I26" s="135"/>
      <c r="J26" s="135"/>
      <c r="K26" s="136"/>
      <c r="L26" s="137"/>
    </row>
    <row r="27" ht="12.75" customHeight="1">
      <c r="A27" s="135"/>
      <c r="B27" s="135" t="s">
        <v>70</v>
      </c>
      <c r="C27" s="135"/>
      <c r="D27" s="158">
        <v>0.5</v>
      </c>
      <c r="E27" s="158">
        <v>0.5</v>
      </c>
      <c r="F27" s="158">
        <v>0.5</v>
      </c>
      <c r="G27" s="135"/>
      <c r="H27" s="159">
        <f t="shared" si="4"/>
        <v>0.5</v>
      </c>
      <c r="I27" s="135"/>
      <c r="J27" s="135"/>
      <c r="K27" s="136"/>
      <c r="L27" s="137"/>
    </row>
    <row r="28" ht="12.75" customHeight="1">
      <c r="A28" s="135"/>
      <c r="B28" s="135" t="s">
        <v>71</v>
      </c>
      <c r="C28" s="135"/>
      <c r="D28" s="158">
        <v>0.1</v>
      </c>
      <c r="E28" s="158">
        <v>0.1</v>
      </c>
      <c r="F28" s="158">
        <v>0.1</v>
      </c>
      <c r="G28" s="135"/>
      <c r="H28" s="159">
        <f t="shared" si="4"/>
        <v>0.1</v>
      </c>
      <c r="I28" s="135"/>
      <c r="J28" s="135"/>
      <c r="K28" s="136"/>
      <c r="L28" s="137"/>
    </row>
    <row r="29" ht="12.75" customHeight="1">
      <c r="A29" s="135"/>
      <c r="B29" s="135"/>
      <c r="C29" s="135"/>
      <c r="D29" s="160"/>
      <c r="E29" s="160"/>
      <c r="F29" s="160"/>
      <c r="G29" s="135"/>
      <c r="H29" s="152"/>
      <c r="I29" s="135"/>
      <c r="J29" s="135"/>
      <c r="K29" s="136"/>
      <c r="L29" s="137"/>
    </row>
    <row r="30" ht="12.75" customHeight="1">
      <c r="A30" s="135"/>
      <c r="B30" s="161" t="s">
        <v>72</v>
      </c>
      <c r="C30" s="135"/>
      <c r="D30" s="162"/>
      <c r="E30" s="162"/>
      <c r="F30" s="148"/>
      <c r="G30" s="135"/>
      <c r="H30" s="135"/>
      <c r="I30" s="135"/>
      <c r="J30" s="135"/>
      <c r="K30" s="136"/>
      <c r="L30" s="137"/>
    </row>
    <row r="31" ht="12.75" customHeight="1">
      <c r="A31" s="135"/>
      <c r="B31" s="163" t="str">
        <f t="shared" ref="B31:B42" si="5">B57</f>
        <v>CRO</v>
      </c>
      <c r="C31" s="135"/>
      <c r="D31" s="164">
        <v>0.05</v>
      </c>
      <c r="E31" s="164">
        <v>0.05</v>
      </c>
      <c r="F31" s="164">
        <v>0.05</v>
      </c>
      <c r="G31" s="135"/>
      <c r="H31" s="165">
        <f t="shared" ref="H31:H42" si="6">OFFSET(C31,0,$D$5)</f>
        <v>0.05</v>
      </c>
      <c r="I31" s="162"/>
      <c r="J31" s="135"/>
      <c r="K31" s="136"/>
      <c r="L31" s="137"/>
    </row>
    <row r="32" ht="12.75" customHeight="1">
      <c r="A32" s="135"/>
      <c r="B32" s="163" t="str">
        <f t="shared" si="5"/>
        <v>AE</v>
      </c>
      <c r="C32" s="135"/>
      <c r="D32" s="164">
        <v>0.15</v>
      </c>
      <c r="E32" s="164">
        <v>0.15</v>
      </c>
      <c r="F32" s="164">
        <v>0.15</v>
      </c>
      <c r="G32" s="135"/>
      <c r="H32" s="165">
        <f t="shared" si="6"/>
        <v>0.15</v>
      </c>
      <c r="I32" s="163"/>
      <c r="J32" s="135"/>
      <c r="K32" s="136"/>
      <c r="L32" s="137"/>
    </row>
    <row r="33" ht="12.75" customHeight="1">
      <c r="A33" s="135"/>
      <c r="B33" s="163" t="str">
        <f t="shared" si="5"/>
        <v>AE manager</v>
      </c>
      <c r="C33" s="135"/>
      <c r="D33" s="164">
        <v>0.02</v>
      </c>
      <c r="E33" s="164">
        <v>0.02</v>
      </c>
      <c r="F33" s="164">
        <v>0.02</v>
      </c>
      <c r="G33" s="135"/>
      <c r="H33" s="165">
        <f t="shared" si="6"/>
        <v>0.02</v>
      </c>
      <c r="I33" s="163"/>
      <c r="J33" s="135"/>
      <c r="K33" s="136"/>
      <c r="L33" s="137"/>
    </row>
    <row r="34" ht="12.75" customHeight="1">
      <c r="A34" s="135"/>
      <c r="B34" s="163" t="str">
        <f t="shared" si="5"/>
        <v>SE</v>
      </c>
      <c r="C34" s="135"/>
      <c r="D34" s="164">
        <v>0.01</v>
      </c>
      <c r="E34" s="164">
        <v>0.01</v>
      </c>
      <c r="F34" s="164">
        <v>0.01</v>
      </c>
      <c r="G34" s="135"/>
      <c r="H34" s="165">
        <f t="shared" si="6"/>
        <v>0.01</v>
      </c>
      <c r="I34" s="163"/>
      <c r="J34" s="135"/>
      <c r="K34" s="136"/>
      <c r="L34" s="137"/>
    </row>
    <row r="35" ht="12.75" customHeight="1">
      <c r="A35" s="135"/>
      <c r="B35" s="163" t="str">
        <f t="shared" si="5"/>
        <v>SE manager</v>
      </c>
      <c r="C35" s="135"/>
      <c r="D35" s="164">
        <v>0.02</v>
      </c>
      <c r="E35" s="164">
        <v>0.02</v>
      </c>
      <c r="F35" s="164">
        <v>0.02</v>
      </c>
      <c r="G35" s="135"/>
      <c r="H35" s="165">
        <f t="shared" si="6"/>
        <v>0.02</v>
      </c>
      <c r="I35" s="163"/>
      <c r="J35" s="135"/>
      <c r="K35" s="136"/>
      <c r="L35" s="137"/>
    </row>
    <row r="36" ht="12.75" customHeight="1">
      <c r="A36" s="135"/>
      <c r="B36" s="163" t="str">
        <f t="shared" si="5"/>
        <v>Sales Ops</v>
      </c>
      <c r="C36" s="135"/>
      <c r="D36" s="164">
        <v>0.0</v>
      </c>
      <c r="E36" s="164">
        <v>0.0</v>
      </c>
      <c r="F36" s="164">
        <v>0.0</v>
      </c>
      <c r="G36" s="135"/>
      <c r="H36" s="165">
        <f t="shared" si="6"/>
        <v>0</v>
      </c>
      <c r="I36" s="163"/>
      <c r="J36" s="135"/>
      <c r="K36" s="136"/>
      <c r="L36" s="137"/>
    </row>
    <row r="37" ht="12.75" customHeight="1">
      <c r="A37" s="135"/>
      <c r="B37" s="163" t="str">
        <f t="shared" si="5"/>
        <v>[XX]</v>
      </c>
      <c r="C37" s="135"/>
      <c r="D37" s="164">
        <v>0.0</v>
      </c>
      <c r="E37" s="164">
        <v>0.0</v>
      </c>
      <c r="F37" s="164">
        <v>0.0</v>
      </c>
      <c r="G37" s="135"/>
      <c r="H37" s="165">
        <f t="shared" si="6"/>
        <v>0</v>
      </c>
      <c r="I37" s="163"/>
      <c r="J37" s="135"/>
      <c r="K37" s="136"/>
      <c r="L37" s="137"/>
    </row>
    <row r="38" ht="12.75" customHeight="1">
      <c r="A38" s="135"/>
      <c r="B38" s="163" t="str">
        <f t="shared" si="5"/>
        <v>[XX]</v>
      </c>
      <c r="C38" s="135"/>
      <c r="D38" s="164">
        <v>0.0</v>
      </c>
      <c r="E38" s="164">
        <v>0.0</v>
      </c>
      <c r="F38" s="164">
        <v>0.0</v>
      </c>
      <c r="G38" s="135"/>
      <c r="H38" s="165">
        <f t="shared" si="6"/>
        <v>0</v>
      </c>
      <c r="I38" s="163"/>
      <c r="J38" s="135"/>
      <c r="K38" s="136"/>
      <c r="L38" s="137"/>
    </row>
    <row r="39" ht="12.75" customHeight="1">
      <c r="A39" s="135"/>
      <c r="B39" s="163" t="str">
        <f t="shared" si="5"/>
        <v>[XX]</v>
      </c>
      <c r="C39" s="135"/>
      <c r="D39" s="164">
        <v>0.0</v>
      </c>
      <c r="E39" s="164">
        <v>0.0</v>
      </c>
      <c r="F39" s="164">
        <v>0.0</v>
      </c>
      <c r="G39" s="135"/>
      <c r="H39" s="165">
        <f t="shared" si="6"/>
        <v>0</v>
      </c>
      <c r="I39" s="163"/>
      <c r="J39" s="135"/>
      <c r="K39" s="136"/>
      <c r="L39" s="137"/>
    </row>
    <row r="40" ht="12.75" customHeight="1">
      <c r="A40" s="135"/>
      <c r="B40" s="163" t="str">
        <f t="shared" si="5"/>
        <v>[XX]</v>
      </c>
      <c r="C40" s="135"/>
      <c r="D40" s="164">
        <v>0.0</v>
      </c>
      <c r="E40" s="164">
        <v>0.0</v>
      </c>
      <c r="F40" s="164">
        <v>0.0</v>
      </c>
      <c r="G40" s="135"/>
      <c r="H40" s="165">
        <f t="shared" si="6"/>
        <v>0</v>
      </c>
      <c r="I40" s="163"/>
      <c r="J40" s="135"/>
      <c r="K40" s="136"/>
      <c r="L40" s="137"/>
    </row>
    <row r="41" ht="12.75" customHeight="1">
      <c r="A41" s="135"/>
      <c r="B41" s="163" t="str">
        <f t="shared" si="5"/>
        <v>[XX]</v>
      </c>
      <c r="C41" s="135"/>
      <c r="D41" s="164">
        <v>0.0</v>
      </c>
      <c r="E41" s="164">
        <v>0.0</v>
      </c>
      <c r="F41" s="164">
        <v>0.0</v>
      </c>
      <c r="G41" s="135"/>
      <c r="H41" s="165">
        <f t="shared" si="6"/>
        <v>0</v>
      </c>
      <c r="I41" s="163"/>
      <c r="J41" s="135"/>
      <c r="K41" s="136"/>
      <c r="L41" s="137"/>
    </row>
    <row r="42" ht="12.75" customHeight="1">
      <c r="A42" s="135"/>
      <c r="B42" s="166" t="str">
        <f t="shared" si="5"/>
        <v>[XX]</v>
      </c>
      <c r="C42" s="167"/>
      <c r="D42" s="168">
        <v>0.0</v>
      </c>
      <c r="E42" s="168">
        <v>0.0</v>
      </c>
      <c r="F42" s="168">
        <v>0.0</v>
      </c>
      <c r="G42" s="135"/>
      <c r="H42" s="169">
        <f t="shared" si="6"/>
        <v>0</v>
      </c>
      <c r="I42" s="163"/>
      <c r="J42" s="135"/>
      <c r="K42" s="136"/>
      <c r="L42" s="137"/>
    </row>
    <row r="43" ht="12.75" customHeight="1">
      <c r="A43" s="135"/>
      <c r="B43" s="170" t="s">
        <v>73</v>
      </c>
      <c r="C43" s="171"/>
      <c r="D43" s="172">
        <f t="shared" ref="D43:F43" si="7">SUM(D31:D42)</f>
        <v>0.25</v>
      </c>
      <c r="E43" s="172">
        <f t="shared" si="7"/>
        <v>0.25</v>
      </c>
      <c r="F43" s="172">
        <f t="shared" si="7"/>
        <v>0.25</v>
      </c>
      <c r="G43" s="161"/>
      <c r="H43" s="173">
        <f>SUM(H31:H42)</f>
        <v>0.25</v>
      </c>
      <c r="I43" s="174" t="s">
        <v>74</v>
      </c>
      <c r="J43" s="135"/>
      <c r="K43" s="136"/>
      <c r="L43" s="137"/>
    </row>
    <row r="44" ht="12.75" customHeight="1">
      <c r="A44" s="135"/>
      <c r="B44" s="135"/>
      <c r="C44" s="135"/>
      <c r="D44" s="135"/>
      <c r="E44" s="135"/>
      <c r="F44" s="135"/>
      <c r="G44" s="135"/>
      <c r="H44" s="135"/>
      <c r="I44" s="135"/>
      <c r="J44" s="135"/>
      <c r="K44" s="136"/>
      <c r="L44" s="137"/>
    </row>
    <row r="45" ht="12.75" customHeight="1">
      <c r="A45" s="142" t="s">
        <v>75</v>
      </c>
      <c r="B45" s="143"/>
      <c r="C45" s="143"/>
      <c r="D45" s="144"/>
      <c r="E45" s="144"/>
      <c r="F45" s="144"/>
      <c r="G45" s="143"/>
      <c r="H45" s="144"/>
      <c r="I45" s="143"/>
      <c r="J45" s="143"/>
      <c r="K45" s="145"/>
      <c r="L45" s="146"/>
    </row>
    <row r="46" ht="12.75" customHeight="1">
      <c r="A46" s="135"/>
      <c r="B46" s="135" t="s">
        <v>76</v>
      </c>
      <c r="C46" s="135"/>
      <c r="D46" s="175">
        <v>0.0</v>
      </c>
      <c r="E46" s="163" t="s">
        <v>77</v>
      </c>
      <c r="F46" s="148"/>
      <c r="G46" s="135"/>
      <c r="H46" s="135"/>
      <c r="I46" s="135"/>
      <c r="J46" s="135"/>
      <c r="K46" s="136"/>
      <c r="L46" s="137"/>
    </row>
    <row r="47" ht="12.75" customHeight="1">
      <c r="A47" s="135"/>
      <c r="B47" s="135" t="s">
        <v>78</v>
      </c>
      <c r="C47" s="135"/>
      <c r="D47" s="175">
        <v>17500.0</v>
      </c>
      <c r="E47" s="135" t="s">
        <v>79</v>
      </c>
      <c r="F47" s="148"/>
      <c r="G47" s="135"/>
      <c r="H47" s="135"/>
      <c r="I47" s="135"/>
      <c r="J47" s="135"/>
      <c r="K47" s="136"/>
      <c r="L47" s="137"/>
    </row>
    <row r="48" ht="12.75" customHeight="1">
      <c r="A48" s="135"/>
      <c r="B48" s="135" t="s">
        <v>80</v>
      </c>
      <c r="C48" s="135"/>
      <c r="D48" s="141">
        <v>0.0</v>
      </c>
      <c r="E48" s="163" t="s">
        <v>81</v>
      </c>
      <c r="F48" s="148"/>
      <c r="G48" s="135"/>
      <c r="H48" s="135"/>
      <c r="I48" s="135"/>
      <c r="J48" s="135"/>
      <c r="K48" s="136"/>
      <c r="L48" s="137"/>
    </row>
    <row r="49" ht="12.75" customHeight="1">
      <c r="A49" s="135"/>
      <c r="B49" s="135" t="s">
        <v>82</v>
      </c>
      <c r="C49" s="135"/>
      <c r="D49" s="141">
        <v>0.15</v>
      </c>
      <c r="E49" s="162"/>
      <c r="F49" s="148"/>
      <c r="G49" s="135"/>
      <c r="H49" s="135"/>
      <c r="I49" s="135"/>
      <c r="J49" s="135"/>
      <c r="K49" s="136"/>
      <c r="L49" s="137"/>
    </row>
    <row r="50" ht="12.75" customHeight="1">
      <c r="A50" s="135"/>
      <c r="B50" s="135" t="s">
        <v>83</v>
      </c>
      <c r="C50" s="135"/>
      <c r="D50" s="176">
        <v>0.2</v>
      </c>
      <c r="E50" s="163" t="s">
        <v>84</v>
      </c>
      <c r="F50" s="148"/>
      <c r="G50" s="135"/>
      <c r="H50" s="135"/>
      <c r="I50" s="135"/>
      <c r="J50" s="135"/>
      <c r="K50" s="136"/>
      <c r="L50" s="137"/>
    </row>
    <row r="51" ht="12.75" customHeight="1">
      <c r="A51" s="135"/>
      <c r="B51" s="135" t="s">
        <v>85</v>
      </c>
      <c r="C51" s="135"/>
      <c r="D51" s="176">
        <v>0.0</v>
      </c>
      <c r="E51" s="162"/>
      <c r="F51" s="148"/>
      <c r="G51" s="135"/>
      <c r="H51" s="135"/>
      <c r="I51" s="135"/>
      <c r="J51" s="135"/>
      <c r="K51" s="136"/>
      <c r="L51" s="137"/>
    </row>
    <row r="52" ht="12.75" customHeight="1">
      <c r="A52" s="135"/>
      <c r="B52" s="135" t="s">
        <v>86</v>
      </c>
      <c r="C52" s="135"/>
      <c r="D52" s="177">
        <v>2.0</v>
      </c>
      <c r="E52" s="174" t="s">
        <v>87</v>
      </c>
      <c r="F52" s="178"/>
      <c r="G52" s="135"/>
      <c r="H52" s="135"/>
      <c r="I52" s="135"/>
      <c r="J52" s="135"/>
      <c r="K52" s="136"/>
      <c r="L52" s="137"/>
    </row>
    <row r="53" ht="12.75" customHeight="1">
      <c r="A53" s="135"/>
      <c r="B53" s="135"/>
      <c r="C53" s="135"/>
      <c r="D53" s="149"/>
      <c r="E53" s="149"/>
      <c r="F53" s="149"/>
      <c r="G53" s="135"/>
      <c r="H53" s="151"/>
      <c r="I53" s="135"/>
      <c r="J53" s="135"/>
      <c r="K53" s="136"/>
      <c r="L53" s="137"/>
    </row>
    <row r="54" ht="12.75" customHeight="1">
      <c r="A54" s="142" t="s">
        <v>88</v>
      </c>
      <c r="B54" s="143"/>
      <c r="C54" s="143"/>
      <c r="D54" s="145"/>
      <c r="E54" s="145"/>
      <c r="F54" s="143"/>
      <c r="G54" s="143"/>
      <c r="H54" s="179"/>
      <c r="I54" s="143"/>
      <c r="J54" s="143"/>
      <c r="K54" s="145"/>
      <c r="L54" s="146"/>
    </row>
    <row r="55" ht="12.75" customHeight="1">
      <c r="A55" s="147"/>
      <c r="B55" s="135"/>
      <c r="C55" s="135"/>
      <c r="D55" s="180" t="s">
        <v>89</v>
      </c>
      <c r="E55" s="180" t="s">
        <v>90</v>
      </c>
      <c r="F55" s="180" t="s">
        <v>91</v>
      </c>
      <c r="G55" s="135"/>
      <c r="H55" s="151"/>
      <c r="I55" s="135"/>
      <c r="J55" s="135"/>
      <c r="K55" s="136"/>
      <c r="L55" s="137"/>
    </row>
    <row r="56" ht="12.75" customHeight="1">
      <c r="A56" s="135"/>
      <c r="B56" s="161" t="s">
        <v>19</v>
      </c>
      <c r="C56" s="135"/>
      <c r="D56" s="136"/>
      <c r="E56" s="136"/>
      <c r="F56" s="135"/>
      <c r="G56" s="135"/>
      <c r="H56" s="151"/>
      <c r="I56" s="135"/>
      <c r="J56" s="135"/>
      <c r="K56" s="136"/>
      <c r="L56" s="137"/>
    </row>
    <row r="57" ht="15.0" customHeight="1">
      <c r="A57" s="135"/>
      <c r="B57" s="181" t="s">
        <v>92</v>
      </c>
      <c r="C57" s="135"/>
      <c r="D57" s="182">
        <v>200000.0</v>
      </c>
      <c r="E57" s="183">
        <v>0.1</v>
      </c>
      <c r="F57" s="182">
        <v>1.0</v>
      </c>
      <c r="G57" s="135"/>
      <c r="H57" s="135"/>
      <c r="I57" s="135"/>
      <c r="J57" s="135"/>
      <c r="K57" s="136"/>
      <c r="L57" s="137"/>
    </row>
    <row r="58" ht="15.0" customHeight="1">
      <c r="A58" s="135"/>
      <c r="B58" s="181" t="s">
        <v>93</v>
      </c>
      <c r="C58" s="135"/>
      <c r="D58" s="182">
        <v>80000.0</v>
      </c>
      <c r="E58" s="183">
        <v>0.1</v>
      </c>
      <c r="F58" s="182">
        <v>1.0</v>
      </c>
      <c r="G58" s="135"/>
      <c r="H58" s="135"/>
      <c r="I58" s="135"/>
      <c r="J58" s="135"/>
      <c r="K58" s="136"/>
      <c r="L58" s="137"/>
    </row>
    <row r="59" ht="15.0" customHeight="1">
      <c r="A59" s="135"/>
      <c r="B59" s="181" t="s">
        <v>94</v>
      </c>
      <c r="C59" s="135"/>
      <c r="D59" s="182">
        <v>150000.0</v>
      </c>
      <c r="E59" s="183">
        <v>0.1</v>
      </c>
      <c r="F59" s="182">
        <v>1.0</v>
      </c>
      <c r="G59" s="135"/>
      <c r="H59" s="135"/>
      <c r="I59" s="135"/>
      <c r="J59" s="135"/>
      <c r="K59" s="136"/>
      <c r="L59" s="137"/>
    </row>
    <row r="60" ht="15.0" customHeight="1">
      <c r="A60" s="135"/>
      <c r="B60" s="181" t="s">
        <v>95</v>
      </c>
      <c r="C60" s="135"/>
      <c r="D60" s="182">
        <v>80000.0</v>
      </c>
      <c r="E60" s="183">
        <v>0.1</v>
      </c>
      <c r="F60" s="182">
        <v>1.0</v>
      </c>
      <c r="G60" s="135"/>
      <c r="H60" s="135"/>
      <c r="I60" s="135"/>
      <c r="J60" s="135"/>
      <c r="K60" s="136"/>
      <c r="L60" s="137"/>
    </row>
    <row r="61" ht="15.0" customHeight="1">
      <c r="A61" s="135"/>
      <c r="B61" s="181" t="s">
        <v>96</v>
      </c>
      <c r="C61" s="135"/>
      <c r="D61" s="182">
        <v>150000.0</v>
      </c>
      <c r="E61" s="183">
        <v>0.1</v>
      </c>
      <c r="F61" s="182">
        <v>1.0</v>
      </c>
      <c r="G61" s="135"/>
      <c r="H61" s="135"/>
      <c r="I61" s="135"/>
      <c r="J61" s="135"/>
      <c r="K61" s="136"/>
      <c r="L61" s="137"/>
    </row>
    <row r="62" ht="15.0" customHeight="1">
      <c r="A62" s="135"/>
      <c r="B62" s="181" t="s">
        <v>97</v>
      </c>
      <c r="C62" s="135"/>
      <c r="D62" s="182">
        <v>150000.0</v>
      </c>
      <c r="E62" s="183">
        <v>0.1</v>
      </c>
      <c r="F62" s="182">
        <v>1.0</v>
      </c>
      <c r="G62" s="135"/>
      <c r="H62" s="135"/>
      <c r="I62" s="135"/>
      <c r="J62" s="135"/>
      <c r="K62" s="136"/>
      <c r="L62" s="137"/>
    </row>
    <row r="63" ht="15.0" customHeight="1">
      <c r="A63" s="135"/>
      <c r="B63" s="181" t="s">
        <v>98</v>
      </c>
      <c r="C63" s="135"/>
      <c r="D63" s="182"/>
      <c r="E63" s="183"/>
      <c r="F63" s="182"/>
      <c r="G63" s="135"/>
      <c r="H63" s="135"/>
      <c r="I63" s="135"/>
      <c r="J63" s="135"/>
      <c r="K63" s="136"/>
      <c r="L63" s="137"/>
    </row>
    <row r="64" ht="15.0" customHeight="1">
      <c r="A64" s="135"/>
      <c r="B64" s="181" t="s">
        <v>98</v>
      </c>
      <c r="C64" s="135"/>
      <c r="D64" s="182"/>
      <c r="E64" s="183"/>
      <c r="F64" s="182"/>
      <c r="G64" s="135"/>
      <c r="H64" s="135"/>
      <c r="I64" s="135"/>
      <c r="J64" s="135"/>
      <c r="K64" s="136"/>
      <c r="L64" s="137"/>
    </row>
    <row r="65" ht="15.0" customHeight="1">
      <c r="A65" s="135"/>
      <c r="B65" s="181" t="s">
        <v>98</v>
      </c>
      <c r="C65" s="135"/>
      <c r="D65" s="182"/>
      <c r="E65" s="183"/>
      <c r="F65" s="182"/>
      <c r="G65" s="135"/>
      <c r="H65" s="135"/>
      <c r="I65" s="135"/>
      <c r="J65" s="135"/>
      <c r="K65" s="136"/>
      <c r="L65" s="137"/>
    </row>
    <row r="66" ht="15.0" customHeight="1">
      <c r="A66" s="135"/>
      <c r="B66" s="181" t="s">
        <v>98</v>
      </c>
      <c r="C66" s="135"/>
      <c r="D66" s="182"/>
      <c r="E66" s="183"/>
      <c r="F66" s="182"/>
      <c r="G66" s="135"/>
      <c r="H66" s="135"/>
      <c r="I66" s="135"/>
      <c r="J66" s="135"/>
      <c r="K66" s="136"/>
      <c r="L66" s="137"/>
    </row>
    <row r="67" ht="15.0" customHeight="1">
      <c r="A67" s="135"/>
      <c r="B67" s="181" t="s">
        <v>98</v>
      </c>
      <c r="C67" s="135"/>
      <c r="D67" s="182"/>
      <c r="E67" s="183"/>
      <c r="F67" s="182"/>
      <c r="G67" s="135"/>
      <c r="H67" s="135"/>
      <c r="I67" s="135"/>
      <c r="J67" s="135"/>
      <c r="K67" s="136"/>
      <c r="L67" s="137"/>
    </row>
    <row r="68" ht="15.0" customHeight="1">
      <c r="A68" s="135"/>
      <c r="B68" s="181" t="s">
        <v>98</v>
      </c>
      <c r="C68" s="135"/>
      <c r="D68" s="182"/>
      <c r="E68" s="183"/>
      <c r="F68" s="182"/>
      <c r="G68" s="135"/>
      <c r="H68" s="135"/>
      <c r="I68" s="135"/>
      <c r="J68" s="135"/>
      <c r="K68" s="136"/>
      <c r="L68" s="137"/>
    </row>
    <row r="69" ht="15.0" customHeight="1">
      <c r="A69" s="135"/>
      <c r="B69" s="135"/>
      <c r="C69" s="135"/>
      <c r="D69" s="149"/>
      <c r="E69" s="149"/>
      <c r="F69" s="135"/>
      <c r="G69" s="135"/>
      <c r="H69" s="151"/>
      <c r="I69" s="135"/>
      <c r="J69" s="135"/>
      <c r="K69" s="136"/>
      <c r="L69" s="137"/>
    </row>
    <row r="70" ht="15.0" customHeight="1">
      <c r="A70" s="135"/>
      <c r="B70" s="161" t="s">
        <v>20</v>
      </c>
      <c r="C70" s="135"/>
      <c r="D70" s="149"/>
      <c r="E70" s="149"/>
      <c r="F70" s="135"/>
      <c r="G70" s="135"/>
      <c r="H70" s="151"/>
      <c r="I70" s="135"/>
      <c r="J70" s="135"/>
      <c r="K70" s="136"/>
      <c r="L70" s="137"/>
    </row>
    <row r="71" ht="15.0" customHeight="1">
      <c r="A71" s="135"/>
      <c r="B71" s="181" t="s">
        <v>99</v>
      </c>
      <c r="C71" s="135"/>
      <c r="D71" s="182">
        <v>200000.0</v>
      </c>
      <c r="E71" s="183">
        <v>0.1</v>
      </c>
      <c r="F71" s="182"/>
      <c r="G71" s="135"/>
      <c r="H71" s="151"/>
      <c r="I71" s="135"/>
      <c r="J71" s="135"/>
      <c r="K71" s="136"/>
      <c r="L71" s="137"/>
    </row>
    <row r="72" ht="15.0" customHeight="1">
      <c r="A72" s="135"/>
      <c r="B72" s="181" t="s">
        <v>100</v>
      </c>
      <c r="C72" s="135"/>
      <c r="D72" s="182">
        <v>150000.0</v>
      </c>
      <c r="E72" s="183">
        <v>0.1</v>
      </c>
      <c r="F72" s="182"/>
      <c r="G72" s="135"/>
      <c r="H72" s="151"/>
      <c r="I72" s="135"/>
      <c r="J72" s="135"/>
      <c r="K72" s="136"/>
      <c r="L72" s="137"/>
    </row>
    <row r="73" ht="15.0" customHeight="1">
      <c r="A73" s="135"/>
      <c r="B73" s="181" t="s">
        <v>101</v>
      </c>
      <c r="C73" s="135"/>
      <c r="D73" s="182">
        <v>150000.0</v>
      </c>
      <c r="E73" s="183">
        <v>0.1</v>
      </c>
      <c r="F73" s="182"/>
      <c r="G73" s="135"/>
      <c r="H73" s="151"/>
      <c r="I73" s="135"/>
      <c r="J73" s="135"/>
      <c r="K73" s="136"/>
      <c r="L73" s="137"/>
    </row>
    <row r="74" ht="15.0" customHeight="1">
      <c r="A74" s="135"/>
      <c r="B74" s="181" t="s">
        <v>102</v>
      </c>
      <c r="C74" s="135"/>
      <c r="D74" s="182">
        <v>150000.0</v>
      </c>
      <c r="E74" s="183">
        <v>0.1</v>
      </c>
      <c r="F74" s="182"/>
      <c r="G74" s="135"/>
      <c r="H74" s="151"/>
      <c r="I74" s="135"/>
      <c r="J74" s="135"/>
      <c r="K74" s="136"/>
      <c r="L74" s="137"/>
    </row>
    <row r="75" ht="15.0" customHeight="1">
      <c r="A75" s="135"/>
      <c r="B75" s="181" t="s">
        <v>103</v>
      </c>
      <c r="C75" s="135"/>
      <c r="D75" s="182">
        <v>150000.0</v>
      </c>
      <c r="E75" s="183">
        <v>0.1</v>
      </c>
      <c r="F75" s="182"/>
      <c r="G75" s="135"/>
      <c r="H75" s="151"/>
      <c r="I75" s="135"/>
      <c r="J75" s="135"/>
      <c r="K75" s="136"/>
      <c r="L75" s="137"/>
    </row>
    <row r="76" ht="15.0" customHeight="1">
      <c r="A76" s="135"/>
      <c r="B76" s="181" t="s">
        <v>104</v>
      </c>
      <c r="C76" s="135"/>
      <c r="D76" s="182">
        <v>150000.0</v>
      </c>
      <c r="E76" s="183">
        <v>0.1</v>
      </c>
      <c r="F76" s="182"/>
      <c r="G76" s="135"/>
      <c r="H76" s="151"/>
      <c r="I76" s="135"/>
      <c r="J76" s="135"/>
      <c r="K76" s="136"/>
      <c r="L76" s="137"/>
    </row>
    <row r="77" ht="15.0" customHeight="1">
      <c r="A77" s="135"/>
      <c r="B77" s="181" t="s">
        <v>98</v>
      </c>
      <c r="C77" s="135"/>
      <c r="D77" s="182"/>
      <c r="E77" s="183"/>
      <c r="F77" s="182"/>
      <c r="G77" s="135"/>
      <c r="H77" s="151"/>
      <c r="I77" s="135"/>
      <c r="J77" s="135"/>
      <c r="K77" s="136"/>
      <c r="L77" s="137"/>
    </row>
    <row r="78" ht="15.0" customHeight="1">
      <c r="A78" s="135"/>
      <c r="B78" s="181" t="s">
        <v>98</v>
      </c>
      <c r="C78" s="135"/>
      <c r="D78" s="182"/>
      <c r="E78" s="183"/>
      <c r="F78" s="182"/>
      <c r="G78" s="135"/>
      <c r="H78" s="151"/>
      <c r="I78" s="135"/>
      <c r="J78" s="135"/>
      <c r="K78" s="136"/>
      <c r="L78" s="137"/>
    </row>
    <row r="79" ht="15.0" customHeight="1">
      <c r="A79" s="135"/>
      <c r="B79" s="181" t="s">
        <v>98</v>
      </c>
      <c r="C79" s="135"/>
      <c r="D79" s="182"/>
      <c r="E79" s="183"/>
      <c r="F79" s="182"/>
      <c r="G79" s="135"/>
      <c r="H79" s="151"/>
      <c r="I79" s="135"/>
      <c r="J79" s="135"/>
      <c r="K79" s="136"/>
      <c r="L79" s="137"/>
    </row>
    <row r="80" ht="15.0" customHeight="1">
      <c r="A80" s="135"/>
      <c r="B80" s="181" t="s">
        <v>98</v>
      </c>
      <c r="C80" s="135"/>
      <c r="D80" s="182"/>
      <c r="E80" s="183"/>
      <c r="F80" s="182"/>
      <c r="G80" s="135"/>
      <c r="H80" s="151"/>
      <c r="I80" s="135"/>
      <c r="J80" s="135"/>
      <c r="K80" s="136"/>
      <c r="L80" s="137"/>
    </row>
    <row r="81" ht="15.0" customHeight="1">
      <c r="A81" s="135"/>
      <c r="B81" s="181" t="s">
        <v>98</v>
      </c>
      <c r="C81" s="135"/>
      <c r="D81" s="182"/>
      <c r="E81" s="183"/>
      <c r="F81" s="182"/>
      <c r="G81" s="135"/>
      <c r="H81" s="151"/>
      <c r="I81" s="135"/>
      <c r="J81" s="135"/>
      <c r="K81" s="136"/>
      <c r="L81" s="137"/>
    </row>
    <row r="82" ht="15.0" customHeight="1">
      <c r="A82" s="135"/>
      <c r="B82" s="181" t="s">
        <v>98</v>
      </c>
      <c r="C82" s="135"/>
      <c r="D82" s="182"/>
      <c r="E82" s="183"/>
      <c r="F82" s="182"/>
      <c r="G82" s="135"/>
      <c r="H82" s="151"/>
      <c r="I82" s="135"/>
      <c r="J82" s="135"/>
      <c r="K82" s="136"/>
      <c r="L82" s="137"/>
    </row>
    <row r="83" ht="15.0" customHeight="1">
      <c r="A83" s="135"/>
      <c r="B83" s="135"/>
      <c r="C83" s="135"/>
      <c r="D83" s="149"/>
      <c r="E83" s="149"/>
      <c r="F83" s="135"/>
      <c r="G83" s="135"/>
      <c r="H83" s="151"/>
      <c r="I83" s="135"/>
      <c r="J83" s="135"/>
      <c r="K83" s="136"/>
      <c r="L83" s="137"/>
    </row>
    <row r="84" ht="15.0" customHeight="1">
      <c r="A84" s="135"/>
      <c r="B84" s="161" t="s">
        <v>105</v>
      </c>
      <c r="C84" s="135"/>
      <c r="D84" s="149"/>
      <c r="E84" s="149"/>
      <c r="F84" s="135"/>
      <c r="G84" s="135"/>
      <c r="H84" s="151"/>
      <c r="I84" s="135"/>
      <c r="J84" s="135"/>
      <c r="K84" s="136"/>
      <c r="L84" s="137"/>
    </row>
    <row r="85" ht="15.0" customHeight="1">
      <c r="A85" s="135"/>
      <c r="B85" s="181" t="s">
        <v>106</v>
      </c>
      <c r="C85" s="161"/>
      <c r="D85" s="182">
        <v>200000.0</v>
      </c>
      <c r="E85" s="183">
        <v>0.1</v>
      </c>
      <c r="F85" s="182"/>
      <c r="G85" s="135"/>
      <c r="H85" s="151"/>
      <c r="I85" s="135"/>
      <c r="J85" s="135"/>
      <c r="K85" s="136"/>
      <c r="L85" s="137"/>
    </row>
    <row r="86" ht="15.0" customHeight="1">
      <c r="A86" s="135"/>
      <c r="B86" s="181" t="s">
        <v>107</v>
      </c>
      <c r="C86" s="161"/>
      <c r="D86" s="182">
        <v>200000.0</v>
      </c>
      <c r="E86" s="183">
        <v>0.1</v>
      </c>
      <c r="F86" s="182"/>
      <c r="G86" s="135"/>
      <c r="H86" s="151"/>
      <c r="I86" s="135"/>
      <c r="J86" s="135"/>
      <c r="K86" s="136"/>
      <c r="L86" s="137"/>
    </row>
    <row r="87" ht="15.0" customHeight="1">
      <c r="A87" s="135"/>
      <c r="B87" s="181" t="s">
        <v>108</v>
      </c>
      <c r="C87" s="161"/>
      <c r="D87" s="182">
        <v>150000.0</v>
      </c>
      <c r="E87" s="183">
        <v>0.1</v>
      </c>
      <c r="F87" s="182"/>
      <c r="G87" s="135"/>
      <c r="H87" s="151"/>
      <c r="I87" s="135"/>
      <c r="J87" s="135"/>
      <c r="K87" s="136"/>
      <c r="L87" s="137"/>
    </row>
    <row r="88" ht="15.0" customHeight="1">
      <c r="A88" s="135"/>
      <c r="B88" s="181" t="s">
        <v>109</v>
      </c>
      <c r="C88" s="161"/>
      <c r="D88" s="182">
        <v>150000.0</v>
      </c>
      <c r="E88" s="183">
        <v>0.1</v>
      </c>
      <c r="F88" s="182"/>
      <c r="G88" s="135"/>
      <c r="H88" s="151"/>
      <c r="I88" s="135"/>
      <c r="J88" s="135"/>
      <c r="K88" s="136"/>
      <c r="L88" s="137"/>
    </row>
    <row r="89" ht="15.0" customHeight="1">
      <c r="A89" s="135"/>
      <c r="B89" s="181" t="s">
        <v>110</v>
      </c>
      <c r="C89" s="161"/>
      <c r="D89" s="182">
        <v>150000.0</v>
      </c>
      <c r="E89" s="183">
        <v>0.1</v>
      </c>
      <c r="F89" s="182"/>
      <c r="G89" s="135"/>
      <c r="H89" s="151"/>
      <c r="I89" s="135"/>
      <c r="J89" s="135"/>
      <c r="K89" s="136"/>
      <c r="L89" s="137"/>
    </row>
    <row r="90" ht="15.0" customHeight="1">
      <c r="A90" s="135"/>
      <c r="B90" s="181" t="s">
        <v>111</v>
      </c>
      <c r="C90" s="161"/>
      <c r="D90" s="182">
        <v>150000.0</v>
      </c>
      <c r="E90" s="183">
        <v>0.1</v>
      </c>
      <c r="F90" s="182"/>
      <c r="G90" s="135"/>
      <c r="H90" s="151"/>
      <c r="I90" s="135"/>
      <c r="J90" s="135"/>
      <c r="K90" s="136"/>
      <c r="L90" s="137"/>
    </row>
    <row r="91" ht="15.0" customHeight="1">
      <c r="A91" s="135"/>
      <c r="B91" s="181" t="s">
        <v>112</v>
      </c>
      <c r="C91" s="161"/>
      <c r="D91" s="182">
        <v>150000.0</v>
      </c>
      <c r="E91" s="183">
        <v>0.1</v>
      </c>
      <c r="F91" s="182"/>
      <c r="G91" s="135"/>
      <c r="H91" s="151"/>
      <c r="I91" s="135"/>
      <c r="J91" s="135"/>
      <c r="K91" s="136"/>
      <c r="L91" s="137"/>
    </row>
    <row r="92" ht="15.0" customHeight="1">
      <c r="A92" s="135"/>
      <c r="B92" s="181" t="s">
        <v>113</v>
      </c>
      <c r="C92" s="161"/>
      <c r="D92" s="182">
        <v>150000.0</v>
      </c>
      <c r="E92" s="183">
        <v>0.1</v>
      </c>
      <c r="F92" s="182"/>
      <c r="G92" s="135"/>
      <c r="H92" s="151"/>
      <c r="I92" s="135"/>
      <c r="J92" s="135"/>
      <c r="K92" s="136"/>
      <c r="L92" s="137"/>
    </row>
    <row r="93" ht="15.0" customHeight="1">
      <c r="A93" s="135"/>
      <c r="B93" s="181" t="s">
        <v>114</v>
      </c>
      <c r="C93" s="161"/>
      <c r="D93" s="182">
        <v>150000.0</v>
      </c>
      <c r="E93" s="183">
        <v>0.1</v>
      </c>
      <c r="F93" s="182"/>
      <c r="G93" s="135"/>
      <c r="H93" s="151"/>
      <c r="I93" s="135"/>
      <c r="J93" s="135"/>
      <c r="K93" s="136"/>
      <c r="L93" s="137"/>
    </row>
    <row r="94" ht="15.0" customHeight="1">
      <c r="A94" s="135"/>
      <c r="B94" s="181" t="s">
        <v>115</v>
      </c>
      <c r="C94" s="161"/>
      <c r="D94" s="182">
        <v>150000.0</v>
      </c>
      <c r="E94" s="183">
        <v>0.1</v>
      </c>
      <c r="F94" s="182"/>
      <c r="G94" s="135"/>
      <c r="H94" s="151"/>
      <c r="I94" s="135"/>
      <c r="J94" s="135"/>
      <c r="K94" s="136"/>
      <c r="L94" s="137"/>
    </row>
    <row r="95" ht="15.0" customHeight="1">
      <c r="A95" s="135"/>
      <c r="B95" s="181" t="s">
        <v>116</v>
      </c>
      <c r="C95" s="161"/>
      <c r="D95" s="182">
        <v>150000.0</v>
      </c>
      <c r="E95" s="183">
        <v>0.1</v>
      </c>
      <c r="F95" s="182"/>
      <c r="G95" s="135"/>
      <c r="H95" s="151"/>
      <c r="I95" s="135"/>
      <c r="J95" s="135"/>
      <c r="K95" s="136"/>
      <c r="L95" s="137"/>
    </row>
    <row r="96" ht="15.0" customHeight="1">
      <c r="A96" s="135"/>
      <c r="B96" s="181" t="s">
        <v>117</v>
      </c>
      <c r="C96" s="161"/>
      <c r="D96" s="182">
        <v>150000.0</v>
      </c>
      <c r="E96" s="183">
        <v>0.1</v>
      </c>
      <c r="F96" s="182"/>
      <c r="G96" s="135"/>
      <c r="H96" s="151"/>
      <c r="I96" s="135"/>
      <c r="J96" s="135"/>
      <c r="K96" s="136"/>
      <c r="L96" s="137"/>
    </row>
    <row r="97" ht="15.0" customHeight="1">
      <c r="A97" s="135"/>
      <c r="B97" s="181" t="s">
        <v>118</v>
      </c>
      <c r="C97" s="161"/>
      <c r="D97" s="182">
        <v>150000.0</v>
      </c>
      <c r="E97" s="183">
        <v>0.1</v>
      </c>
      <c r="F97" s="182"/>
      <c r="G97" s="135"/>
      <c r="H97" s="151"/>
      <c r="I97" s="135"/>
      <c r="J97" s="135"/>
      <c r="K97" s="136"/>
      <c r="L97" s="137"/>
    </row>
    <row r="98" ht="15.0" customHeight="1">
      <c r="A98" s="135"/>
      <c r="B98" s="181" t="s">
        <v>119</v>
      </c>
      <c r="C98" s="161"/>
      <c r="D98" s="182">
        <v>150000.0</v>
      </c>
      <c r="E98" s="183">
        <v>0.1</v>
      </c>
      <c r="F98" s="182"/>
      <c r="G98" s="135"/>
      <c r="H98" s="151"/>
      <c r="I98" s="135"/>
      <c r="J98" s="135"/>
      <c r="K98" s="136"/>
      <c r="L98" s="137"/>
    </row>
    <row r="99" ht="15.0" customHeight="1">
      <c r="A99" s="135"/>
      <c r="B99" s="181" t="s">
        <v>120</v>
      </c>
      <c r="C99" s="161"/>
      <c r="D99" s="182">
        <v>150000.0</v>
      </c>
      <c r="E99" s="183">
        <v>0.1</v>
      </c>
      <c r="F99" s="182"/>
      <c r="G99" s="135"/>
      <c r="H99" s="151"/>
      <c r="I99" s="135"/>
      <c r="J99" s="135"/>
      <c r="K99" s="136"/>
      <c r="L99" s="137"/>
    </row>
    <row r="100" ht="15.0" customHeight="1">
      <c r="A100" s="135"/>
      <c r="B100" s="181" t="s">
        <v>121</v>
      </c>
      <c r="C100" s="161"/>
      <c r="D100" s="182">
        <v>150000.0</v>
      </c>
      <c r="E100" s="183">
        <v>0.1</v>
      </c>
      <c r="F100" s="182"/>
      <c r="G100" s="135"/>
      <c r="H100" s="151"/>
      <c r="I100" s="135"/>
      <c r="J100" s="135"/>
      <c r="K100" s="136"/>
      <c r="L100" s="137"/>
    </row>
    <row r="101" ht="15.0" customHeight="1">
      <c r="A101" s="135"/>
      <c r="B101" s="181" t="s">
        <v>122</v>
      </c>
      <c r="C101" s="161"/>
      <c r="D101" s="182">
        <v>150000.0</v>
      </c>
      <c r="E101" s="183">
        <v>0.1</v>
      </c>
      <c r="F101" s="182"/>
      <c r="G101" s="135"/>
      <c r="H101" s="151"/>
      <c r="I101" s="135"/>
      <c r="J101" s="135"/>
      <c r="K101" s="136"/>
      <c r="L101" s="137"/>
    </row>
    <row r="102" ht="15.0" customHeight="1">
      <c r="A102" s="135"/>
      <c r="B102" s="181" t="s">
        <v>123</v>
      </c>
      <c r="C102" s="161"/>
      <c r="D102" s="182">
        <v>150000.0</v>
      </c>
      <c r="E102" s="183">
        <v>0.1</v>
      </c>
      <c r="F102" s="182"/>
      <c r="G102" s="135"/>
      <c r="H102" s="151"/>
      <c r="I102" s="135"/>
      <c r="J102" s="135"/>
      <c r="K102" s="136"/>
      <c r="L102" s="137"/>
    </row>
    <row r="103" ht="15.0" customHeight="1">
      <c r="A103" s="135"/>
      <c r="B103" s="181" t="s">
        <v>124</v>
      </c>
      <c r="C103" s="161"/>
      <c r="D103" s="182">
        <v>150000.0</v>
      </c>
      <c r="E103" s="183">
        <v>0.1</v>
      </c>
      <c r="F103" s="182"/>
      <c r="G103" s="135"/>
      <c r="H103" s="151"/>
      <c r="I103" s="135"/>
      <c r="J103" s="135"/>
      <c r="K103" s="136"/>
      <c r="L103" s="137"/>
    </row>
    <row r="104" ht="15.0" customHeight="1">
      <c r="A104" s="135"/>
      <c r="B104" s="181" t="s">
        <v>98</v>
      </c>
      <c r="C104" s="161"/>
      <c r="D104" s="182"/>
      <c r="E104" s="183"/>
      <c r="F104" s="182"/>
      <c r="G104" s="135"/>
      <c r="H104" s="151"/>
      <c r="I104" s="135"/>
      <c r="J104" s="135"/>
      <c r="K104" s="136"/>
      <c r="L104" s="137"/>
    </row>
    <row r="105" ht="15.0" customHeight="1">
      <c r="A105" s="135"/>
      <c r="B105" s="181" t="s">
        <v>98</v>
      </c>
      <c r="C105" s="161"/>
      <c r="D105" s="182"/>
      <c r="E105" s="183"/>
      <c r="F105" s="182"/>
      <c r="G105" s="135"/>
      <c r="H105" s="151"/>
      <c r="I105" s="135"/>
      <c r="J105" s="135"/>
      <c r="K105" s="136"/>
      <c r="L105" s="137"/>
    </row>
    <row r="106" ht="15.0" customHeight="1">
      <c r="A106" s="135"/>
      <c r="B106" s="181" t="s">
        <v>98</v>
      </c>
      <c r="C106" s="161"/>
      <c r="D106" s="182"/>
      <c r="E106" s="183"/>
      <c r="F106" s="182"/>
      <c r="G106" s="135"/>
      <c r="H106" s="151"/>
      <c r="I106" s="135"/>
      <c r="J106" s="135"/>
      <c r="K106" s="136"/>
      <c r="L106" s="137"/>
    </row>
    <row r="107" ht="15.0" customHeight="1">
      <c r="A107" s="135"/>
      <c r="B107" s="181" t="s">
        <v>98</v>
      </c>
      <c r="C107" s="161"/>
      <c r="D107" s="182"/>
      <c r="E107" s="183"/>
      <c r="F107" s="182"/>
      <c r="G107" s="135"/>
      <c r="H107" s="151"/>
      <c r="I107" s="135"/>
      <c r="J107" s="135"/>
      <c r="K107" s="136"/>
      <c r="L107" s="137"/>
    </row>
    <row r="108" ht="15.0" customHeight="1">
      <c r="A108" s="135"/>
      <c r="B108" s="181" t="s">
        <v>98</v>
      </c>
      <c r="C108" s="161"/>
      <c r="D108" s="182"/>
      <c r="E108" s="183"/>
      <c r="F108" s="182"/>
      <c r="G108" s="135"/>
      <c r="H108" s="151"/>
      <c r="I108" s="135"/>
      <c r="J108" s="135"/>
      <c r="K108" s="136"/>
      <c r="L108" s="137"/>
    </row>
    <row r="109" ht="15.0" customHeight="1">
      <c r="A109" s="135"/>
      <c r="B109" s="181" t="s">
        <v>98</v>
      </c>
      <c r="C109" s="161"/>
      <c r="D109" s="182"/>
      <c r="E109" s="183"/>
      <c r="F109" s="182"/>
      <c r="G109" s="135"/>
      <c r="H109" s="151"/>
      <c r="I109" s="135"/>
      <c r="J109" s="135"/>
      <c r="K109" s="136"/>
      <c r="L109" s="137"/>
    </row>
    <row r="110" ht="12.75" customHeight="1">
      <c r="A110" s="135"/>
      <c r="B110" s="161"/>
      <c r="C110" s="161"/>
      <c r="D110" s="161"/>
      <c r="E110" s="161"/>
      <c r="F110" s="135"/>
      <c r="G110" s="135"/>
      <c r="H110" s="151"/>
      <c r="I110" s="135"/>
      <c r="J110" s="135"/>
      <c r="K110" s="136"/>
      <c r="L110" s="137"/>
    </row>
    <row r="111" ht="15.0" customHeight="1">
      <c r="A111" s="135"/>
      <c r="B111" s="161" t="s">
        <v>125</v>
      </c>
      <c r="C111" s="135"/>
      <c r="D111" s="149"/>
      <c r="E111" s="149"/>
      <c r="F111" s="135"/>
      <c r="G111" s="135"/>
      <c r="H111" s="151"/>
      <c r="I111" s="135"/>
      <c r="J111" s="135"/>
      <c r="K111" s="136"/>
      <c r="L111" s="137"/>
    </row>
    <row r="112" ht="15.0" customHeight="1">
      <c r="A112" s="135"/>
      <c r="B112" s="181" t="s">
        <v>126</v>
      </c>
      <c r="C112" s="161"/>
      <c r="D112" s="182">
        <v>200000.0</v>
      </c>
      <c r="E112" s="183">
        <v>0.1</v>
      </c>
      <c r="F112" s="182"/>
      <c r="G112" s="135"/>
      <c r="H112" s="151"/>
      <c r="I112" s="135"/>
      <c r="J112" s="135"/>
      <c r="K112" s="136"/>
      <c r="L112" s="137"/>
    </row>
    <row r="113" ht="15.0" customHeight="1">
      <c r="A113" s="135"/>
      <c r="B113" s="181" t="s">
        <v>127</v>
      </c>
      <c r="C113" s="161"/>
      <c r="D113" s="182">
        <v>150000.0</v>
      </c>
      <c r="E113" s="183">
        <v>0.1</v>
      </c>
      <c r="F113" s="182"/>
      <c r="G113" s="135"/>
      <c r="H113" s="151"/>
      <c r="I113" s="135"/>
      <c r="J113" s="135"/>
      <c r="K113" s="136"/>
      <c r="L113" s="137"/>
    </row>
    <row r="114" ht="15.0" customHeight="1">
      <c r="A114" s="135"/>
      <c r="B114" s="181" t="s">
        <v>128</v>
      </c>
      <c r="C114" s="161"/>
      <c r="D114" s="182">
        <v>150000.0</v>
      </c>
      <c r="E114" s="183">
        <v>0.1</v>
      </c>
      <c r="F114" s="182"/>
      <c r="G114" s="135"/>
      <c r="H114" s="151"/>
      <c r="I114" s="135"/>
      <c r="J114" s="135"/>
      <c r="K114" s="136"/>
      <c r="L114" s="137"/>
    </row>
    <row r="115" ht="15.0" customHeight="1">
      <c r="A115" s="135"/>
      <c r="B115" s="181" t="s">
        <v>98</v>
      </c>
      <c r="C115" s="161"/>
      <c r="D115" s="182"/>
      <c r="E115" s="183"/>
      <c r="F115" s="182"/>
      <c r="G115" s="135"/>
      <c r="H115" s="151"/>
      <c r="I115" s="135"/>
      <c r="J115" s="135"/>
      <c r="K115" s="136"/>
      <c r="L115" s="137"/>
    </row>
    <row r="116" ht="15.0" customHeight="1">
      <c r="A116" s="135"/>
      <c r="B116" s="181" t="s">
        <v>98</v>
      </c>
      <c r="C116" s="161"/>
      <c r="D116" s="182"/>
      <c r="E116" s="183"/>
      <c r="F116" s="182"/>
      <c r="G116" s="135"/>
      <c r="H116" s="151"/>
      <c r="I116" s="135"/>
      <c r="J116" s="135"/>
      <c r="K116" s="136"/>
      <c r="L116" s="137"/>
    </row>
    <row r="117" ht="15.0" customHeight="1">
      <c r="A117" s="135"/>
      <c r="B117" s="181" t="s">
        <v>98</v>
      </c>
      <c r="C117" s="161"/>
      <c r="D117" s="182"/>
      <c r="E117" s="183"/>
      <c r="F117" s="182"/>
      <c r="G117" s="135"/>
      <c r="H117" s="151"/>
      <c r="I117" s="135"/>
      <c r="J117" s="135"/>
      <c r="K117" s="136"/>
      <c r="L117" s="137"/>
    </row>
    <row r="118" ht="15.0" customHeight="1">
      <c r="A118" s="135"/>
      <c r="B118" s="181" t="s">
        <v>98</v>
      </c>
      <c r="C118" s="161"/>
      <c r="D118" s="182"/>
      <c r="E118" s="183"/>
      <c r="F118" s="182"/>
      <c r="G118" s="135"/>
      <c r="H118" s="151"/>
      <c r="I118" s="135"/>
      <c r="J118" s="135"/>
      <c r="K118" s="136"/>
      <c r="L118" s="137"/>
    </row>
    <row r="119" ht="15.0" customHeight="1">
      <c r="A119" s="135"/>
      <c r="B119" s="181" t="s">
        <v>98</v>
      </c>
      <c r="C119" s="161"/>
      <c r="D119" s="182"/>
      <c r="E119" s="183"/>
      <c r="F119" s="182"/>
      <c r="G119" s="135"/>
      <c r="H119" s="151"/>
      <c r="I119" s="135"/>
      <c r="J119" s="135"/>
      <c r="K119" s="136"/>
      <c r="L119" s="137"/>
    </row>
    <row r="120" ht="15.0" customHeight="1">
      <c r="A120" s="135"/>
      <c r="B120" s="181" t="s">
        <v>98</v>
      </c>
      <c r="C120" s="161"/>
      <c r="D120" s="182"/>
      <c r="E120" s="183"/>
      <c r="F120" s="182"/>
      <c r="G120" s="135"/>
      <c r="H120" s="151"/>
      <c r="I120" s="135"/>
      <c r="J120" s="135"/>
      <c r="K120" s="136"/>
      <c r="L120" s="137"/>
    </row>
    <row r="121" ht="15.0" customHeight="1">
      <c r="A121" s="135"/>
      <c r="B121" s="181" t="s">
        <v>98</v>
      </c>
      <c r="C121" s="161"/>
      <c r="D121" s="182"/>
      <c r="E121" s="183"/>
      <c r="F121" s="182"/>
      <c r="G121" s="135"/>
      <c r="H121" s="151"/>
      <c r="I121" s="135"/>
      <c r="J121" s="135"/>
      <c r="K121" s="136"/>
      <c r="L121" s="137"/>
    </row>
    <row r="122" ht="15.0" customHeight="1">
      <c r="A122" s="135"/>
      <c r="B122" s="181" t="s">
        <v>98</v>
      </c>
      <c r="C122" s="161"/>
      <c r="D122" s="182"/>
      <c r="E122" s="183"/>
      <c r="F122" s="182"/>
      <c r="G122" s="135"/>
      <c r="H122" s="151"/>
      <c r="I122" s="135"/>
      <c r="J122" s="135"/>
      <c r="K122" s="136"/>
      <c r="L122" s="137"/>
    </row>
    <row r="123" ht="15.0" customHeight="1">
      <c r="A123" s="135"/>
      <c r="B123" s="181" t="s">
        <v>98</v>
      </c>
      <c r="C123" s="161"/>
      <c r="D123" s="182"/>
      <c r="E123" s="183"/>
      <c r="F123" s="182"/>
      <c r="G123" s="135"/>
      <c r="H123" s="151"/>
      <c r="I123" s="135"/>
      <c r="J123" s="135"/>
      <c r="K123" s="136"/>
      <c r="L123" s="137"/>
    </row>
    <row r="124" ht="12.75" customHeight="1">
      <c r="A124" s="135"/>
      <c r="B124" s="161"/>
      <c r="C124" s="161"/>
      <c r="D124" s="161"/>
      <c r="E124" s="161"/>
      <c r="F124" s="135"/>
      <c r="G124" s="135"/>
      <c r="H124" s="151"/>
      <c r="I124" s="135"/>
      <c r="J124" s="135"/>
      <c r="K124" s="136"/>
      <c r="L124" s="137"/>
    </row>
    <row r="125" ht="12.75" customHeight="1">
      <c r="A125" s="135"/>
      <c r="B125" s="161" t="s">
        <v>21</v>
      </c>
      <c r="C125" s="135"/>
      <c r="D125" s="135"/>
      <c r="E125" s="135"/>
      <c r="F125" s="149"/>
      <c r="G125" s="135"/>
      <c r="H125" s="151"/>
      <c r="I125" s="135"/>
      <c r="J125" s="135"/>
      <c r="K125" s="136"/>
      <c r="L125" s="137"/>
    </row>
    <row r="126" ht="12.75" customHeight="1">
      <c r="A126" s="135"/>
      <c r="B126" s="181" t="s">
        <v>129</v>
      </c>
      <c r="C126" s="161"/>
      <c r="D126" s="182">
        <v>200000.0</v>
      </c>
      <c r="E126" s="183">
        <v>0.1</v>
      </c>
      <c r="F126" s="182"/>
      <c r="G126" s="135"/>
      <c r="H126" s="151"/>
      <c r="I126" s="135"/>
      <c r="J126" s="135"/>
      <c r="K126" s="136"/>
      <c r="L126" s="137"/>
    </row>
    <row r="127" ht="12.75" customHeight="1">
      <c r="A127" s="135"/>
      <c r="B127" s="181" t="s">
        <v>130</v>
      </c>
      <c r="C127" s="161"/>
      <c r="D127" s="182">
        <v>150000.0</v>
      </c>
      <c r="E127" s="183">
        <v>0.1</v>
      </c>
      <c r="F127" s="182"/>
      <c r="G127" s="135"/>
      <c r="H127" s="151"/>
      <c r="I127" s="135"/>
      <c r="J127" s="135"/>
      <c r="K127" s="136"/>
      <c r="L127" s="137"/>
    </row>
    <row r="128" ht="12.75" customHeight="1">
      <c r="A128" s="135"/>
      <c r="B128" s="181" t="s">
        <v>131</v>
      </c>
      <c r="C128" s="161"/>
      <c r="D128" s="182">
        <v>150000.0</v>
      </c>
      <c r="E128" s="183">
        <v>0.1</v>
      </c>
      <c r="F128" s="182"/>
      <c r="G128" s="135"/>
      <c r="H128" s="151"/>
      <c r="I128" s="135"/>
      <c r="J128" s="135"/>
      <c r="K128" s="136"/>
      <c r="L128" s="137"/>
    </row>
    <row r="129" ht="12.75" customHeight="1">
      <c r="A129" s="135"/>
      <c r="B129" s="181" t="s">
        <v>98</v>
      </c>
      <c r="C129" s="161"/>
      <c r="D129" s="182"/>
      <c r="E129" s="183"/>
      <c r="F129" s="182"/>
      <c r="G129" s="135"/>
      <c r="H129" s="151"/>
      <c r="I129" s="135"/>
      <c r="J129" s="135"/>
      <c r="K129" s="136"/>
      <c r="L129" s="137"/>
    </row>
    <row r="130" ht="12.75" customHeight="1">
      <c r="A130" s="135"/>
      <c r="B130" s="181" t="s">
        <v>98</v>
      </c>
      <c r="C130" s="161"/>
      <c r="D130" s="182"/>
      <c r="E130" s="183"/>
      <c r="F130" s="182"/>
      <c r="G130" s="135"/>
      <c r="H130" s="151"/>
      <c r="I130" s="135"/>
      <c r="J130" s="135"/>
      <c r="K130" s="136"/>
      <c r="L130" s="137"/>
    </row>
    <row r="131" ht="12.75" customHeight="1">
      <c r="A131" s="135"/>
      <c r="B131" s="181" t="s">
        <v>98</v>
      </c>
      <c r="C131" s="161"/>
      <c r="D131" s="182"/>
      <c r="E131" s="183"/>
      <c r="F131" s="182"/>
      <c r="G131" s="135"/>
      <c r="H131" s="151"/>
      <c r="I131" s="135"/>
      <c r="J131" s="135"/>
      <c r="K131" s="136"/>
      <c r="L131" s="137"/>
    </row>
    <row r="132" ht="12.75" customHeight="1">
      <c r="A132" s="135"/>
      <c r="B132" s="181" t="s">
        <v>98</v>
      </c>
      <c r="C132" s="161"/>
      <c r="D132" s="182"/>
      <c r="E132" s="183"/>
      <c r="F132" s="182"/>
      <c r="G132" s="135"/>
      <c r="H132" s="151"/>
      <c r="I132" s="135"/>
      <c r="J132" s="135"/>
      <c r="K132" s="136"/>
      <c r="L132" s="137"/>
    </row>
    <row r="133" ht="12.75" customHeight="1">
      <c r="A133" s="135"/>
      <c r="B133" s="181" t="s">
        <v>98</v>
      </c>
      <c r="C133" s="161"/>
      <c r="D133" s="182"/>
      <c r="E133" s="183"/>
      <c r="F133" s="182"/>
      <c r="G133" s="135"/>
      <c r="H133" s="151"/>
      <c r="I133" s="135"/>
      <c r="J133" s="135"/>
      <c r="K133" s="136"/>
      <c r="L133" s="137"/>
    </row>
    <row r="134" ht="12.75" customHeight="1">
      <c r="A134" s="135"/>
      <c r="B134" s="161"/>
      <c r="C134" s="161"/>
      <c r="D134" s="161"/>
      <c r="E134" s="161"/>
      <c r="F134" s="149"/>
      <c r="G134" s="135"/>
      <c r="H134" s="151"/>
      <c r="I134" s="135"/>
      <c r="J134" s="135"/>
      <c r="K134" s="136"/>
      <c r="L134" s="137"/>
    </row>
    <row r="135" ht="12.75" customHeight="1">
      <c r="A135" s="135"/>
      <c r="B135" s="161" t="s">
        <v>132</v>
      </c>
      <c r="C135" s="135"/>
      <c r="D135" s="155"/>
      <c r="E135" s="155"/>
      <c r="F135" s="150"/>
      <c r="G135" s="135"/>
      <c r="H135" s="152"/>
      <c r="I135" s="135"/>
      <c r="J135" s="135"/>
      <c r="K135" s="136"/>
      <c r="L135" s="137"/>
    </row>
    <row r="136" ht="12.75" customHeight="1">
      <c r="A136" s="135"/>
      <c r="B136" s="181" t="s">
        <v>133</v>
      </c>
      <c r="C136" s="135"/>
      <c r="D136" s="182">
        <v>200000.0</v>
      </c>
      <c r="E136" s="183">
        <v>0.0</v>
      </c>
      <c r="F136" s="182">
        <v>1.0</v>
      </c>
      <c r="G136" s="135"/>
      <c r="H136" s="135"/>
      <c r="I136" s="135"/>
      <c r="J136" s="135"/>
      <c r="K136" s="136"/>
      <c r="L136" s="137"/>
    </row>
    <row r="137" ht="12.75" customHeight="1">
      <c r="A137" s="135"/>
      <c r="B137" s="181" t="s">
        <v>134</v>
      </c>
      <c r="C137" s="135"/>
      <c r="D137" s="182">
        <v>200000.0</v>
      </c>
      <c r="E137" s="183">
        <v>0.0</v>
      </c>
      <c r="F137" s="182">
        <v>1.0</v>
      </c>
      <c r="G137" s="135"/>
      <c r="H137" s="135"/>
      <c r="I137" s="135"/>
      <c r="J137" s="135"/>
      <c r="K137" s="136"/>
      <c r="L137" s="137"/>
    </row>
    <row r="138" ht="12.75" customHeight="1">
      <c r="A138" s="135"/>
      <c r="B138" s="181" t="s">
        <v>135</v>
      </c>
      <c r="C138" s="135"/>
      <c r="D138" s="182">
        <v>150000.0</v>
      </c>
      <c r="E138" s="183">
        <v>0.1</v>
      </c>
      <c r="F138" s="182"/>
      <c r="G138" s="135"/>
      <c r="H138" s="135"/>
      <c r="I138" s="135"/>
      <c r="J138" s="135"/>
      <c r="K138" s="136"/>
      <c r="L138" s="137"/>
    </row>
    <row r="139" ht="12.75" customHeight="1">
      <c r="A139" s="135"/>
      <c r="B139" s="181" t="s">
        <v>136</v>
      </c>
      <c r="C139" s="135"/>
      <c r="D139" s="182">
        <v>150000.0</v>
      </c>
      <c r="E139" s="183">
        <v>0.1</v>
      </c>
      <c r="F139" s="182"/>
      <c r="G139" s="135"/>
      <c r="H139" s="152"/>
      <c r="I139" s="135"/>
      <c r="J139" s="135"/>
      <c r="K139" s="136"/>
      <c r="L139" s="137"/>
    </row>
    <row r="140" ht="12.75" customHeight="1">
      <c r="A140" s="135"/>
      <c r="B140" s="181" t="s">
        <v>137</v>
      </c>
      <c r="C140" s="135"/>
      <c r="D140" s="182">
        <v>150000.0</v>
      </c>
      <c r="E140" s="183">
        <v>0.1</v>
      </c>
      <c r="F140" s="182"/>
      <c r="G140" s="135"/>
      <c r="H140" s="152"/>
      <c r="I140" s="135"/>
      <c r="J140" s="135"/>
      <c r="K140" s="136"/>
      <c r="L140" s="137"/>
    </row>
    <row r="141" ht="12.75" customHeight="1">
      <c r="A141" s="135"/>
      <c r="B141" s="181" t="s">
        <v>98</v>
      </c>
      <c r="C141" s="135"/>
      <c r="D141" s="182"/>
      <c r="E141" s="183"/>
      <c r="F141" s="182"/>
      <c r="G141" s="135"/>
      <c r="H141" s="152"/>
      <c r="I141" s="135"/>
      <c r="J141" s="135"/>
      <c r="K141" s="136"/>
      <c r="L141" s="137"/>
    </row>
    <row r="142" ht="12.75" customHeight="1">
      <c r="A142" s="135"/>
      <c r="B142" s="181" t="s">
        <v>98</v>
      </c>
      <c r="C142" s="135"/>
      <c r="D142" s="182"/>
      <c r="E142" s="183"/>
      <c r="F142" s="182"/>
      <c r="G142" s="135"/>
      <c r="H142" s="152"/>
      <c r="I142" s="135"/>
      <c r="J142" s="135"/>
      <c r="K142" s="136"/>
      <c r="L142" s="137"/>
    </row>
    <row r="143" ht="12.75" customHeight="1">
      <c r="A143" s="135"/>
      <c r="B143" s="181" t="s">
        <v>98</v>
      </c>
      <c r="C143" s="135"/>
      <c r="D143" s="182"/>
      <c r="E143" s="183"/>
      <c r="F143" s="182"/>
      <c r="G143" s="135"/>
      <c r="H143" s="152"/>
      <c r="I143" s="135"/>
      <c r="J143" s="135"/>
      <c r="K143" s="136"/>
      <c r="L143" s="137"/>
    </row>
    <row r="144" ht="12.75" customHeight="1">
      <c r="A144" s="135"/>
      <c r="B144" s="181" t="s">
        <v>98</v>
      </c>
      <c r="C144" s="135"/>
      <c r="D144" s="182"/>
      <c r="E144" s="183"/>
      <c r="F144" s="182"/>
      <c r="G144" s="135"/>
      <c r="H144" s="152"/>
      <c r="I144" s="135"/>
      <c r="J144" s="135"/>
      <c r="K144" s="136"/>
      <c r="L144" s="137"/>
    </row>
    <row r="145" ht="12.75" customHeight="1">
      <c r="A145" s="135"/>
      <c r="B145" s="181" t="s">
        <v>98</v>
      </c>
      <c r="C145" s="135"/>
      <c r="D145" s="182"/>
      <c r="E145" s="183"/>
      <c r="F145" s="182"/>
      <c r="G145" s="135"/>
      <c r="H145" s="135"/>
      <c r="I145" s="135"/>
      <c r="J145" s="135"/>
      <c r="K145" s="136"/>
      <c r="L145" s="137"/>
    </row>
    <row r="146" ht="12.75" customHeight="1">
      <c r="A146" s="135"/>
      <c r="B146" s="135"/>
      <c r="C146" s="135"/>
      <c r="D146" s="135"/>
      <c r="E146" s="135"/>
      <c r="F146" s="135"/>
      <c r="G146" s="135"/>
      <c r="H146" s="135"/>
      <c r="I146" s="135"/>
      <c r="J146" s="135"/>
      <c r="K146" s="136"/>
      <c r="L146" s="137"/>
    </row>
    <row r="147" ht="12.75" customHeight="1">
      <c r="A147" s="135"/>
      <c r="B147" s="135"/>
      <c r="C147" s="135"/>
      <c r="D147" s="135"/>
      <c r="E147" s="135"/>
      <c r="F147" s="135"/>
      <c r="G147" s="135"/>
      <c r="H147" s="135"/>
      <c r="I147" s="135"/>
      <c r="J147" s="135"/>
      <c r="K147" s="136"/>
      <c r="L147" s="137"/>
    </row>
    <row r="148" ht="12.75" customHeight="1">
      <c r="A148" s="142" t="s">
        <v>138</v>
      </c>
      <c r="B148" s="143"/>
      <c r="C148" s="143"/>
      <c r="D148" s="143"/>
      <c r="E148" s="143"/>
      <c r="F148" s="143"/>
      <c r="G148" s="143"/>
      <c r="H148" s="143"/>
      <c r="I148" s="143"/>
      <c r="J148" s="143"/>
      <c r="K148" s="145"/>
      <c r="L148" s="146"/>
    </row>
    <row r="149" ht="12.75" customHeight="1">
      <c r="A149" s="161" t="s">
        <v>139</v>
      </c>
      <c r="B149" s="135"/>
      <c r="C149" s="135"/>
      <c r="D149" s="135"/>
      <c r="E149" s="135"/>
      <c r="F149" s="180" t="s">
        <v>140</v>
      </c>
      <c r="G149" s="135"/>
      <c r="H149" s="135"/>
      <c r="I149" s="135"/>
      <c r="J149" s="135"/>
      <c r="K149" s="136"/>
      <c r="L149" s="137"/>
    </row>
    <row r="150" ht="12.75" customHeight="1">
      <c r="A150" s="135"/>
      <c r="B150" s="135" t="s">
        <v>141</v>
      </c>
      <c r="C150" s="135"/>
      <c r="D150" s="135"/>
      <c r="E150" s="135"/>
      <c r="F150" s="135"/>
      <c r="G150" s="135"/>
      <c r="H150" s="135"/>
      <c r="I150" s="135"/>
      <c r="J150" s="135"/>
      <c r="K150" s="136"/>
      <c r="L150" s="137"/>
    </row>
    <row r="151" ht="12.75" customHeight="1">
      <c r="A151" s="135"/>
      <c r="B151" s="184" t="s">
        <v>142</v>
      </c>
      <c r="C151" s="135"/>
      <c r="D151" s="182">
        <v>2000.0</v>
      </c>
      <c r="E151" s="135" t="s">
        <v>79</v>
      </c>
      <c r="F151" s="185" t="s">
        <v>132</v>
      </c>
      <c r="G151" s="135"/>
      <c r="H151" s="135"/>
      <c r="I151" s="135"/>
      <c r="J151" s="135"/>
      <c r="K151" s="136"/>
      <c r="L151" s="137"/>
    </row>
    <row r="152" ht="12.75" customHeight="1">
      <c r="A152" s="135"/>
      <c r="B152" s="184" t="s">
        <v>143</v>
      </c>
      <c r="C152" s="135"/>
      <c r="D152" s="182">
        <v>5000.0</v>
      </c>
      <c r="E152" s="135" t="s">
        <v>79</v>
      </c>
      <c r="F152" s="185" t="s">
        <v>132</v>
      </c>
      <c r="G152" s="135"/>
      <c r="H152" s="135"/>
      <c r="I152" s="135"/>
      <c r="J152" s="135"/>
      <c r="K152" s="136"/>
      <c r="L152" s="137"/>
    </row>
    <row r="153" ht="12.75" customHeight="1">
      <c r="A153" s="135"/>
      <c r="B153" s="184" t="s">
        <v>144</v>
      </c>
      <c r="C153" s="135"/>
      <c r="D153" s="182">
        <v>60000.0</v>
      </c>
      <c r="E153" s="135" t="s">
        <v>145</v>
      </c>
      <c r="F153" s="185" t="s">
        <v>105</v>
      </c>
      <c r="G153" s="135"/>
      <c r="H153" s="155" t="s">
        <v>146</v>
      </c>
      <c r="I153" s="135"/>
      <c r="J153" s="135"/>
      <c r="K153" s="136"/>
      <c r="L153" s="137"/>
    </row>
    <row r="154" ht="12.75" customHeight="1">
      <c r="A154" s="135"/>
      <c r="B154" s="184" t="s">
        <v>147</v>
      </c>
      <c r="C154" s="135"/>
      <c r="D154" s="186"/>
      <c r="E154" s="135" t="s">
        <v>79</v>
      </c>
      <c r="F154" s="185"/>
      <c r="G154" s="135"/>
      <c r="H154" s="135"/>
      <c r="I154" s="135"/>
      <c r="J154" s="135"/>
      <c r="K154" s="136"/>
      <c r="L154" s="137"/>
    </row>
    <row r="155" ht="12.75" customHeight="1">
      <c r="A155" s="135"/>
      <c r="B155" s="184" t="s">
        <v>147</v>
      </c>
      <c r="C155" s="135"/>
      <c r="D155" s="186"/>
      <c r="E155" s="135" t="s">
        <v>79</v>
      </c>
      <c r="F155" s="185"/>
      <c r="G155" s="135"/>
      <c r="H155" s="135"/>
      <c r="I155" s="135"/>
      <c r="J155" s="135"/>
      <c r="K155" s="136"/>
      <c r="L155" s="137"/>
    </row>
    <row r="156" ht="12.75" customHeight="1">
      <c r="A156" s="135"/>
      <c r="B156" s="184" t="s">
        <v>147</v>
      </c>
      <c r="C156" s="135"/>
      <c r="D156" s="186"/>
      <c r="E156" s="135" t="s">
        <v>79</v>
      </c>
      <c r="F156" s="185"/>
      <c r="G156" s="135"/>
      <c r="H156" s="135"/>
      <c r="I156" s="135"/>
      <c r="J156" s="135"/>
      <c r="K156" s="136"/>
      <c r="L156" s="137"/>
    </row>
    <row r="157" ht="12.75" customHeight="1">
      <c r="A157" s="135"/>
      <c r="B157" s="184" t="s">
        <v>147</v>
      </c>
      <c r="C157" s="135"/>
      <c r="D157" s="182"/>
      <c r="E157" s="135" t="s">
        <v>79</v>
      </c>
      <c r="F157" s="185"/>
      <c r="G157" s="135"/>
      <c r="H157" s="135"/>
      <c r="I157" s="135"/>
      <c r="J157" s="135"/>
      <c r="K157" s="136"/>
      <c r="L157" s="137"/>
    </row>
    <row r="158" ht="12.75" customHeight="1">
      <c r="A158" s="135"/>
      <c r="B158" s="184" t="s">
        <v>147</v>
      </c>
      <c r="C158" s="135"/>
      <c r="D158" s="182"/>
      <c r="E158" s="135" t="s">
        <v>79</v>
      </c>
      <c r="F158" s="185"/>
      <c r="G158" s="135"/>
      <c r="H158" s="135"/>
      <c r="I158" s="135"/>
      <c r="J158" s="135"/>
      <c r="K158" s="136"/>
      <c r="L158" s="137"/>
    </row>
    <row r="159" ht="12.75" customHeight="1">
      <c r="A159" s="135"/>
      <c r="B159" s="184" t="s">
        <v>147</v>
      </c>
      <c r="C159" s="135"/>
      <c r="D159" s="182"/>
      <c r="E159" s="135" t="s">
        <v>79</v>
      </c>
      <c r="F159" s="185"/>
      <c r="G159" s="135"/>
      <c r="H159" s="135"/>
      <c r="I159" s="135"/>
      <c r="J159" s="135"/>
      <c r="K159" s="136"/>
      <c r="L159" s="137"/>
    </row>
    <row r="160" ht="12.75" customHeight="1">
      <c r="A160" s="135"/>
      <c r="B160" s="184" t="s">
        <v>147</v>
      </c>
      <c r="C160" s="135"/>
      <c r="D160" s="182"/>
      <c r="E160" s="135" t="s">
        <v>79</v>
      </c>
      <c r="F160" s="185"/>
      <c r="G160" s="135"/>
      <c r="H160" s="135"/>
      <c r="I160" s="135"/>
      <c r="J160" s="135"/>
      <c r="K160" s="136"/>
      <c r="L160" s="137"/>
    </row>
    <row r="161" ht="12.75" customHeight="1">
      <c r="A161" s="135"/>
      <c r="B161" s="163"/>
      <c r="C161" s="135"/>
      <c r="D161" s="135"/>
      <c r="E161" s="135"/>
      <c r="F161" s="135"/>
      <c r="G161" s="135"/>
      <c r="H161" s="135"/>
      <c r="I161" s="135"/>
      <c r="J161" s="135"/>
      <c r="K161" s="136"/>
      <c r="L161" s="137"/>
    </row>
    <row r="162" ht="12.75" customHeight="1">
      <c r="A162" s="161" t="s">
        <v>148</v>
      </c>
      <c r="B162" s="135"/>
      <c r="C162" s="135"/>
      <c r="D162" s="182">
        <v>0.0</v>
      </c>
      <c r="E162" s="135" t="s">
        <v>149</v>
      </c>
      <c r="F162" s="135"/>
      <c r="G162" s="135"/>
      <c r="H162" s="135"/>
      <c r="I162" s="135"/>
      <c r="J162" s="135"/>
      <c r="K162" s="135"/>
      <c r="L162" s="4"/>
    </row>
    <row r="163" ht="12.75" customHeight="1">
      <c r="A163" s="161"/>
      <c r="B163" s="135"/>
      <c r="C163" s="135"/>
      <c r="D163" s="135"/>
      <c r="E163" s="135"/>
      <c r="F163" s="135"/>
      <c r="G163" s="135"/>
      <c r="H163" s="135"/>
      <c r="I163" s="135"/>
      <c r="J163" s="135"/>
      <c r="K163" s="135"/>
      <c r="L163" s="4"/>
    </row>
    <row r="164" ht="12.75" customHeight="1">
      <c r="A164" s="161" t="s">
        <v>150</v>
      </c>
      <c r="B164" s="135"/>
      <c r="C164" s="135"/>
      <c r="D164" s="135"/>
      <c r="E164" s="135"/>
      <c r="F164" s="135"/>
      <c r="G164" s="135"/>
      <c r="H164" s="135"/>
      <c r="I164" s="135"/>
      <c r="J164" s="135"/>
      <c r="K164" s="135"/>
      <c r="L164" s="4"/>
    </row>
    <row r="165" ht="12.75" customHeight="1">
      <c r="A165" s="135"/>
      <c r="B165" s="135" t="s">
        <v>151</v>
      </c>
      <c r="C165" s="135"/>
      <c r="D165" s="182">
        <v>2500.0</v>
      </c>
      <c r="E165" s="135" t="s">
        <v>152</v>
      </c>
      <c r="F165" s="135"/>
      <c r="G165" s="135"/>
      <c r="H165" s="135"/>
      <c r="I165" s="135"/>
      <c r="J165" s="135"/>
      <c r="K165" s="135"/>
      <c r="L165" s="4"/>
    </row>
    <row r="166" ht="12.75" customHeight="1">
      <c r="A166" s="161"/>
      <c r="B166" s="135" t="s">
        <v>153</v>
      </c>
      <c r="C166" s="135"/>
      <c r="D166" s="182">
        <v>100.0</v>
      </c>
      <c r="E166" s="135" t="s">
        <v>154</v>
      </c>
      <c r="F166" s="135"/>
      <c r="G166" s="135"/>
      <c r="H166" s="135"/>
      <c r="I166" s="135"/>
      <c r="J166" s="135"/>
      <c r="K166" s="135"/>
      <c r="L166" s="4"/>
    </row>
    <row r="167" ht="12.75" customHeight="1">
      <c r="A167" s="135"/>
      <c r="B167" s="135"/>
      <c r="C167" s="135"/>
      <c r="D167" s="135"/>
      <c r="E167" s="135"/>
      <c r="F167" s="135"/>
      <c r="G167" s="135"/>
      <c r="H167" s="135"/>
      <c r="I167" s="135"/>
      <c r="J167" s="135"/>
      <c r="K167" s="135"/>
      <c r="L167" s="4"/>
    </row>
    <row r="168" ht="12.75" customHeight="1">
      <c r="A168" s="161" t="s">
        <v>155</v>
      </c>
      <c r="B168" s="135"/>
      <c r="C168" s="135"/>
      <c r="D168" s="135"/>
      <c r="E168" s="135"/>
      <c r="F168" s="135"/>
      <c r="G168" s="135"/>
      <c r="H168" s="135"/>
      <c r="I168" s="135"/>
      <c r="J168" s="135"/>
      <c r="K168" s="135"/>
      <c r="L168" s="4"/>
    </row>
    <row r="169" ht="12.75" customHeight="1">
      <c r="A169" s="135"/>
      <c r="B169" s="135" t="s">
        <v>156</v>
      </c>
      <c r="C169" s="135"/>
      <c r="D169" s="182">
        <v>50000.0</v>
      </c>
      <c r="E169" s="135" t="s">
        <v>79</v>
      </c>
      <c r="F169" s="185" t="s">
        <v>20</v>
      </c>
      <c r="G169" s="135"/>
      <c r="H169" s="135"/>
      <c r="I169" s="135"/>
      <c r="J169" s="135"/>
      <c r="K169" s="135"/>
      <c r="L169" s="4"/>
    </row>
    <row r="170" ht="12.75" customHeight="1">
      <c r="A170" s="135"/>
      <c r="B170" s="135" t="s">
        <v>157</v>
      </c>
      <c r="C170" s="135"/>
      <c r="D170" s="182">
        <v>60000.0</v>
      </c>
      <c r="E170" s="135" t="s">
        <v>79</v>
      </c>
      <c r="F170" s="185" t="s">
        <v>20</v>
      </c>
      <c r="G170" s="135"/>
      <c r="H170" s="135"/>
      <c r="I170" s="135"/>
      <c r="J170" s="135"/>
      <c r="K170" s="135"/>
      <c r="L170" s="4"/>
    </row>
    <row r="171" ht="12.75" customHeight="1">
      <c r="A171" s="135"/>
      <c r="B171" s="135" t="s">
        <v>158</v>
      </c>
      <c r="C171" s="135"/>
      <c r="D171" s="182">
        <v>70000.0</v>
      </c>
      <c r="E171" s="135" t="s">
        <v>79</v>
      </c>
      <c r="F171" s="185" t="s">
        <v>20</v>
      </c>
      <c r="G171" s="135"/>
      <c r="H171" s="135"/>
      <c r="I171" s="135"/>
      <c r="J171" s="135"/>
      <c r="K171" s="135"/>
      <c r="L171" s="4"/>
    </row>
    <row r="172" ht="12.75" customHeight="1">
      <c r="A172" s="135"/>
      <c r="B172" s="163" t="s">
        <v>147</v>
      </c>
      <c r="C172" s="135"/>
      <c r="D172" s="186"/>
      <c r="E172" s="135" t="s">
        <v>79</v>
      </c>
      <c r="F172" s="185" t="s">
        <v>20</v>
      </c>
      <c r="G172" s="135"/>
      <c r="H172" s="135"/>
      <c r="I172" s="135"/>
      <c r="J172" s="135"/>
      <c r="K172" s="135"/>
      <c r="L172" s="4"/>
    </row>
    <row r="173" ht="12.75" customHeight="1">
      <c r="A173" s="135"/>
      <c r="B173" s="163" t="s">
        <v>147</v>
      </c>
      <c r="C173" s="135"/>
      <c r="D173" s="186"/>
      <c r="E173" s="135" t="s">
        <v>79</v>
      </c>
      <c r="F173" s="185" t="s">
        <v>20</v>
      </c>
      <c r="G173" s="135"/>
      <c r="H173" s="135"/>
      <c r="I173" s="135"/>
      <c r="J173" s="135"/>
      <c r="K173" s="135"/>
      <c r="L173" s="4"/>
    </row>
    <row r="174" ht="12.75" customHeight="1">
      <c r="A174" s="135"/>
      <c r="B174" s="163" t="s">
        <v>147</v>
      </c>
      <c r="C174" s="135"/>
      <c r="D174" s="186"/>
      <c r="E174" s="135" t="s">
        <v>79</v>
      </c>
      <c r="F174" s="185" t="s">
        <v>20</v>
      </c>
      <c r="G174" s="135"/>
      <c r="H174" s="135"/>
      <c r="I174" s="135"/>
      <c r="J174" s="135"/>
      <c r="K174" s="135"/>
      <c r="L174" s="4"/>
    </row>
    <row r="175" ht="12.75" customHeight="1">
      <c r="A175" s="135"/>
      <c r="B175" s="163" t="s">
        <v>147</v>
      </c>
      <c r="C175" s="135"/>
      <c r="D175" s="186"/>
      <c r="E175" s="135" t="s">
        <v>79</v>
      </c>
      <c r="F175" s="185" t="s">
        <v>20</v>
      </c>
      <c r="G175" s="135"/>
      <c r="H175" s="135"/>
      <c r="I175" s="135"/>
      <c r="J175" s="135"/>
      <c r="K175" s="135"/>
      <c r="L175" s="4"/>
    </row>
    <row r="176" ht="12.75" customHeight="1">
      <c r="A176" s="135"/>
      <c r="B176" s="163" t="s">
        <v>147</v>
      </c>
      <c r="C176" s="135"/>
      <c r="D176" s="186"/>
      <c r="E176" s="135" t="s">
        <v>79</v>
      </c>
      <c r="F176" s="185" t="s">
        <v>20</v>
      </c>
      <c r="G176" s="135"/>
      <c r="H176" s="135"/>
      <c r="I176" s="135"/>
      <c r="J176" s="135"/>
      <c r="K176" s="135"/>
      <c r="L176" s="4"/>
    </row>
    <row r="177" ht="12.75" customHeight="1">
      <c r="A177" s="135"/>
      <c r="B177" s="163" t="s">
        <v>147</v>
      </c>
      <c r="C177" s="135"/>
      <c r="D177" s="186"/>
      <c r="E177" s="135" t="s">
        <v>79</v>
      </c>
      <c r="F177" s="185" t="s">
        <v>20</v>
      </c>
      <c r="G177" s="135"/>
      <c r="H177" s="135"/>
      <c r="I177" s="135"/>
      <c r="J177" s="135"/>
      <c r="K177" s="135"/>
      <c r="L177" s="4"/>
    </row>
    <row r="178" ht="12.75" customHeight="1">
      <c r="A178" s="135"/>
      <c r="B178" s="135"/>
      <c r="C178" s="135"/>
      <c r="D178" s="135"/>
      <c r="E178" s="135"/>
      <c r="F178" s="135"/>
      <c r="G178" s="135"/>
      <c r="H178" s="135"/>
      <c r="I178" s="135"/>
      <c r="J178" s="135"/>
      <c r="K178" s="135"/>
      <c r="L178" s="4"/>
    </row>
    <row r="179" ht="12.75" customHeight="1">
      <c r="A179" s="161" t="s">
        <v>159</v>
      </c>
      <c r="B179" s="135"/>
      <c r="C179" s="135"/>
      <c r="D179" s="135"/>
      <c r="E179" s="135"/>
      <c r="F179" s="135"/>
      <c r="G179" s="135"/>
      <c r="H179" s="135"/>
      <c r="I179" s="135"/>
      <c r="J179" s="135"/>
      <c r="K179" s="135"/>
      <c r="L179" s="4"/>
    </row>
    <row r="180" ht="12.75" customHeight="1">
      <c r="A180" s="135"/>
      <c r="B180" s="135" t="s">
        <v>160</v>
      </c>
      <c r="C180" s="135"/>
      <c r="D180" s="182">
        <v>100.0</v>
      </c>
      <c r="E180" s="135" t="s">
        <v>149</v>
      </c>
      <c r="F180" s="135"/>
      <c r="G180" s="135"/>
      <c r="H180" s="135"/>
      <c r="I180" s="135"/>
      <c r="J180" s="135"/>
      <c r="K180" s="135"/>
      <c r="L180" s="4"/>
    </row>
    <row r="181" ht="12.75" customHeight="1">
      <c r="A181" s="135"/>
      <c r="B181" s="161" t="s">
        <v>161</v>
      </c>
      <c r="C181" s="135"/>
      <c r="D181" s="135"/>
      <c r="E181" s="135"/>
      <c r="F181" s="135"/>
      <c r="G181" s="135"/>
      <c r="H181" s="135"/>
      <c r="I181" s="135"/>
      <c r="J181" s="135"/>
      <c r="K181" s="135"/>
      <c r="L181" s="4"/>
    </row>
    <row r="182" ht="12.75" customHeight="1">
      <c r="A182" s="135"/>
      <c r="B182" s="187" t="s">
        <v>19</v>
      </c>
      <c r="C182" s="135"/>
      <c r="D182" s="182">
        <v>10.0</v>
      </c>
      <c r="E182" s="135" t="s">
        <v>79</v>
      </c>
      <c r="F182" s="185" t="str">
        <f t="shared" ref="F182:F187" si="8">B182</f>
        <v>Sales</v>
      </c>
      <c r="G182" s="135"/>
      <c r="H182" s="135"/>
      <c r="I182" s="135"/>
      <c r="J182" s="135"/>
      <c r="K182" s="135"/>
      <c r="L182" s="4"/>
    </row>
    <row r="183" ht="12.75" customHeight="1">
      <c r="A183" s="135"/>
      <c r="B183" s="187" t="s">
        <v>20</v>
      </c>
      <c r="C183" s="135"/>
      <c r="D183" s="182">
        <v>10.0</v>
      </c>
      <c r="E183" s="135" t="s">
        <v>79</v>
      </c>
      <c r="F183" s="185" t="str">
        <f t="shared" si="8"/>
        <v>Marketing</v>
      </c>
      <c r="G183" s="135"/>
      <c r="H183" s="135"/>
      <c r="I183" s="135"/>
      <c r="J183" s="135"/>
      <c r="K183" s="135"/>
      <c r="L183" s="4"/>
    </row>
    <row r="184" ht="12.75" customHeight="1">
      <c r="A184" s="135"/>
      <c r="B184" s="187" t="s">
        <v>105</v>
      </c>
      <c r="C184" s="135"/>
      <c r="D184" s="182">
        <v>10.0</v>
      </c>
      <c r="E184" s="135" t="s">
        <v>79</v>
      </c>
      <c r="F184" s="185" t="str">
        <f t="shared" si="8"/>
        <v>Engineering</v>
      </c>
      <c r="G184" s="135"/>
      <c r="H184" s="135"/>
      <c r="I184" s="135"/>
      <c r="J184" s="135"/>
      <c r="K184" s="135"/>
      <c r="L184" s="4"/>
    </row>
    <row r="185" ht="12.75" customHeight="1">
      <c r="A185" s="135"/>
      <c r="B185" s="187" t="s">
        <v>125</v>
      </c>
      <c r="C185" s="135"/>
      <c r="D185" s="182">
        <v>10.0</v>
      </c>
      <c r="E185" s="135" t="s">
        <v>79</v>
      </c>
      <c r="F185" s="185" t="str">
        <f t="shared" si="8"/>
        <v>Product</v>
      </c>
      <c r="G185" s="135"/>
      <c r="H185" s="135"/>
      <c r="I185" s="135"/>
      <c r="J185" s="135"/>
      <c r="K185" s="135"/>
      <c r="L185" s="4"/>
    </row>
    <row r="186" ht="12.75" customHeight="1">
      <c r="A186" s="135"/>
      <c r="B186" s="187" t="s">
        <v>21</v>
      </c>
      <c r="C186" s="135"/>
      <c r="D186" s="182">
        <v>10.0</v>
      </c>
      <c r="E186" s="135" t="s">
        <v>79</v>
      </c>
      <c r="F186" s="185" t="str">
        <f t="shared" si="8"/>
        <v>Customer Success</v>
      </c>
      <c r="G186" s="135"/>
      <c r="H186" s="135"/>
      <c r="I186" s="135"/>
      <c r="J186" s="135"/>
      <c r="K186" s="135"/>
      <c r="L186" s="4"/>
    </row>
    <row r="187" ht="12.75" customHeight="1">
      <c r="A187" s="135"/>
      <c r="B187" s="187" t="s">
        <v>132</v>
      </c>
      <c r="C187" s="135"/>
      <c r="D187" s="182">
        <v>10.0</v>
      </c>
      <c r="E187" s="135" t="s">
        <v>79</v>
      </c>
      <c r="F187" s="185" t="str">
        <f t="shared" si="8"/>
        <v>G&amp;A</v>
      </c>
      <c r="G187" s="135"/>
      <c r="H187" s="135"/>
      <c r="I187" s="135"/>
      <c r="J187" s="135"/>
      <c r="K187" s="135"/>
      <c r="L187" s="4"/>
    </row>
    <row r="188" ht="12.75" customHeight="1">
      <c r="A188" s="135"/>
      <c r="B188" s="161" t="s">
        <v>162</v>
      </c>
      <c r="C188" s="135"/>
      <c r="D188" s="135"/>
      <c r="E188" s="135"/>
      <c r="F188" s="135"/>
      <c r="G188" s="135"/>
      <c r="H188" s="135"/>
      <c r="I188" s="135"/>
      <c r="J188" s="135"/>
      <c r="K188" s="135"/>
      <c r="L188" s="4"/>
    </row>
    <row r="189" ht="12.75" customHeight="1">
      <c r="A189" s="135"/>
      <c r="B189" s="187" t="s">
        <v>19</v>
      </c>
      <c r="C189" s="135"/>
      <c r="D189" s="182">
        <v>10.0</v>
      </c>
      <c r="E189" s="135" t="s">
        <v>79</v>
      </c>
      <c r="F189" s="185" t="str">
        <f t="shared" ref="F189:F194" si="9">B189</f>
        <v>Sales</v>
      </c>
      <c r="G189" s="135"/>
      <c r="H189" s="135"/>
      <c r="I189" s="135"/>
      <c r="J189" s="135"/>
      <c r="K189" s="135"/>
      <c r="L189" s="4"/>
    </row>
    <row r="190" ht="12.75" customHeight="1">
      <c r="A190" s="135"/>
      <c r="B190" s="187" t="s">
        <v>20</v>
      </c>
      <c r="C190" s="135"/>
      <c r="D190" s="182">
        <v>10.0</v>
      </c>
      <c r="E190" s="135" t="s">
        <v>79</v>
      </c>
      <c r="F190" s="185" t="str">
        <f t="shared" si="9"/>
        <v>Marketing</v>
      </c>
      <c r="G190" s="135"/>
      <c r="H190" s="135"/>
      <c r="I190" s="135"/>
      <c r="J190" s="135"/>
      <c r="K190" s="135"/>
      <c r="L190" s="4"/>
    </row>
    <row r="191" ht="12.75" customHeight="1">
      <c r="A191" s="135"/>
      <c r="B191" s="187" t="s">
        <v>105</v>
      </c>
      <c r="C191" s="135"/>
      <c r="D191" s="182">
        <v>10.0</v>
      </c>
      <c r="E191" s="135" t="s">
        <v>79</v>
      </c>
      <c r="F191" s="185" t="str">
        <f t="shared" si="9"/>
        <v>Engineering</v>
      </c>
      <c r="G191" s="135"/>
      <c r="H191" s="135"/>
      <c r="I191" s="135"/>
      <c r="J191" s="135"/>
      <c r="K191" s="135"/>
      <c r="L191" s="4"/>
    </row>
    <row r="192" ht="12.75" customHeight="1">
      <c r="A192" s="135"/>
      <c r="B192" s="187" t="s">
        <v>125</v>
      </c>
      <c r="C192" s="135"/>
      <c r="D192" s="182">
        <v>10.0</v>
      </c>
      <c r="E192" s="135" t="s">
        <v>79</v>
      </c>
      <c r="F192" s="185" t="str">
        <f t="shared" si="9"/>
        <v>Product</v>
      </c>
      <c r="G192" s="135"/>
      <c r="H192" s="135"/>
      <c r="I192" s="135"/>
      <c r="J192" s="135"/>
      <c r="K192" s="135"/>
      <c r="L192" s="4"/>
    </row>
    <row r="193" ht="12.75" customHeight="1">
      <c r="A193" s="135"/>
      <c r="B193" s="187" t="s">
        <v>21</v>
      </c>
      <c r="C193" s="135"/>
      <c r="D193" s="182">
        <v>10.0</v>
      </c>
      <c r="E193" s="135" t="s">
        <v>79</v>
      </c>
      <c r="F193" s="185" t="str">
        <f t="shared" si="9"/>
        <v>Customer Success</v>
      </c>
      <c r="G193" s="135"/>
      <c r="H193" s="135"/>
      <c r="I193" s="135"/>
      <c r="J193" s="135"/>
      <c r="K193" s="135"/>
      <c r="L193" s="4"/>
    </row>
    <row r="194" ht="12.75" customHeight="1">
      <c r="A194" s="135"/>
      <c r="B194" s="187" t="s">
        <v>132</v>
      </c>
      <c r="C194" s="135"/>
      <c r="D194" s="182">
        <v>10.0</v>
      </c>
      <c r="E194" s="135" t="s">
        <v>79</v>
      </c>
      <c r="F194" s="185" t="str">
        <f t="shared" si="9"/>
        <v>G&amp;A</v>
      </c>
      <c r="G194" s="135"/>
      <c r="H194" s="135"/>
      <c r="I194" s="135"/>
      <c r="J194" s="135"/>
      <c r="K194" s="135"/>
      <c r="L194" s="4"/>
    </row>
    <row r="195" ht="12.75" customHeight="1">
      <c r="A195" s="135"/>
      <c r="B195" s="161" t="s">
        <v>163</v>
      </c>
      <c r="C195" s="135"/>
      <c r="D195" s="135"/>
      <c r="E195" s="135"/>
      <c r="F195" s="188"/>
      <c r="G195" s="135"/>
      <c r="H195" s="135"/>
      <c r="I195" s="135"/>
      <c r="J195" s="135"/>
      <c r="K195" s="135"/>
      <c r="L195" s="4"/>
    </row>
    <row r="196" ht="12.75" customHeight="1">
      <c r="A196" s="135"/>
      <c r="B196" s="184" t="s">
        <v>164</v>
      </c>
      <c r="C196" s="135"/>
      <c r="D196" s="182">
        <v>36000.0</v>
      </c>
      <c r="E196" s="135" t="s">
        <v>79</v>
      </c>
      <c r="F196" s="135"/>
      <c r="G196" s="135"/>
      <c r="H196" s="135"/>
      <c r="I196" s="135"/>
      <c r="J196" s="135"/>
      <c r="K196" s="135"/>
      <c r="L196" s="4"/>
    </row>
    <row r="197" ht="12.75" customHeight="1">
      <c r="A197" s="135"/>
      <c r="B197" s="184" t="s">
        <v>165</v>
      </c>
      <c r="C197" s="135"/>
      <c r="D197" s="182">
        <v>100.0</v>
      </c>
      <c r="E197" s="135" t="s">
        <v>166</v>
      </c>
      <c r="F197" s="135"/>
      <c r="G197" s="135"/>
      <c r="H197" s="135"/>
      <c r="I197" s="135"/>
      <c r="J197" s="135"/>
      <c r="K197" s="135"/>
      <c r="L197" s="4"/>
    </row>
    <row r="198" ht="12.75" customHeight="1">
      <c r="A198" s="135"/>
      <c r="B198" s="184" t="s">
        <v>167</v>
      </c>
      <c r="C198" s="135"/>
      <c r="D198" s="182">
        <v>50.0</v>
      </c>
      <c r="E198" s="135" t="s">
        <v>166</v>
      </c>
      <c r="F198" s="135"/>
      <c r="G198" s="135"/>
      <c r="H198" s="135"/>
      <c r="I198" s="135"/>
      <c r="J198" s="135"/>
      <c r="K198" s="135"/>
      <c r="L198" s="4"/>
    </row>
    <row r="199" ht="12.75" customHeight="1">
      <c r="A199" s="135"/>
      <c r="B199" s="184" t="s">
        <v>168</v>
      </c>
      <c r="C199" s="135"/>
      <c r="D199" s="182">
        <v>200.0</v>
      </c>
      <c r="E199" s="135" t="s">
        <v>169</v>
      </c>
      <c r="F199" s="135"/>
      <c r="G199" s="135"/>
      <c r="H199" s="135"/>
      <c r="I199" s="135"/>
      <c r="J199" s="135"/>
      <c r="K199" s="135"/>
      <c r="L199" s="4"/>
    </row>
    <row r="200" ht="12.75" customHeight="1">
      <c r="A200" s="135"/>
      <c r="B200" s="184" t="s">
        <v>170</v>
      </c>
      <c r="C200" s="135"/>
      <c r="D200" s="182">
        <v>100.0</v>
      </c>
      <c r="E200" s="135" t="s">
        <v>166</v>
      </c>
      <c r="F200" s="135"/>
      <c r="G200" s="135"/>
      <c r="H200" s="135"/>
      <c r="I200" s="135"/>
      <c r="J200" s="135"/>
      <c r="K200" s="135"/>
      <c r="L200" s="4"/>
    </row>
    <row r="201" ht="12.75" customHeight="1">
      <c r="A201" s="135"/>
      <c r="B201" s="184" t="s">
        <v>171</v>
      </c>
      <c r="C201" s="135"/>
      <c r="D201" s="182">
        <v>35.0</v>
      </c>
      <c r="E201" s="135" t="s">
        <v>166</v>
      </c>
      <c r="F201" s="135"/>
      <c r="G201" s="135"/>
      <c r="H201" s="135"/>
      <c r="I201" s="135"/>
      <c r="J201" s="135"/>
      <c r="K201" s="135"/>
      <c r="L201" s="4"/>
    </row>
    <row r="202" ht="12.75" customHeight="1">
      <c r="A202" s="135"/>
      <c r="B202" s="135"/>
      <c r="C202" s="135"/>
      <c r="D202" s="135"/>
      <c r="E202" s="135"/>
      <c r="F202" s="135"/>
      <c r="G202" s="135"/>
      <c r="H202" s="135"/>
      <c r="I202" s="135"/>
      <c r="J202" s="135"/>
      <c r="K202" s="135"/>
      <c r="L202" s="4"/>
    </row>
    <row r="203" ht="12.75" customHeight="1">
      <c r="A203" s="161" t="s">
        <v>138</v>
      </c>
      <c r="B203" s="135"/>
      <c r="C203" s="135"/>
      <c r="D203" s="135"/>
      <c r="E203" s="135"/>
      <c r="F203" s="135"/>
      <c r="G203" s="135"/>
      <c r="H203" s="135"/>
      <c r="I203" s="135"/>
      <c r="J203" s="135"/>
      <c r="K203" s="135"/>
      <c r="L203" s="4"/>
    </row>
    <row r="204" ht="12.75" customHeight="1">
      <c r="A204" s="135"/>
      <c r="B204" s="181" t="s">
        <v>172</v>
      </c>
      <c r="C204" s="135"/>
      <c r="D204" s="182">
        <v>25.0</v>
      </c>
      <c r="E204" s="135" t="s">
        <v>166</v>
      </c>
      <c r="F204" s="135"/>
      <c r="G204" s="135"/>
      <c r="H204" s="135"/>
      <c r="I204" s="135"/>
      <c r="J204" s="135"/>
      <c r="K204" s="135"/>
      <c r="L204" s="4"/>
    </row>
    <row r="205" ht="12.75" customHeight="1">
      <c r="A205" s="135"/>
      <c r="B205" s="181" t="s">
        <v>98</v>
      </c>
      <c r="C205" s="135"/>
      <c r="D205" s="182"/>
      <c r="E205" s="135" t="s">
        <v>79</v>
      </c>
      <c r="F205" s="135"/>
      <c r="G205" s="135"/>
      <c r="H205" s="135"/>
      <c r="I205" s="135"/>
      <c r="J205" s="135"/>
      <c r="K205" s="135"/>
      <c r="L205" s="4"/>
    </row>
    <row r="206" ht="12.75" customHeight="1">
      <c r="A206" s="135"/>
      <c r="B206" s="181" t="s">
        <v>98</v>
      </c>
      <c r="C206" s="135"/>
      <c r="D206" s="182"/>
      <c r="E206" s="135" t="s">
        <v>79</v>
      </c>
      <c r="F206" s="135"/>
      <c r="G206" s="135"/>
      <c r="H206" s="135"/>
      <c r="I206" s="135"/>
      <c r="J206" s="135"/>
      <c r="K206" s="135"/>
      <c r="L206" s="4"/>
    </row>
    <row r="207" ht="12.75" customHeight="1">
      <c r="A207" s="135"/>
      <c r="B207" s="181" t="s">
        <v>98</v>
      </c>
      <c r="C207" s="135"/>
      <c r="D207" s="182"/>
      <c r="E207" s="135" t="s">
        <v>79</v>
      </c>
      <c r="F207" s="135"/>
      <c r="G207" s="135"/>
      <c r="H207" s="135"/>
      <c r="I207" s="135"/>
      <c r="J207" s="135"/>
      <c r="K207" s="135"/>
      <c r="L207" s="4"/>
    </row>
    <row r="208" ht="12.75" customHeight="1">
      <c r="A208" s="135"/>
      <c r="B208" s="181" t="s">
        <v>98</v>
      </c>
      <c r="C208" s="135"/>
      <c r="D208" s="182"/>
      <c r="E208" s="135" t="s">
        <v>79</v>
      </c>
      <c r="F208" s="135"/>
      <c r="G208" s="135"/>
      <c r="H208" s="135"/>
      <c r="I208" s="135"/>
      <c r="J208" s="135"/>
      <c r="K208" s="135"/>
      <c r="L208" s="4"/>
    </row>
    <row r="209" ht="12.75" customHeight="1">
      <c r="A209" s="135"/>
      <c r="B209" s="181" t="s">
        <v>98</v>
      </c>
      <c r="C209" s="135"/>
      <c r="D209" s="182"/>
      <c r="E209" s="135" t="s">
        <v>79</v>
      </c>
      <c r="F209" s="135"/>
      <c r="G209" s="135"/>
      <c r="H209" s="135"/>
      <c r="I209" s="135"/>
      <c r="J209" s="135"/>
      <c r="K209" s="135"/>
      <c r="L209" s="4"/>
    </row>
    <row r="210" ht="12.75" customHeight="1">
      <c r="A210" s="135"/>
      <c r="B210" s="135"/>
      <c r="C210" s="135"/>
      <c r="D210" s="189"/>
      <c r="E210" s="135"/>
      <c r="F210" s="135"/>
      <c r="G210" s="135"/>
      <c r="H210" s="135"/>
      <c r="I210" s="135"/>
      <c r="J210" s="135"/>
      <c r="K210" s="136"/>
      <c r="L210" s="137"/>
    </row>
    <row r="211" ht="12.75" customHeight="1">
      <c r="A211" s="161" t="s">
        <v>173</v>
      </c>
      <c r="B211" s="135"/>
      <c r="C211" s="135"/>
      <c r="D211" s="135"/>
      <c r="E211" s="135"/>
      <c r="F211" s="135"/>
      <c r="G211" s="135"/>
      <c r="H211" s="135"/>
      <c r="I211" s="135"/>
      <c r="J211" s="135"/>
      <c r="K211" s="136"/>
      <c r="L211" s="137"/>
    </row>
    <row r="212" ht="12.75" customHeight="1">
      <c r="A212" s="135"/>
      <c r="B212" s="181" t="s">
        <v>174</v>
      </c>
      <c r="C212" s="135"/>
      <c r="D212" s="182">
        <v>1500.0</v>
      </c>
      <c r="E212" s="135" t="s">
        <v>175</v>
      </c>
      <c r="F212" s="135"/>
      <c r="G212" s="135"/>
      <c r="H212" s="135"/>
      <c r="I212" s="135"/>
      <c r="J212" s="135"/>
      <c r="K212" s="136"/>
      <c r="L212" s="137"/>
    </row>
    <row r="213" ht="12.75" customHeight="1">
      <c r="A213" s="135"/>
      <c r="B213" s="135"/>
      <c r="C213" s="135"/>
      <c r="D213" s="135"/>
      <c r="E213" s="135"/>
      <c r="F213" s="135"/>
      <c r="G213" s="135"/>
      <c r="H213" s="135"/>
      <c r="I213" s="135"/>
      <c r="J213" s="135"/>
      <c r="K213" s="136"/>
      <c r="L213" s="137"/>
    </row>
    <row r="214" ht="12.75" customHeight="1">
      <c r="A214" s="142" t="s">
        <v>176</v>
      </c>
      <c r="B214" s="143"/>
      <c r="C214" s="143"/>
      <c r="D214" s="143"/>
      <c r="E214" s="143"/>
      <c r="F214" s="143"/>
      <c r="G214" s="143"/>
      <c r="H214" s="143"/>
      <c r="I214" s="143"/>
      <c r="J214" s="143"/>
      <c r="K214" s="145"/>
      <c r="L214" s="146"/>
    </row>
    <row r="215" ht="12.75" customHeight="1">
      <c r="A215" s="147"/>
      <c r="B215" s="135"/>
      <c r="C215" s="135"/>
      <c r="D215" s="180" t="s">
        <v>177</v>
      </c>
      <c r="E215" s="180" t="s">
        <v>178</v>
      </c>
      <c r="F215" s="135"/>
      <c r="G215" s="135"/>
      <c r="H215" s="135"/>
      <c r="I215" s="135"/>
      <c r="J215" s="135"/>
      <c r="K215" s="136"/>
      <c r="L215" s="137"/>
    </row>
    <row r="216" ht="12.75" customHeight="1">
      <c r="A216" s="135"/>
      <c r="B216" s="135" t="s">
        <v>179</v>
      </c>
      <c r="C216" s="135"/>
      <c r="D216" s="190">
        <v>43982.0</v>
      </c>
      <c r="E216" s="191">
        <v>5000000.0</v>
      </c>
      <c r="F216" s="135"/>
      <c r="G216" s="135"/>
      <c r="H216" s="135"/>
      <c r="I216" s="135"/>
      <c r="J216" s="135"/>
      <c r="K216" s="136"/>
      <c r="L216" s="137"/>
    </row>
    <row r="217" ht="12.75" customHeight="1">
      <c r="A217" s="135"/>
      <c r="B217" s="135" t="s">
        <v>180</v>
      </c>
      <c r="C217" s="135"/>
      <c r="D217" s="190"/>
      <c r="E217" s="191"/>
      <c r="F217" s="135"/>
      <c r="G217" s="135"/>
      <c r="H217" s="135"/>
      <c r="I217" s="135"/>
      <c r="J217" s="135"/>
      <c r="K217" s="136"/>
      <c r="L217" s="137"/>
    </row>
    <row r="218" ht="12.75" customHeight="1">
      <c r="A218" s="135"/>
      <c r="B218" s="135" t="s">
        <v>181</v>
      </c>
      <c r="C218" s="135"/>
      <c r="D218" s="192"/>
      <c r="E218" s="185"/>
      <c r="F218" s="135"/>
      <c r="G218" s="135"/>
      <c r="H218" s="135"/>
      <c r="I218" s="135"/>
      <c r="J218" s="135"/>
      <c r="K218" s="136"/>
      <c r="L218" s="137"/>
    </row>
    <row r="219" ht="12.75" customHeight="1">
      <c r="A219" s="135"/>
      <c r="B219" s="135"/>
      <c r="C219" s="135"/>
      <c r="D219" s="135"/>
      <c r="E219" s="135"/>
      <c r="F219" s="135"/>
      <c r="G219" s="135"/>
      <c r="H219" s="135"/>
      <c r="I219" s="135"/>
      <c r="J219" s="135"/>
      <c r="K219" s="136"/>
      <c r="L219" s="137"/>
    </row>
    <row r="220" ht="12.75" customHeight="1">
      <c r="A220" s="142" t="s">
        <v>182</v>
      </c>
      <c r="B220" s="143"/>
      <c r="C220" s="143"/>
      <c r="D220" s="193"/>
      <c r="E220" s="193"/>
      <c r="F220" s="143"/>
      <c r="G220" s="143"/>
      <c r="H220" s="143"/>
      <c r="I220" s="143"/>
      <c r="J220" s="143"/>
      <c r="K220" s="145"/>
      <c r="L220" s="146"/>
    </row>
    <row r="221" ht="12.75" customHeight="1">
      <c r="A221" s="147"/>
      <c r="B221" s="135"/>
      <c r="C221" s="135"/>
      <c r="D221" s="180" t="s">
        <v>183</v>
      </c>
      <c r="E221" s="180" t="s">
        <v>184</v>
      </c>
      <c r="F221" s="135"/>
      <c r="G221" s="135"/>
      <c r="H221" s="135"/>
      <c r="I221" s="135"/>
      <c r="J221" s="135"/>
      <c r="K221" s="136"/>
      <c r="L221" s="137"/>
    </row>
    <row r="222" ht="12.75" customHeight="1">
      <c r="A222" s="135"/>
      <c r="B222" s="135" t="s">
        <v>185</v>
      </c>
      <c r="C222" s="135"/>
      <c r="D222" s="162" t="s">
        <v>186</v>
      </c>
      <c r="E222" s="162" t="s">
        <v>187</v>
      </c>
      <c r="F222" s="135"/>
      <c r="G222" s="135"/>
      <c r="H222" s="135"/>
      <c r="I222" s="135"/>
      <c r="J222" s="135"/>
      <c r="K222" s="136"/>
      <c r="L222" s="137"/>
    </row>
    <row r="223" ht="12.75" customHeight="1">
      <c r="A223" s="135"/>
      <c r="B223" s="135" t="s">
        <v>188</v>
      </c>
      <c r="C223" s="135"/>
      <c r="D223" s="162" t="s">
        <v>186</v>
      </c>
      <c r="E223" s="162" t="s">
        <v>187</v>
      </c>
      <c r="F223" s="135"/>
      <c r="G223" s="135"/>
      <c r="H223" s="135"/>
      <c r="I223" s="135"/>
      <c r="J223" s="135"/>
      <c r="K223" s="136"/>
      <c r="L223" s="137"/>
    </row>
    <row r="224" ht="12.75" customHeight="1">
      <c r="A224" s="135"/>
      <c r="B224" s="135" t="s">
        <v>189</v>
      </c>
      <c r="C224" s="135"/>
      <c r="D224" s="162" t="s">
        <v>186</v>
      </c>
      <c r="E224" s="162" t="s">
        <v>190</v>
      </c>
      <c r="F224" s="135"/>
      <c r="G224" s="135"/>
      <c r="H224" s="135"/>
      <c r="I224" s="135"/>
      <c r="J224" s="135"/>
      <c r="K224" s="136"/>
      <c r="L224" s="137"/>
    </row>
    <row r="225" ht="12.75" customHeight="1">
      <c r="A225" s="135"/>
      <c r="B225" s="135" t="s">
        <v>191</v>
      </c>
      <c r="C225" s="135"/>
      <c r="D225" s="162" t="s">
        <v>186</v>
      </c>
      <c r="E225" s="162" t="s">
        <v>187</v>
      </c>
      <c r="F225" s="135"/>
      <c r="G225" s="135"/>
      <c r="H225" s="135"/>
      <c r="I225" s="135"/>
      <c r="J225" s="135"/>
      <c r="K225" s="136"/>
      <c r="L225" s="137"/>
    </row>
    <row r="226" ht="12.75" customHeight="1">
      <c r="A226" s="135"/>
      <c r="B226" s="135" t="s">
        <v>192</v>
      </c>
      <c r="C226" s="135"/>
      <c r="D226" s="162" t="s">
        <v>186</v>
      </c>
      <c r="E226" s="162" t="s">
        <v>187</v>
      </c>
      <c r="F226" s="135"/>
      <c r="G226" s="135"/>
      <c r="H226" s="135"/>
      <c r="I226" s="135"/>
      <c r="J226" s="135"/>
      <c r="K226" s="135"/>
      <c r="L226" s="4"/>
    </row>
    <row r="227" ht="12.75" customHeight="1">
      <c r="A227" s="135"/>
      <c r="B227" s="155"/>
      <c r="C227" s="135"/>
      <c r="D227" s="135"/>
      <c r="E227" s="135"/>
      <c r="F227" s="135"/>
      <c r="G227" s="135"/>
      <c r="H227" s="135"/>
      <c r="I227" s="135"/>
      <c r="J227" s="135"/>
      <c r="K227" s="135"/>
      <c r="L227" s="4"/>
    </row>
    <row r="228" ht="12.75" customHeight="1">
      <c r="A228" s="135"/>
      <c r="B228" s="155"/>
      <c r="C228" s="135"/>
      <c r="D228" s="135"/>
      <c r="E228" s="135"/>
      <c r="F228" s="135"/>
      <c r="G228" s="135"/>
      <c r="H228" s="135"/>
      <c r="I228" s="135"/>
      <c r="J228" s="135"/>
      <c r="K228" s="135"/>
      <c r="L228" s="4"/>
    </row>
    <row r="229" ht="12.75" customHeight="1">
      <c r="A229" s="135"/>
      <c r="B229" s="135"/>
      <c r="C229" s="135"/>
      <c r="D229" s="135"/>
      <c r="E229" s="135"/>
      <c r="F229" s="135"/>
      <c r="G229" s="135"/>
      <c r="H229" s="135"/>
      <c r="I229" s="135"/>
      <c r="J229" s="135"/>
      <c r="K229" s="136"/>
      <c r="L229" s="137"/>
    </row>
    <row r="230" ht="12.75" customHeight="1">
      <c r="A230" s="135"/>
      <c r="B230" s="135"/>
      <c r="C230" s="135"/>
      <c r="D230" s="135"/>
      <c r="E230" s="135"/>
      <c r="F230" s="135"/>
      <c r="G230" s="135"/>
      <c r="H230" s="135"/>
      <c r="I230" s="135"/>
      <c r="J230" s="135"/>
      <c r="K230" s="136"/>
      <c r="L230" s="137"/>
    </row>
    <row r="231" ht="12.75" customHeight="1">
      <c r="A231" s="135"/>
      <c r="B231" s="135"/>
      <c r="C231" s="135"/>
      <c r="D231" s="135"/>
      <c r="E231" s="135"/>
      <c r="F231" s="135"/>
      <c r="G231" s="135"/>
      <c r="H231" s="135"/>
      <c r="I231" s="135"/>
      <c r="J231" s="135"/>
      <c r="K231" s="136"/>
      <c r="L231" s="137"/>
    </row>
    <row r="232" ht="12.75" customHeight="1">
      <c r="A232" s="135"/>
      <c r="B232" s="135"/>
      <c r="C232" s="135"/>
      <c r="D232" s="135"/>
      <c r="E232" s="135"/>
      <c r="F232" s="135"/>
      <c r="G232" s="135"/>
      <c r="H232" s="135"/>
      <c r="I232" s="135"/>
      <c r="J232" s="135"/>
      <c r="K232" s="136"/>
      <c r="L232" s="137"/>
    </row>
    <row r="233" ht="12.75" customHeight="1">
      <c r="A233" s="135"/>
      <c r="B233" s="135"/>
      <c r="C233" s="135"/>
      <c r="D233" s="135"/>
      <c r="E233" s="135"/>
      <c r="F233" s="135"/>
      <c r="G233" s="135"/>
      <c r="H233" s="135"/>
      <c r="I233" s="135"/>
      <c r="J233" s="135"/>
      <c r="K233" s="136"/>
      <c r="L233" s="137"/>
    </row>
    <row r="234" ht="12.75" customHeight="1">
      <c r="A234" s="135"/>
      <c r="B234" s="135"/>
      <c r="C234" s="135"/>
      <c r="D234" s="135"/>
      <c r="E234" s="135"/>
      <c r="F234" s="135"/>
      <c r="G234" s="135"/>
      <c r="H234" s="135"/>
      <c r="I234" s="135"/>
      <c r="J234" s="135"/>
      <c r="K234" s="136"/>
      <c r="L234" s="137"/>
    </row>
    <row r="235" ht="12.75" customHeight="1">
      <c r="A235" s="135"/>
      <c r="B235" s="135"/>
      <c r="C235" s="135"/>
      <c r="D235" s="135"/>
      <c r="E235" s="135"/>
      <c r="F235" s="135"/>
      <c r="G235" s="135"/>
      <c r="H235" s="135"/>
      <c r="I235" s="135"/>
      <c r="J235" s="135"/>
      <c r="K235" s="136"/>
      <c r="L235" s="137"/>
    </row>
    <row r="236" ht="12.75" customHeight="1">
      <c r="A236" s="135"/>
      <c r="B236" s="135"/>
      <c r="C236" s="135"/>
      <c r="D236" s="135"/>
      <c r="E236" s="135"/>
      <c r="F236" s="135"/>
      <c r="G236" s="135"/>
      <c r="H236" s="135"/>
      <c r="I236" s="135"/>
      <c r="J236" s="135"/>
      <c r="K236" s="136"/>
      <c r="L236" s="137"/>
    </row>
    <row r="237" ht="12.75" customHeight="1">
      <c r="A237" s="135"/>
      <c r="B237" s="135"/>
      <c r="C237" s="135"/>
      <c r="D237" s="135"/>
      <c r="E237" s="135"/>
      <c r="F237" s="135"/>
      <c r="G237" s="135"/>
      <c r="H237" s="135"/>
      <c r="I237" s="135"/>
      <c r="J237" s="135"/>
      <c r="K237" s="136"/>
      <c r="L237" s="137"/>
    </row>
    <row r="238" ht="12.75" customHeight="1">
      <c r="A238" s="135"/>
      <c r="B238" s="135"/>
      <c r="C238" s="135"/>
      <c r="D238" s="135"/>
      <c r="E238" s="135"/>
      <c r="F238" s="135"/>
      <c r="G238" s="135"/>
      <c r="H238" s="135"/>
      <c r="I238" s="135"/>
      <c r="J238" s="135"/>
      <c r="K238" s="136"/>
      <c r="L238" s="137"/>
    </row>
    <row r="239" ht="12.75" customHeight="1">
      <c r="A239" s="135"/>
      <c r="B239" s="135"/>
      <c r="C239" s="135"/>
      <c r="D239" s="135"/>
      <c r="E239" s="135"/>
      <c r="F239" s="135"/>
      <c r="G239" s="135"/>
      <c r="H239" s="135"/>
      <c r="I239" s="135"/>
      <c r="J239" s="135"/>
      <c r="K239" s="136"/>
      <c r="L239" s="137"/>
    </row>
    <row r="240" ht="12.75" customHeight="1">
      <c r="A240" s="135"/>
      <c r="B240" s="135"/>
      <c r="C240" s="135"/>
      <c r="D240" s="135"/>
      <c r="E240" s="135"/>
      <c r="F240" s="135"/>
      <c r="G240" s="135"/>
      <c r="H240" s="135"/>
      <c r="I240" s="135"/>
      <c r="J240" s="135"/>
      <c r="K240" s="136"/>
      <c r="L240" s="137"/>
    </row>
    <row r="241" ht="12.75" customHeight="1">
      <c r="A241" s="135"/>
      <c r="B241" s="135"/>
      <c r="C241" s="135"/>
      <c r="D241" s="135"/>
      <c r="E241" s="135"/>
      <c r="F241" s="135"/>
      <c r="G241" s="135"/>
      <c r="H241" s="135"/>
      <c r="I241" s="135"/>
      <c r="J241" s="135"/>
      <c r="K241" s="136"/>
      <c r="L241" s="137"/>
    </row>
    <row r="242" ht="12.75" customHeight="1">
      <c r="A242" s="135"/>
      <c r="B242" s="135"/>
      <c r="C242" s="135"/>
      <c r="D242" s="135"/>
      <c r="E242" s="135"/>
      <c r="F242" s="135"/>
      <c r="G242" s="135"/>
      <c r="H242" s="135"/>
      <c r="I242" s="135"/>
      <c r="J242" s="135"/>
      <c r="K242" s="136"/>
      <c r="L242" s="137"/>
    </row>
    <row r="243" ht="12.75" customHeight="1">
      <c r="A243" s="135"/>
      <c r="B243" s="135"/>
      <c r="C243" s="135"/>
      <c r="D243" s="135"/>
      <c r="E243" s="135"/>
      <c r="F243" s="135"/>
      <c r="G243" s="135"/>
      <c r="H243" s="135"/>
      <c r="I243" s="135"/>
      <c r="J243" s="135"/>
      <c r="K243" s="136"/>
      <c r="L243" s="137"/>
    </row>
    <row r="244" ht="12.75" customHeight="1">
      <c r="A244" s="135"/>
      <c r="B244" s="135"/>
      <c r="C244" s="135"/>
      <c r="D244" s="135"/>
      <c r="E244" s="135"/>
      <c r="F244" s="135"/>
      <c r="G244" s="135"/>
      <c r="H244" s="135"/>
      <c r="I244" s="135"/>
      <c r="J244" s="135"/>
      <c r="K244" s="136"/>
      <c r="L244" s="137"/>
    </row>
    <row r="245" ht="12.75" customHeight="1">
      <c r="A245" s="135"/>
      <c r="B245" s="135"/>
      <c r="C245" s="135"/>
      <c r="D245" s="135"/>
      <c r="E245" s="135"/>
      <c r="F245" s="135"/>
      <c r="G245" s="135"/>
      <c r="H245" s="135"/>
      <c r="I245" s="135"/>
      <c r="J245" s="135"/>
      <c r="K245" s="136"/>
      <c r="L245" s="137"/>
    </row>
    <row r="246" ht="12.75" customHeight="1">
      <c r="A246" s="135"/>
      <c r="B246" s="135"/>
      <c r="C246" s="135"/>
      <c r="D246" s="135"/>
      <c r="E246" s="135"/>
      <c r="F246" s="135"/>
      <c r="G246" s="135"/>
      <c r="H246" s="135"/>
      <c r="I246" s="135"/>
      <c r="J246" s="135"/>
      <c r="K246" s="136"/>
      <c r="L246" s="137"/>
    </row>
    <row r="247" ht="12.75" customHeight="1">
      <c r="A247" s="135"/>
      <c r="B247" s="135"/>
      <c r="C247" s="135"/>
      <c r="D247" s="135"/>
      <c r="E247" s="135"/>
      <c r="F247" s="135"/>
      <c r="G247" s="135"/>
      <c r="H247" s="135"/>
      <c r="I247" s="135"/>
      <c r="J247" s="135"/>
      <c r="K247" s="136"/>
      <c r="L247" s="137"/>
    </row>
    <row r="248" ht="12.75" customHeight="1">
      <c r="A248" s="135"/>
      <c r="B248" s="135"/>
      <c r="C248" s="135"/>
      <c r="D248" s="135"/>
      <c r="E248" s="135"/>
      <c r="F248" s="135"/>
      <c r="G248" s="135"/>
      <c r="H248" s="135"/>
      <c r="I248" s="135"/>
      <c r="J248" s="135"/>
      <c r="K248" s="136"/>
      <c r="L248" s="137"/>
    </row>
    <row r="249" ht="12.75" customHeight="1">
      <c r="A249" s="135"/>
      <c r="B249" s="135"/>
      <c r="C249" s="135"/>
      <c r="D249" s="135"/>
      <c r="E249" s="135"/>
      <c r="F249" s="135"/>
      <c r="G249" s="135"/>
      <c r="H249" s="135"/>
      <c r="I249" s="135"/>
      <c r="J249" s="135"/>
      <c r="K249" s="136"/>
      <c r="L249" s="137"/>
    </row>
    <row r="250" ht="12.75" customHeight="1">
      <c r="A250" s="135"/>
      <c r="B250" s="135"/>
      <c r="C250" s="135"/>
      <c r="D250" s="135"/>
      <c r="E250" s="135"/>
      <c r="F250" s="135"/>
      <c r="G250" s="135"/>
      <c r="H250" s="135"/>
      <c r="I250" s="135"/>
      <c r="J250" s="135"/>
      <c r="K250" s="136"/>
      <c r="L250" s="137"/>
    </row>
    <row r="251" ht="12.75" customHeight="1">
      <c r="A251" s="135"/>
      <c r="B251" s="135"/>
      <c r="C251" s="135"/>
      <c r="D251" s="135"/>
      <c r="E251" s="135"/>
      <c r="F251" s="135"/>
      <c r="G251" s="135"/>
      <c r="H251" s="135"/>
      <c r="I251" s="135"/>
      <c r="J251" s="135"/>
      <c r="K251" s="136"/>
      <c r="L251" s="137"/>
    </row>
    <row r="252" ht="12.75" customHeight="1">
      <c r="A252" s="135"/>
      <c r="B252" s="135"/>
      <c r="C252" s="135"/>
      <c r="D252" s="135"/>
      <c r="E252" s="135"/>
      <c r="F252" s="135"/>
      <c r="G252" s="135"/>
      <c r="H252" s="135"/>
      <c r="I252" s="135"/>
      <c r="J252" s="135"/>
      <c r="K252" s="136"/>
      <c r="L252" s="137"/>
    </row>
    <row r="253" ht="12.75" customHeight="1">
      <c r="A253" s="135"/>
      <c r="B253" s="135"/>
      <c r="C253" s="135"/>
      <c r="D253" s="135"/>
      <c r="E253" s="135"/>
      <c r="F253" s="135"/>
      <c r="G253" s="135"/>
      <c r="H253" s="135"/>
      <c r="I253" s="135"/>
      <c r="J253" s="135"/>
      <c r="K253" s="136"/>
      <c r="L253" s="137"/>
    </row>
    <row r="254" ht="12.75" customHeight="1">
      <c r="A254" s="135"/>
      <c r="B254" s="135"/>
      <c r="C254" s="135"/>
      <c r="D254" s="135"/>
      <c r="E254" s="135"/>
      <c r="F254" s="135"/>
      <c r="G254" s="135"/>
      <c r="H254" s="135"/>
      <c r="I254" s="135"/>
      <c r="J254" s="135"/>
      <c r="K254" s="136"/>
      <c r="L254" s="137"/>
    </row>
    <row r="255" ht="12.75" customHeight="1">
      <c r="A255" s="135"/>
      <c r="B255" s="135"/>
      <c r="C255" s="135"/>
      <c r="D255" s="135"/>
      <c r="E255" s="135"/>
      <c r="F255" s="135"/>
      <c r="G255" s="135"/>
      <c r="H255" s="135"/>
      <c r="I255" s="135"/>
      <c r="J255" s="135"/>
      <c r="K255" s="136"/>
      <c r="L255" s="137"/>
    </row>
    <row r="256" ht="12.75" customHeight="1">
      <c r="A256" s="135"/>
      <c r="B256" s="135"/>
      <c r="C256" s="135"/>
      <c r="D256" s="135"/>
      <c r="E256" s="135"/>
      <c r="F256" s="135"/>
      <c r="G256" s="135"/>
      <c r="H256" s="135"/>
      <c r="I256" s="135"/>
      <c r="J256" s="135"/>
      <c r="K256" s="136"/>
      <c r="L256" s="137"/>
    </row>
    <row r="257" ht="12.75" customHeight="1">
      <c r="A257" s="135"/>
      <c r="B257" s="135"/>
      <c r="C257" s="135"/>
      <c r="D257" s="135"/>
      <c r="E257" s="135"/>
      <c r="F257" s="135"/>
      <c r="G257" s="135"/>
      <c r="H257" s="135"/>
      <c r="I257" s="135"/>
      <c r="J257" s="135"/>
      <c r="K257" s="136"/>
      <c r="L257" s="137"/>
    </row>
    <row r="258" ht="12.75" customHeight="1">
      <c r="A258" s="135"/>
      <c r="B258" s="135"/>
      <c r="C258" s="135"/>
      <c r="D258" s="135"/>
      <c r="E258" s="135"/>
      <c r="F258" s="135"/>
      <c r="G258" s="135"/>
      <c r="H258" s="135"/>
      <c r="I258" s="135"/>
      <c r="J258" s="135"/>
      <c r="K258" s="136"/>
      <c r="L258" s="137"/>
    </row>
    <row r="259" ht="12.75" customHeight="1">
      <c r="A259" s="135"/>
      <c r="B259" s="135"/>
      <c r="C259" s="135"/>
      <c r="D259" s="135"/>
      <c r="E259" s="135"/>
      <c r="F259" s="135"/>
      <c r="G259" s="135"/>
      <c r="H259" s="135"/>
      <c r="I259" s="135"/>
      <c r="J259" s="135"/>
      <c r="K259" s="136"/>
      <c r="L259" s="137"/>
    </row>
    <row r="260" ht="12.75" customHeight="1">
      <c r="A260" s="135"/>
      <c r="B260" s="135"/>
      <c r="C260" s="135"/>
      <c r="D260" s="135"/>
      <c r="E260" s="135"/>
      <c r="F260" s="135"/>
      <c r="G260" s="135"/>
      <c r="H260" s="135"/>
      <c r="I260" s="135"/>
      <c r="J260" s="135"/>
      <c r="K260" s="136"/>
      <c r="L260" s="137"/>
    </row>
    <row r="261" ht="12.75" customHeight="1">
      <c r="A261" s="135"/>
      <c r="B261" s="135"/>
      <c r="C261" s="135"/>
      <c r="D261" s="135"/>
      <c r="E261" s="135"/>
      <c r="F261" s="135"/>
      <c r="G261" s="135"/>
      <c r="H261" s="135"/>
      <c r="I261" s="135"/>
      <c r="J261" s="135"/>
      <c r="K261" s="136"/>
      <c r="L261" s="137"/>
    </row>
    <row r="262" ht="12.75" customHeight="1">
      <c r="A262" s="135"/>
      <c r="B262" s="135"/>
      <c r="C262" s="135"/>
      <c r="D262" s="135"/>
      <c r="E262" s="135"/>
      <c r="F262" s="135"/>
      <c r="G262" s="135"/>
      <c r="H262" s="135"/>
      <c r="I262" s="135"/>
      <c r="J262" s="135"/>
      <c r="K262" s="136"/>
      <c r="L262" s="137"/>
    </row>
    <row r="263" ht="12.75" customHeight="1">
      <c r="A263" s="135"/>
      <c r="B263" s="135"/>
      <c r="C263" s="135"/>
      <c r="D263" s="135"/>
      <c r="E263" s="135"/>
      <c r="F263" s="135"/>
      <c r="G263" s="135"/>
      <c r="H263" s="135"/>
      <c r="I263" s="135"/>
      <c r="J263" s="135"/>
      <c r="K263" s="136"/>
      <c r="L263" s="137"/>
    </row>
    <row r="264" ht="12.75" customHeight="1">
      <c r="A264" s="135"/>
      <c r="B264" s="135"/>
      <c r="C264" s="135"/>
      <c r="D264" s="135"/>
      <c r="E264" s="135"/>
      <c r="F264" s="135"/>
      <c r="G264" s="135"/>
      <c r="H264" s="135"/>
      <c r="I264" s="135"/>
      <c r="J264" s="135"/>
      <c r="K264" s="136"/>
      <c r="L264" s="137"/>
    </row>
    <row r="265" ht="12.75" customHeight="1">
      <c r="A265" s="135"/>
      <c r="B265" s="135"/>
      <c r="C265" s="135"/>
      <c r="D265" s="135"/>
      <c r="E265" s="135"/>
      <c r="F265" s="135"/>
      <c r="G265" s="135"/>
      <c r="H265" s="135"/>
      <c r="I265" s="135"/>
      <c r="J265" s="135"/>
      <c r="K265" s="136"/>
      <c r="L265" s="137"/>
    </row>
    <row r="266" ht="12.75" customHeight="1">
      <c r="A266" s="135"/>
      <c r="B266" s="135"/>
      <c r="C266" s="135"/>
      <c r="D266" s="135"/>
      <c r="E266" s="135"/>
      <c r="F266" s="135"/>
      <c r="G266" s="135"/>
      <c r="H266" s="135"/>
      <c r="I266" s="135"/>
      <c r="J266" s="135"/>
      <c r="K266" s="136"/>
      <c r="L266" s="137"/>
    </row>
    <row r="267" ht="12.75" customHeight="1">
      <c r="A267" s="135"/>
      <c r="B267" s="135"/>
      <c r="C267" s="135"/>
      <c r="D267" s="135"/>
      <c r="E267" s="135"/>
      <c r="F267" s="135"/>
      <c r="G267" s="135"/>
      <c r="H267" s="135"/>
      <c r="I267" s="135"/>
      <c r="J267" s="135"/>
      <c r="K267" s="136"/>
      <c r="L267" s="137"/>
    </row>
    <row r="268" ht="12.75" customHeight="1">
      <c r="A268" s="135"/>
      <c r="B268" s="135"/>
      <c r="C268" s="135"/>
      <c r="D268" s="135"/>
      <c r="E268" s="135"/>
      <c r="F268" s="135"/>
      <c r="G268" s="135"/>
      <c r="H268" s="135"/>
      <c r="I268" s="135"/>
      <c r="J268" s="135"/>
      <c r="K268" s="136"/>
      <c r="L268" s="137"/>
    </row>
    <row r="269" ht="12.75" customHeight="1">
      <c r="A269" s="135"/>
      <c r="B269" s="135"/>
      <c r="C269" s="135"/>
      <c r="D269" s="135"/>
      <c r="E269" s="135"/>
      <c r="F269" s="135"/>
      <c r="G269" s="135"/>
      <c r="H269" s="135"/>
      <c r="I269" s="135"/>
      <c r="J269" s="135"/>
      <c r="K269" s="136"/>
      <c r="L269" s="137"/>
    </row>
    <row r="270" ht="12.75" customHeight="1">
      <c r="A270" s="135"/>
      <c r="B270" s="135"/>
      <c r="C270" s="135"/>
      <c r="D270" s="135"/>
      <c r="E270" s="135"/>
      <c r="F270" s="135"/>
      <c r="G270" s="135"/>
      <c r="H270" s="135"/>
      <c r="I270" s="135"/>
      <c r="J270" s="135"/>
      <c r="K270" s="136"/>
      <c r="L270" s="137"/>
    </row>
    <row r="271" ht="12.75" customHeight="1">
      <c r="A271" s="135"/>
      <c r="B271" s="135"/>
      <c r="C271" s="135"/>
      <c r="D271" s="135"/>
      <c r="E271" s="135"/>
      <c r="F271" s="135"/>
      <c r="G271" s="135"/>
      <c r="H271" s="135"/>
      <c r="I271" s="135"/>
      <c r="J271" s="135"/>
      <c r="K271" s="136"/>
      <c r="L271" s="137"/>
    </row>
    <row r="272" ht="12.75" customHeight="1">
      <c r="A272" s="135"/>
      <c r="B272" s="135"/>
      <c r="C272" s="135"/>
      <c r="D272" s="135"/>
      <c r="E272" s="135"/>
      <c r="F272" s="135"/>
      <c r="G272" s="135"/>
      <c r="H272" s="135"/>
      <c r="I272" s="135"/>
      <c r="J272" s="135"/>
      <c r="K272" s="136"/>
      <c r="L272" s="137"/>
    </row>
    <row r="273" ht="12.75" customHeight="1">
      <c r="A273" s="135"/>
      <c r="B273" s="135"/>
      <c r="C273" s="135"/>
      <c r="D273" s="135"/>
      <c r="E273" s="135"/>
      <c r="F273" s="135"/>
      <c r="G273" s="135"/>
      <c r="H273" s="135"/>
      <c r="I273" s="135"/>
      <c r="J273" s="135"/>
      <c r="K273" s="136"/>
      <c r="L273" s="137"/>
    </row>
    <row r="274" ht="12.75" customHeight="1">
      <c r="A274" s="135"/>
      <c r="B274" s="135"/>
      <c r="C274" s="135"/>
      <c r="D274" s="135"/>
      <c r="E274" s="135"/>
      <c r="F274" s="135"/>
      <c r="G274" s="135"/>
      <c r="H274" s="135"/>
      <c r="I274" s="135"/>
      <c r="J274" s="135"/>
      <c r="K274" s="136"/>
      <c r="L274" s="137"/>
    </row>
    <row r="275" ht="12.75" customHeight="1">
      <c r="A275" s="135"/>
      <c r="B275" s="135"/>
      <c r="C275" s="135"/>
      <c r="D275" s="135"/>
      <c r="E275" s="135"/>
      <c r="F275" s="135"/>
      <c r="G275" s="135"/>
      <c r="H275" s="135"/>
      <c r="I275" s="135"/>
      <c r="J275" s="135"/>
      <c r="K275" s="136"/>
      <c r="L275" s="137"/>
    </row>
    <row r="276" ht="12.75" customHeight="1">
      <c r="A276" s="135"/>
      <c r="B276" s="135"/>
      <c r="C276" s="135"/>
      <c r="D276" s="135"/>
      <c r="E276" s="135"/>
      <c r="F276" s="135"/>
      <c r="G276" s="135"/>
      <c r="H276" s="135"/>
      <c r="I276" s="135"/>
      <c r="J276" s="135"/>
      <c r="K276" s="136"/>
      <c r="L276" s="137"/>
    </row>
    <row r="277" ht="12.75" customHeight="1">
      <c r="A277" s="135"/>
      <c r="B277" s="135"/>
      <c r="C277" s="135"/>
      <c r="D277" s="135"/>
      <c r="E277" s="135"/>
      <c r="F277" s="135"/>
      <c r="G277" s="135"/>
      <c r="H277" s="135"/>
      <c r="I277" s="135"/>
      <c r="J277" s="135"/>
      <c r="K277" s="136"/>
      <c r="L277" s="137"/>
    </row>
    <row r="278" ht="12.75" customHeight="1">
      <c r="A278" s="135"/>
      <c r="B278" s="135"/>
      <c r="C278" s="135"/>
      <c r="D278" s="135"/>
      <c r="E278" s="135"/>
      <c r="F278" s="135"/>
      <c r="G278" s="135"/>
      <c r="H278" s="135"/>
      <c r="I278" s="135"/>
      <c r="J278" s="135"/>
      <c r="K278" s="136"/>
      <c r="L278" s="137"/>
    </row>
    <row r="279" ht="12.75" customHeight="1">
      <c r="A279" s="135"/>
      <c r="B279" s="135"/>
      <c r="C279" s="135"/>
      <c r="D279" s="135"/>
      <c r="E279" s="135"/>
      <c r="F279" s="135"/>
      <c r="G279" s="135"/>
      <c r="H279" s="135"/>
      <c r="I279" s="135"/>
      <c r="J279" s="135"/>
      <c r="K279" s="136"/>
      <c r="L279" s="137"/>
    </row>
    <row r="280" ht="12.75" customHeight="1">
      <c r="A280" s="135"/>
      <c r="B280" s="135"/>
      <c r="C280" s="135"/>
      <c r="D280" s="135"/>
      <c r="E280" s="135"/>
      <c r="F280" s="135"/>
      <c r="G280" s="135"/>
      <c r="H280" s="135"/>
      <c r="I280" s="135"/>
      <c r="J280" s="135"/>
      <c r="K280" s="136"/>
      <c r="L280" s="137"/>
    </row>
    <row r="281" ht="12.75" customHeight="1">
      <c r="A281" s="135"/>
      <c r="B281" s="135"/>
      <c r="C281" s="135"/>
      <c r="D281" s="135"/>
      <c r="E281" s="135"/>
      <c r="F281" s="135"/>
      <c r="G281" s="135"/>
      <c r="H281" s="135"/>
      <c r="I281" s="135"/>
      <c r="J281" s="135"/>
      <c r="K281" s="136"/>
      <c r="L281" s="137"/>
    </row>
    <row r="282" ht="12.75" customHeight="1">
      <c r="A282" s="135"/>
      <c r="B282" s="135"/>
      <c r="C282" s="135"/>
      <c r="D282" s="135"/>
      <c r="E282" s="135"/>
      <c r="F282" s="135"/>
      <c r="G282" s="135"/>
      <c r="H282" s="135"/>
      <c r="I282" s="135"/>
      <c r="J282" s="135"/>
      <c r="K282" s="136"/>
      <c r="L282" s="137"/>
    </row>
    <row r="283" ht="12.75" customHeight="1">
      <c r="A283" s="135"/>
      <c r="B283" s="135"/>
      <c r="C283" s="135"/>
      <c r="D283" s="135"/>
      <c r="E283" s="135"/>
      <c r="F283" s="135"/>
      <c r="G283" s="135"/>
      <c r="H283" s="135"/>
      <c r="I283" s="135"/>
      <c r="J283" s="135"/>
      <c r="K283" s="136"/>
      <c r="L283" s="137"/>
    </row>
    <row r="284" ht="12.75" customHeight="1">
      <c r="A284" s="135"/>
      <c r="B284" s="135"/>
      <c r="C284" s="135"/>
      <c r="D284" s="135"/>
      <c r="E284" s="135"/>
      <c r="F284" s="135"/>
      <c r="G284" s="135"/>
      <c r="H284" s="135"/>
      <c r="I284" s="135"/>
      <c r="J284" s="135"/>
      <c r="K284" s="136"/>
      <c r="L284" s="137"/>
    </row>
    <row r="285" ht="12.75" customHeight="1">
      <c r="A285" s="135"/>
      <c r="B285" s="135"/>
      <c r="C285" s="135"/>
      <c r="D285" s="135"/>
      <c r="E285" s="135"/>
      <c r="F285" s="135"/>
      <c r="G285" s="135"/>
      <c r="H285" s="135"/>
      <c r="I285" s="135"/>
      <c r="J285" s="135"/>
      <c r="K285" s="136"/>
      <c r="L285" s="137"/>
    </row>
    <row r="286" ht="12.75" customHeight="1">
      <c r="A286" s="135"/>
      <c r="B286" s="135"/>
      <c r="C286" s="135"/>
      <c r="D286" s="135"/>
      <c r="E286" s="135"/>
      <c r="F286" s="135"/>
      <c r="G286" s="135"/>
      <c r="H286" s="135"/>
      <c r="I286" s="135"/>
      <c r="J286" s="135"/>
      <c r="K286" s="136"/>
      <c r="L286" s="137"/>
    </row>
    <row r="287" ht="12.75" customHeight="1">
      <c r="A287" s="135"/>
      <c r="B287" s="135"/>
      <c r="C287" s="135"/>
      <c r="D287" s="135"/>
      <c r="E287" s="135"/>
      <c r="F287" s="135"/>
      <c r="G287" s="135"/>
      <c r="H287" s="135"/>
      <c r="I287" s="135"/>
      <c r="J287" s="135"/>
      <c r="K287" s="136"/>
      <c r="L287" s="137"/>
    </row>
    <row r="288" ht="12.75" customHeight="1">
      <c r="A288" s="135"/>
      <c r="B288" s="135"/>
      <c r="C288" s="135"/>
      <c r="D288" s="135"/>
      <c r="E288" s="135"/>
      <c r="F288" s="135"/>
      <c r="G288" s="135"/>
      <c r="H288" s="135"/>
      <c r="I288" s="135"/>
      <c r="J288" s="135"/>
      <c r="K288" s="136"/>
      <c r="L288" s="137"/>
    </row>
    <row r="289" ht="12.75" customHeight="1">
      <c r="A289" s="135"/>
      <c r="B289" s="135"/>
      <c r="C289" s="135"/>
      <c r="D289" s="135"/>
      <c r="E289" s="135"/>
      <c r="F289" s="135"/>
      <c r="G289" s="135"/>
      <c r="H289" s="135"/>
      <c r="I289" s="135"/>
      <c r="J289" s="135"/>
      <c r="K289" s="136"/>
      <c r="L289" s="137"/>
    </row>
    <row r="290" ht="12.75" customHeight="1">
      <c r="A290" s="135"/>
      <c r="B290" s="135"/>
      <c r="C290" s="135"/>
      <c r="D290" s="135"/>
      <c r="E290" s="135"/>
      <c r="F290" s="135"/>
      <c r="G290" s="135"/>
      <c r="H290" s="135"/>
      <c r="I290" s="135"/>
      <c r="J290" s="135"/>
      <c r="K290" s="136"/>
      <c r="L290" s="137"/>
    </row>
    <row r="291" ht="12.75" customHeight="1">
      <c r="A291" s="135"/>
      <c r="B291" s="135"/>
      <c r="C291" s="135"/>
      <c r="D291" s="135"/>
      <c r="E291" s="135"/>
      <c r="F291" s="135"/>
      <c r="G291" s="135"/>
      <c r="H291" s="135"/>
      <c r="I291" s="135"/>
      <c r="J291" s="135"/>
      <c r="K291" s="136"/>
      <c r="L291" s="137"/>
    </row>
    <row r="292" ht="12.75" customHeight="1">
      <c r="A292" s="135"/>
      <c r="B292" s="135"/>
      <c r="C292" s="135"/>
      <c r="D292" s="135"/>
      <c r="E292" s="135"/>
      <c r="F292" s="135"/>
      <c r="G292" s="135"/>
      <c r="H292" s="135"/>
      <c r="I292" s="135"/>
      <c r="J292" s="135"/>
      <c r="K292" s="136"/>
      <c r="L292" s="137"/>
    </row>
    <row r="293" ht="12.75" customHeight="1">
      <c r="A293" s="135"/>
      <c r="B293" s="135"/>
      <c r="C293" s="135"/>
      <c r="D293" s="135"/>
      <c r="E293" s="135"/>
      <c r="F293" s="135"/>
      <c r="G293" s="135"/>
      <c r="H293" s="135"/>
      <c r="I293" s="135"/>
      <c r="J293" s="135"/>
      <c r="K293" s="136"/>
      <c r="L293" s="137"/>
    </row>
    <row r="294" ht="12.75" customHeight="1">
      <c r="A294" s="135"/>
      <c r="B294" s="135"/>
      <c r="C294" s="135"/>
      <c r="D294" s="135"/>
      <c r="E294" s="135"/>
      <c r="F294" s="135"/>
      <c r="G294" s="135"/>
      <c r="H294" s="135"/>
      <c r="I294" s="135"/>
      <c r="J294" s="135"/>
      <c r="K294" s="136"/>
      <c r="L294" s="137"/>
    </row>
    <row r="295" ht="12.75" customHeight="1">
      <c r="A295" s="135"/>
      <c r="B295" s="135"/>
      <c r="C295" s="135"/>
      <c r="D295" s="135"/>
      <c r="E295" s="135"/>
      <c r="F295" s="135"/>
      <c r="G295" s="135"/>
      <c r="H295" s="135"/>
      <c r="I295" s="135"/>
      <c r="J295" s="135"/>
      <c r="K295" s="136"/>
      <c r="L295" s="137"/>
    </row>
    <row r="296" ht="12.75" customHeight="1">
      <c r="A296" s="135"/>
      <c r="B296" s="135"/>
      <c r="C296" s="135"/>
      <c r="D296" s="135"/>
      <c r="E296" s="135"/>
      <c r="F296" s="135"/>
      <c r="G296" s="135"/>
      <c r="H296" s="135"/>
      <c r="I296" s="135"/>
      <c r="J296" s="135"/>
      <c r="K296" s="136"/>
      <c r="L296" s="137"/>
    </row>
    <row r="297" ht="12.75" customHeight="1">
      <c r="A297" s="135"/>
      <c r="B297" s="135"/>
      <c r="C297" s="135"/>
      <c r="D297" s="135"/>
      <c r="E297" s="135"/>
      <c r="F297" s="135"/>
      <c r="G297" s="135"/>
      <c r="H297" s="135"/>
      <c r="I297" s="135"/>
      <c r="J297" s="135"/>
      <c r="K297" s="136"/>
      <c r="L297" s="137"/>
    </row>
    <row r="298" ht="12.75" customHeight="1">
      <c r="A298" s="135"/>
      <c r="B298" s="135"/>
      <c r="C298" s="135"/>
      <c r="D298" s="135"/>
      <c r="E298" s="135"/>
      <c r="F298" s="135"/>
      <c r="G298" s="135"/>
      <c r="H298" s="135"/>
      <c r="I298" s="135"/>
      <c r="J298" s="135"/>
      <c r="K298" s="136"/>
      <c r="L298" s="137"/>
    </row>
    <row r="299" ht="12.75" customHeight="1">
      <c r="A299" s="135"/>
      <c r="B299" s="135"/>
      <c r="C299" s="135"/>
      <c r="D299" s="135"/>
      <c r="E299" s="135"/>
      <c r="F299" s="135"/>
      <c r="G299" s="135"/>
      <c r="H299" s="135"/>
      <c r="I299" s="135"/>
      <c r="J299" s="135"/>
      <c r="K299" s="136"/>
      <c r="L299" s="137"/>
    </row>
    <row r="300" ht="12.75" customHeight="1">
      <c r="A300" s="135"/>
      <c r="B300" s="135"/>
      <c r="C300" s="135"/>
      <c r="D300" s="135"/>
      <c r="E300" s="135"/>
      <c r="F300" s="135"/>
      <c r="G300" s="135"/>
      <c r="H300" s="135"/>
      <c r="I300" s="135"/>
      <c r="J300" s="135"/>
      <c r="K300" s="136"/>
      <c r="L300" s="137"/>
    </row>
    <row r="301" ht="12.75" customHeight="1">
      <c r="A301" s="135"/>
      <c r="B301" s="135"/>
      <c r="C301" s="135"/>
      <c r="D301" s="135"/>
      <c r="E301" s="135"/>
      <c r="F301" s="135"/>
      <c r="G301" s="135"/>
      <c r="H301" s="135"/>
      <c r="I301" s="135"/>
      <c r="J301" s="135"/>
      <c r="K301" s="136"/>
      <c r="L301" s="137"/>
    </row>
    <row r="302" ht="12.75" customHeight="1">
      <c r="A302" s="135"/>
      <c r="B302" s="135"/>
      <c r="C302" s="135"/>
      <c r="D302" s="135"/>
      <c r="E302" s="135"/>
      <c r="F302" s="135"/>
      <c r="G302" s="135"/>
      <c r="H302" s="135"/>
      <c r="I302" s="135"/>
      <c r="J302" s="135"/>
      <c r="K302" s="136"/>
      <c r="L302" s="137"/>
    </row>
    <row r="303" ht="12.75" customHeight="1">
      <c r="A303" s="135"/>
      <c r="B303" s="135"/>
      <c r="C303" s="135"/>
      <c r="D303" s="135"/>
      <c r="E303" s="135"/>
      <c r="F303" s="135"/>
      <c r="G303" s="135"/>
      <c r="H303" s="135"/>
      <c r="I303" s="135"/>
      <c r="J303" s="135"/>
      <c r="K303" s="136"/>
      <c r="L303" s="137"/>
    </row>
    <row r="304" ht="12.75" customHeight="1">
      <c r="A304" s="135"/>
      <c r="B304" s="135"/>
      <c r="C304" s="135"/>
      <c r="D304" s="135"/>
      <c r="E304" s="135"/>
      <c r="F304" s="135"/>
      <c r="G304" s="135"/>
      <c r="H304" s="135"/>
      <c r="I304" s="135"/>
      <c r="J304" s="135"/>
      <c r="K304" s="136"/>
      <c r="L304" s="137"/>
    </row>
    <row r="305" ht="12.75" customHeight="1">
      <c r="A305" s="135"/>
      <c r="B305" s="135"/>
      <c r="C305" s="135"/>
      <c r="D305" s="135"/>
      <c r="E305" s="135"/>
      <c r="F305" s="135"/>
      <c r="G305" s="135"/>
      <c r="H305" s="135"/>
      <c r="I305" s="135"/>
      <c r="J305" s="135"/>
      <c r="K305" s="136"/>
      <c r="L305" s="137"/>
    </row>
    <row r="306" ht="12.75" customHeight="1">
      <c r="A306" s="135"/>
      <c r="B306" s="135"/>
      <c r="C306" s="135"/>
      <c r="D306" s="135"/>
      <c r="E306" s="135"/>
      <c r="F306" s="135"/>
      <c r="G306" s="135"/>
      <c r="H306" s="135"/>
      <c r="I306" s="135"/>
      <c r="J306" s="135"/>
      <c r="K306" s="136"/>
      <c r="L306" s="137"/>
    </row>
    <row r="307" ht="12.75" customHeight="1">
      <c r="A307" s="135"/>
      <c r="B307" s="135"/>
      <c r="C307" s="135"/>
      <c r="D307" s="135"/>
      <c r="E307" s="135"/>
      <c r="F307" s="135"/>
      <c r="G307" s="135"/>
      <c r="H307" s="135"/>
      <c r="I307" s="135"/>
      <c r="J307" s="135"/>
      <c r="K307" s="136"/>
      <c r="L307" s="137"/>
    </row>
    <row r="308" ht="12.75" customHeight="1">
      <c r="A308" s="135"/>
      <c r="B308" s="135"/>
      <c r="C308" s="135"/>
      <c r="D308" s="135"/>
      <c r="E308" s="135"/>
      <c r="F308" s="135"/>
      <c r="G308" s="135"/>
      <c r="H308" s="135"/>
      <c r="I308" s="135"/>
      <c r="J308" s="135"/>
      <c r="K308" s="136"/>
      <c r="L308" s="137"/>
    </row>
    <row r="309" ht="12.75" customHeight="1">
      <c r="A309" s="135"/>
      <c r="B309" s="135"/>
      <c r="C309" s="135"/>
      <c r="D309" s="135"/>
      <c r="E309" s="135"/>
      <c r="F309" s="135"/>
      <c r="G309" s="135"/>
      <c r="H309" s="135"/>
      <c r="I309" s="135"/>
      <c r="J309" s="135"/>
      <c r="K309" s="136"/>
      <c r="L309" s="137"/>
    </row>
    <row r="310" ht="12.75" customHeight="1">
      <c r="A310" s="135"/>
      <c r="B310" s="135"/>
      <c r="C310" s="135"/>
      <c r="D310" s="135"/>
      <c r="E310" s="135"/>
      <c r="F310" s="135"/>
      <c r="G310" s="135"/>
      <c r="H310" s="135"/>
      <c r="I310" s="135"/>
      <c r="J310" s="135"/>
      <c r="K310" s="136"/>
      <c r="L310" s="137"/>
    </row>
    <row r="311" ht="12.75" customHeight="1">
      <c r="A311" s="135"/>
      <c r="B311" s="135"/>
      <c r="C311" s="135"/>
      <c r="D311" s="135"/>
      <c r="E311" s="135"/>
      <c r="F311" s="135"/>
      <c r="G311" s="135"/>
      <c r="H311" s="135"/>
      <c r="I311" s="135"/>
      <c r="J311" s="135"/>
      <c r="K311" s="136"/>
      <c r="L311" s="137"/>
    </row>
    <row r="312" ht="12.75" customHeight="1">
      <c r="A312" s="135"/>
      <c r="B312" s="135"/>
      <c r="C312" s="135"/>
      <c r="D312" s="135"/>
      <c r="E312" s="135"/>
      <c r="F312" s="135"/>
      <c r="G312" s="135"/>
      <c r="H312" s="135"/>
      <c r="I312" s="135"/>
      <c r="J312" s="135"/>
      <c r="K312" s="136"/>
      <c r="L312" s="137"/>
    </row>
    <row r="313" ht="12.75" customHeight="1">
      <c r="A313" s="135"/>
      <c r="B313" s="135"/>
      <c r="C313" s="135"/>
      <c r="D313" s="135"/>
      <c r="E313" s="135"/>
      <c r="F313" s="135"/>
      <c r="G313" s="135"/>
      <c r="H313" s="135"/>
      <c r="I313" s="135"/>
      <c r="J313" s="135"/>
      <c r="K313" s="136"/>
      <c r="L313" s="137"/>
    </row>
    <row r="314" ht="12.75" customHeight="1">
      <c r="A314" s="135"/>
      <c r="B314" s="135"/>
      <c r="C314" s="135"/>
      <c r="D314" s="135"/>
      <c r="E314" s="135"/>
      <c r="F314" s="135"/>
      <c r="G314" s="135"/>
      <c r="H314" s="135"/>
      <c r="I314" s="135"/>
      <c r="J314" s="135"/>
      <c r="K314" s="136"/>
      <c r="L314" s="137"/>
    </row>
    <row r="315" ht="12.75" customHeight="1">
      <c r="A315" s="135"/>
      <c r="B315" s="135"/>
      <c r="C315" s="135"/>
      <c r="D315" s="135"/>
      <c r="E315" s="135"/>
      <c r="F315" s="135"/>
      <c r="G315" s="135"/>
      <c r="H315" s="135"/>
      <c r="I315" s="135"/>
      <c r="J315" s="135"/>
      <c r="K315" s="136"/>
      <c r="L315" s="137"/>
    </row>
    <row r="316" ht="12.75" customHeight="1">
      <c r="A316" s="135"/>
      <c r="B316" s="135"/>
      <c r="C316" s="135"/>
      <c r="D316" s="135"/>
      <c r="E316" s="135"/>
      <c r="F316" s="135"/>
      <c r="G316" s="135"/>
      <c r="H316" s="135"/>
      <c r="I316" s="135"/>
      <c r="J316" s="135"/>
      <c r="K316" s="136"/>
      <c r="L316" s="137"/>
    </row>
    <row r="317" ht="12.75" customHeight="1">
      <c r="A317" s="135"/>
      <c r="B317" s="135"/>
      <c r="C317" s="135"/>
      <c r="D317" s="135"/>
      <c r="E317" s="135"/>
      <c r="F317" s="135"/>
      <c r="G317" s="135"/>
      <c r="H317" s="135"/>
      <c r="I317" s="135"/>
      <c r="J317" s="135"/>
      <c r="K317" s="136"/>
      <c r="L317" s="137"/>
    </row>
    <row r="318" ht="12.75" customHeight="1">
      <c r="A318" s="135"/>
      <c r="B318" s="135"/>
      <c r="C318" s="135"/>
      <c r="D318" s="135"/>
      <c r="E318" s="135"/>
      <c r="F318" s="135"/>
      <c r="G318" s="135"/>
      <c r="H318" s="135"/>
      <c r="I318" s="135"/>
      <c r="J318" s="135"/>
      <c r="K318" s="136"/>
      <c r="L318" s="137"/>
    </row>
    <row r="319" ht="12.75" customHeight="1">
      <c r="A319" s="135"/>
      <c r="B319" s="135"/>
      <c r="C319" s="135"/>
      <c r="D319" s="135"/>
      <c r="E319" s="135"/>
      <c r="F319" s="135"/>
      <c r="G319" s="135"/>
      <c r="H319" s="135"/>
      <c r="I319" s="135"/>
      <c r="J319" s="135"/>
      <c r="K319" s="136"/>
      <c r="L319" s="137"/>
    </row>
    <row r="320" ht="12.75" customHeight="1">
      <c r="A320" s="135"/>
      <c r="B320" s="135"/>
      <c r="C320" s="135"/>
      <c r="D320" s="135"/>
      <c r="E320" s="135"/>
      <c r="F320" s="135"/>
      <c r="G320" s="135"/>
      <c r="H320" s="135"/>
      <c r="I320" s="135"/>
      <c r="J320" s="135"/>
      <c r="K320" s="136"/>
      <c r="L320" s="137"/>
    </row>
    <row r="321" ht="12.75" customHeight="1">
      <c r="A321" s="135"/>
      <c r="B321" s="135"/>
      <c r="C321" s="135"/>
      <c r="D321" s="135"/>
      <c r="E321" s="135"/>
      <c r="F321" s="135"/>
      <c r="G321" s="135"/>
      <c r="H321" s="135"/>
      <c r="I321" s="135"/>
      <c r="J321" s="135"/>
      <c r="K321" s="136"/>
      <c r="L321" s="137"/>
    </row>
    <row r="322" ht="12.75" customHeight="1">
      <c r="A322" s="135"/>
      <c r="B322" s="135"/>
      <c r="C322" s="135"/>
      <c r="D322" s="135"/>
      <c r="E322" s="135"/>
      <c r="F322" s="135"/>
      <c r="G322" s="135"/>
      <c r="H322" s="135"/>
      <c r="I322" s="135"/>
      <c r="J322" s="135"/>
      <c r="K322" s="136"/>
      <c r="L322" s="137"/>
    </row>
    <row r="323" ht="12.75" customHeight="1">
      <c r="A323" s="135"/>
      <c r="B323" s="135"/>
      <c r="C323" s="135"/>
      <c r="D323" s="135"/>
      <c r="E323" s="135"/>
      <c r="F323" s="135"/>
      <c r="G323" s="135"/>
      <c r="H323" s="135"/>
      <c r="I323" s="135"/>
      <c r="J323" s="135"/>
      <c r="K323" s="136"/>
      <c r="L323" s="137"/>
    </row>
    <row r="324" ht="12.75" customHeight="1">
      <c r="A324" s="135"/>
      <c r="B324" s="135"/>
      <c r="C324" s="135"/>
      <c r="D324" s="135"/>
      <c r="E324" s="135"/>
      <c r="F324" s="135"/>
      <c r="G324" s="135"/>
      <c r="H324" s="135"/>
      <c r="I324" s="135"/>
      <c r="J324" s="135"/>
      <c r="K324" s="136"/>
      <c r="L324" s="137"/>
    </row>
    <row r="325" ht="12.75" customHeight="1">
      <c r="A325" s="135"/>
      <c r="B325" s="135"/>
      <c r="C325" s="135"/>
      <c r="D325" s="135"/>
      <c r="E325" s="135"/>
      <c r="F325" s="135"/>
      <c r="G325" s="135"/>
      <c r="H325" s="135"/>
      <c r="I325" s="135"/>
      <c r="J325" s="135"/>
      <c r="K325" s="136"/>
      <c r="L325" s="137"/>
    </row>
    <row r="326" ht="12.75" customHeight="1">
      <c r="A326" s="135"/>
      <c r="B326" s="135"/>
      <c r="C326" s="135"/>
      <c r="D326" s="135"/>
      <c r="E326" s="135"/>
      <c r="F326" s="135"/>
      <c r="G326" s="135"/>
      <c r="H326" s="135"/>
      <c r="I326" s="135"/>
      <c r="J326" s="135"/>
      <c r="K326" s="136"/>
      <c r="L326" s="137"/>
    </row>
    <row r="327" ht="12.75" customHeight="1">
      <c r="A327" s="135"/>
      <c r="B327" s="135"/>
      <c r="C327" s="135"/>
      <c r="D327" s="135"/>
      <c r="E327" s="135"/>
      <c r="F327" s="135"/>
      <c r="G327" s="135"/>
      <c r="H327" s="135"/>
      <c r="I327" s="135"/>
      <c r="J327" s="135"/>
      <c r="K327" s="136"/>
      <c r="L327" s="137"/>
    </row>
    <row r="328" ht="12.75" customHeight="1">
      <c r="A328" s="135"/>
      <c r="B328" s="135"/>
      <c r="C328" s="135"/>
      <c r="D328" s="135"/>
      <c r="E328" s="135"/>
      <c r="F328" s="135"/>
      <c r="G328" s="135"/>
      <c r="H328" s="135"/>
      <c r="I328" s="135"/>
      <c r="J328" s="135"/>
      <c r="K328" s="136"/>
      <c r="L328" s="137"/>
    </row>
    <row r="329" ht="12.75" customHeight="1">
      <c r="A329" s="135"/>
      <c r="B329" s="135"/>
      <c r="C329" s="135"/>
      <c r="D329" s="135"/>
      <c r="E329" s="135"/>
      <c r="F329" s="135"/>
      <c r="G329" s="135"/>
      <c r="H329" s="135"/>
      <c r="I329" s="135"/>
      <c r="J329" s="135"/>
      <c r="K329" s="136"/>
      <c r="L329" s="137"/>
    </row>
    <row r="330" ht="12.75" customHeight="1">
      <c r="A330" s="135"/>
      <c r="B330" s="135"/>
      <c r="C330" s="135"/>
      <c r="D330" s="135"/>
      <c r="E330" s="135"/>
      <c r="F330" s="135"/>
      <c r="G330" s="135"/>
      <c r="H330" s="135"/>
      <c r="I330" s="135"/>
      <c r="J330" s="135"/>
      <c r="K330" s="136"/>
      <c r="L330" s="137"/>
    </row>
    <row r="331" ht="12.75" customHeight="1">
      <c r="A331" s="135"/>
      <c r="B331" s="135"/>
      <c r="C331" s="135"/>
      <c r="D331" s="135"/>
      <c r="E331" s="135"/>
      <c r="F331" s="135"/>
      <c r="G331" s="135"/>
      <c r="H331" s="135"/>
      <c r="I331" s="135"/>
      <c r="J331" s="135"/>
      <c r="K331" s="136"/>
      <c r="L331" s="137"/>
    </row>
    <row r="332" ht="12.75" customHeight="1">
      <c r="A332" s="135"/>
      <c r="B332" s="135"/>
      <c r="C332" s="135"/>
      <c r="D332" s="135"/>
      <c r="E332" s="135"/>
      <c r="F332" s="135"/>
      <c r="G332" s="135"/>
      <c r="H332" s="135"/>
      <c r="I332" s="135"/>
      <c r="J332" s="135"/>
      <c r="K332" s="136"/>
      <c r="L332" s="137"/>
    </row>
    <row r="333" ht="12.75" customHeight="1">
      <c r="A333" s="135"/>
      <c r="B333" s="135"/>
      <c r="C333" s="135"/>
      <c r="D333" s="135"/>
      <c r="E333" s="135"/>
      <c r="F333" s="135"/>
      <c r="G333" s="135"/>
      <c r="H333" s="135"/>
      <c r="I333" s="135"/>
      <c r="J333" s="135"/>
      <c r="K333" s="136"/>
      <c r="L333" s="137"/>
    </row>
    <row r="334" ht="12.75" customHeight="1">
      <c r="A334" s="135"/>
      <c r="B334" s="135"/>
      <c r="C334" s="135"/>
      <c r="D334" s="135"/>
      <c r="E334" s="135"/>
      <c r="F334" s="135"/>
      <c r="G334" s="135"/>
      <c r="H334" s="135"/>
      <c r="I334" s="135"/>
      <c r="J334" s="135"/>
      <c r="K334" s="136"/>
      <c r="L334" s="137"/>
    </row>
    <row r="335" ht="12.75" customHeight="1">
      <c r="A335" s="135"/>
      <c r="B335" s="135"/>
      <c r="C335" s="135"/>
      <c r="D335" s="135"/>
      <c r="E335" s="135"/>
      <c r="F335" s="135"/>
      <c r="G335" s="135"/>
      <c r="H335" s="135"/>
      <c r="I335" s="135"/>
      <c r="J335" s="135"/>
      <c r="K335" s="136"/>
      <c r="L335" s="137"/>
    </row>
    <row r="336" ht="12.75" customHeight="1">
      <c r="A336" s="135"/>
      <c r="B336" s="135"/>
      <c r="C336" s="135"/>
      <c r="D336" s="135"/>
      <c r="E336" s="135"/>
      <c r="F336" s="135"/>
      <c r="G336" s="135"/>
      <c r="H336" s="135"/>
      <c r="I336" s="135"/>
      <c r="J336" s="135"/>
      <c r="K336" s="136"/>
      <c r="L336" s="137"/>
    </row>
    <row r="337" ht="12.75" customHeight="1">
      <c r="A337" s="135"/>
      <c r="B337" s="135"/>
      <c r="C337" s="135"/>
      <c r="D337" s="135"/>
      <c r="E337" s="135"/>
      <c r="F337" s="135"/>
      <c r="G337" s="135"/>
      <c r="H337" s="135"/>
      <c r="I337" s="135"/>
      <c r="J337" s="135"/>
      <c r="K337" s="136"/>
      <c r="L337" s="137"/>
    </row>
    <row r="338" ht="12.75" customHeight="1">
      <c r="A338" s="135"/>
      <c r="B338" s="135"/>
      <c r="C338" s="135"/>
      <c r="D338" s="135"/>
      <c r="E338" s="135"/>
      <c r="F338" s="135"/>
      <c r="G338" s="135"/>
      <c r="H338" s="135"/>
      <c r="I338" s="135"/>
      <c r="J338" s="135"/>
      <c r="K338" s="136"/>
      <c r="L338" s="137"/>
    </row>
    <row r="339" ht="12.75" customHeight="1">
      <c r="A339" s="135"/>
      <c r="B339" s="135"/>
      <c r="C339" s="135"/>
      <c r="D339" s="135"/>
      <c r="E339" s="135"/>
      <c r="F339" s="135"/>
      <c r="G339" s="135"/>
      <c r="H339" s="135"/>
      <c r="I339" s="135"/>
      <c r="J339" s="135"/>
      <c r="K339" s="136"/>
      <c r="L339" s="137"/>
    </row>
    <row r="340" ht="12.75" customHeight="1">
      <c r="A340" s="135"/>
      <c r="B340" s="135"/>
      <c r="C340" s="135"/>
      <c r="D340" s="135"/>
      <c r="E340" s="135"/>
      <c r="F340" s="135"/>
      <c r="G340" s="135"/>
      <c r="H340" s="135"/>
      <c r="I340" s="135"/>
      <c r="J340" s="135"/>
      <c r="K340" s="136"/>
      <c r="L340" s="137"/>
    </row>
    <row r="341" ht="12.75" customHeight="1">
      <c r="A341" s="135"/>
      <c r="B341" s="135"/>
      <c r="C341" s="135"/>
      <c r="D341" s="135"/>
      <c r="E341" s="135"/>
      <c r="F341" s="135"/>
      <c r="G341" s="135"/>
      <c r="H341" s="135"/>
      <c r="I341" s="135"/>
      <c r="J341" s="135"/>
      <c r="K341" s="136"/>
      <c r="L341" s="137"/>
    </row>
    <row r="342" ht="12.75" customHeight="1">
      <c r="A342" s="135"/>
      <c r="B342" s="135"/>
      <c r="C342" s="135"/>
      <c r="D342" s="135"/>
      <c r="E342" s="135"/>
      <c r="F342" s="135"/>
      <c r="G342" s="135"/>
      <c r="H342" s="135"/>
      <c r="I342" s="135"/>
      <c r="J342" s="135"/>
      <c r="K342" s="136"/>
      <c r="L342" s="137"/>
    </row>
    <row r="343" ht="12.75" customHeight="1">
      <c r="A343" s="135"/>
      <c r="B343" s="135"/>
      <c r="C343" s="135"/>
      <c r="D343" s="135"/>
      <c r="E343" s="135"/>
      <c r="F343" s="135"/>
      <c r="G343" s="135"/>
      <c r="H343" s="135"/>
      <c r="I343" s="135"/>
      <c r="J343" s="135"/>
      <c r="K343" s="136"/>
      <c r="L343" s="137"/>
    </row>
    <row r="344" ht="12.75" customHeight="1">
      <c r="A344" s="135"/>
      <c r="B344" s="135"/>
      <c r="C344" s="135"/>
      <c r="D344" s="135"/>
      <c r="E344" s="135"/>
      <c r="F344" s="135"/>
      <c r="G344" s="135"/>
      <c r="H344" s="135"/>
      <c r="I344" s="135"/>
      <c r="J344" s="135"/>
      <c r="K344" s="136"/>
      <c r="L344" s="137"/>
    </row>
    <row r="345" ht="12.75" customHeight="1">
      <c r="A345" s="135"/>
      <c r="B345" s="135"/>
      <c r="C345" s="135"/>
      <c r="D345" s="135"/>
      <c r="E345" s="135"/>
      <c r="F345" s="135"/>
      <c r="G345" s="135"/>
      <c r="H345" s="135"/>
      <c r="I345" s="135"/>
      <c r="J345" s="135"/>
      <c r="K345" s="136"/>
      <c r="L345" s="137"/>
    </row>
    <row r="346" ht="12.75" customHeight="1">
      <c r="A346" s="135"/>
      <c r="B346" s="135"/>
      <c r="C346" s="135"/>
      <c r="D346" s="135"/>
      <c r="E346" s="135"/>
      <c r="F346" s="135"/>
      <c r="G346" s="135"/>
      <c r="H346" s="135"/>
      <c r="I346" s="135"/>
      <c r="J346" s="135"/>
      <c r="K346" s="136"/>
      <c r="L346" s="137"/>
    </row>
    <row r="347" ht="12.75" customHeight="1">
      <c r="A347" s="135"/>
      <c r="B347" s="135"/>
      <c r="C347" s="135"/>
      <c r="D347" s="135"/>
      <c r="E347" s="135"/>
      <c r="F347" s="135"/>
      <c r="G347" s="135"/>
      <c r="H347" s="135"/>
      <c r="I347" s="135"/>
      <c r="J347" s="135"/>
      <c r="K347" s="136"/>
      <c r="L347" s="137"/>
    </row>
    <row r="348" ht="12.75" customHeight="1">
      <c r="A348" s="135"/>
      <c r="B348" s="135"/>
      <c r="C348" s="135"/>
      <c r="D348" s="135"/>
      <c r="E348" s="135"/>
      <c r="F348" s="135"/>
      <c r="G348" s="135"/>
      <c r="H348" s="135"/>
      <c r="I348" s="135"/>
      <c r="J348" s="135"/>
      <c r="K348" s="136"/>
      <c r="L348" s="137"/>
    </row>
    <row r="349" ht="12.75" customHeight="1">
      <c r="A349" s="135"/>
      <c r="B349" s="135"/>
      <c r="C349" s="135"/>
      <c r="D349" s="135"/>
      <c r="E349" s="135"/>
      <c r="F349" s="135"/>
      <c r="G349" s="135"/>
      <c r="H349" s="135"/>
      <c r="I349" s="135"/>
      <c r="J349" s="135"/>
      <c r="K349" s="136"/>
      <c r="L349" s="137"/>
    </row>
    <row r="350" ht="12.75" customHeight="1">
      <c r="A350" s="135"/>
      <c r="B350" s="135"/>
      <c r="C350" s="135"/>
      <c r="D350" s="135"/>
      <c r="E350" s="135"/>
      <c r="F350" s="135"/>
      <c r="G350" s="135"/>
      <c r="H350" s="135"/>
      <c r="I350" s="135"/>
      <c r="J350" s="135"/>
      <c r="K350" s="136"/>
      <c r="L350" s="137"/>
    </row>
    <row r="351" ht="12.75" customHeight="1">
      <c r="A351" s="135"/>
      <c r="B351" s="135"/>
      <c r="C351" s="135"/>
      <c r="D351" s="135"/>
      <c r="E351" s="135"/>
      <c r="F351" s="135"/>
      <c r="G351" s="135"/>
      <c r="H351" s="135"/>
      <c r="I351" s="135"/>
      <c r="J351" s="135"/>
      <c r="K351" s="136"/>
      <c r="L351" s="137"/>
    </row>
    <row r="352" ht="12.75" customHeight="1">
      <c r="A352" s="135"/>
      <c r="B352" s="135"/>
      <c r="C352" s="135"/>
      <c r="D352" s="135"/>
      <c r="E352" s="135"/>
      <c r="F352" s="135"/>
      <c r="G352" s="135"/>
      <c r="H352" s="135"/>
      <c r="I352" s="135"/>
      <c r="J352" s="135"/>
      <c r="K352" s="136"/>
      <c r="L352" s="137"/>
    </row>
    <row r="353" ht="12.75" customHeight="1">
      <c r="A353" s="135"/>
      <c r="B353" s="135"/>
      <c r="C353" s="135"/>
      <c r="D353" s="135"/>
      <c r="E353" s="135"/>
      <c r="F353" s="135"/>
      <c r="G353" s="135"/>
      <c r="H353" s="135"/>
      <c r="I353" s="135"/>
      <c r="J353" s="135"/>
      <c r="K353" s="136"/>
      <c r="L353" s="137"/>
    </row>
    <row r="354" ht="12.75" customHeight="1">
      <c r="A354" s="135"/>
      <c r="B354" s="135"/>
      <c r="C354" s="135"/>
      <c r="D354" s="135"/>
      <c r="E354" s="135"/>
      <c r="F354" s="135"/>
      <c r="G354" s="135"/>
      <c r="H354" s="135"/>
      <c r="I354" s="135"/>
      <c r="J354" s="135"/>
      <c r="K354" s="136"/>
      <c r="L354" s="137"/>
    </row>
    <row r="355" ht="12.75" customHeight="1">
      <c r="A355" s="135"/>
      <c r="B355" s="135"/>
      <c r="C355" s="135"/>
      <c r="D355" s="135"/>
      <c r="E355" s="135"/>
      <c r="F355" s="135"/>
      <c r="G355" s="135"/>
      <c r="H355" s="135"/>
      <c r="I355" s="135"/>
      <c r="J355" s="135"/>
      <c r="K355" s="136"/>
      <c r="L355" s="137"/>
    </row>
    <row r="356" ht="12.75" customHeight="1">
      <c r="A356" s="135"/>
      <c r="B356" s="135"/>
      <c r="C356" s="135"/>
      <c r="D356" s="135"/>
      <c r="E356" s="135"/>
      <c r="F356" s="135"/>
      <c r="G356" s="135"/>
      <c r="H356" s="135"/>
      <c r="I356" s="135"/>
      <c r="J356" s="135"/>
      <c r="K356" s="136"/>
      <c r="L356" s="137"/>
    </row>
    <row r="357" ht="12.75" customHeight="1">
      <c r="A357" s="135"/>
      <c r="B357" s="135"/>
      <c r="C357" s="135"/>
      <c r="D357" s="135"/>
      <c r="E357" s="135"/>
      <c r="F357" s="135"/>
      <c r="G357" s="135"/>
      <c r="H357" s="135"/>
      <c r="I357" s="135"/>
      <c r="J357" s="135"/>
      <c r="K357" s="136"/>
      <c r="L357" s="137"/>
    </row>
    <row r="358" ht="12.75" customHeight="1">
      <c r="A358" s="135"/>
      <c r="B358" s="135"/>
      <c r="C358" s="135"/>
      <c r="D358" s="135"/>
      <c r="E358" s="135"/>
      <c r="F358" s="135"/>
      <c r="G358" s="135"/>
      <c r="H358" s="135"/>
      <c r="I358" s="135"/>
      <c r="J358" s="135"/>
      <c r="K358" s="136"/>
      <c r="L358" s="137"/>
    </row>
    <row r="359" ht="12.75" customHeight="1">
      <c r="A359" s="135"/>
      <c r="B359" s="135"/>
      <c r="C359" s="135"/>
      <c r="D359" s="135"/>
      <c r="E359" s="135"/>
      <c r="F359" s="135"/>
      <c r="G359" s="135"/>
      <c r="H359" s="135"/>
      <c r="I359" s="135"/>
      <c r="J359" s="135"/>
      <c r="K359" s="136"/>
      <c r="L359" s="137"/>
    </row>
    <row r="360" ht="12.75" customHeight="1">
      <c r="A360" s="135"/>
      <c r="B360" s="135"/>
      <c r="C360" s="135"/>
      <c r="D360" s="135"/>
      <c r="E360" s="135"/>
      <c r="F360" s="135"/>
      <c r="G360" s="135"/>
      <c r="H360" s="135"/>
      <c r="I360" s="135"/>
      <c r="J360" s="135"/>
      <c r="K360" s="136"/>
      <c r="L360" s="137"/>
    </row>
    <row r="361" ht="12.75" customHeight="1">
      <c r="A361" s="135"/>
      <c r="B361" s="135"/>
      <c r="C361" s="135"/>
      <c r="D361" s="135"/>
      <c r="E361" s="135"/>
      <c r="F361" s="135"/>
      <c r="G361" s="135"/>
      <c r="H361" s="135"/>
      <c r="I361" s="135"/>
      <c r="J361" s="135"/>
      <c r="K361" s="136"/>
      <c r="L361" s="137"/>
    </row>
    <row r="362" ht="12.75" customHeight="1">
      <c r="A362" s="135"/>
      <c r="B362" s="135"/>
      <c r="C362" s="135"/>
      <c r="D362" s="135"/>
      <c r="E362" s="135"/>
      <c r="F362" s="135"/>
      <c r="G362" s="135"/>
      <c r="H362" s="135"/>
      <c r="I362" s="135"/>
      <c r="J362" s="135"/>
      <c r="K362" s="136"/>
      <c r="L362" s="137"/>
    </row>
    <row r="363" ht="12.75" customHeight="1">
      <c r="A363" s="135"/>
      <c r="B363" s="135"/>
      <c r="C363" s="135"/>
      <c r="D363" s="135"/>
      <c r="E363" s="135"/>
      <c r="F363" s="135"/>
      <c r="G363" s="135"/>
      <c r="H363" s="135"/>
      <c r="I363" s="135"/>
      <c r="J363" s="135"/>
      <c r="K363" s="136"/>
      <c r="L363" s="137"/>
    </row>
    <row r="364" ht="12.75" customHeight="1">
      <c r="A364" s="135"/>
      <c r="B364" s="135"/>
      <c r="C364" s="135"/>
      <c r="D364" s="135"/>
      <c r="E364" s="135"/>
      <c r="F364" s="135"/>
      <c r="G364" s="135"/>
      <c r="H364" s="135"/>
      <c r="I364" s="135"/>
      <c r="J364" s="135"/>
      <c r="K364" s="136"/>
      <c r="L364" s="137"/>
    </row>
    <row r="365" ht="12.75" customHeight="1">
      <c r="A365" s="135"/>
      <c r="B365" s="135"/>
      <c r="C365" s="135"/>
      <c r="D365" s="135"/>
      <c r="E365" s="135"/>
      <c r="F365" s="135"/>
      <c r="G365" s="135"/>
      <c r="H365" s="135"/>
      <c r="I365" s="135"/>
      <c r="J365" s="135"/>
      <c r="K365" s="136"/>
      <c r="L365" s="137"/>
    </row>
    <row r="366" ht="12.75" customHeight="1">
      <c r="A366" s="135"/>
      <c r="B366" s="135"/>
      <c r="C366" s="135"/>
      <c r="D366" s="135"/>
      <c r="E366" s="135"/>
      <c r="F366" s="135"/>
      <c r="G366" s="135"/>
      <c r="H366" s="135"/>
      <c r="I366" s="135"/>
      <c r="J366" s="135"/>
      <c r="K366" s="136"/>
      <c r="L366" s="137"/>
    </row>
    <row r="367" ht="12.75" customHeight="1">
      <c r="A367" s="135"/>
      <c r="B367" s="135"/>
      <c r="C367" s="135"/>
      <c r="D367" s="135"/>
      <c r="E367" s="135"/>
      <c r="F367" s="135"/>
      <c r="G367" s="135"/>
      <c r="H367" s="135"/>
      <c r="I367" s="135"/>
      <c r="J367" s="135"/>
      <c r="K367" s="136"/>
      <c r="L367" s="137"/>
    </row>
    <row r="368" ht="12.75" customHeight="1">
      <c r="A368" s="135"/>
      <c r="B368" s="135"/>
      <c r="C368" s="135"/>
      <c r="D368" s="135"/>
      <c r="E368" s="135"/>
      <c r="F368" s="135"/>
      <c r="G368" s="135"/>
      <c r="H368" s="135"/>
      <c r="I368" s="135"/>
      <c r="J368" s="135"/>
      <c r="K368" s="136"/>
      <c r="L368" s="137"/>
    </row>
    <row r="369" ht="12.75" customHeight="1">
      <c r="A369" s="135"/>
      <c r="B369" s="135"/>
      <c r="C369" s="135"/>
      <c r="D369" s="135"/>
      <c r="E369" s="135"/>
      <c r="F369" s="135"/>
      <c r="G369" s="135"/>
      <c r="H369" s="135"/>
      <c r="I369" s="135"/>
      <c r="J369" s="135"/>
      <c r="K369" s="136"/>
      <c r="L369" s="137"/>
    </row>
    <row r="370" ht="12.75" customHeight="1">
      <c r="A370" s="135"/>
      <c r="B370" s="135"/>
      <c r="C370" s="135"/>
      <c r="D370" s="135"/>
      <c r="E370" s="135"/>
      <c r="F370" s="135"/>
      <c r="G370" s="135"/>
      <c r="H370" s="135"/>
      <c r="I370" s="135"/>
      <c r="J370" s="135"/>
      <c r="K370" s="136"/>
      <c r="L370" s="137"/>
    </row>
    <row r="371" ht="12.75" customHeight="1">
      <c r="A371" s="135"/>
      <c r="B371" s="135"/>
      <c r="C371" s="135"/>
      <c r="D371" s="135"/>
      <c r="E371" s="135"/>
      <c r="F371" s="135"/>
      <c r="G371" s="135"/>
      <c r="H371" s="135"/>
      <c r="I371" s="135"/>
      <c r="J371" s="135"/>
      <c r="K371" s="136"/>
      <c r="L371" s="137"/>
    </row>
    <row r="372" ht="12.75" customHeight="1">
      <c r="A372" s="135"/>
      <c r="B372" s="135"/>
      <c r="C372" s="135"/>
      <c r="D372" s="135"/>
      <c r="E372" s="135"/>
      <c r="F372" s="135"/>
      <c r="G372" s="135"/>
      <c r="H372" s="135"/>
      <c r="I372" s="135"/>
      <c r="J372" s="135"/>
      <c r="K372" s="136"/>
      <c r="L372" s="137"/>
    </row>
    <row r="373" ht="12.75" customHeight="1">
      <c r="A373" s="135"/>
      <c r="B373" s="135"/>
      <c r="C373" s="135"/>
      <c r="D373" s="135"/>
      <c r="E373" s="135"/>
      <c r="F373" s="135"/>
      <c r="G373" s="135"/>
      <c r="H373" s="135"/>
      <c r="I373" s="135"/>
      <c r="J373" s="135"/>
      <c r="K373" s="136"/>
      <c r="L373" s="137"/>
    </row>
    <row r="374" ht="12.75" customHeight="1">
      <c r="A374" s="135"/>
      <c r="B374" s="135"/>
      <c r="C374" s="135"/>
      <c r="D374" s="135"/>
      <c r="E374" s="135"/>
      <c r="F374" s="135"/>
      <c r="G374" s="135"/>
      <c r="H374" s="135"/>
      <c r="I374" s="135"/>
      <c r="J374" s="135"/>
      <c r="K374" s="136"/>
      <c r="L374" s="137"/>
    </row>
    <row r="375" ht="12.75" customHeight="1">
      <c r="A375" s="135"/>
      <c r="B375" s="135"/>
      <c r="C375" s="135"/>
      <c r="D375" s="135"/>
      <c r="E375" s="135"/>
      <c r="F375" s="135"/>
      <c r="G375" s="135"/>
      <c r="H375" s="135"/>
      <c r="I375" s="135"/>
      <c r="J375" s="135"/>
      <c r="K375" s="136"/>
      <c r="L375" s="137"/>
    </row>
    <row r="376" ht="12.75" customHeight="1">
      <c r="A376" s="135"/>
      <c r="B376" s="135"/>
      <c r="C376" s="135"/>
      <c r="D376" s="135"/>
      <c r="E376" s="135"/>
      <c r="F376" s="135"/>
      <c r="G376" s="135"/>
      <c r="H376" s="135"/>
      <c r="I376" s="135"/>
      <c r="J376" s="135"/>
      <c r="K376" s="136"/>
      <c r="L376" s="137"/>
    </row>
    <row r="377" ht="12.75" customHeight="1">
      <c r="A377" s="135"/>
      <c r="B377" s="135"/>
      <c r="C377" s="135"/>
      <c r="D377" s="135"/>
      <c r="E377" s="135"/>
      <c r="F377" s="135"/>
      <c r="G377" s="135"/>
      <c r="H377" s="135"/>
      <c r="I377" s="135"/>
      <c r="J377" s="135"/>
      <c r="K377" s="136"/>
      <c r="L377" s="137"/>
    </row>
    <row r="378" ht="12.75" customHeight="1">
      <c r="A378" s="135"/>
      <c r="B378" s="135"/>
      <c r="C378" s="135"/>
      <c r="D378" s="135"/>
      <c r="E378" s="135"/>
      <c r="F378" s="135"/>
      <c r="G378" s="135"/>
      <c r="H378" s="135"/>
      <c r="I378" s="135"/>
      <c r="J378" s="135"/>
      <c r="K378" s="136"/>
      <c r="L378" s="137"/>
    </row>
    <row r="379" ht="12.75" customHeight="1">
      <c r="A379" s="135"/>
      <c r="B379" s="135"/>
      <c r="C379" s="135"/>
      <c r="D379" s="135"/>
      <c r="E379" s="135"/>
      <c r="F379" s="135"/>
      <c r="G379" s="135"/>
      <c r="H379" s="135"/>
      <c r="I379" s="135"/>
      <c r="J379" s="135"/>
      <c r="K379" s="136"/>
      <c r="L379" s="137"/>
    </row>
    <row r="380" ht="12.75" customHeight="1">
      <c r="A380" s="135"/>
      <c r="B380" s="135"/>
      <c r="C380" s="135"/>
      <c r="D380" s="135"/>
      <c r="E380" s="135"/>
      <c r="F380" s="135"/>
      <c r="G380" s="135"/>
      <c r="H380" s="135"/>
      <c r="I380" s="135"/>
      <c r="J380" s="135"/>
      <c r="K380" s="136"/>
      <c r="L380" s="137"/>
    </row>
    <row r="381" ht="12.75" customHeight="1">
      <c r="A381" s="135"/>
      <c r="B381" s="135"/>
      <c r="C381" s="135"/>
      <c r="D381" s="135"/>
      <c r="E381" s="135"/>
      <c r="F381" s="135"/>
      <c r="G381" s="135"/>
      <c r="H381" s="135"/>
      <c r="I381" s="135"/>
      <c r="J381" s="135"/>
      <c r="K381" s="136"/>
      <c r="L381" s="137"/>
    </row>
    <row r="382" ht="12.75" customHeight="1">
      <c r="A382" s="135"/>
      <c r="B382" s="135"/>
      <c r="C382" s="135"/>
      <c r="D382" s="135"/>
      <c r="E382" s="135"/>
      <c r="F382" s="135"/>
      <c r="G382" s="135"/>
      <c r="H382" s="135"/>
      <c r="I382" s="135"/>
      <c r="J382" s="135"/>
      <c r="K382" s="136"/>
      <c r="L382" s="137"/>
    </row>
    <row r="383" ht="12.75" customHeight="1">
      <c r="A383" s="135"/>
      <c r="B383" s="135"/>
      <c r="C383" s="135"/>
      <c r="D383" s="135"/>
      <c r="E383" s="135"/>
      <c r="F383" s="135"/>
      <c r="G383" s="135"/>
      <c r="H383" s="135"/>
      <c r="I383" s="135"/>
      <c r="J383" s="135"/>
      <c r="K383" s="136"/>
      <c r="L383" s="137"/>
    </row>
    <row r="384" ht="12.75" customHeight="1">
      <c r="A384" s="135"/>
      <c r="B384" s="135"/>
      <c r="C384" s="135"/>
      <c r="D384" s="135"/>
      <c r="E384" s="135"/>
      <c r="F384" s="135"/>
      <c r="G384" s="135"/>
      <c r="H384" s="135"/>
      <c r="I384" s="135"/>
      <c r="J384" s="135"/>
      <c r="K384" s="136"/>
      <c r="L384" s="137"/>
    </row>
    <row r="385" ht="12.75" customHeight="1">
      <c r="A385" s="135"/>
      <c r="B385" s="135"/>
      <c r="C385" s="135"/>
      <c r="D385" s="135"/>
      <c r="E385" s="135"/>
      <c r="F385" s="135"/>
      <c r="G385" s="135"/>
      <c r="H385" s="135"/>
      <c r="I385" s="135"/>
      <c r="J385" s="135"/>
      <c r="K385" s="136"/>
      <c r="L385" s="137"/>
    </row>
    <row r="386" ht="12.75" customHeight="1">
      <c r="A386" s="135"/>
      <c r="B386" s="135"/>
      <c r="C386" s="135"/>
      <c r="D386" s="135"/>
      <c r="E386" s="135"/>
      <c r="F386" s="135"/>
      <c r="G386" s="135"/>
      <c r="H386" s="135"/>
      <c r="I386" s="135"/>
      <c r="J386" s="135"/>
      <c r="K386" s="136"/>
      <c r="L386" s="137"/>
    </row>
    <row r="387" ht="12.75" customHeight="1">
      <c r="A387" s="135"/>
      <c r="B387" s="135"/>
      <c r="C387" s="135"/>
      <c r="D387" s="135"/>
      <c r="E387" s="135"/>
      <c r="F387" s="135"/>
      <c r="G387" s="135"/>
      <c r="H387" s="135"/>
      <c r="I387" s="135"/>
      <c r="J387" s="135"/>
      <c r="K387" s="136"/>
      <c r="L387" s="137"/>
    </row>
    <row r="388" ht="12.75" customHeight="1">
      <c r="A388" s="135"/>
      <c r="B388" s="135"/>
      <c r="C388" s="135"/>
      <c r="D388" s="135"/>
      <c r="E388" s="135"/>
      <c r="F388" s="135"/>
      <c r="G388" s="135"/>
      <c r="H388" s="135"/>
      <c r="I388" s="135"/>
      <c r="J388" s="135"/>
      <c r="K388" s="136"/>
      <c r="L388" s="137"/>
    </row>
    <row r="389" ht="12.75" customHeight="1">
      <c r="A389" s="135"/>
      <c r="B389" s="135"/>
      <c r="C389" s="135"/>
      <c r="D389" s="135"/>
      <c r="E389" s="135"/>
      <c r="F389" s="135"/>
      <c r="G389" s="135"/>
      <c r="H389" s="135"/>
      <c r="I389" s="135"/>
      <c r="J389" s="135"/>
      <c r="K389" s="136"/>
      <c r="L389" s="137"/>
    </row>
    <row r="390" ht="12.75" customHeight="1">
      <c r="A390" s="135"/>
      <c r="B390" s="135"/>
      <c r="C390" s="135"/>
      <c r="D390" s="135"/>
      <c r="E390" s="135"/>
      <c r="F390" s="135"/>
      <c r="G390" s="135"/>
      <c r="H390" s="135"/>
      <c r="I390" s="135"/>
      <c r="J390" s="135"/>
      <c r="K390" s="136"/>
      <c r="L390" s="137"/>
    </row>
    <row r="391" ht="12.75" customHeight="1">
      <c r="A391" s="135"/>
      <c r="B391" s="135"/>
      <c r="C391" s="135"/>
      <c r="D391" s="135"/>
      <c r="E391" s="135"/>
      <c r="F391" s="135"/>
      <c r="G391" s="135"/>
      <c r="H391" s="135"/>
      <c r="I391" s="135"/>
      <c r="J391" s="135"/>
      <c r="K391" s="136"/>
      <c r="L391" s="137"/>
    </row>
    <row r="392" ht="12.75" customHeight="1">
      <c r="A392" s="135"/>
      <c r="B392" s="135"/>
      <c r="C392" s="135"/>
      <c r="D392" s="135"/>
      <c r="E392" s="135"/>
      <c r="F392" s="135"/>
      <c r="G392" s="135"/>
      <c r="H392" s="135"/>
      <c r="I392" s="135"/>
      <c r="J392" s="135"/>
      <c r="K392" s="136"/>
      <c r="L392" s="137"/>
    </row>
    <row r="393" ht="12.75" customHeight="1">
      <c r="A393" s="135"/>
      <c r="B393" s="135"/>
      <c r="C393" s="135"/>
      <c r="D393" s="135"/>
      <c r="E393" s="135"/>
      <c r="F393" s="135"/>
      <c r="G393" s="135"/>
      <c r="H393" s="135"/>
      <c r="I393" s="135"/>
      <c r="J393" s="135"/>
      <c r="K393" s="136"/>
      <c r="L393" s="137"/>
    </row>
    <row r="394" ht="12.75" customHeight="1">
      <c r="A394" s="135"/>
      <c r="B394" s="135"/>
      <c r="C394" s="135"/>
      <c r="D394" s="135"/>
      <c r="E394" s="135"/>
      <c r="F394" s="135"/>
      <c r="G394" s="135"/>
      <c r="H394" s="135"/>
      <c r="I394" s="135"/>
      <c r="J394" s="135"/>
      <c r="K394" s="136"/>
      <c r="L394" s="137"/>
    </row>
    <row r="395" ht="12.75" customHeight="1">
      <c r="A395" s="135"/>
      <c r="B395" s="135"/>
      <c r="C395" s="135"/>
      <c r="D395" s="135"/>
      <c r="E395" s="135"/>
      <c r="F395" s="135"/>
      <c r="G395" s="135"/>
      <c r="H395" s="135"/>
      <c r="I395" s="135"/>
      <c r="J395" s="135"/>
      <c r="K395" s="136"/>
      <c r="L395" s="137"/>
    </row>
    <row r="396" ht="12.75" customHeight="1">
      <c r="A396" s="135"/>
      <c r="B396" s="135"/>
      <c r="C396" s="135"/>
      <c r="D396" s="135"/>
      <c r="E396" s="135"/>
      <c r="F396" s="135"/>
      <c r="G396" s="135"/>
      <c r="H396" s="135"/>
      <c r="I396" s="135"/>
      <c r="J396" s="135"/>
      <c r="K396" s="136"/>
      <c r="L396" s="137"/>
    </row>
    <row r="397" ht="12.75" customHeight="1">
      <c r="A397" s="135"/>
      <c r="B397" s="135"/>
      <c r="C397" s="135"/>
      <c r="D397" s="135"/>
      <c r="E397" s="135"/>
      <c r="F397" s="135"/>
      <c r="G397" s="135"/>
      <c r="H397" s="135"/>
      <c r="I397" s="135"/>
      <c r="J397" s="135"/>
      <c r="K397" s="136"/>
      <c r="L397" s="137"/>
    </row>
    <row r="398" ht="12.75" customHeight="1">
      <c r="A398" s="135"/>
      <c r="B398" s="135"/>
      <c r="C398" s="135"/>
      <c r="D398" s="135"/>
      <c r="E398" s="135"/>
      <c r="F398" s="135"/>
      <c r="G398" s="135"/>
      <c r="H398" s="135"/>
      <c r="I398" s="135"/>
      <c r="J398" s="135"/>
      <c r="K398" s="136"/>
      <c r="L398" s="137"/>
    </row>
    <row r="399" ht="12.75" customHeight="1">
      <c r="A399" s="135"/>
      <c r="B399" s="135"/>
      <c r="C399" s="135"/>
      <c r="D399" s="135"/>
      <c r="E399" s="135"/>
      <c r="F399" s="135"/>
      <c r="G399" s="135"/>
      <c r="H399" s="135"/>
      <c r="I399" s="135"/>
      <c r="J399" s="135"/>
      <c r="K399" s="136"/>
      <c r="L399" s="137"/>
    </row>
    <row r="400" ht="12.75" customHeight="1">
      <c r="A400" s="135"/>
      <c r="B400" s="135"/>
      <c r="C400" s="135"/>
      <c r="D400" s="135"/>
      <c r="E400" s="135"/>
      <c r="F400" s="135"/>
      <c r="G400" s="135"/>
      <c r="H400" s="135"/>
      <c r="I400" s="135"/>
      <c r="J400" s="135"/>
      <c r="K400" s="136"/>
      <c r="L400" s="137"/>
    </row>
    <row r="401" ht="12.75" customHeight="1">
      <c r="A401" s="135"/>
      <c r="B401" s="135"/>
      <c r="C401" s="135"/>
      <c r="D401" s="135"/>
      <c r="E401" s="135"/>
      <c r="F401" s="135"/>
      <c r="G401" s="135"/>
      <c r="H401" s="135"/>
      <c r="I401" s="135"/>
      <c r="J401" s="135"/>
      <c r="K401" s="136"/>
      <c r="L401" s="137"/>
    </row>
    <row r="402" ht="12.75" customHeight="1">
      <c r="A402" s="135"/>
      <c r="B402" s="135"/>
      <c r="C402" s="135"/>
      <c r="D402" s="135"/>
      <c r="E402" s="135"/>
      <c r="F402" s="135"/>
      <c r="G402" s="135"/>
      <c r="H402" s="135"/>
      <c r="I402" s="135"/>
      <c r="J402" s="135"/>
      <c r="K402" s="136"/>
      <c r="L402" s="137"/>
    </row>
    <row r="403" ht="12.75" customHeight="1">
      <c r="A403" s="135"/>
      <c r="B403" s="135"/>
      <c r="C403" s="135"/>
      <c r="D403" s="135"/>
      <c r="E403" s="135"/>
      <c r="F403" s="135"/>
      <c r="G403" s="135"/>
      <c r="H403" s="135"/>
      <c r="I403" s="135"/>
      <c r="J403" s="135"/>
      <c r="K403" s="136"/>
      <c r="L403" s="137"/>
    </row>
    <row r="404" ht="12.75" customHeight="1">
      <c r="A404" s="135"/>
      <c r="B404" s="135"/>
      <c r="C404" s="135"/>
      <c r="D404" s="135"/>
      <c r="E404" s="135"/>
      <c r="F404" s="135"/>
      <c r="G404" s="135"/>
      <c r="H404" s="135"/>
      <c r="I404" s="135"/>
      <c r="J404" s="135"/>
      <c r="K404" s="136"/>
      <c r="L404" s="137"/>
    </row>
    <row r="405" ht="12.75" customHeight="1">
      <c r="A405" s="135"/>
      <c r="B405" s="135"/>
      <c r="C405" s="135"/>
      <c r="D405" s="135"/>
      <c r="E405" s="135"/>
      <c r="F405" s="135"/>
      <c r="G405" s="135"/>
      <c r="H405" s="135"/>
      <c r="I405" s="135"/>
      <c r="J405" s="135"/>
      <c r="K405" s="136"/>
      <c r="L405" s="137"/>
    </row>
    <row r="406" ht="12.75" customHeight="1">
      <c r="A406" s="135"/>
      <c r="B406" s="135"/>
      <c r="C406" s="135"/>
      <c r="D406" s="135"/>
      <c r="E406" s="135"/>
      <c r="F406" s="135"/>
      <c r="G406" s="135"/>
      <c r="H406" s="135"/>
      <c r="I406" s="135"/>
      <c r="J406" s="135"/>
      <c r="K406" s="136"/>
      <c r="L406" s="137"/>
    </row>
    <row r="407" ht="12.75" customHeight="1">
      <c r="A407" s="135"/>
      <c r="B407" s="135"/>
      <c r="C407" s="135"/>
      <c r="D407" s="135"/>
      <c r="E407" s="135"/>
      <c r="F407" s="135"/>
      <c r="G407" s="135"/>
      <c r="H407" s="135"/>
      <c r="I407" s="135"/>
      <c r="J407" s="135"/>
      <c r="K407" s="136"/>
      <c r="L407" s="137"/>
    </row>
    <row r="408" ht="12.75" customHeight="1">
      <c r="A408" s="135"/>
      <c r="B408" s="135"/>
      <c r="C408" s="135"/>
      <c r="D408" s="135"/>
      <c r="E408" s="135"/>
      <c r="F408" s="135"/>
      <c r="G408" s="135"/>
      <c r="H408" s="135"/>
      <c r="I408" s="135"/>
      <c r="J408" s="135"/>
      <c r="K408" s="136"/>
      <c r="L408" s="137"/>
    </row>
    <row r="409" ht="12.75" customHeight="1">
      <c r="A409" s="135"/>
      <c r="B409" s="135"/>
      <c r="C409" s="135"/>
      <c r="D409" s="135"/>
      <c r="E409" s="135"/>
      <c r="F409" s="135"/>
      <c r="G409" s="135"/>
      <c r="H409" s="135"/>
      <c r="I409" s="135"/>
      <c r="J409" s="135"/>
      <c r="K409" s="136"/>
      <c r="L409" s="137"/>
    </row>
    <row r="410" ht="12.75" customHeight="1">
      <c r="A410" s="135"/>
      <c r="B410" s="135"/>
      <c r="C410" s="135"/>
      <c r="D410" s="135"/>
      <c r="E410" s="135"/>
      <c r="F410" s="135"/>
      <c r="G410" s="135"/>
      <c r="H410" s="135"/>
      <c r="I410" s="135"/>
      <c r="J410" s="135"/>
      <c r="K410" s="136"/>
      <c r="L410" s="137"/>
    </row>
    <row r="411" ht="12.75" customHeight="1">
      <c r="A411" s="135"/>
      <c r="B411" s="135"/>
      <c r="C411" s="135"/>
      <c r="D411" s="135"/>
      <c r="E411" s="135"/>
      <c r="F411" s="135"/>
      <c r="G411" s="135"/>
      <c r="H411" s="135"/>
      <c r="I411" s="135"/>
      <c r="J411" s="135"/>
      <c r="K411" s="136"/>
      <c r="L411" s="137"/>
    </row>
    <row r="412" ht="12.75" customHeight="1">
      <c r="A412" s="135"/>
      <c r="B412" s="135"/>
      <c r="C412" s="135"/>
      <c r="D412" s="135"/>
      <c r="E412" s="135"/>
      <c r="F412" s="135"/>
      <c r="G412" s="135"/>
      <c r="H412" s="135"/>
      <c r="I412" s="135"/>
      <c r="J412" s="135"/>
      <c r="K412" s="136"/>
      <c r="L412" s="137"/>
    </row>
    <row r="413" ht="12.75" customHeight="1">
      <c r="A413" s="135"/>
      <c r="B413" s="135"/>
      <c r="C413" s="135"/>
      <c r="D413" s="135"/>
      <c r="E413" s="135"/>
      <c r="F413" s="135"/>
      <c r="G413" s="135"/>
      <c r="H413" s="135"/>
      <c r="I413" s="135"/>
      <c r="J413" s="135"/>
      <c r="K413" s="136"/>
      <c r="L413" s="137"/>
    </row>
    <row r="414" ht="12.75" customHeight="1">
      <c r="A414" s="135"/>
      <c r="B414" s="135"/>
      <c r="C414" s="135"/>
      <c r="D414" s="135"/>
      <c r="E414" s="135"/>
      <c r="F414" s="135"/>
      <c r="G414" s="135"/>
      <c r="H414" s="135"/>
      <c r="I414" s="135"/>
      <c r="J414" s="135"/>
      <c r="K414" s="136"/>
      <c r="L414" s="137"/>
    </row>
    <row r="415" ht="12.75" customHeight="1">
      <c r="A415" s="135"/>
      <c r="B415" s="135"/>
      <c r="C415" s="135"/>
      <c r="D415" s="135"/>
      <c r="E415" s="135"/>
      <c r="F415" s="135"/>
      <c r="G415" s="135"/>
      <c r="H415" s="135"/>
      <c r="I415" s="135"/>
      <c r="J415" s="135"/>
      <c r="K415" s="136"/>
      <c r="L415" s="137"/>
    </row>
    <row r="416" ht="12.75" customHeight="1">
      <c r="A416" s="135"/>
      <c r="B416" s="135"/>
      <c r="C416" s="135"/>
      <c r="D416" s="135"/>
      <c r="E416" s="135"/>
      <c r="F416" s="135"/>
      <c r="G416" s="135"/>
      <c r="H416" s="135"/>
      <c r="I416" s="135"/>
      <c r="J416" s="135"/>
      <c r="K416" s="136"/>
      <c r="L416" s="137"/>
    </row>
    <row r="417" ht="12.75" customHeight="1">
      <c r="A417" s="135"/>
      <c r="B417" s="135"/>
      <c r="C417" s="135"/>
      <c r="D417" s="135"/>
      <c r="E417" s="135"/>
      <c r="F417" s="135"/>
      <c r="G417" s="135"/>
      <c r="H417" s="135"/>
      <c r="I417" s="135"/>
      <c r="J417" s="135"/>
      <c r="K417" s="136"/>
      <c r="L417" s="137"/>
    </row>
    <row r="418" ht="12.75" customHeight="1">
      <c r="A418" s="135"/>
      <c r="B418" s="135"/>
      <c r="C418" s="135"/>
      <c r="D418" s="135"/>
      <c r="E418" s="135"/>
      <c r="F418" s="135"/>
      <c r="G418" s="135"/>
      <c r="H418" s="135"/>
      <c r="I418" s="135"/>
      <c r="J418" s="135"/>
      <c r="K418" s="136"/>
      <c r="L418" s="137"/>
    </row>
    <row r="419" ht="12.75" customHeight="1">
      <c r="A419" s="135"/>
      <c r="B419" s="135"/>
      <c r="C419" s="135"/>
      <c r="D419" s="135"/>
      <c r="E419" s="135"/>
      <c r="F419" s="135"/>
      <c r="G419" s="135"/>
      <c r="H419" s="135"/>
      <c r="I419" s="135"/>
      <c r="J419" s="135"/>
      <c r="K419" s="136"/>
      <c r="L419" s="137"/>
    </row>
    <row r="420" ht="12.75" customHeight="1">
      <c r="A420" s="135"/>
      <c r="B420" s="135"/>
      <c r="C420" s="135"/>
      <c r="D420" s="135"/>
      <c r="E420" s="135"/>
      <c r="F420" s="135"/>
      <c r="G420" s="135"/>
      <c r="H420" s="135"/>
      <c r="I420" s="135"/>
      <c r="J420" s="135"/>
      <c r="K420" s="136"/>
      <c r="L420" s="137"/>
    </row>
    <row r="421" ht="12.75" customHeight="1">
      <c r="A421" s="135"/>
      <c r="B421" s="135"/>
      <c r="C421" s="135"/>
      <c r="D421" s="135"/>
      <c r="E421" s="135"/>
      <c r="F421" s="135"/>
      <c r="G421" s="135"/>
      <c r="H421" s="135"/>
      <c r="I421" s="135"/>
      <c r="J421" s="135"/>
      <c r="K421" s="136"/>
      <c r="L421" s="137"/>
    </row>
    <row r="422" ht="12.75" customHeight="1">
      <c r="A422" s="135"/>
      <c r="B422" s="135"/>
      <c r="C422" s="135"/>
      <c r="D422" s="135"/>
      <c r="E422" s="135"/>
      <c r="F422" s="135"/>
      <c r="G422" s="135"/>
      <c r="H422" s="135"/>
      <c r="I422" s="135"/>
      <c r="J422" s="135"/>
      <c r="K422" s="136"/>
      <c r="L422" s="137"/>
    </row>
    <row r="423" ht="12.75" customHeight="1">
      <c r="A423" s="135"/>
      <c r="B423" s="135"/>
      <c r="C423" s="135"/>
      <c r="D423" s="135"/>
      <c r="E423" s="135"/>
      <c r="F423" s="135"/>
      <c r="G423" s="135"/>
      <c r="H423" s="135"/>
      <c r="I423" s="135"/>
      <c r="J423" s="135"/>
      <c r="K423" s="136"/>
      <c r="L423" s="137"/>
    </row>
    <row r="424" ht="12.75" customHeight="1">
      <c r="A424" s="135"/>
      <c r="B424" s="135"/>
      <c r="C424" s="135"/>
      <c r="D424" s="135"/>
      <c r="E424" s="135"/>
      <c r="F424" s="135"/>
      <c r="G424" s="135"/>
      <c r="H424" s="135"/>
      <c r="I424" s="135"/>
      <c r="J424" s="135"/>
      <c r="K424" s="136"/>
      <c r="L424" s="137"/>
    </row>
    <row r="425" ht="12.75" customHeight="1">
      <c r="A425" s="135"/>
      <c r="B425" s="135"/>
      <c r="C425" s="135"/>
      <c r="D425" s="135"/>
      <c r="E425" s="135"/>
      <c r="F425" s="135"/>
      <c r="G425" s="135"/>
      <c r="H425" s="135"/>
      <c r="I425" s="135"/>
      <c r="J425" s="135"/>
      <c r="K425" s="136"/>
      <c r="L425" s="137"/>
    </row>
    <row r="426" ht="12.75" customHeight="1">
      <c r="A426" s="135"/>
      <c r="B426" s="135"/>
      <c r="C426" s="135"/>
      <c r="D426" s="135"/>
      <c r="E426" s="135"/>
      <c r="F426" s="135"/>
      <c r="G426" s="135"/>
      <c r="H426" s="135"/>
      <c r="I426" s="135"/>
      <c r="J426" s="135"/>
      <c r="K426" s="136"/>
      <c r="L426" s="137"/>
    </row>
    <row r="427" ht="12.75" customHeight="1">
      <c r="A427" s="135"/>
      <c r="B427" s="135"/>
      <c r="C427" s="135"/>
      <c r="D427" s="135"/>
      <c r="E427" s="135"/>
      <c r="F427" s="135"/>
      <c r="G427" s="135"/>
      <c r="H427" s="135"/>
      <c r="I427" s="135"/>
      <c r="J427" s="135"/>
      <c r="K427" s="136"/>
      <c r="L427" s="137"/>
    </row>
    <row r="428" ht="12.75" customHeight="1">
      <c r="A428" s="135"/>
      <c r="B428" s="135"/>
      <c r="C428" s="135"/>
      <c r="D428" s="135"/>
      <c r="E428" s="135"/>
      <c r="F428" s="135"/>
      <c r="G428" s="135"/>
      <c r="H428" s="135"/>
      <c r="I428" s="135"/>
      <c r="J428" s="135"/>
      <c r="K428" s="136"/>
      <c r="L428" s="137"/>
    </row>
    <row r="429" ht="12.75" customHeight="1">
      <c r="A429" s="135"/>
      <c r="B429" s="135"/>
      <c r="C429" s="135"/>
      <c r="D429" s="135"/>
      <c r="E429" s="135"/>
      <c r="F429" s="135"/>
      <c r="G429" s="135"/>
      <c r="H429" s="135"/>
      <c r="I429" s="135"/>
      <c r="J429" s="135"/>
      <c r="K429" s="136"/>
      <c r="L429" s="137"/>
    </row>
    <row r="430" ht="12.75" customHeight="1">
      <c r="A430" s="135"/>
      <c r="B430" s="135"/>
      <c r="C430" s="135"/>
      <c r="D430" s="135"/>
      <c r="E430" s="135"/>
      <c r="F430" s="135"/>
      <c r="G430" s="135"/>
      <c r="H430" s="135"/>
      <c r="I430" s="135"/>
      <c r="J430" s="135"/>
      <c r="K430" s="136"/>
      <c r="L430" s="137"/>
    </row>
    <row r="431" ht="12.75" customHeight="1">
      <c r="A431" s="135"/>
      <c r="B431" s="135"/>
      <c r="C431" s="135"/>
      <c r="D431" s="135"/>
      <c r="E431" s="135"/>
      <c r="F431" s="135"/>
      <c r="G431" s="135"/>
      <c r="H431" s="135"/>
      <c r="I431" s="135"/>
      <c r="J431" s="135"/>
      <c r="K431" s="136"/>
      <c r="L431" s="137"/>
    </row>
    <row r="432" ht="12.75" customHeight="1">
      <c r="A432" s="135"/>
      <c r="B432" s="135"/>
      <c r="C432" s="135"/>
      <c r="D432" s="135"/>
      <c r="E432" s="135"/>
      <c r="F432" s="135"/>
      <c r="G432" s="135"/>
      <c r="H432" s="135"/>
      <c r="I432" s="135"/>
      <c r="J432" s="135"/>
      <c r="K432" s="136"/>
      <c r="L432" s="137"/>
    </row>
    <row r="433" ht="12.75" customHeight="1">
      <c r="A433" s="135"/>
      <c r="B433" s="135"/>
      <c r="C433" s="135"/>
      <c r="D433" s="135"/>
      <c r="E433" s="135"/>
      <c r="F433" s="135"/>
      <c r="G433" s="135"/>
      <c r="H433" s="135"/>
      <c r="I433" s="135"/>
      <c r="J433" s="135"/>
      <c r="K433" s="136"/>
      <c r="L433" s="137"/>
    </row>
    <row r="434" ht="12.75" customHeight="1">
      <c r="A434" s="135"/>
      <c r="B434" s="135"/>
      <c r="C434" s="135"/>
      <c r="D434" s="135"/>
      <c r="E434" s="135"/>
      <c r="F434" s="135"/>
      <c r="G434" s="135"/>
      <c r="H434" s="135"/>
      <c r="I434" s="135"/>
      <c r="J434" s="135"/>
      <c r="K434" s="136"/>
      <c r="L434" s="137"/>
    </row>
    <row r="435" ht="12.75" customHeight="1">
      <c r="A435" s="135"/>
      <c r="B435" s="135"/>
      <c r="C435" s="135"/>
      <c r="D435" s="135"/>
      <c r="E435" s="135"/>
      <c r="F435" s="135"/>
      <c r="G435" s="135"/>
      <c r="H435" s="135"/>
      <c r="I435" s="135"/>
      <c r="J435" s="135"/>
      <c r="K435" s="136"/>
      <c r="L435" s="137"/>
    </row>
    <row r="436" ht="12.75" customHeight="1">
      <c r="A436" s="135"/>
      <c r="B436" s="135"/>
      <c r="C436" s="135"/>
      <c r="D436" s="135"/>
      <c r="E436" s="135"/>
      <c r="F436" s="135"/>
      <c r="G436" s="135"/>
      <c r="H436" s="135"/>
      <c r="I436" s="135"/>
      <c r="J436" s="135"/>
      <c r="K436" s="136"/>
      <c r="L436" s="137"/>
    </row>
    <row r="437" ht="12.75" customHeight="1">
      <c r="A437" s="135"/>
      <c r="B437" s="135"/>
      <c r="C437" s="135"/>
      <c r="D437" s="135"/>
      <c r="E437" s="135"/>
      <c r="F437" s="135"/>
      <c r="G437" s="135"/>
      <c r="H437" s="135"/>
      <c r="I437" s="135"/>
      <c r="J437" s="135"/>
      <c r="K437" s="136"/>
      <c r="L437" s="137"/>
    </row>
    <row r="438" ht="12.75" customHeight="1">
      <c r="A438" s="135"/>
      <c r="B438" s="135"/>
      <c r="C438" s="135"/>
      <c r="D438" s="135"/>
      <c r="E438" s="135"/>
      <c r="F438" s="135"/>
      <c r="G438" s="135"/>
      <c r="H438" s="135"/>
      <c r="I438" s="135"/>
      <c r="J438" s="135"/>
      <c r="K438" s="136"/>
      <c r="L438" s="137"/>
    </row>
    <row r="439" ht="12.75" customHeight="1">
      <c r="A439" s="135"/>
      <c r="B439" s="135"/>
      <c r="C439" s="135"/>
      <c r="D439" s="135"/>
      <c r="E439" s="135"/>
      <c r="F439" s="135"/>
      <c r="G439" s="135"/>
      <c r="H439" s="135"/>
      <c r="I439" s="135"/>
      <c r="J439" s="135"/>
      <c r="K439" s="136"/>
      <c r="L439" s="137"/>
    </row>
    <row r="440" ht="12.75" customHeight="1">
      <c r="A440" s="135"/>
      <c r="B440" s="135"/>
      <c r="C440" s="135"/>
      <c r="D440" s="135"/>
      <c r="E440" s="135"/>
      <c r="F440" s="135"/>
      <c r="G440" s="135"/>
      <c r="H440" s="135"/>
      <c r="I440" s="135"/>
      <c r="J440" s="135"/>
      <c r="K440" s="136"/>
      <c r="L440" s="137"/>
    </row>
    <row r="441" ht="12.75" customHeight="1">
      <c r="A441" s="135"/>
      <c r="B441" s="135"/>
      <c r="C441" s="135"/>
      <c r="D441" s="135"/>
      <c r="E441" s="135"/>
      <c r="F441" s="135"/>
      <c r="G441" s="135"/>
      <c r="H441" s="135"/>
      <c r="I441" s="135"/>
      <c r="J441" s="135"/>
      <c r="K441" s="136"/>
      <c r="L441" s="137"/>
    </row>
    <row r="442" ht="12.75" customHeight="1">
      <c r="A442" s="135"/>
      <c r="B442" s="135"/>
      <c r="C442" s="135"/>
      <c r="D442" s="135"/>
      <c r="E442" s="135"/>
      <c r="F442" s="135"/>
      <c r="G442" s="135"/>
      <c r="H442" s="135"/>
      <c r="I442" s="135"/>
      <c r="J442" s="135"/>
      <c r="K442" s="136"/>
      <c r="L442" s="137"/>
    </row>
    <row r="443" ht="12.75" customHeight="1">
      <c r="A443" s="135"/>
      <c r="B443" s="135"/>
      <c r="C443" s="135"/>
      <c r="D443" s="135"/>
      <c r="E443" s="135"/>
      <c r="F443" s="135"/>
      <c r="G443" s="135"/>
      <c r="H443" s="135"/>
      <c r="I443" s="135"/>
      <c r="J443" s="135"/>
      <c r="K443" s="136"/>
      <c r="L443" s="137"/>
    </row>
    <row r="444" ht="12.75" customHeight="1">
      <c r="A444" s="135"/>
      <c r="B444" s="135"/>
      <c r="C444" s="135"/>
      <c r="D444" s="135"/>
      <c r="E444" s="135"/>
      <c r="F444" s="135"/>
      <c r="G444" s="135"/>
      <c r="H444" s="135"/>
      <c r="I444" s="135"/>
      <c r="J444" s="135"/>
      <c r="K444" s="136"/>
      <c r="L444" s="137"/>
    </row>
    <row r="445" ht="12.75" customHeight="1">
      <c r="A445" s="135"/>
      <c r="B445" s="135"/>
      <c r="C445" s="135"/>
      <c r="D445" s="135"/>
      <c r="E445" s="135"/>
      <c r="F445" s="135"/>
      <c r="G445" s="135"/>
      <c r="H445" s="135"/>
      <c r="I445" s="135"/>
      <c r="J445" s="135"/>
      <c r="K445" s="136"/>
      <c r="L445" s="137"/>
    </row>
    <row r="446" ht="12.75" customHeight="1">
      <c r="A446" s="135"/>
      <c r="B446" s="135"/>
      <c r="C446" s="135"/>
      <c r="D446" s="135"/>
      <c r="E446" s="135"/>
      <c r="F446" s="135"/>
      <c r="G446" s="135"/>
      <c r="H446" s="135"/>
      <c r="I446" s="135"/>
      <c r="J446" s="135"/>
      <c r="K446" s="136"/>
      <c r="L446" s="137"/>
    </row>
    <row r="447" ht="12.75" customHeight="1">
      <c r="A447" s="135"/>
      <c r="B447" s="135"/>
      <c r="C447" s="135"/>
      <c r="D447" s="135"/>
      <c r="E447" s="135"/>
      <c r="F447" s="135"/>
      <c r="G447" s="135"/>
      <c r="H447" s="135"/>
      <c r="I447" s="135"/>
      <c r="J447" s="135"/>
      <c r="K447" s="136"/>
      <c r="L447" s="137"/>
    </row>
    <row r="448" ht="12.75" customHeight="1">
      <c r="A448" s="135"/>
      <c r="B448" s="135"/>
      <c r="C448" s="135"/>
      <c r="D448" s="135"/>
      <c r="E448" s="135"/>
      <c r="F448" s="135"/>
      <c r="G448" s="135"/>
      <c r="H448" s="135"/>
      <c r="I448" s="135"/>
      <c r="J448" s="135"/>
      <c r="K448" s="136"/>
      <c r="L448" s="137"/>
    </row>
    <row r="449" ht="12.75" customHeight="1">
      <c r="A449" s="135"/>
      <c r="B449" s="135"/>
      <c r="C449" s="135"/>
      <c r="D449" s="135"/>
      <c r="E449" s="135"/>
      <c r="F449" s="135"/>
      <c r="G449" s="135"/>
      <c r="H449" s="135"/>
      <c r="I449" s="135"/>
      <c r="J449" s="135"/>
      <c r="K449" s="136"/>
      <c r="L449" s="137"/>
    </row>
    <row r="450" ht="12.75" customHeight="1">
      <c r="A450" s="135"/>
      <c r="B450" s="135"/>
      <c r="C450" s="135"/>
      <c r="D450" s="135"/>
      <c r="E450" s="135"/>
      <c r="F450" s="135"/>
      <c r="G450" s="135"/>
      <c r="H450" s="135"/>
      <c r="I450" s="135"/>
      <c r="J450" s="135"/>
      <c r="K450" s="136"/>
      <c r="L450" s="137"/>
    </row>
    <row r="451" ht="12.75" customHeight="1">
      <c r="A451" s="135"/>
      <c r="B451" s="135"/>
      <c r="C451" s="135"/>
      <c r="D451" s="135"/>
      <c r="E451" s="135"/>
      <c r="F451" s="135"/>
      <c r="G451" s="135"/>
      <c r="H451" s="135"/>
      <c r="I451" s="135"/>
      <c r="J451" s="135"/>
      <c r="K451" s="136"/>
      <c r="L451" s="137"/>
    </row>
    <row r="452" ht="12.75" customHeight="1">
      <c r="A452" s="135"/>
      <c r="B452" s="135"/>
      <c r="C452" s="135"/>
      <c r="D452" s="135"/>
      <c r="E452" s="135"/>
      <c r="F452" s="135"/>
      <c r="G452" s="135"/>
      <c r="H452" s="135"/>
      <c r="I452" s="135"/>
      <c r="J452" s="135"/>
      <c r="K452" s="136"/>
      <c r="L452" s="137"/>
    </row>
    <row r="453" ht="12.75" customHeight="1">
      <c r="A453" s="135"/>
      <c r="B453" s="135"/>
      <c r="C453" s="135"/>
      <c r="D453" s="135"/>
      <c r="E453" s="135"/>
      <c r="F453" s="135"/>
      <c r="G453" s="135"/>
      <c r="H453" s="135"/>
      <c r="I453" s="135"/>
      <c r="J453" s="135"/>
      <c r="K453" s="136"/>
      <c r="L453" s="137"/>
    </row>
    <row r="454" ht="12.75" customHeight="1">
      <c r="A454" s="135"/>
      <c r="B454" s="135"/>
      <c r="C454" s="135"/>
      <c r="D454" s="135"/>
      <c r="E454" s="135"/>
      <c r="F454" s="135"/>
      <c r="G454" s="135"/>
      <c r="H454" s="135"/>
      <c r="I454" s="135"/>
      <c r="J454" s="135"/>
      <c r="K454" s="136"/>
      <c r="L454" s="137"/>
    </row>
    <row r="455" ht="12.75" customHeight="1">
      <c r="A455" s="135"/>
      <c r="B455" s="135"/>
      <c r="C455" s="135"/>
      <c r="D455" s="135"/>
      <c r="E455" s="135"/>
      <c r="F455" s="135"/>
      <c r="G455" s="135"/>
      <c r="H455" s="135"/>
      <c r="I455" s="135"/>
      <c r="J455" s="135"/>
      <c r="K455" s="136"/>
      <c r="L455" s="137"/>
    </row>
    <row r="456" ht="12.75" customHeight="1">
      <c r="A456" s="135"/>
      <c r="B456" s="135"/>
      <c r="C456" s="135"/>
      <c r="D456" s="135"/>
      <c r="E456" s="135"/>
      <c r="F456" s="135"/>
      <c r="G456" s="135"/>
      <c r="H456" s="135"/>
      <c r="I456" s="135"/>
      <c r="J456" s="135"/>
      <c r="K456" s="136"/>
      <c r="L456" s="137"/>
    </row>
    <row r="457" ht="12.75" customHeight="1">
      <c r="A457" s="135"/>
      <c r="B457" s="135"/>
      <c r="C457" s="135"/>
      <c r="D457" s="135"/>
      <c r="E457" s="135"/>
      <c r="F457" s="135"/>
      <c r="G457" s="135"/>
      <c r="H457" s="135"/>
      <c r="I457" s="135"/>
      <c r="J457" s="135"/>
      <c r="K457" s="136"/>
      <c r="L457" s="137"/>
    </row>
    <row r="458" ht="12.75" customHeight="1">
      <c r="A458" s="135"/>
      <c r="B458" s="135"/>
      <c r="C458" s="135"/>
      <c r="D458" s="135"/>
      <c r="E458" s="135"/>
      <c r="F458" s="135"/>
      <c r="G458" s="135"/>
      <c r="H458" s="135"/>
      <c r="I458" s="135"/>
      <c r="J458" s="135"/>
      <c r="K458" s="136"/>
      <c r="L458" s="137"/>
    </row>
    <row r="459" ht="12.75" customHeight="1">
      <c r="A459" s="135"/>
      <c r="B459" s="135"/>
      <c r="C459" s="135"/>
      <c r="D459" s="135"/>
      <c r="E459" s="135"/>
      <c r="F459" s="135"/>
      <c r="G459" s="135"/>
      <c r="H459" s="135"/>
      <c r="I459" s="135"/>
      <c r="J459" s="135"/>
      <c r="K459" s="136"/>
      <c r="L459" s="137"/>
    </row>
    <row r="460" ht="12.75" customHeight="1">
      <c r="A460" s="135"/>
      <c r="B460" s="135"/>
      <c r="C460" s="135"/>
      <c r="D460" s="135"/>
      <c r="E460" s="135"/>
      <c r="F460" s="135"/>
      <c r="G460" s="135"/>
      <c r="H460" s="135"/>
      <c r="I460" s="135"/>
      <c r="J460" s="135"/>
      <c r="K460" s="136"/>
      <c r="L460" s="137"/>
    </row>
    <row r="461" ht="12.75" customHeight="1">
      <c r="A461" s="135"/>
      <c r="B461" s="135"/>
      <c r="C461" s="135"/>
      <c r="D461" s="135"/>
      <c r="E461" s="135"/>
      <c r="F461" s="135"/>
      <c r="G461" s="135"/>
      <c r="H461" s="135"/>
      <c r="I461" s="135"/>
      <c r="J461" s="135"/>
      <c r="K461" s="136"/>
      <c r="L461" s="137"/>
    </row>
    <row r="462" ht="12.75" customHeight="1">
      <c r="A462" s="135"/>
      <c r="B462" s="135"/>
      <c r="C462" s="135"/>
      <c r="D462" s="135"/>
      <c r="E462" s="135"/>
      <c r="F462" s="135"/>
      <c r="G462" s="135"/>
      <c r="H462" s="135"/>
      <c r="I462" s="135"/>
      <c r="J462" s="135"/>
      <c r="K462" s="136"/>
      <c r="L462" s="137"/>
    </row>
    <row r="463" ht="12.75" customHeight="1">
      <c r="A463" s="135"/>
      <c r="B463" s="135"/>
      <c r="C463" s="135"/>
      <c r="D463" s="135"/>
      <c r="E463" s="135"/>
      <c r="F463" s="135"/>
      <c r="G463" s="135"/>
      <c r="H463" s="135"/>
      <c r="I463" s="135"/>
      <c r="J463" s="135"/>
      <c r="K463" s="136"/>
      <c r="L463" s="137"/>
    </row>
    <row r="464" ht="12.75" customHeight="1">
      <c r="A464" s="135"/>
      <c r="B464" s="135"/>
      <c r="C464" s="135"/>
      <c r="D464" s="135"/>
      <c r="E464" s="135"/>
      <c r="F464" s="135"/>
      <c r="G464" s="135"/>
      <c r="H464" s="135"/>
      <c r="I464" s="135"/>
      <c r="J464" s="135"/>
      <c r="K464" s="136"/>
      <c r="L464" s="137"/>
    </row>
    <row r="465" ht="12.75" customHeight="1">
      <c r="A465" s="135"/>
      <c r="B465" s="135"/>
      <c r="C465" s="135"/>
      <c r="D465" s="135"/>
      <c r="E465" s="135"/>
      <c r="F465" s="135"/>
      <c r="G465" s="135"/>
      <c r="H465" s="135"/>
      <c r="I465" s="135"/>
      <c r="J465" s="135"/>
      <c r="K465" s="136"/>
      <c r="L465" s="137"/>
    </row>
    <row r="466" ht="12.75" customHeight="1">
      <c r="A466" s="135"/>
      <c r="B466" s="135"/>
      <c r="C466" s="135"/>
      <c r="D466" s="135"/>
      <c r="E466" s="135"/>
      <c r="F466" s="135"/>
      <c r="G466" s="135"/>
      <c r="H466" s="135"/>
      <c r="I466" s="135"/>
      <c r="J466" s="135"/>
      <c r="K466" s="136"/>
      <c r="L466" s="137"/>
    </row>
    <row r="467" ht="12.75" customHeight="1">
      <c r="A467" s="135"/>
      <c r="B467" s="135"/>
      <c r="C467" s="135"/>
      <c r="D467" s="135"/>
      <c r="E467" s="135"/>
      <c r="F467" s="135"/>
      <c r="G467" s="135"/>
      <c r="H467" s="135"/>
      <c r="I467" s="135"/>
      <c r="J467" s="135"/>
      <c r="K467" s="136"/>
      <c r="L467" s="137"/>
    </row>
    <row r="468" ht="12.75" customHeight="1">
      <c r="A468" s="135"/>
      <c r="B468" s="135"/>
      <c r="C468" s="135"/>
      <c r="D468" s="135"/>
      <c r="E468" s="135"/>
      <c r="F468" s="135"/>
      <c r="G468" s="135"/>
      <c r="H468" s="135"/>
      <c r="I468" s="135"/>
      <c r="J468" s="135"/>
      <c r="K468" s="136"/>
      <c r="L468" s="137"/>
    </row>
    <row r="469" ht="12.75" customHeight="1">
      <c r="A469" s="135"/>
      <c r="B469" s="135"/>
      <c r="C469" s="135"/>
      <c r="D469" s="135"/>
      <c r="E469" s="135"/>
      <c r="F469" s="135"/>
      <c r="G469" s="135"/>
      <c r="H469" s="135"/>
      <c r="I469" s="135"/>
      <c r="J469" s="135"/>
      <c r="K469" s="136"/>
      <c r="L469" s="137"/>
    </row>
    <row r="470" ht="12.75" customHeight="1">
      <c r="A470" s="135"/>
      <c r="B470" s="135"/>
      <c r="C470" s="135"/>
      <c r="D470" s="135"/>
      <c r="E470" s="135"/>
      <c r="F470" s="135"/>
      <c r="G470" s="135"/>
      <c r="H470" s="135"/>
      <c r="I470" s="135"/>
      <c r="J470" s="135"/>
      <c r="K470" s="136"/>
      <c r="L470" s="137"/>
    </row>
    <row r="471" ht="12.75" customHeight="1">
      <c r="A471" s="135"/>
      <c r="B471" s="135"/>
      <c r="C471" s="135"/>
      <c r="D471" s="135"/>
      <c r="E471" s="135"/>
      <c r="F471" s="135"/>
      <c r="G471" s="135"/>
      <c r="H471" s="135"/>
      <c r="I471" s="135"/>
      <c r="J471" s="135"/>
      <c r="K471" s="136"/>
      <c r="L471" s="137"/>
    </row>
    <row r="472" ht="12.75" customHeight="1">
      <c r="A472" s="135"/>
      <c r="B472" s="135"/>
      <c r="C472" s="135"/>
      <c r="D472" s="135"/>
      <c r="E472" s="135"/>
      <c r="F472" s="135"/>
      <c r="G472" s="135"/>
      <c r="H472" s="135"/>
      <c r="I472" s="135"/>
      <c r="J472" s="135"/>
      <c r="K472" s="136"/>
      <c r="L472" s="137"/>
    </row>
    <row r="473" ht="12.75" customHeight="1">
      <c r="A473" s="135"/>
      <c r="B473" s="135"/>
      <c r="C473" s="135"/>
      <c r="D473" s="135"/>
      <c r="E473" s="135"/>
      <c r="F473" s="135"/>
      <c r="G473" s="135"/>
      <c r="H473" s="135"/>
      <c r="I473" s="135"/>
      <c r="J473" s="135"/>
      <c r="K473" s="136"/>
      <c r="L473" s="137"/>
    </row>
    <row r="474" ht="12.75" customHeight="1">
      <c r="A474" s="135"/>
      <c r="B474" s="135"/>
      <c r="C474" s="135"/>
      <c r="D474" s="135"/>
      <c r="E474" s="135"/>
      <c r="F474" s="135"/>
      <c r="G474" s="135"/>
      <c r="H474" s="135"/>
      <c r="I474" s="135"/>
      <c r="J474" s="135"/>
      <c r="K474" s="136"/>
      <c r="L474" s="137"/>
    </row>
    <row r="475" ht="12.75" customHeight="1">
      <c r="A475" s="135"/>
      <c r="B475" s="135"/>
      <c r="C475" s="135"/>
      <c r="D475" s="135"/>
      <c r="E475" s="135"/>
      <c r="F475" s="135"/>
      <c r="G475" s="135"/>
      <c r="H475" s="135"/>
      <c r="I475" s="135"/>
      <c r="J475" s="135"/>
      <c r="K475" s="136"/>
      <c r="L475" s="137"/>
    </row>
    <row r="476" ht="12.75" customHeight="1">
      <c r="A476" s="135"/>
      <c r="B476" s="135"/>
      <c r="C476" s="135"/>
      <c r="D476" s="135"/>
      <c r="E476" s="135"/>
      <c r="F476" s="135"/>
      <c r="G476" s="135"/>
      <c r="H476" s="135"/>
      <c r="I476" s="135"/>
      <c r="J476" s="135"/>
      <c r="K476" s="136"/>
      <c r="L476" s="137"/>
    </row>
    <row r="477" ht="12.75" customHeight="1">
      <c r="A477" s="135"/>
      <c r="B477" s="135"/>
      <c r="C477" s="135"/>
      <c r="D477" s="135"/>
      <c r="E477" s="135"/>
      <c r="F477" s="135"/>
      <c r="G477" s="135"/>
      <c r="H477" s="135"/>
      <c r="I477" s="135"/>
      <c r="J477" s="135"/>
      <c r="K477" s="136"/>
      <c r="L477" s="137"/>
    </row>
    <row r="478" ht="12.75" customHeight="1">
      <c r="A478" s="135"/>
      <c r="B478" s="135"/>
      <c r="C478" s="135"/>
      <c r="D478" s="135"/>
      <c r="E478" s="135"/>
      <c r="F478" s="135"/>
      <c r="G478" s="135"/>
      <c r="H478" s="135"/>
      <c r="I478" s="135"/>
      <c r="J478" s="135"/>
      <c r="K478" s="136"/>
      <c r="L478" s="137"/>
    </row>
    <row r="479" ht="12.75" customHeight="1">
      <c r="A479" s="135"/>
      <c r="B479" s="135"/>
      <c r="C479" s="135"/>
      <c r="D479" s="135"/>
      <c r="E479" s="135"/>
      <c r="F479" s="135"/>
      <c r="G479" s="135"/>
      <c r="H479" s="135"/>
      <c r="I479" s="135"/>
      <c r="J479" s="135"/>
      <c r="K479" s="136"/>
      <c r="L479" s="137"/>
    </row>
    <row r="480" ht="12.75" customHeight="1">
      <c r="A480" s="135"/>
      <c r="B480" s="135"/>
      <c r="C480" s="135"/>
      <c r="D480" s="135"/>
      <c r="E480" s="135"/>
      <c r="F480" s="135"/>
      <c r="G480" s="135"/>
      <c r="H480" s="135"/>
      <c r="I480" s="135"/>
      <c r="J480" s="135"/>
      <c r="K480" s="136"/>
      <c r="L480" s="137"/>
    </row>
    <row r="481" ht="12.75" customHeight="1">
      <c r="A481" s="135"/>
      <c r="B481" s="135"/>
      <c r="C481" s="135"/>
      <c r="D481" s="135"/>
      <c r="E481" s="135"/>
      <c r="F481" s="135"/>
      <c r="G481" s="135"/>
      <c r="H481" s="135"/>
      <c r="I481" s="135"/>
      <c r="J481" s="135"/>
      <c r="K481" s="136"/>
      <c r="L481" s="137"/>
    </row>
    <row r="482" ht="12.75" customHeight="1">
      <c r="A482" s="135"/>
      <c r="B482" s="135"/>
      <c r="C482" s="135"/>
      <c r="D482" s="135"/>
      <c r="E482" s="135"/>
      <c r="F482" s="135"/>
      <c r="G482" s="135"/>
      <c r="H482" s="135"/>
      <c r="I482" s="135"/>
      <c r="J482" s="135"/>
      <c r="K482" s="136"/>
      <c r="L482" s="137"/>
    </row>
    <row r="483" ht="12.75" customHeight="1">
      <c r="A483" s="135"/>
      <c r="B483" s="135"/>
      <c r="C483" s="135"/>
      <c r="D483" s="135"/>
      <c r="E483" s="135"/>
      <c r="F483" s="135"/>
      <c r="G483" s="135"/>
      <c r="H483" s="135"/>
      <c r="I483" s="135"/>
      <c r="J483" s="135"/>
      <c r="K483" s="136"/>
      <c r="L483" s="137"/>
    </row>
    <row r="484" ht="12.75" customHeight="1">
      <c r="A484" s="135"/>
      <c r="B484" s="135"/>
      <c r="C484" s="135"/>
      <c r="D484" s="135"/>
      <c r="E484" s="135"/>
      <c r="F484" s="135"/>
      <c r="G484" s="135"/>
      <c r="H484" s="135"/>
      <c r="I484" s="135"/>
      <c r="J484" s="135"/>
      <c r="K484" s="136"/>
      <c r="L484" s="137"/>
    </row>
    <row r="485" ht="12.75" customHeight="1">
      <c r="A485" s="135"/>
      <c r="B485" s="135"/>
      <c r="C485" s="135"/>
      <c r="D485" s="135"/>
      <c r="E485" s="135"/>
      <c r="F485" s="135"/>
      <c r="G485" s="135"/>
      <c r="H485" s="135"/>
      <c r="I485" s="135"/>
      <c r="J485" s="135"/>
      <c r="K485" s="136"/>
      <c r="L485" s="137"/>
    </row>
    <row r="486" ht="12.75" customHeight="1">
      <c r="A486" s="135"/>
      <c r="B486" s="135"/>
      <c r="C486" s="135"/>
      <c r="D486" s="135"/>
      <c r="E486" s="135"/>
      <c r="F486" s="135"/>
      <c r="G486" s="135"/>
      <c r="H486" s="135"/>
      <c r="I486" s="135"/>
      <c r="J486" s="135"/>
      <c r="K486" s="136"/>
      <c r="L486" s="137"/>
    </row>
    <row r="487" ht="12.75" customHeight="1">
      <c r="A487" s="135"/>
      <c r="B487" s="135"/>
      <c r="C487" s="135"/>
      <c r="D487" s="135"/>
      <c r="E487" s="135"/>
      <c r="F487" s="135"/>
      <c r="G487" s="135"/>
      <c r="H487" s="135"/>
      <c r="I487" s="135"/>
      <c r="J487" s="135"/>
      <c r="K487" s="136"/>
      <c r="L487" s="137"/>
    </row>
    <row r="488" ht="12.75" customHeight="1">
      <c r="A488" s="135"/>
      <c r="B488" s="135"/>
      <c r="C488" s="135"/>
      <c r="D488" s="135"/>
      <c r="E488" s="135"/>
      <c r="F488" s="135"/>
      <c r="G488" s="135"/>
      <c r="H488" s="135"/>
      <c r="I488" s="135"/>
      <c r="J488" s="135"/>
      <c r="K488" s="136"/>
      <c r="L488" s="137"/>
    </row>
    <row r="489" ht="12.75" customHeight="1">
      <c r="A489" s="135"/>
      <c r="B489" s="135"/>
      <c r="C489" s="135"/>
      <c r="D489" s="135"/>
      <c r="E489" s="135"/>
      <c r="F489" s="135"/>
      <c r="G489" s="135"/>
      <c r="H489" s="135"/>
      <c r="I489" s="135"/>
      <c r="J489" s="135"/>
      <c r="K489" s="136"/>
      <c r="L489" s="137"/>
    </row>
    <row r="490" ht="12.75" customHeight="1">
      <c r="A490" s="135"/>
      <c r="B490" s="135"/>
      <c r="C490" s="135"/>
      <c r="D490" s="135"/>
      <c r="E490" s="135"/>
      <c r="F490" s="135"/>
      <c r="G490" s="135"/>
      <c r="H490" s="135"/>
      <c r="I490" s="135"/>
      <c r="J490" s="135"/>
      <c r="K490" s="136"/>
      <c r="L490" s="137"/>
    </row>
    <row r="491" ht="12.75" customHeight="1">
      <c r="A491" s="135"/>
      <c r="B491" s="135"/>
      <c r="C491" s="135"/>
      <c r="D491" s="135"/>
      <c r="E491" s="135"/>
      <c r="F491" s="135"/>
      <c r="G491" s="135"/>
      <c r="H491" s="135"/>
      <c r="I491" s="135"/>
      <c r="J491" s="135"/>
      <c r="K491" s="136"/>
      <c r="L491" s="137"/>
    </row>
    <row r="492" ht="12.75" customHeight="1">
      <c r="A492" s="135"/>
      <c r="B492" s="135"/>
      <c r="C492" s="135"/>
      <c r="D492" s="135"/>
      <c r="E492" s="135"/>
      <c r="F492" s="135"/>
      <c r="G492" s="135"/>
      <c r="H492" s="135"/>
      <c r="I492" s="135"/>
      <c r="J492" s="135"/>
      <c r="K492" s="136"/>
      <c r="L492" s="137"/>
    </row>
    <row r="493" ht="12.75" customHeight="1">
      <c r="A493" s="135"/>
      <c r="B493" s="135"/>
      <c r="C493" s="135"/>
      <c r="D493" s="135"/>
      <c r="E493" s="135"/>
      <c r="F493" s="135"/>
      <c r="G493" s="135"/>
      <c r="H493" s="135"/>
      <c r="I493" s="135"/>
      <c r="J493" s="135"/>
      <c r="K493" s="136"/>
      <c r="L493" s="137"/>
    </row>
    <row r="494" ht="12.75" customHeight="1">
      <c r="A494" s="135"/>
      <c r="B494" s="135"/>
      <c r="C494" s="135"/>
      <c r="D494" s="135"/>
      <c r="E494" s="135"/>
      <c r="F494" s="135"/>
      <c r="G494" s="135"/>
      <c r="H494" s="135"/>
      <c r="I494" s="135"/>
      <c r="J494" s="135"/>
      <c r="K494" s="136"/>
      <c r="L494" s="137"/>
    </row>
    <row r="495" ht="12.75" customHeight="1">
      <c r="A495" s="135"/>
      <c r="B495" s="135"/>
      <c r="C495" s="135"/>
      <c r="D495" s="135"/>
      <c r="E495" s="135"/>
      <c r="F495" s="135"/>
      <c r="G495" s="135"/>
      <c r="H495" s="135"/>
      <c r="I495" s="135"/>
      <c r="J495" s="135"/>
      <c r="K495" s="136"/>
      <c r="L495" s="137"/>
    </row>
    <row r="496" ht="12.75" customHeight="1">
      <c r="A496" s="135"/>
      <c r="B496" s="135"/>
      <c r="C496" s="135"/>
      <c r="D496" s="135"/>
      <c r="E496" s="135"/>
      <c r="F496" s="135"/>
      <c r="G496" s="135"/>
      <c r="H496" s="135"/>
      <c r="I496" s="135"/>
      <c r="J496" s="135"/>
      <c r="K496" s="136"/>
      <c r="L496" s="137"/>
    </row>
    <row r="497" ht="12.75" customHeight="1">
      <c r="A497" s="135"/>
      <c r="B497" s="135"/>
      <c r="C497" s="135"/>
      <c r="D497" s="135"/>
      <c r="E497" s="135"/>
      <c r="F497" s="135"/>
      <c r="G497" s="135"/>
      <c r="H497" s="135"/>
      <c r="I497" s="135"/>
      <c r="J497" s="135"/>
      <c r="K497" s="136"/>
      <c r="L497" s="137"/>
    </row>
    <row r="498" ht="12.75" customHeight="1">
      <c r="A498" s="135"/>
      <c r="B498" s="135"/>
      <c r="C498" s="135"/>
      <c r="D498" s="135"/>
      <c r="E498" s="135"/>
      <c r="F498" s="135"/>
      <c r="G498" s="135"/>
      <c r="H498" s="135"/>
      <c r="I498" s="135"/>
      <c r="J498" s="135"/>
      <c r="K498" s="136"/>
      <c r="L498" s="137"/>
    </row>
    <row r="499" ht="12.75" customHeight="1">
      <c r="A499" s="135"/>
      <c r="B499" s="135"/>
      <c r="C499" s="135"/>
      <c r="D499" s="135"/>
      <c r="E499" s="135"/>
      <c r="F499" s="135"/>
      <c r="G499" s="135"/>
      <c r="H499" s="135"/>
      <c r="I499" s="135"/>
      <c r="J499" s="135"/>
      <c r="K499" s="136"/>
      <c r="L499" s="137"/>
    </row>
    <row r="500" ht="12.75" customHeight="1">
      <c r="A500" s="135"/>
      <c r="B500" s="135"/>
      <c r="C500" s="135"/>
      <c r="D500" s="135"/>
      <c r="E500" s="135"/>
      <c r="F500" s="135"/>
      <c r="G500" s="135"/>
      <c r="H500" s="135"/>
      <c r="I500" s="135"/>
      <c r="J500" s="135"/>
      <c r="K500" s="136"/>
      <c r="L500" s="137"/>
    </row>
    <row r="501" ht="12.75" customHeight="1">
      <c r="A501" s="135"/>
      <c r="B501" s="135"/>
      <c r="C501" s="135"/>
      <c r="D501" s="135"/>
      <c r="E501" s="135"/>
      <c r="F501" s="135"/>
      <c r="G501" s="135"/>
      <c r="H501" s="135"/>
      <c r="I501" s="135"/>
      <c r="J501" s="135"/>
      <c r="K501" s="136"/>
      <c r="L501" s="137"/>
    </row>
    <row r="502" ht="12.75" customHeight="1">
      <c r="A502" s="135"/>
      <c r="B502" s="135"/>
      <c r="C502" s="135"/>
      <c r="D502" s="135"/>
      <c r="E502" s="135"/>
      <c r="F502" s="135"/>
      <c r="G502" s="135"/>
      <c r="H502" s="135"/>
      <c r="I502" s="135"/>
      <c r="J502" s="135"/>
      <c r="K502" s="136"/>
      <c r="L502" s="137"/>
    </row>
    <row r="503" ht="12.75" customHeight="1">
      <c r="A503" s="135"/>
      <c r="B503" s="135"/>
      <c r="C503" s="135"/>
      <c r="D503" s="135"/>
      <c r="E503" s="135"/>
      <c r="F503" s="135"/>
      <c r="G503" s="135"/>
      <c r="H503" s="135"/>
      <c r="I503" s="135"/>
      <c r="J503" s="135"/>
      <c r="K503" s="136"/>
      <c r="L503" s="137"/>
    </row>
    <row r="504" ht="12.75" customHeight="1">
      <c r="A504" s="135"/>
      <c r="B504" s="135"/>
      <c r="C504" s="135"/>
      <c r="D504" s="135"/>
      <c r="E504" s="135"/>
      <c r="F504" s="135"/>
      <c r="G504" s="135"/>
      <c r="H504" s="135"/>
      <c r="I504" s="135"/>
      <c r="J504" s="135"/>
      <c r="K504" s="136"/>
      <c r="L504" s="137"/>
    </row>
    <row r="505" ht="12.75" customHeight="1">
      <c r="A505" s="135"/>
      <c r="B505" s="135"/>
      <c r="C505" s="135"/>
      <c r="D505" s="135"/>
      <c r="E505" s="135"/>
      <c r="F505" s="135"/>
      <c r="G505" s="135"/>
      <c r="H505" s="135"/>
      <c r="I505" s="135"/>
      <c r="J505" s="135"/>
      <c r="K505" s="136"/>
      <c r="L505" s="137"/>
    </row>
    <row r="506" ht="12.75" customHeight="1">
      <c r="A506" s="135"/>
      <c r="B506" s="135"/>
      <c r="C506" s="135"/>
      <c r="D506" s="135"/>
      <c r="E506" s="135"/>
      <c r="F506" s="135"/>
      <c r="G506" s="135"/>
      <c r="H506" s="135"/>
      <c r="I506" s="135"/>
      <c r="J506" s="135"/>
      <c r="K506" s="136"/>
      <c r="L506" s="137"/>
    </row>
    <row r="507" ht="12.75" customHeight="1">
      <c r="A507" s="135"/>
      <c r="B507" s="135"/>
      <c r="C507" s="135"/>
      <c r="D507" s="135"/>
      <c r="E507" s="135"/>
      <c r="F507" s="135"/>
      <c r="G507" s="135"/>
      <c r="H507" s="135"/>
      <c r="I507" s="135"/>
      <c r="J507" s="135"/>
      <c r="K507" s="136"/>
      <c r="L507" s="137"/>
    </row>
    <row r="508" ht="12.75" customHeight="1">
      <c r="A508" s="135"/>
      <c r="B508" s="135"/>
      <c r="C508" s="135"/>
      <c r="D508" s="135"/>
      <c r="E508" s="135"/>
      <c r="F508" s="135"/>
      <c r="G508" s="135"/>
      <c r="H508" s="135"/>
      <c r="I508" s="135"/>
      <c r="J508" s="135"/>
      <c r="K508" s="136"/>
      <c r="L508" s="137"/>
    </row>
    <row r="509" ht="12.75" customHeight="1">
      <c r="A509" s="135"/>
      <c r="B509" s="135"/>
      <c r="C509" s="135"/>
      <c r="D509" s="135"/>
      <c r="E509" s="135"/>
      <c r="F509" s="135"/>
      <c r="G509" s="135"/>
      <c r="H509" s="135"/>
      <c r="I509" s="135"/>
      <c r="J509" s="135"/>
      <c r="K509" s="136"/>
      <c r="L509" s="137"/>
    </row>
    <row r="510" ht="12.75" customHeight="1">
      <c r="A510" s="135"/>
      <c r="B510" s="135"/>
      <c r="C510" s="135"/>
      <c r="D510" s="135"/>
      <c r="E510" s="135"/>
      <c r="F510" s="135"/>
      <c r="G510" s="135"/>
      <c r="H510" s="135"/>
      <c r="I510" s="135"/>
      <c r="J510" s="135"/>
      <c r="K510" s="136"/>
      <c r="L510" s="137"/>
    </row>
    <row r="511" ht="12.75" customHeight="1">
      <c r="A511" s="135"/>
      <c r="B511" s="135"/>
      <c r="C511" s="135"/>
      <c r="D511" s="135"/>
      <c r="E511" s="135"/>
      <c r="F511" s="135"/>
      <c r="G511" s="135"/>
      <c r="H511" s="135"/>
      <c r="I511" s="135"/>
      <c r="J511" s="135"/>
      <c r="K511" s="136"/>
      <c r="L511" s="137"/>
    </row>
    <row r="512" ht="12.75" customHeight="1">
      <c r="A512" s="135"/>
      <c r="B512" s="135"/>
      <c r="C512" s="135"/>
      <c r="D512" s="135"/>
      <c r="E512" s="135"/>
      <c r="F512" s="135"/>
      <c r="G512" s="135"/>
      <c r="H512" s="135"/>
      <c r="I512" s="135"/>
      <c r="J512" s="135"/>
      <c r="K512" s="136"/>
      <c r="L512" s="137"/>
    </row>
    <row r="513" ht="12.75" customHeight="1">
      <c r="A513" s="135"/>
      <c r="B513" s="135"/>
      <c r="C513" s="135"/>
      <c r="D513" s="135"/>
      <c r="E513" s="135"/>
      <c r="F513" s="135"/>
      <c r="G513" s="135"/>
      <c r="H513" s="135"/>
      <c r="I513" s="135"/>
      <c r="J513" s="135"/>
      <c r="K513" s="136"/>
      <c r="L513" s="137"/>
    </row>
    <row r="514" ht="12.75" customHeight="1">
      <c r="A514" s="135"/>
      <c r="B514" s="135"/>
      <c r="C514" s="135"/>
      <c r="D514" s="135"/>
      <c r="E514" s="135"/>
      <c r="F514" s="135"/>
      <c r="G514" s="135"/>
      <c r="H514" s="135"/>
      <c r="I514" s="135"/>
      <c r="J514" s="135"/>
      <c r="K514" s="136"/>
      <c r="L514" s="137"/>
    </row>
    <row r="515" ht="12.75" customHeight="1">
      <c r="A515" s="135"/>
      <c r="B515" s="135"/>
      <c r="C515" s="135"/>
      <c r="D515" s="135"/>
      <c r="E515" s="135"/>
      <c r="F515" s="135"/>
      <c r="G515" s="135"/>
      <c r="H515" s="135"/>
      <c r="I515" s="135"/>
      <c r="J515" s="135"/>
      <c r="K515" s="136"/>
      <c r="L515" s="137"/>
    </row>
    <row r="516" ht="12.75" customHeight="1">
      <c r="A516" s="135"/>
      <c r="B516" s="135"/>
      <c r="C516" s="135"/>
      <c r="D516" s="135"/>
      <c r="E516" s="135"/>
      <c r="F516" s="135"/>
      <c r="G516" s="135"/>
      <c r="H516" s="135"/>
      <c r="I516" s="135"/>
      <c r="J516" s="135"/>
      <c r="K516" s="136"/>
      <c r="L516" s="137"/>
    </row>
    <row r="517" ht="12.75" customHeight="1">
      <c r="A517" s="135"/>
      <c r="B517" s="135"/>
      <c r="C517" s="135"/>
      <c r="D517" s="135"/>
      <c r="E517" s="135"/>
      <c r="F517" s="135"/>
      <c r="G517" s="135"/>
      <c r="H517" s="135"/>
      <c r="I517" s="135"/>
      <c r="J517" s="135"/>
      <c r="K517" s="136"/>
      <c r="L517" s="137"/>
    </row>
    <row r="518" ht="12.75" customHeight="1">
      <c r="A518" s="135"/>
      <c r="B518" s="135"/>
      <c r="C518" s="135"/>
      <c r="D518" s="135"/>
      <c r="E518" s="135"/>
      <c r="F518" s="135"/>
      <c r="G518" s="135"/>
      <c r="H518" s="135"/>
      <c r="I518" s="135"/>
      <c r="J518" s="135"/>
      <c r="K518" s="136"/>
      <c r="L518" s="137"/>
    </row>
    <row r="519" ht="12.75" customHeight="1">
      <c r="A519" s="135"/>
      <c r="B519" s="135"/>
      <c r="C519" s="135"/>
      <c r="D519" s="135"/>
      <c r="E519" s="135"/>
      <c r="F519" s="135"/>
      <c r="G519" s="135"/>
      <c r="H519" s="135"/>
      <c r="I519" s="135"/>
      <c r="J519" s="135"/>
      <c r="K519" s="136"/>
      <c r="L519" s="137"/>
    </row>
    <row r="520" ht="12.75" customHeight="1">
      <c r="A520" s="135"/>
      <c r="B520" s="135"/>
      <c r="C520" s="135"/>
      <c r="D520" s="135"/>
      <c r="E520" s="135"/>
      <c r="F520" s="135"/>
      <c r="G520" s="135"/>
      <c r="H520" s="135"/>
      <c r="I520" s="135"/>
      <c r="J520" s="135"/>
      <c r="K520" s="136"/>
      <c r="L520" s="137"/>
    </row>
    <row r="521" ht="12.75" customHeight="1">
      <c r="A521" s="135"/>
      <c r="B521" s="135"/>
      <c r="C521" s="135"/>
      <c r="D521" s="135"/>
      <c r="E521" s="135"/>
      <c r="F521" s="135"/>
      <c r="G521" s="135"/>
      <c r="H521" s="135"/>
      <c r="I521" s="135"/>
      <c r="J521" s="135"/>
      <c r="K521" s="136"/>
      <c r="L521" s="137"/>
    </row>
    <row r="522" ht="12.75" customHeight="1">
      <c r="A522" s="135"/>
      <c r="B522" s="135"/>
      <c r="C522" s="135"/>
      <c r="D522" s="135"/>
      <c r="E522" s="135"/>
      <c r="F522" s="135"/>
      <c r="G522" s="135"/>
      <c r="H522" s="135"/>
      <c r="I522" s="135"/>
      <c r="J522" s="135"/>
      <c r="K522" s="136"/>
      <c r="L522" s="137"/>
    </row>
    <row r="523" ht="12.75" customHeight="1">
      <c r="A523" s="135"/>
      <c r="B523" s="135"/>
      <c r="C523" s="135"/>
      <c r="D523" s="135"/>
      <c r="E523" s="135"/>
      <c r="F523" s="135"/>
      <c r="G523" s="135"/>
      <c r="H523" s="135"/>
      <c r="I523" s="135"/>
      <c r="J523" s="135"/>
      <c r="K523" s="136"/>
      <c r="L523" s="137"/>
    </row>
    <row r="524" ht="12.75" customHeight="1">
      <c r="A524" s="135"/>
      <c r="B524" s="135"/>
      <c r="C524" s="135"/>
      <c r="D524" s="135"/>
      <c r="E524" s="135"/>
      <c r="F524" s="135"/>
      <c r="G524" s="135"/>
      <c r="H524" s="135"/>
      <c r="I524" s="135"/>
      <c r="J524" s="135"/>
      <c r="K524" s="136"/>
      <c r="L524" s="137"/>
    </row>
    <row r="525" ht="12.75" customHeight="1">
      <c r="A525" s="135"/>
      <c r="B525" s="135"/>
      <c r="C525" s="135"/>
      <c r="D525" s="135"/>
      <c r="E525" s="135"/>
      <c r="F525" s="135"/>
      <c r="G525" s="135"/>
      <c r="H525" s="135"/>
      <c r="I525" s="135"/>
      <c r="J525" s="135"/>
      <c r="K525" s="136"/>
      <c r="L525" s="137"/>
    </row>
    <row r="526" ht="12.75" customHeight="1">
      <c r="A526" s="135"/>
      <c r="B526" s="135"/>
      <c r="C526" s="135"/>
      <c r="D526" s="135"/>
      <c r="E526" s="135"/>
      <c r="F526" s="135"/>
      <c r="G526" s="135"/>
      <c r="H526" s="135"/>
      <c r="I526" s="135"/>
      <c r="J526" s="135"/>
      <c r="K526" s="136"/>
      <c r="L526" s="137"/>
    </row>
    <row r="527" ht="12.75" customHeight="1">
      <c r="A527" s="135"/>
      <c r="B527" s="135"/>
      <c r="C527" s="135"/>
      <c r="D527" s="135"/>
      <c r="E527" s="135"/>
      <c r="F527" s="135"/>
      <c r="G527" s="135"/>
      <c r="H527" s="135"/>
      <c r="I527" s="135"/>
      <c r="J527" s="135"/>
      <c r="K527" s="136"/>
      <c r="L527" s="137"/>
    </row>
    <row r="528" ht="12.75" customHeight="1">
      <c r="A528" s="135"/>
      <c r="B528" s="135"/>
      <c r="C528" s="135"/>
      <c r="D528" s="135"/>
      <c r="E528" s="135"/>
      <c r="F528" s="135"/>
      <c r="G528" s="135"/>
      <c r="H528" s="135"/>
      <c r="I528" s="135"/>
      <c r="J528" s="135"/>
      <c r="K528" s="136"/>
      <c r="L528" s="137"/>
    </row>
    <row r="529" ht="12.75" customHeight="1">
      <c r="A529" s="135"/>
      <c r="B529" s="135"/>
      <c r="C529" s="135"/>
      <c r="D529" s="135"/>
      <c r="E529" s="135"/>
      <c r="F529" s="135"/>
      <c r="G529" s="135"/>
      <c r="H529" s="135"/>
      <c r="I529" s="135"/>
      <c r="J529" s="135"/>
      <c r="K529" s="136"/>
      <c r="L529" s="137"/>
    </row>
    <row r="530" ht="12.75" customHeight="1">
      <c r="A530" s="135"/>
      <c r="B530" s="135"/>
      <c r="C530" s="135"/>
      <c r="D530" s="135"/>
      <c r="E530" s="135"/>
      <c r="F530" s="135"/>
      <c r="G530" s="135"/>
      <c r="H530" s="135"/>
      <c r="I530" s="135"/>
      <c r="J530" s="135"/>
      <c r="K530" s="136"/>
      <c r="L530" s="137"/>
    </row>
    <row r="531" ht="12.75" customHeight="1">
      <c r="A531" s="135"/>
      <c r="B531" s="135"/>
      <c r="C531" s="135"/>
      <c r="D531" s="135"/>
      <c r="E531" s="135"/>
      <c r="F531" s="135"/>
      <c r="G531" s="135"/>
      <c r="H531" s="135"/>
      <c r="I531" s="135"/>
      <c r="J531" s="135"/>
      <c r="K531" s="136"/>
      <c r="L531" s="137"/>
    </row>
    <row r="532" ht="12.75" customHeight="1">
      <c r="A532" s="135"/>
      <c r="B532" s="135"/>
      <c r="C532" s="135"/>
      <c r="D532" s="135"/>
      <c r="E532" s="135"/>
      <c r="F532" s="135"/>
      <c r="G532" s="135"/>
      <c r="H532" s="135"/>
      <c r="I532" s="135"/>
      <c r="J532" s="135"/>
      <c r="K532" s="136"/>
      <c r="L532" s="137"/>
    </row>
    <row r="533" ht="12.75" customHeight="1">
      <c r="A533" s="135"/>
      <c r="B533" s="135"/>
      <c r="C533" s="135"/>
      <c r="D533" s="135"/>
      <c r="E533" s="135"/>
      <c r="F533" s="135"/>
      <c r="G533" s="135"/>
      <c r="H533" s="135"/>
      <c r="I533" s="135"/>
      <c r="J533" s="135"/>
      <c r="K533" s="136"/>
      <c r="L533" s="137"/>
    </row>
    <row r="534" ht="12.75" customHeight="1">
      <c r="A534" s="135"/>
      <c r="B534" s="135"/>
      <c r="C534" s="135"/>
      <c r="D534" s="135"/>
      <c r="E534" s="135"/>
      <c r="F534" s="135"/>
      <c r="G534" s="135"/>
      <c r="H534" s="135"/>
      <c r="I534" s="135"/>
      <c r="J534" s="135"/>
      <c r="K534" s="136"/>
      <c r="L534" s="137"/>
    </row>
    <row r="535" ht="12.75" customHeight="1">
      <c r="A535" s="135"/>
      <c r="B535" s="135"/>
      <c r="C535" s="135"/>
      <c r="D535" s="135"/>
      <c r="E535" s="135"/>
      <c r="F535" s="135"/>
      <c r="G535" s="135"/>
      <c r="H535" s="135"/>
      <c r="I535" s="135"/>
      <c r="J535" s="135"/>
      <c r="K535" s="136"/>
      <c r="L535" s="137"/>
    </row>
    <row r="536" ht="12.75" customHeight="1">
      <c r="A536" s="135"/>
      <c r="B536" s="135"/>
      <c r="C536" s="135"/>
      <c r="D536" s="135"/>
      <c r="E536" s="135"/>
      <c r="F536" s="135"/>
      <c r="G536" s="135"/>
      <c r="H536" s="135"/>
      <c r="I536" s="135"/>
      <c r="J536" s="135"/>
      <c r="K536" s="136"/>
      <c r="L536" s="137"/>
    </row>
    <row r="537" ht="12.75" customHeight="1">
      <c r="A537" s="135"/>
      <c r="B537" s="135"/>
      <c r="C537" s="135"/>
      <c r="D537" s="135"/>
      <c r="E537" s="135"/>
      <c r="F537" s="135"/>
      <c r="G537" s="135"/>
      <c r="H537" s="135"/>
      <c r="I537" s="135"/>
      <c r="J537" s="135"/>
      <c r="K537" s="136"/>
      <c r="L537" s="137"/>
    </row>
    <row r="538" ht="12.75" customHeight="1">
      <c r="A538" s="135"/>
      <c r="B538" s="135"/>
      <c r="C538" s="135"/>
      <c r="D538" s="135"/>
      <c r="E538" s="135"/>
      <c r="F538" s="135"/>
      <c r="G538" s="135"/>
      <c r="H538" s="135"/>
      <c r="I538" s="135"/>
      <c r="J538" s="135"/>
      <c r="K538" s="136"/>
      <c r="L538" s="137"/>
    </row>
    <row r="539" ht="12.75" customHeight="1">
      <c r="A539" s="135"/>
      <c r="B539" s="135"/>
      <c r="C539" s="135"/>
      <c r="D539" s="135"/>
      <c r="E539" s="135"/>
      <c r="F539" s="135"/>
      <c r="G539" s="135"/>
      <c r="H539" s="135"/>
      <c r="I539" s="135"/>
      <c r="J539" s="135"/>
      <c r="K539" s="136"/>
      <c r="L539" s="137"/>
    </row>
    <row r="540" ht="12.75" customHeight="1">
      <c r="A540" s="135"/>
      <c r="B540" s="135"/>
      <c r="C540" s="135"/>
      <c r="D540" s="135"/>
      <c r="E540" s="135"/>
      <c r="F540" s="135"/>
      <c r="G540" s="135"/>
      <c r="H540" s="135"/>
      <c r="I540" s="135"/>
      <c r="J540" s="135"/>
      <c r="K540" s="136"/>
      <c r="L540" s="137"/>
    </row>
    <row r="541" ht="12.75" customHeight="1">
      <c r="A541" s="135"/>
      <c r="B541" s="135"/>
      <c r="C541" s="135"/>
      <c r="D541" s="135"/>
      <c r="E541" s="135"/>
      <c r="F541" s="135"/>
      <c r="G541" s="135"/>
      <c r="H541" s="135"/>
      <c r="I541" s="135"/>
      <c r="J541" s="135"/>
      <c r="K541" s="136"/>
      <c r="L541" s="137"/>
    </row>
    <row r="542" ht="12.75" customHeight="1">
      <c r="A542" s="135"/>
      <c r="B542" s="135"/>
      <c r="C542" s="135"/>
      <c r="D542" s="135"/>
      <c r="E542" s="135"/>
      <c r="F542" s="135"/>
      <c r="G542" s="135"/>
      <c r="H542" s="135"/>
      <c r="I542" s="135"/>
      <c r="J542" s="135"/>
      <c r="K542" s="136"/>
      <c r="L542" s="137"/>
    </row>
    <row r="543" ht="12.75" customHeight="1">
      <c r="A543" s="135"/>
      <c r="B543" s="135"/>
      <c r="C543" s="135"/>
      <c r="D543" s="135"/>
      <c r="E543" s="135"/>
      <c r="F543" s="135"/>
      <c r="G543" s="135"/>
      <c r="H543" s="135"/>
      <c r="I543" s="135"/>
      <c r="J543" s="135"/>
      <c r="K543" s="136"/>
      <c r="L543" s="137"/>
    </row>
    <row r="544" ht="12.75" customHeight="1">
      <c r="A544" s="135"/>
      <c r="B544" s="135"/>
      <c r="C544" s="135"/>
      <c r="D544" s="135"/>
      <c r="E544" s="135"/>
      <c r="F544" s="135"/>
      <c r="G544" s="135"/>
      <c r="H544" s="135"/>
      <c r="I544" s="135"/>
      <c r="J544" s="135"/>
      <c r="K544" s="136"/>
      <c r="L544" s="137"/>
    </row>
    <row r="545" ht="12.75" customHeight="1">
      <c r="A545" s="135"/>
      <c r="B545" s="135"/>
      <c r="C545" s="135"/>
      <c r="D545" s="135"/>
      <c r="E545" s="135"/>
      <c r="F545" s="135"/>
      <c r="G545" s="135"/>
      <c r="H545" s="135"/>
      <c r="I545" s="135"/>
      <c r="J545" s="135"/>
      <c r="K545" s="136"/>
      <c r="L545" s="137"/>
    </row>
    <row r="546" ht="12.75" customHeight="1">
      <c r="A546" s="135"/>
      <c r="B546" s="135"/>
      <c r="C546" s="135"/>
      <c r="D546" s="135"/>
      <c r="E546" s="135"/>
      <c r="F546" s="135"/>
      <c r="G546" s="135"/>
      <c r="H546" s="135"/>
      <c r="I546" s="135"/>
      <c r="J546" s="135"/>
      <c r="K546" s="136"/>
      <c r="L546" s="137"/>
    </row>
    <row r="547" ht="12.75" customHeight="1">
      <c r="A547" s="135"/>
      <c r="B547" s="135"/>
      <c r="C547" s="135"/>
      <c r="D547" s="135"/>
      <c r="E547" s="135"/>
      <c r="F547" s="135"/>
      <c r="G547" s="135"/>
      <c r="H547" s="135"/>
      <c r="I547" s="135"/>
      <c r="J547" s="135"/>
      <c r="K547" s="136"/>
      <c r="L547" s="137"/>
    </row>
    <row r="548" ht="12.75" customHeight="1">
      <c r="A548" s="135"/>
      <c r="B548" s="135"/>
      <c r="C548" s="135"/>
      <c r="D548" s="135"/>
      <c r="E548" s="135"/>
      <c r="F548" s="135"/>
      <c r="G548" s="135"/>
      <c r="H548" s="135"/>
      <c r="I548" s="135"/>
      <c r="J548" s="135"/>
      <c r="K548" s="136"/>
      <c r="L548" s="137"/>
    </row>
    <row r="549" ht="12.75" customHeight="1">
      <c r="A549" s="135"/>
      <c r="B549" s="135"/>
      <c r="C549" s="135"/>
      <c r="D549" s="135"/>
      <c r="E549" s="135"/>
      <c r="F549" s="135"/>
      <c r="G549" s="135"/>
      <c r="H549" s="135"/>
      <c r="I549" s="135"/>
      <c r="J549" s="135"/>
      <c r="K549" s="136"/>
      <c r="L549" s="137"/>
    </row>
    <row r="550" ht="12.75" customHeight="1">
      <c r="A550" s="135"/>
      <c r="B550" s="135"/>
      <c r="C550" s="135"/>
      <c r="D550" s="135"/>
      <c r="E550" s="135"/>
      <c r="F550" s="135"/>
      <c r="G550" s="135"/>
      <c r="H550" s="135"/>
      <c r="I550" s="135"/>
      <c r="J550" s="135"/>
      <c r="K550" s="136"/>
      <c r="L550" s="137"/>
    </row>
    <row r="551" ht="12.75" customHeight="1">
      <c r="A551" s="135"/>
      <c r="B551" s="135"/>
      <c r="C551" s="135"/>
      <c r="D551" s="135"/>
      <c r="E551" s="135"/>
      <c r="F551" s="135"/>
      <c r="G551" s="135"/>
      <c r="H551" s="135"/>
      <c r="I551" s="135"/>
      <c r="J551" s="135"/>
      <c r="K551" s="136"/>
      <c r="L551" s="137"/>
    </row>
    <row r="552" ht="12.75" customHeight="1">
      <c r="A552" s="135"/>
      <c r="B552" s="135"/>
      <c r="C552" s="135"/>
      <c r="D552" s="135"/>
      <c r="E552" s="135"/>
      <c r="F552" s="135"/>
      <c r="G552" s="135"/>
      <c r="H552" s="135"/>
      <c r="I552" s="135"/>
      <c r="J552" s="135"/>
      <c r="K552" s="136"/>
      <c r="L552" s="137"/>
    </row>
    <row r="553" ht="12.75" customHeight="1">
      <c r="A553" s="135"/>
      <c r="B553" s="135"/>
      <c r="C553" s="135"/>
      <c r="D553" s="135"/>
      <c r="E553" s="135"/>
      <c r="F553" s="135"/>
      <c r="G553" s="135"/>
      <c r="H553" s="135"/>
      <c r="I553" s="135"/>
      <c r="J553" s="135"/>
      <c r="K553" s="136"/>
      <c r="L553" s="137"/>
    </row>
    <row r="554" ht="12.75" customHeight="1">
      <c r="A554" s="135"/>
      <c r="B554" s="135"/>
      <c r="C554" s="135"/>
      <c r="D554" s="135"/>
      <c r="E554" s="135"/>
      <c r="F554" s="135"/>
      <c r="G554" s="135"/>
      <c r="H554" s="135"/>
      <c r="I554" s="135"/>
      <c r="J554" s="135"/>
      <c r="K554" s="136"/>
      <c r="L554" s="137"/>
    </row>
    <row r="555" ht="12.75" customHeight="1">
      <c r="A555" s="135"/>
      <c r="B555" s="135"/>
      <c r="C555" s="135"/>
      <c r="D555" s="135"/>
      <c r="E555" s="135"/>
      <c r="F555" s="135"/>
      <c r="G555" s="135"/>
      <c r="H555" s="135"/>
      <c r="I555" s="135"/>
      <c r="J555" s="135"/>
      <c r="K555" s="136"/>
      <c r="L555" s="137"/>
    </row>
    <row r="556" ht="12.75" customHeight="1">
      <c r="A556" s="135"/>
      <c r="B556" s="135"/>
      <c r="C556" s="135"/>
      <c r="D556" s="135"/>
      <c r="E556" s="135"/>
      <c r="F556" s="135"/>
      <c r="G556" s="135"/>
      <c r="H556" s="135"/>
      <c r="I556" s="135"/>
      <c r="J556" s="135"/>
      <c r="K556" s="136"/>
      <c r="L556" s="137"/>
    </row>
    <row r="557" ht="12.75" customHeight="1">
      <c r="A557" s="135"/>
      <c r="B557" s="135"/>
      <c r="C557" s="135"/>
      <c r="D557" s="135"/>
      <c r="E557" s="135"/>
      <c r="F557" s="135"/>
      <c r="G557" s="135"/>
      <c r="H557" s="135"/>
      <c r="I557" s="135"/>
      <c r="J557" s="135"/>
      <c r="K557" s="136"/>
      <c r="L557" s="137"/>
    </row>
    <row r="558" ht="12.75" customHeight="1">
      <c r="A558" s="135"/>
      <c r="B558" s="135"/>
      <c r="C558" s="135"/>
      <c r="D558" s="135"/>
      <c r="E558" s="135"/>
      <c r="F558" s="135"/>
      <c r="G558" s="135"/>
      <c r="H558" s="135"/>
      <c r="I558" s="135"/>
      <c r="J558" s="135"/>
      <c r="K558" s="136"/>
      <c r="L558" s="137"/>
    </row>
    <row r="559" ht="12.75" customHeight="1">
      <c r="A559" s="135"/>
      <c r="B559" s="135"/>
      <c r="C559" s="135"/>
      <c r="D559" s="135"/>
      <c r="E559" s="135"/>
      <c r="F559" s="135"/>
      <c r="G559" s="135"/>
      <c r="H559" s="135"/>
      <c r="I559" s="135"/>
      <c r="J559" s="135"/>
      <c r="K559" s="136"/>
      <c r="L559" s="137"/>
    </row>
    <row r="560" ht="12.75" customHeight="1">
      <c r="A560" s="135"/>
      <c r="B560" s="135"/>
      <c r="C560" s="135"/>
      <c r="D560" s="135"/>
      <c r="E560" s="135"/>
      <c r="F560" s="135"/>
      <c r="G560" s="135"/>
      <c r="H560" s="135"/>
      <c r="I560" s="135"/>
      <c r="J560" s="135"/>
      <c r="K560" s="136"/>
      <c r="L560" s="137"/>
    </row>
    <row r="561" ht="12.75" customHeight="1">
      <c r="A561" s="135"/>
      <c r="B561" s="135"/>
      <c r="C561" s="135"/>
      <c r="D561" s="135"/>
      <c r="E561" s="135"/>
      <c r="F561" s="135"/>
      <c r="G561" s="135"/>
      <c r="H561" s="135"/>
      <c r="I561" s="135"/>
      <c r="J561" s="135"/>
      <c r="K561" s="136"/>
      <c r="L561" s="137"/>
    </row>
    <row r="562" ht="12.75" customHeight="1">
      <c r="A562" s="135"/>
      <c r="B562" s="135"/>
      <c r="C562" s="135"/>
      <c r="D562" s="135"/>
      <c r="E562" s="135"/>
      <c r="F562" s="135"/>
      <c r="G562" s="135"/>
      <c r="H562" s="135"/>
      <c r="I562" s="135"/>
      <c r="J562" s="135"/>
      <c r="K562" s="136"/>
      <c r="L562" s="137"/>
    </row>
    <row r="563" ht="12.75" customHeight="1">
      <c r="A563" s="135"/>
      <c r="B563" s="135"/>
      <c r="C563" s="135"/>
      <c r="D563" s="135"/>
      <c r="E563" s="135"/>
      <c r="F563" s="135"/>
      <c r="G563" s="135"/>
      <c r="H563" s="135"/>
      <c r="I563" s="135"/>
      <c r="J563" s="135"/>
      <c r="K563" s="136"/>
      <c r="L563" s="137"/>
    </row>
    <row r="564" ht="12.75" customHeight="1">
      <c r="A564" s="135"/>
      <c r="B564" s="135"/>
      <c r="C564" s="135"/>
      <c r="D564" s="135"/>
      <c r="E564" s="135"/>
      <c r="F564" s="135"/>
      <c r="G564" s="135"/>
      <c r="H564" s="135"/>
      <c r="I564" s="135"/>
      <c r="J564" s="135"/>
      <c r="K564" s="136"/>
      <c r="L564" s="137"/>
    </row>
    <row r="565" ht="12.75" customHeight="1">
      <c r="A565" s="135"/>
      <c r="B565" s="135"/>
      <c r="C565" s="135"/>
      <c r="D565" s="135"/>
      <c r="E565" s="135"/>
      <c r="F565" s="135"/>
      <c r="G565" s="135"/>
      <c r="H565" s="135"/>
      <c r="I565" s="135"/>
      <c r="J565" s="135"/>
      <c r="K565" s="136"/>
      <c r="L565" s="137"/>
    </row>
    <row r="566" ht="12.75" customHeight="1">
      <c r="A566" s="135"/>
      <c r="B566" s="135"/>
      <c r="C566" s="135"/>
      <c r="D566" s="135"/>
      <c r="E566" s="135"/>
      <c r="F566" s="135"/>
      <c r="G566" s="135"/>
      <c r="H566" s="135"/>
      <c r="I566" s="135"/>
      <c r="J566" s="135"/>
      <c r="K566" s="136"/>
      <c r="L566" s="137"/>
    </row>
    <row r="567" ht="12.75" customHeight="1">
      <c r="A567" s="135"/>
      <c r="B567" s="135"/>
      <c r="C567" s="135"/>
      <c r="D567" s="135"/>
      <c r="E567" s="135"/>
      <c r="F567" s="135"/>
      <c r="G567" s="135"/>
      <c r="H567" s="135"/>
      <c r="I567" s="135"/>
      <c r="J567" s="135"/>
      <c r="K567" s="136"/>
      <c r="L567" s="137"/>
    </row>
    <row r="568" ht="12.75" customHeight="1">
      <c r="A568" s="135"/>
      <c r="B568" s="135"/>
      <c r="C568" s="135"/>
      <c r="D568" s="135"/>
      <c r="E568" s="135"/>
      <c r="F568" s="135"/>
      <c r="G568" s="135"/>
      <c r="H568" s="135"/>
      <c r="I568" s="135"/>
      <c r="J568" s="135"/>
      <c r="K568" s="136"/>
      <c r="L568" s="137"/>
    </row>
    <row r="569" ht="12.75" customHeight="1">
      <c r="A569" s="135"/>
      <c r="B569" s="135"/>
      <c r="C569" s="135"/>
      <c r="D569" s="135"/>
      <c r="E569" s="135"/>
      <c r="F569" s="135"/>
      <c r="G569" s="135"/>
      <c r="H569" s="135"/>
      <c r="I569" s="135"/>
      <c r="J569" s="135"/>
      <c r="K569" s="136"/>
      <c r="L569" s="137"/>
    </row>
    <row r="570" ht="12.75" customHeight="1">
      <c r="A570" s="135"/>
      <c r="B570" s="135"/>
      <c r="C570" s="135"/>
      <c r="D570" s="135"/>
      <c r="E570" s="135"/>
      <c r="F570" s="135"/>
      <c r="G570" s="135"/>
      <c r="H570" s="135"/>
      <c r="I570" s="135"/>
      <c r="J570" s="135"/>
      <c r="K570" s="136"/>
      <c r="L570" s="137"/>
    </row>
    <row r="571" ht="12.75" customHeight="1">
      <c r="A571" s="135"/>
      <c r="B571" s="135"/>
      <c r="C571" s="135"/>
      <c r="D571" s="135"/>
      <c r="E571" s="135"/>
      <c r="F571" s="135"/>
      <c r="G571" s="135"/>
      <c r="H571" s="135"/>
      <c r="I571" s="135"/>
      <c r="J571" s="135"/>
      <c r="K571" s="136"/>
      <c r="L571" s="137"/>
    </row>
    <row r="572" ht="12.75" customHeight="1">
      <c r="A572" s="135"/>
      <c r="B572" s="135"/>
      <c r="C572" s="135"/>
      <c r="D572" s="135"/>
      <c r="E572" s="135"/>
      <c r="F572" s="135"/>
      <c r="G572" s="135"/>
      <c r="H572" s="135"/>
      <c r="I572" s="135"/>
      <c r="J572" s="135"/>
      <c r="K572" s="136"/>
      <c r="L572" s="137"/>
    </row>
    <row r="573" ht="12.75" customHeight="1">
      <c r="A573" s="135"/>
      <c r="B573" s="135"/>
      <c r="C573" s="135"/>
      <c r="D573" s="135"/>
      <c r="E573" s="135"/>
      <c r="F573" s="135"/>
      <c r="G573" s="135"/>
      <c r="H573" s="135"/>
      <c r="I573" s="135"/>
      <c r="J573" s="135"/>
      <c r="K573" s="136"/>
      <c r="L573" s="137"/>
    </row>
    <row r="574" ht="12.75" customHeight="1">
      <c r="A574" s="135"/>
      <c r="B574" s="135"/>
      <c r="C574" s="135"/>
      <c r="D574" s="135"/>
      <c r="E574" s="135"/>
      <c r="F574" s="135"/>
      <c r="G574" s="135"/>
      <c r="H574" s="135"/>
      <c r="I574" s="135"/>
      <c r="J574" s="135"/>
      <c r="K574" s="136"/>
      <c r="L574" s="137"/>
    </row>
    <row r="575" ht="12.75" customHeight="1">
      <c r="A575" s="135"/>
      <c r="B575" s="135"/>
      <c r="C575" s="135"/>
      <c r="D575" s="135"/>
      <c r="E575" s="135"/>
      <c r="F575" s="135"/>
      <c r="G575" s="135"/>
      <c r="H575" s="135"/>
      <c r="I575" s="135"/>
      <c r="J575" s="135"/>
      <c r="K575" s="136"/>
      <c r="L575" s="137"/>
    </row>
    <row r="576" ht="12.75" customHeight="1">
      <c r="A576" s="135"/>
      <c r="B576" s="135"/>
      <c r="C576" s="135"/>
      <c r="D576" s="135"/>
      <c r="E576" s="135"/>
      <c r="F576" s="135"/>
      <c r="G576" s="135"/>
      <c r="H576" s="135"/>
      <c r="I576" s="135"/>
      <c r="J576" s="135"/>
      <c r="K576" s="136"/>
      <c r="L576" s="137"/>
    </row>
    <row r="577" ht="12.75" customHeight="1">
      <c r="A577" s="135"/>
      <c r="B577" s="135"/>
      <c r="C577" s="135"/>
      <c r="D577" s="135"/>
      <c r="E577" s="135"/>
      <c r="F577" s="135"/>
      <c r="G577" s="135"/>
      <c r="H577" s="135"/>
      <c r="I577" s="135"/>
      <c r="J577" s="135"/>
      <c r="K577" s="136"/>
      <c r="L577" s="137"/>
    </row>
    <row r="578" ht="12.75" customHeight="1">
      <c r="A578" s="135"/>
      <c r="B578" s="135"/>
      <c r="C578" s="135"/>
      <c r="D578" s="135"/>
      <c r="E578" s="135"/>
      <c r="F578" s="135"/>
      <c r="G578" s="135"/>
      <c r="H578" s="135"/>
      <c r="I578" s="135"/>
      <c r="J578" s="135"/>
      <c r="K578" s="136"/>
      <c r="L578" s="137"/>
    </row>
    <row r="579" ht="12.75" customHeight="1">
      <c r="A579" s="135"/>
      <c r="B579" s="135"/>
      <c r="C579" s="135"/>
      <c r="D579" s="135"/>
      <c r="E579" s="135"/>
      <c r="F579" s="135"/>
      <c r="G579" s="135"/>
      <c r="H579" s="135"/>
      <c r="I579" s="135"/>
      <c r="J579" s="135"/>
      <c r="K579" s="136"/>
      <c r="L579" s="137"/>
    </row>
    <row r="580" ht="12.75" customHeight="1">
      <c r="A580" s="135"/>
      <c r="B580" s="135"/>
      <c r="C580" s="135"/>
      <c r="D580" s="135"/>
      <c r="E580" s="135"/>
      <c r="F580" s="135"/>
      <c r="G580" s="135"/>
      <c r="H580" s="135"/>
      <c r="I580" s="135"/>
      <c r="J580" s="135"/>
      <c r="K580" s="136"/>
      <c r="L580" s="137"/>
    </row>
    <row r="581" ht="12.75" customHeight="1">
      <c r="A581" s="135"/>
      <c r="B581" s="135"/>
      <c r="C581" s="135"/>
      <c r="D581" s="135"/>
      <c r="E581" s="135"/>
      <c r="F581" s="135"/>
      <c r="G581" s="135"/>
      <c r="H581" s="135"/>
      <c r="I581" s="135"/>
      <c r="J581" s="135"/>
      <c r="K581" s="136"/>
      <c r="L581" s="137"/>
    </row>
    <row r="582" ht="12.75" customHeight="1">
      <c r="A582" s="135"/>
      <c r="B582" s="135"/>
      <c r="C582" s="135"/>
      <c r="D582" s="135"/>
      <c r="E582" s="135"/>
      <c r="F582" s="135"/>
      <c r="G582" s="135"/>
      <c r="H582" s="135"/>
      <c r="I582" s="135"/>
      <c r="J582" s="135"/>
      <c r="K582" s="136"/>
      <c r="L582" s="137"/>
    </row>
    <row r="583" ht="12.75" customHeight="1">
      <c r="A583" s="135"/>
      <c r="B583" s="135"/>
      <c r="C583" s="135"/>
      <c r="D583" s="135"/>
      <c r="E583" s="135"/>
      <c r="F583" s="135"/>
      <c r="G583" s="135"/>
      <c r="H583" s="135"/>
      <c r="I583" s="135"/>
      <c r="J583" s="135"/>
      <c r="K583" s="136"/>
      <c r="L583" s="137"/>
    </row>
    <row r="584" ht="12.75" customHeight="1">
      <c r="A584" s="135"/>
      <c r="B584" s="135"/>
      <c r="C584" s="135"/>
      <c r="D584" s="135"/>
      <c r="E584" s="135"/>
      <c r="F584" s="135"/>
      <c r="G584" s="135"/>
      <c r="H584" s="135"/>
      <c r="I584" s="135"/>
      <c r="J584" s="135"/>
      <c r="K584" s="136"/>
      <c r="L584" s="137"/>
    </row>
    <row r="585" ht="12.75" customHeight="1">
      <c r="A585" s="135"/>
      <c r="B585" s="135"/>
      <c r="C585" s="135"/>
      <c r="D585" s="135"/>
      <c r="E585" s="135"/>
      <c r="F585" s="135"/>
      <c r="G585" s="135"/>
      <c r="H585" s="135"/>
      <c r="I585" s="135"/>
      <c r="J585" s="135"/>
      <c r="K585" s="136"/>
      <c r="L585" s="137"/>
    </row>
    <row r="586" ht="12.75" customHeight="1">
      <c r="A586" s="135"/>
      <c r="B586" s="135"/>
      <c r="C586" s="135"/>
      <c r="D586" s="135"/>
      <c r="E586" s="135"/>
      <c r="F586" s="135"/>
      <c r="G586" s="135"/>
      <c r="H586" s="135"/>
      <c r="I586" s="135"/>
      <c r="J586" s="135"/>
      <c r="K586" s="136"/>
      <c r="L586" s="137"/>
    </row>
    <row r="587" ht="12.75" customHeight="1">
      <c r="A587" s="135"/>
      <c r="B587" s="135"/>
      <c r="C587" s="135"/>
      <c r="D587" s="135"/>
      <c r="E587" s="135"/>
      <c r="F587" s="135"/>
      <c r="G587" s="135"/>
      <c r="H587" s="135"/>
      <c r="I587" s="135"/>
      <c r="J587" s="135"/>
      <c r="K587" s="136"/>
      <c r="L587" s="137"/>
    </row>
    <row r="588" ht="12.75" customHeight="1">
      <c r="A588" s="135"/>
      <c r="B588" s="135"/>
      <c r="C588" s="135"/>
      <c r="D588" s="135"/>
      <c r="E588" s="135"/>
      <c r="F588" s="135"/>
      <c r="G588" s="135"/>
      <c r="H588" s="135"/>
      <c r="I588" s="135"/>
      <c r="J588" s="135"/>
      <c r="K588" s="136"/>
      <c r="L588" s="137"/>
    </row>
    <row r="589" ht="12.75" customHeight="1">
      <c r="A589" s="135"/>
      <c r="B589" s="135"/>
      <c r="C589" s="135"/>
      <c r="D589" s="135"/>
      <c r="E589" s="135"/>
      <c r="F589" s="135"/>
      <c r="G589" s="135"/>
      <c r="H589" s="135"/>
      <c r="I589" s="135"/>
      <c r="J589" s="135"/>
      <c r="K589" s="136"/>
      <c r="L589" s="137"/>
    </row>
    <row r="590" ht="12.75" customHeight="1">
      <c r="A590" s="135"/>
      <c r="B590" s="135"/>
      <c r="C590" s="135"/>
      <c r="D590" s="135"/>
      <c r="E590" s="135"/>
      <c r="F590" s="135"/>
      <c r="G590" s="135"/>
      <c r="H590" s="135"/>
      <c r="I590" s="135"/>
      <c r="J590" s="135"/>
      <c r="K590" s="136"/>
      <c r="L590" s="137"/>
    </row>
    <row r="591" ht="12.75" customHeight="1">
      <c r="A591" s="135"/>
      <c r="B591" s="135"/>
      <c r="C591" s="135"/>
      <c r="D591" s="135"/>
      <c r="E591" s="135"/>
      <c r="F591" s="135"/>
      <c r="G591" s="135"/>
      <c r="H591" s="135"/>
      <c r="I591" s="135"/>
      <c r="J591" s="135"/>
      <c r="K591" s="136"/>
      <c r="L591" s="137"/>
    </row>
    <row r="592" ht="12.75" customHeight="1">
      <c r="A592" s="135"/>
      <c r="B592" s="135"/>
      <c r="C592" s="135"/>
      <c r="D592" s="135"/>
      <c r="E592" s="135"/>
      <c r="F592" s="135"/>
      <c r="G592" s="135"/>
      <c r="H592" s="135"/>
      <c r="I592" s="135"/>
      <c r="J592" s="135"/>
      <c r="K592" s="136"/>
      <c r="L592" s="137"/>
    </row>
    <row r="593" ht="12.75" customHeight="1">
      <c r="A593" s="135"/>
      <c r="B593" s="135"/>
      <c r="C593" s="135"/>
      <c r="D593" s="135"/>
      <c r="E593" s="135"/>
      <c r="F593" s="135"/>
      <c r="G593" s="135"/>
      <c r="H593" s="135"/>
      <c r="I593" s="135"/>
      <c r="J593" s="135"/>
      <c r="K593" s="136"/>
      <c r="L593" s="137"/>
    </row>
    <row r="594" ht="12.75" customHeight="1">
      <c r="A594" s="135"/>
      <c r="B594" s="135"/>
      <c r="C594" s="135"/>
      <c r="D594" s="135"/>
      <c r="E594" s="135"/>
      <c r="F594" s="135"/>
      <c r="G594" s="135"/>
      <c r="H594" s="135"/>
      <c r="I594" s="135"/>
      <c r="J594" s="135"/>
      <c r="K594" s="136"/>
      <c r="L594" s="137"/>
    </row>
    <row r="595" ht="12.75" customHeight="1">
      <c r="A595" s="135"/>
      <c r="B595" s="135"/>
      <c r="C595" s="135"/>
      <c r="D595" s="135"/>
      <c r="E595" s="135"/>
      <c r="F595" s="135"/>
      <c r="G595" s="135"/>
      <c r="H595" s="135"/>
      <c r="I595" s="135"/>
      <c r="J595" s="135"/>
      <c r="K595" s="136"/>
      <c r="L595" s="137"/>
    </row>
    <row r="596" ht="12.75" customHeight="1">
      <c r="A596" s="135"/>
      <c r="B596" s="135"/>
      <c r="C596" s="135"/>
      <c r="D596" s="135"/>
      <c r="E596" s="135"/>
      <c r="F596" s="135"/>
      <c r="G596" s="135"/>
      <c r="H596" s="135"/>
      <c r="I596" s="135"/>
      <c r="J596" s="135"/>
      <c r="K596" s="136"/>
      <c r="L596" s="137"/>
    </row>
    <row r="597" ht="12.75" customHeight="1">
      <c r="A597" s="135"/>
      <c r="B597" s="135"/>
      <c r="C597" s="135"/>
      <c r="D597" s="135"/>
      <c r="E597" s="135"/>
      <c r="F597" s="135"/>
      <c r="G597" s="135"/>
      <c r="H597" s="135"/>
      <c r="I597" s="135"/>
      <c r="J597" s="135"/>
      <c r="K597" s="136"/>
      <c r="L597" s="137"/>
    </row>
    <row r="598" ht="12.75" customHeight="1">
      <c r="A598" s="135"/>
      <c r="B598" s="135"/>
      <c r="C598" s="135"/>
      <c r="D598" s="135"/>
      <c r="E598" s="135"/>
      <c r="F598" s="135"/>
      <c r="G598" s="135"/>
      <c r="H598" s="135"/>
      <c r="I598" s="135"/>
      <c r="J598" s="135"/>
      <c r="K598" s="136"/>
      <c r="L598" s="137"/>
    </row>
    <row r="599" ht="12.75" customHeight="1">
      <c r="A599" s="135"/>
      <c r="B599" s="135"/>
      <c r="C599" s="135"/>
      <c r="D599" s="135"/>
      <c r="E599" s="135"/>
      <c r="F599" s="135"/>
      <c r="G599" s="135"/>
      <c r="H599" s="135"/>
      <c r="I599" s="135"/>
      <c r="J599" s="135"/>
      <c r="K599" s="136"/>
      <c r="L599" s="137"/>
    </row>
    <row r="600" ht="12.75" customHeight="1">
      <c r="A600" s="135"/>
      <c r="B600" s="135"/>
      <c r="C600" s="135"/>
      <c r="D600" s="135"/>
      <c r="E600" s="135"/>
      <c r="F600" s="135"/>
      <c r="G600" s="135"/>
      <c r="H600" s="135"/>
      <c r="I600" s="135"/>
      <c r="J600" s="135"/>
      <c r="K600" s="136"/>
      <c r="L600" s="137"/>
    </row>
    <row r="601" ht="12.75" customHeight="1">
      <c r="A601" s="135"/>
      <c r="B601" s="135"/>
      <c r="C601" s="135"/>
      <c r="D601" s="135"/>
      <c r="E601" s="135"/>
      <c r="F601" s="135"/>
      <c r="G601" s="135"/>
      <c r="H601" s="135"/>
      <c r="I601" s="135"/>
      <c r="J601" s="135"/>
      <c r="K601" s="136"/>
      <c r="L601" s="137"/>
    </row>
    <row r="602" ht="12.75" customHeight="1">
      <c r="A602" s="135"/>
      <c r="B602" s="135"/>
      <c r="C602" s="135"/>
      <c r="D602" s="135"/>
      <c r="E602" s="135"/>
      <c r="F602" s="135"/>
      <c r="G602" s="135"/>
      <c r="H602" s="135"/>
      <c r="I602" s="135"/>
      <c r="J602" s="135"/>
      <c r="K602" s="136"/>
      <c r="L602" s="137"/>
    </row>
    <row r="603" ht="12.75" customHeight="1">
      <c r="A603" s="135"/>
      <c r="B603" s="135"/>
      <c r="C603" s="135"/>
      <c r="D603" s="135"/>
      <c r="E603" s="135"/>
      <c r="F603" s="135"/>
      <c r="G603" s="135"/>
      <c r="H603" s="135"/>
      <c r="I603" s="135"/>
      <c r="J603" s="135"/>
      <c r="K603" s="136"/>
      <c r="L603" s="137"/>
    </row>
    <row r="604" ht="12.75" customHeight="1">
      <c r="A604" s="135"/>
      <c r="B604" s="135"/>
      <c r="C604" s="135"/>
      <c r="D604" s="135"/>
      <c r="E604" s="135"/>
      <c r="F604" s="135"/>
      <c r="G604" s="135"/>
      <c r="H604" s="135"/>
      <c r="I604" s="135"/>
      <c r="J604" s="135"/>
      <c r="K604" s="136"/>
      <c r="L604" s="137"/>
    </row>
    <row r="605" ht="12.75" customHeight="1">
      <c r="A605" s="135"/>
      <c r="B605" s="135"/>
      <c r="C605" s="135"/>
      <c r="D605" s="135"/>
      <c r="E605" s="135"/>
      <c r="F605" s="135"/>
      <c r="G605" s="135"/>
      <c r="H605" s="135"/>
      <c r="I605" s="135"/>
      <c r="J605" s="135"/>
      <c r="K605" s="136"/>
      <c r="L605" s="137"/>
    </row>
    <row r="606" ht="12.75" customHeight="1">
      <c r="A606" s="135"/>
      <c r="B606" s="135"/>
      <c r="C606" s="135"/>
      <c r="D606" s="135"/>
      <c r="E606" s="135"/>
      <c r="F606" s="135"/>
      <c r="G606" s="135"/>
      <c r="H606" s="135"/>
      <c r="I606" s="135"/>
      <c r="J606" s="135"/>
      <c r="K606" s="136"/>
      <c r="L606" s="137"/>
    </row>
    <row r="607" ht="12.75" customHeight="1">
      <c r="A607" s="135"/>
      <c r="B607" s="135"/>
      <c r="C607" s="135"/>
      <c r="D607" s="135"/>
      <c r="E607" s="135"/>
      <c r="F607" s="135"/>
      <c r="G607" s="135"/>
      <c r="H607" s="135"/>
      <c r="I607" s="135"/>
      <c r="J607" s="135"/>
      <c r="K607" s="136"/>
      <c r="L607" s="137"/>
    </row>
    <row r="608" ht="12.75" customHeight="1">
      <c r="A608" s="135"/>
      <c r="B608" s="135"/>
      <c r="C608" s="135"/>
      <c r="D608" s="135"/>
      <c r="E608" s="135"/>
      <c r="F608" s="135"/>
      <c r="G608" s="135"/>
      <c r="H608" s="135"/>
      <c r="I608" s="135"/>
      <c r="J608" s="135"/>
      <c r="K608" s="136"/>
      <c r="L608" s="137"/>
    </row>
    <row r="609" ht="12.75" customHeight="1">
      <c r="A609" s="135"/>
      <c r="B609" s="135"/>
      <c r="C609" s="135"/>
      <c r="D609" s="135"/>
      <c r="E609" s="135"/>
      <c r="F609" s="135"/>
      <c r="G609" s="135"/>
      <c r="H609" s="135"/>
      <c r="I609" s="135"/>
      <c r="J609" s="135"/>
      <c r="K609" s="136"/>
      <c r="L609" s="137"/>
    </row>
    <row r="610" ht="12.75" customHeight="1">
      <c r="A610" s="135"/>
      <c r="B610" s="135"/>
      <c r="C610" s="135"/>
      <c r="D610" s="135"/>
      <c r="E610" s="135"/>
      <c r="F610" s="135"/>
      <c r="G610" s="135"/>
      <c r="H610" s="135"/>
      <c r="I610" s="135"/>
      <c r="J610" s="135"/>
      <c r="K610" s="136"/>
      <c r="L610" s="137"/>
    </row>
    <row r="611" ht="12.75" customHeight="1">
      <c r="A611" s="135"/>
      <c r="B611" s="135"/>
      <c r="C611" s="135"/>
      <c r="D611" s="135"/>
      <c r="E611" s="135"/>
      <c r="F611" s="135"/>
      <c r="G611" s="135"/>
      <c r="H611" s="135"/>
      <c r="I611" s="135"/>
      <c r="J611" s="135"/>
      <c r="K611" s="136"/>
      <c r="L611" s="137"/>
    </row>
    <row r="612" ht="12.75" customHeight="1">
      <c r="A612" s="135"/>
      <c r="B612" s="135"/>
      <c r="C612" s="135"/>
      <c r="D612" s="135"/>
      <c r="E612" s="135"/>
      <c r="F612" s="135"/>
      <c r="G612" s="135"/>
      <c r="H612" s="135"/>
      <c r="I612" s="135"/>
      <c r="J612" s="135"/>
      <c r="K612" s="136"/>
      <c r="L612" s="137"/>
    </row>
    <row r="613" ht="12.75" customHeight="1">
      <c r="A613" s="135"/>
      <c r="B613" s="135"/>
      <c r="C613" s="135"/>
      <c r="D613" s="135"/>
      <c r="E613" s="135"/>
      <c r="F613" s="135"/>
      <c r="G613" s="135"/>
      <c r="H613" s="135"/>
      <c r="I613" s="135"/>
      <c r="J613" s="135"/>
      <c r="K613" s="136"/>
      <c r="L613" s="137"/>
    </row>
    <row r="614" ht="12.75" customHeight="1">
      <c r="A614" s="135"/>
      <c r="B614" s="135"/>
      <c r="C614" s="135"/>
      <c r="D614" s="135"/>
      <c r="E614" s="135"/>
      <c r="F614" s="135"/>
      <c r="G614" s="135"/>
      <c r="H614" s="135"/>
      <c r="I614" s="135"/>
      <c r="J614" s="135"/>
      <c r="K614" s="136"/>
      <c r="L614" s="137"/>
    </row>
    <row r="615" ht="12.75" customHeight="1">
      <c r="A615" s="135"/>
      <c r="B615" s="135"/>
      <c r="C615" s="135"/>
      <c r="D615" s="135"/>
      <c r="E615" s="135"/>
      <c r="F615" s="135"/>
      <c r="G615" s="135"/>
      <c r="H615" s="135"/>
      <c r="I615" s="135"/>
      <c r="J615" s="135"/>
      <c r="K615" s="136"/>
      <c r="L615" s="137"/>
    </row>
    <row r="616" ht="12.75" customHeight="1">
      <c r="A616" s="135"/>
      <c r="B616" s="135"/>
      <c r="C616" s="135"/>
      <c r="D616" s="135"/>
      <c r="E616" s="135"/>
      <c r="F616" s="135"/>
      <c r="G616" s="135"/>
      <c r="H616" s="135"/>
      <c r="I616" s="135"/>
      <c r="J616" s="135"/>
      <c r="K616" s="136"/>
      <c r="L616" s="137"/>
    </row>
    <row r="617" ht="12.75" customHeight="1">
      <c r="A617" s="135"/>
      <c r="B617" s="135"/>
      <c r="C617" s="135"/>
      <c r="D617" s="135"/>
      <c r="E617" s="135"/>
      <c r="F617" s="135"/>
      <c r="G617" s="135"/>
      <c r="H617" s="135"/>
      <c r="I617" s="135"/>
      <c r="J617" s="135"/>
      <c r="K617" s="136"/>
      <c r="L617" s="137"/>
    </row>
    <row r="618" ht="12.75" customHeight="1">
      <c r="A618" s="135"/>
      <c r="B618" s="135"/>
      <c r="C618" s="135"/>
      <c r="D618" s="135"/>
      <c r="E618" s="135"/>
      <c r="F618" s="135"/>
      <c r="G618" s="135"/>
      <c r="H618" s="135"/>
      <c r="I618" s="135"/>
      <c r="J618" s="135"/>
      <c r="K618" s="136"/>
      <c r="L618" s="137"/>
    </row>
    <row r="619" ht="12.75" customHeight="1">
      <c r="A619" s="135"/>
      <c r="B619" s="135"/>
      <c r="C619" s="135"/>
      <c r="D619" s="135"/>
      <c r="E619" s="135"/>
      <c r="F619" s="135"/>
      <c r="G619" s="135"/>
      <c r="H619" s="135"/>
      <c r="I619" s="135"/>
      <c r="J619" s="135"/>
      <c r="K619" s="136"/>
      <c r="L619" s="137"/>
    </row>
    <row r="620" ht="12.75" customHeight="1">
      <c r="A620" s="135"/>
      <c r="B620" s="135"/>
      <c r="C620" s="135"/>
      <c r="D620" s="135"/>
      <c r="E620" s="135"/>
      <c r="F620" s="135"/>
      <c r="G620" s="135"/>
      <c r="H620" s="135"/>
      <c r="I620" s="135"/>
      <c r="J620" s="135"/>
      <c r="K620" s="136"/>
      <c r="L620" s="137"/>
    </row>
    <row r="621" ht="12.75" customHeight="1">
      <c r="A621" s="135"/>
      <c r="B621" s="135"/>
      <c r="C621" s="135"/>
      <c r="D621" s="135"/>
      <c r="E621" s="135"/>
      <c r="F621" s="135"/>
      <c r="G621" s="135"/>
      <c r="H621" s="135"/>
      <c r="I621" s="135"/>
      <c r="J621" s="135"/>
      <c r="K621" s="136"/>
      <c r="L621" s="137"/>
    </row>
    <row r="622" ht="12.75" customHeight="1">
      <c r="A622" s="135"/>
      <c r="B622" s="135"/>
      <c r="C622" s="135"/>
      <c r="D622" s="135"/>
      <c r="E622" s="135"/>
      <c r="F622" s="135"/>
      <c r="G622" s="135"/>
      <c r="H622" s="135"/>
      <c r="I622" s="135"/>
      <c r="J622" s="135"/>
      <c r="K622" s="136"/>
      <c r="L622" s="137"/>
    </row>
    <row r="623" ht="12.75" customHeight="1">
      <c r="A623" s="135"/>
      <c r="B623" s="135"/>
      <c r="C623" s="135"/>
      <c r="D623" s="135"/>
      <c r="E623" s="135"/>
      <c r="F623" s="135"/>
      <c r="G623" s="135"/>
      <c r="H623" s="135"/>
      <c r="I623" s="135"/>
      <c r="J623" s="135"/>
      <c r="K623" s="136"/>
      <c r="L623" s="137"/>
    </row>
    <row r="624" ht="12.75" customHeight="1">
      <c r="A624" s="135"/>
      <c r="B624" s="135"/>
      <c r="C624" s="135"/>
      <c r="D624" s="135"/>
      <c r="E624" s="135"/>
      <c r="F624" s="135"/>
      <c r="G624" s="135"/>
      <c r="H624" s="135"/>
      <c r="I624" s="135"/>
      <c r="J624" s="135"/>
      <c r="K624" s="136"/>
      <c r="L624" s="137"/>
    </row>
    <row r="625" ht="12.75" customHeight="1">
      <c r="A625" s="135"/>
      <c r="B625" s="135"/>
      <c r="C625" s="135"/>
      <c r="D625" s="135"/>
      <c r="E625" s="135"/>
      <c r="F625" s="135"/>
      <c r="G625" s="135"/>
      <c r="H625" s="135"/>
      <c r="I625" s="135"/>
      <c r="J625" s="135"/>
      <c r="K625" s="136"/>
      <c r="L625" s="137"/>
    </row>
    <row r="626" ht="12.75" customHeight="1">
      <c r="A626" s="135"/>
      <c r="B626" s="135"/>
      <c r="C626" s="135"/>
      <c r="D626" s="135"/>
      <c r="E626" s="135"/>
      <c r="F626" s="135"/>
      <c r="G626" s="135"/>
      <c r="H626" s="135"/>
      <c r="I626" s="135"/>
      <c r="J626" s="135"/>
      <c r="K626" s="136"/>
      <c r="L626" s="137"/>
    </row>
    <row r="627" ht="12.75" customHeight="1">
      <c r="A627" s="135"/>
      <c r="B627" s="135"/>
      <c r="C627" s="135"/>
      <c r="D627" s="135"/>
      <c r="E627" s="135"/>
      <c r="F627" s="135"/>
      <c r="G627" s="135"/>
      <c r="H627" s="135"/>
      <c r="I627" s="135"/>
      <c r="J627" s="135"/>
      <c r="K627" s="136"/>
      <c r="L627" s="137"/>
    </row>
    <row r="628" ht="12.75" customHeight="1">
      <c r="A628" s="135"/>
      <c r="B628" s="135"/>
      <c r="C628" s="135"/>
      <c r="D628" s="135"/>
      <c r="E628" s="135"/>
      <c r="F628" s="135"/>
      <c r="G628" s="135"/>
      <c r="H628" s="135"/>
      <c r="I628" s="135"/>
      <c r="J628" s="135"/>
      <c r="K628" s="136"/>
      <c r="L628" s="137"/>
    </row>
    <row r="629" ht="12.75" customHeight="1">
      <c r="A629" s="135"/>
      <c r="B629" s="135"/>
      <c r="C629" s="135"/>
      <c r="D629" s="135"/>
      <c r="E629" s="135"/>
      <c r="F629" s="135"/>
      <c r="G629" s="135"/>
      <c r="H629" s="135"/>
      <c r="I629" s="135"/>
      <c r="J629" s="135"/>
      <c r="K629" s="136"/>
      <c r="L629" s="137"/>
    </row>
    <row r="630" ht="12.75" customHeight="1">
      <c r="A630" s="135"/>
      <c r="B630" s="135"/>
      <c r="C630" s="135"/>
      <c r="D630" s="135"/>
      <c r="E630" s="135"/>
      <c r="F630" s="135"/>
      <c r="G630" s="135"/>
      <c r="H630" s="135"/>
      <c r="I630" s="135"/>
      <c r="J630" s="135"/>
      <c r="K630" s="136"/>
      <c r="L630" s="137"/>
    </row>
    <row r="631" ht="12.75" customHeight="1">
      <c r="A631" s="135"/>
      <c r="B631" s="135"/>
      <c r="C631" s="135"/>
      <c r="D631" s="135"/>
      <c r="E631" s="135"/>
      <c r="F631" s="135"/>
      <c r="G631" s="135"/>
      <c r="H631" s="135"/>
      <c r="I631" s="135"/>
      <c r="J631" s="135"/>
      <c r="K631" s="136"/>
      <c r="L631" s="137"/>
    </row>
    <row r="632" ht="12.75" customHeight="1">
      <c r="A632" s="135"/>
      <c r="B632" s="135"/>
      <c r="C632" s="135"/>
      <c r="D632" s="135"/>
      <c r="E632" s="135"/>
      <c r="F632" s="135"/>
      <c r="G632" s="135"/>
      <c r="H632" s="135"/>
      <c r="I632" s="135"/>
      <c r="J632" s="135"/>
      <c r="K632" s="136"/>
      <c r="L632" s="137"/>
    </row>
    <row r="633" ht="12.75" customHeight="1">
      <c r="A633" s="135"/>
      <c r="B633" s="135"/>
      <c r="C633" s="135"/>
      <c r="D633" s="135"/>
      <c r="E633" s="135"/>
      <c r="F633" s="135"/>
      <c r="G633" s="135"/>
      <c r="H633" s="135"/>
      <c r="I633" s="135"/>
      <c r="J633" s="135"/>
      <c r="K633" s="136"/>
      <c r="L633" s="137"/>
    </row>
    <row r="634" ht="12.75" customHeight="1">
      <c r="A634" s="135"/>
      <c r="B634" s="135"/>
      <c r="C634" s="135"/>
      <c r="D634" s="135"/>
      <c r="E634" s="135"/>
      <c r="F634" s="135"/>
      <c r="G634" s="135"/>
      <c r="H634" s="135"/>
      <c r="I634" s="135"/>
      <c r="J634" s="135"/>
      <c r="K634" s="136"/>
      <c r="L634" s="137"/>
    </row>
    <row r="635" ht="12.75" customHeight="1">
      <c r="A635" s="135"/>
      <c r="B635" s="135"/>
      <c r="C635" s="135"/>
      <c r="D635" s="135"/>
      <c r="E635" s="135"/>
      <c r="F635" s="135"/>
      <c r="G635" s="135"/>
      <c r="H635" s="135"/>
      <c r="I635" s="135"/>
      <c r="J635" s="135"/>
      <c r="K635" s="136"/>
      <c r="L635" s="137"/>
    </row>
    <row r="636" ht="12.75" customHeight="1">
      <c r="A636" s="135"/>
      <c r="B636" s="135"/>
      <c r="C636" s="135"/>
      <c r="D636" s="135"/>
      <c r="E636" s="135"/>
      <c r="F636" s="135"/>
      <c r="G636" s="135"/>
      <c r="H636" s="135"/>
      <c r="I636" s="135"/>
      <c r="J636" s="135"/>
      <c r="K636" s="136"/>
      <c r="L636" s="137"/>
    </row>
    <row r="637" ht="12.75" customHeight="1">
      <c r="A637" s="135"/>
      <c r="B637" s="135"/>
      <c r="C637" s="135"/>
      <c r="D637" s="135"/>
      <c r="E637" s="135"/>
      <c r="F637" s="135"/>
      <c r="G637" s="135"/>
      <c r="H637" s="135"/>
      <c r="I637" s="135"/>
      <c r="J637" s="135"/>
      <c r="K637" s="136"/>
      <c r="L637" s="137"/>
    </row>
    <row r="638" ht="12.75" customHeight="1">
      <c r="A638" s="135"/>
      <c r="B638" s="135"/>
      <c r="C638" s="135"/>
      <c r="D638" s="135"/>
      <c r="E638" s="135"/>
      <c r="F638" s="135"/>
      <c r="G638" s="135"/>
      <c r="H638" s="135"/>
      <c r="I638" s="135"/>
      <c r="J638" s="135"/>
      <c r="K638" s="136"/>
      <c r="L638" s="137"/>
    </row>
    <row r="639" ht="12.75" customHeight="1">
      <c r="A639" s="135"/>
      <c r="B639" s="135"/>
      <c r="C639" s="135"/>
      <c r="D639" s="135"/>
      <c r="E639" s="135"/>
      <c r="F639" s="135"/>
      <c r="G639" s="135"/>
      <c r="H639" s="135"/>
      <c r="I639" s="135"/>
      <c r="J639" s="135"/>
      <c r="K639" s="136"/>
      <c r="L639" s="137"/>
    </row>
    <row r="640" ht="12.75" customHeight="1">
      <c r="A640" s="135"/>
      <c r="B640" s="135"/>
      <c r="C640" s="135"/>
      <c r="D640" s="135"/>
      <c r="E640" s="135"/>
      <c r="F640" s="135"/>
      <c r="G640" s="135"/>
      <c r="H640" s="135"/>
      <c r="I640" s="135"/>
      <c r="J640" s="135"/>
      <c r="K640" s="136"/>
      <c r="L640" s="137"/>
    </row>
    <row r="641" ht="12.75" customHeight="1">
      <c r="A641" s="135"/>
      <c r="B641" s="135"/>
      <c r="C641" s="135"/>
      <c r="D641" s="135"/>
      <c r="E641" s="135"/>
      <c r="F641" s="135"/>
      <c r="G641" s="135"/>
      <c r="H641" s="135"/>
      <c r="I641" s="135"/>
      <c r="J641" s="135"/>
      <c r="K641" s="136"/>
      <c r="L641" s="137"/>
    </row>
    <row r="642" ht="12.75" customHeight="1">
      <c r="A642" s="135"/>
      <c r="B642" s="135"/>
      <c r="C642" s="135"/>
      <c r="D642" s="135"/>
      <c r="E642" s="135"/>
      <c r="F642" s="135"/>
      <c r="G642" s="135"/>
      <c r="H642" s="135"/>
      <c r="I642" s="135"/>
      <c r="J642" s="135"/>
      <c r="K642" s="136"/>
      <c r="L642" s="137"/>
    </row>
    <row r="643" ht="12.75" customHeight="1">
      <c r="A643" s="135"/>
      <c r="B643" s="135"/>
      <c r="C643" s="135"/>
      <c r="D643" s="135"/>
      <c r="E643" s="135"/>
      <c r="F643" s="135"/>
      <c r="G643" s="135"/>
      <c r="H643" s="135"/>
      <c r="I643" s="135"/>
      <c r="J643" s="135"/>
      <c r="K643" s="136"/>
      <c r="L643" s="137"/>
    </row>
    <row r="644" ht="12.75" customHeight="1">
      <c r="A644" s="135"/>
      <c r="B644" s="135"/>
      <c r="C644" s="135"/>
      <c r="D644" s="135"/>
      <c r="E644" s="135"/>
      <c r="F644" s="135"/>
      <c r="G644" s="135"/>
      <c r="H644" s="135"/>
      <c r="I644" s="135"/>
      <c r="J644" s="135"/>
      <c r="K644" s="136"/>
      <c r="L644" s="137"/>
    </row>
    <row r="645" ht="12.75" customHeight="1">
      <c r="A645" s="135"/>
      <c r="B645" s="135"/>
      <c r="C645" s="135"/>
      <c r="D645" s="135"/>
      <c r="E645" s="135"/>
      <c r="F645" s="135"/>
      <c r="G645" s="135"/>
      <c r="H645" s="135"/>
      <c r="I645" s="135"/>
      <c r="J645" s="135"/>
      <c r="K645" s="136"/>
      <c r="L645" s="137"/>
    </row>
    <row r="646" ht="12.75" customHeight="1">
      <c r="A646" s="135"/>
      <c r="B646" s="135"/>
      <c r="C646" s="135"/>
      <c r="D646" s="135"/>
      <c r="E646" s="135"/>
      <c r="F646" s="135"/>
      <c r="G646" s="135"/>
      <c r="H646" s="135"/>
      <c r="I646" s="135"/>
      <c r="J646" s="135"/>
      <c r="K646" s="136"/>
      <c r="L646" s="137"/>
    </row>
    <row r="647" ht="12.75" customHeight="1">
      <c r="A647" s="135"/>
      <c r="B647" s="135"/>
      <c r="C647" s="135"/>
      <c r="D647" s="135"/>
      <c r="E647" s="135"/>
      <c r="F647" s="135"/>
      <c r="G647" s="135"/>
      <c r="H647" s="135"/>
      <c r="I647" s="135"/>
      <c r="J647" s="135"/>
      <c r="K647" s="136"/>
      <c r="L647" s="137"/>
    </row>
    <row r="648" ht="12.75" customHeight="1">
      <c r="A648" s="135"/>
      <c r="B648" s="135"/>
      <c r="C648" s="135"/>
      <c r="D648" s="135"/>
      <c r="E648" s="135"/>
      <c r="F648" s="135"/>
      <c r="G648" s="135"/>
      <c r="H648" s="135"/>
      <c r="I648" s="135"/>
      <c r="J648" s="135"/>
      <c r="K648" s="136"/>
      <c r="L648" s="137"/>
    </row>
    <row r="649" ht="12.75" customHeight="1">
      <c r="A649" s="135"/>
      <c r="B649" s="135"/>
      <c r="C649" s="135"/>
      <c r="D649" s="135"/>
      <c r="E649" s="135"/>
      <c r="F649" s="135"/>
      <c r="G649" s="135"/>
      <c r="H649" s="135"/>
      <c r="I649" s="135"/>
      <c r="J649" s="135"/>
      <c r="K649" s="136"/>
      <c r="L649" s="137"/>
    </row>
    <row r="650" ht="12.75" customHeight="1">
      <c r="A650" s="135"/>
      <c r="B650" s="135"/>
      <c r="C650" s="135"/>
      <c r="D650" s="135"/>
      <c r="E650" s="135"/>
      <c r="F650" s="135"/>
      <c r="G650" s="135"/>
      <c r="H650" s="135"/>
      <c r="I650" s="135"/>
      <c r="J650" s="135"/>
      <c r="K650" s="136"/>
      <c r="L650" s="137"/>
    </row>
    <row r="651" ht="12.75" customHeight="1">
      <c r="A651" s="135"/>
      <c r="B651" s="135"/>
      <c r="C651" s="135"/>
      <c r="D651" s="135"/>
      <c r="E651" s="135"/>
      <c r="F651" s="135"/>
      <c r="G651" s="135"/>
      <c r="H651" s="135"/>
      <c r="I651" s="135"/>
      <c r="J651" s="135"/>
      <c r="K651" s="136"/>
      <c r="L651" s="137"/>
    </row>
    <row r="652" ht="12.75" customHeight="1">
      <c r="A652" s="135"/>
      <c r="B652" s="135"/>
      <c r="C652" s="135"/>
      <c r="D652" s="135"/>
      <c r="E652" s="135"/>
      <c r="F652" s="135"/>
      <c r="G652" s="135"/>
      <c r="H652" s="135"/>
      <c r="I652" s="135"/>
      <c r="J652" s="135"/>
      <c r="K652" s="136"/>
      <c r="L652" s="137"/>
    </row>
    <row r="653" ht="12.75" customHeight="1">
      <c r="A653" s="135"/>
      <c r="B653" s="135"/>
      <c r="C653" s="135"/>
      <c r="D653" s="135"/>
      <c r="E653" s="135"/>
      <c r="F653" s="135"/>
      <c r="G653" s="135"/>
      <c r="H653" s="135"/>
      <c r="I653" s="135"/>
      <c r="J653" s="135"/>
      <c r="K653" s="136"/>
      <c r="L653" s="137"/>
    </row>
    <row r="654" ht="12.75" customHeight="1">
      <c r="A654" s="135"/>
      <c r="B654" s="135"/>
      <c r="C654" s="135"/>
      <c r="D654" s="135"/>
      <c r="E654" s="135"/>
      <c r="F654" s="135"/>
      <c r="G654" s="135"/>
      <c r="H654" s="135"/>
      <c r="I654" s="135"/>
      <c r="J654" s="135"/>
      <c r="K654" s="136"/>
      <c r="L654" s="137"/>
    </row>
    <row r="655" ht="12.75" customHeight="1">
      <c r="A655" s="135"/>
      <c r="B655" s="135"/>
      <c r="C655" s="135"/>
      <c r="D655" s="135"/>
      <c r="E655" s="135"/>
      <c r="F655" s="135"/>
      <c r="G655" s="135"/>
      <c r="H655" s="135"/>
      <c r="I655" s="135"/>
      <c r="J655" s="135"/>
      <c r="K655" s="136"/>
      <c r="L655" s="137"/>
    </row>
    <row r="656" ht="12.75" customHeight="1">
      <c r="A656" s="135"/>
      <c r="B656" s="135"/>
      <c r="C656" s="135"/>
      <c r="D656" s="135"/>
      <c r="E656" s="135"/>
      <c r="F656" s="135"/>
      <c r="G656" s="135"/>
      <c r="H656" s="135"/>
      <c r="I656" s="135"/>
      <c r="J656" s="135"/>
      <c r="K656" s="136"/>
      <c r="L656" s="137"/>
    </row>
    <row r="657" ht="12.75" customHeight="1">
      <c r="A657" s="135"/>
      <c r="B657" s="135"/>
      <c r="C657" s="135"/>
      <c r="D657" s="135"/>
      <c r="E657" s="135"/>
      <c r="F657" s="135"/>
      <c r="G657" s="135"/>
      <c r="H657" s="135"/>
      <c r="I657" s="135"/>
      <c r="J657" s="135"/>
      <c r="K657" s="136"/>
      <c r="L657" s="137"/>
    </row>
    <row r="658" ht="12.75" customHeight="1">
      <c r="A658" s="135"/>
      <c r="B658" s="135"/>
      <c r="C658" s="135"/>
      <c r="D658" s="135"/>
      <c r="E658" s="135"/>
      <c r="F658" s="135"/>
      <c r="G658" s="135"/>
      <c r="H658" s="135"/>
      <c r="I658" s="135"/>
      <c r="J658" s="135"/>
      <c r="K658" s="136"/>
      <c r="L658" s="137"/>
    </row>
    <row r="659" ht="12.75" customHeight="1">
      <c r="A659" s="135"/>
      <c r="B659" s="135"/>
      <c r="C659" s="135"/>
      <c r="D659" s="135"/>
      <c r="E659" s="135"/>
      <c r="F659" s="135"/>
      <c r="G659" s="135"/>
      <c r="H659" s="135"/>
      <c r="I659" s="135"/>
      <c r="J659" s="135"/>
      <c r="K659" s="136"/>
      <c r="L659" s="137"/>
    </row>
    <row r="660" ht="12.75" customHeight="1">
      <c r="A660" s="135"/>
      <c r="B660" s="135"/>
      <c r="C660" s="135"/>
      <c r="D660" s="135"/>
      <c r="E660" s="135"/>
      <c r="F660" s="135"/>
      <c r="G660" s="135"/>
      <c r="H660" s="135"/>
      <c r="I660" s="135"/>
      <c r="J660" s="135"/>
      <c r="K660" s="136"/>
      <c r="L660" s="137"/>
    </row>
    <row r="661" ht="12.75" customHeight="1">
      <c r="A661" s="135"/>
      <c r="B661" s="135"/>
      <c r="C661" s="135"/>
      <c r="D661" s="135"/>
      <c r="E661" s="135"/>
      <c r="F661" s="135"/>
      <c r="G661" s="135"/>
      <c r="H661" s="135"/>
      <c r="I661" s="135"/>
      <c r="J661" s="135"/>
      <c r="K661" s="136"/>
      <c r="L661" s="137"/>
    </row>
    <row r="662" ht="12.75" customHeight="1">
      <c r="A662" s="135"/>
      <c r="B662" s="135"/>
      <c r="C662" s="135"/>
      <c r="D662" s="135"/>
      <c r="E662" s="135"/>
      <c r="F662" s="135"/>
      <c r="G662" s="135"/>
      <c r="H662" s="135"/>
      <c r="I662" s="135"/>
      <c r="J662" s="135"/>
      <c r="K662" s="136"/>
      <c r="L662" s="137"/>
    </row>
    <row r="663" ht="12.75" customHeight="1">
      <c r="A663" s="135"/>
      <c r="B663" s="135"/>
      <c r="C663" s="135"/>
      <c r="D663" s="135"/>
      <c r="E663" s="135"/>
      <c r="F663" s="135"/>
      <c r="G663" s="135"/>
      <c r="H663" s="135"/>
      <c r="I663" s="135"/>
      <c r="J663" s="135"/>
      <c r="K663" s="136"/>
      <c r="L663" s="137"/>
    </row>
    <row r="664" ht="12.75" customHeight="1">
      <c r="A664" s="135"/>
      <c r="B664" s="135"/>
      <c r="C664" s="135"/>
      <c r="D664" s="135"/>
      <c r="E664" s="135"/>
      <c r="F664" s="135"/>
      <c r="G664" s="135"/>
      <c r="H664" s="135"/>
      <c r="I664" s="135"/>
      <c r="J664" s="135"/>
      <c r="K664" s="136"/>
      <c r="L664" s="137"/>
    </row>
    <row r="665" ht="12.75" customHeight="1">
      <c r="A665" s="135"/>
      <c r="B665" s="135"/>
      <c r="C665" s="135"/>
      <c r="D665" s="135"/>
      <c r="E665" s="135"/>
      <c r="F665" s="135"/>
      <c r="G665" s="135"/>
      <c r="H665" s="135"/>
      <c r="I665" s="135"/>
      <c r="J665" s="135"/>
      <c r="K665" s="136"/>
      <c r="L665" s="137"/>
    </row>
    <row r="666" ht="12.75" customHeight="1">
      <c r="A666" s="135"/>
      <c r="B666" s="135"/>
      <c r="C666" s="135"/>
      <c r="D666" s="135"/>
      <c r="E666" s="135"/>
      <c r="F666" s="135"/>
      <c r="G666" s="135"/>
      <c r="H666" s="135"/>
      <c r="I666" s="135"/>
      <c r="J666" s="135"/>
      <c r="K666" s="136"/>
      <c r="L666" s="137"/>
    </row>
    <row r="667" ht="12.75" customHeight="1">
      <c r="A667" s="135"/>
      <c r="B667" s="135"/>
      <c r="C667" s="135"/>
      <c r="D667" s="135"/>
      <c r="E667" s="135"/>
      <c r="F667" s="135"/>
      <c r="G667" s="135"/>
      <c r="H667" s="135"/>
      <c r="I667" s="135"/>
      <c r="J667" s="135"/>
      <c r="K667" s="136"/>
      <c r="L667" s="137"/>
    </row>
    <row r="668" ht="12.75" customHeight="1">
      <c r="A668" s="135"/>
      <c r="B668" s="135"/>
      <c r="C668" s="135"/>
      <c r="D668" s="135"/>
      <c r="E668" s="135"/>
      <c r="F668" s="135"/>
      <c r="G668" s="135"/>
      <c r="H668" s="135"/>
      <c r="I668" s="135"/>
      <c r="J668" s="135"/>
      <c r="K668" s="136"/>
      <c r="L668" s="137"/>
    </row>
    <row r="669" ht="12.75" customHeight="1">
      <c r="A669" s="135"/>
      <c r="B669" s="135"/>
      <c r="C669" s="135"/>
      <c r="D669" s="135"/>
      <c r="E669" s="135"/>
      <c r="F669" s="135"/>
      <c r="G669" s="135"/>
      <c r="H669" s="135"/>
      <c r="I669" s="135"/>
      <c r="J669" s="135"/>
      <c r="K669" s="136"/>
      <c r="L669" s="137"/>
    </row>
    <row r="670" ht="12.75" customHeight="1">
      <c r="A670" s="135"/>
      <c r="B670" s="135"/>
      <c r="C670" s="135"/>
      <c r="D670" s="135"/>
      <c r="E670" s="135"/>
      <c r="F670" s="135"/>
      <c r="G670" s="135"/>
      <c r="H670" s="135"/>
      <c r="I670" s="135"/>
      <c r="J670" s="135"/>
      <c r="K670" s="136"/>
      <c r="L670" s="137"/>
    </row>
    <row r="671" ht="12.75" customHeight="1">
      <c r="A671" s="135"/>
      <c r="B671" s="135"/>
      <c r="C671" s="135"/>
      <c r="D671" s="135"/>
      <c r="E671" s="135"/>
      <c r="F671" s="135"/>
      <c r="G671" s="135"/>
      <c r="H671" s="135"/>
      <c r="I671" s="135"/>
      <c r="J671" s="135"/>
      <c r="K671" s="136"/>
      <c r="L671" s="137"/>
    </row>
    <row r="672" ht="12.75" customHeight="1">
      <c r="A672" s="135"/>
      <c r="B672" s="135"/>
      <c r="C672" s="135"/>
      <c r="D672" s="135"/>
      <c r="E672" s="135"/>
      <c r="F672" s="135"/>
      <c r="G672" s="135"/>
      <c r="H672" s="135"/>
      <c r="I672" s="135"/>
      <c r="J672" s="135"/>
      <c r="K672" s="136"/>
      <c r="L672" s="137"/>
    </row>
    <row r="673" ht="12.75" customHeight="1">
      <c r="A673" s="135"/>
      <c r="B673" s="135"/>
      <c r="C673" s="135"/>
      <c r="D673" s="135"/>
      <c r="E673" s="135"/>
      <c r="F673" s="135"/>
      <c r="G673" s="135"/>
      <c r="H673" s="135"/>
      <c r="I673" s="135"/>
      <c r="J673" s="135"/>
      <c r="K673" s="136"/>
      <c r="L673" s="137"/>
    </row>
    <row r="674" ht="12.75" customHeight="1">
      <c r="A674" s="135"/>
      <c r="B674" s="135"/>
      <c r="C674" s="135"/>
      <c r="D674" s="135"/>
      <c r="E674" s="135"/>
      <c r="F674" s="135"/>
      <c r="G674" s="135"/>
      <c r="H674" s="135"/>
      <c r="I674" s="135"/>
      <c r="J674" s="135"/>
      <c r="K674" s="136"/>
      <c r="L674" s="137"/>
    </row>
    <row r="675" ht="12.75" customHeight="1">
      <c r="A675" s="135"/>
      <c r="B675" s="135"/>
      <c r="C675" s="135"/>
      <c r="D675" s="135"/>
      <c r="E675" s="135"/>
      <c r="F675" s="135"/>
      <c r="G675" s="135"/>
      <c r="H675" s="135"/>
      <c r="I675" s="135"/>
      <c r="J675" s="135"/>
      <c r="K675" s="136"/>
      <c r="L675" s="137"/>
    </row>
    <row r="676" ht="12.75" customHeight="1">
      <c r="A676" s="135"/>
      <c r="B676" s="135"/>
      <c r="C676" s="135"/>
      <c r="D676" s="135"/>
      <c r="E676" s="135"/>
      <c r="F676" s="135"/>
      <c r="G676" s="135"/>
      <c r="H676" s="135"/>
      <c r="I676" s="135"/>
      <c r="J676" s="135"/>
      <c r="K676" s="136"/>
      <c r="L676" s="137"/>
    </row>
    <row r="677" ht="12.75" customHeight="1">
      <c r="A677" s="135"/>
      <c r="B677" s="135"/>
      <c r="C677" s="135"/>
      <c r="D677" s="135"/>
      <c r="E677" s="135"/>
      <c r="F677" s="135"/>
      <c r="G677" s="135"/>
      <c r="H677" s="135"/>
      <c r="I677" s="135"/>
      <c r="J677" s="135"/>
      <c r="K677" s="136"/>
      <c r="L677" s="137"/>
    </row>
    <row r="678" ht="12.75" customHeight="1">
      <c r="A678" s="135"/>
      <c r="B678" s="135"/>
      <c r="C678" s="135"/>
      <c r="D678" s="135"/>
      <c r="E678" s="135"/>
      <c r="F678" s="135"/>
      <c r="G678" s="135"/>
      <c r="H678" s="135"/>
      <c r="I678" s="135"/>
      <c r="J678" s="135"/>
      <c r="K678" s="136"/>
      <c r="L678" s="137"/>
    </row>
    <row r="679" ht="12.75" customHeight="1">
      <c r="A679" s="135"/>
      <c r="B679" s="135"/>
      <c r="C679" s="135"/>
      <c r="D679" s="135"/>
      <c r="E679" s="135"/>
      <c r="F679" s="135"/>
      <c r="G679" s="135"/>
      <c r="H679" s="135"/>
      <c r="I679" s="135"/>
      <c r="J679" s="135"/>
      <c r="K679" s="136"/>
      <c r="L679" s="137"/>
    </row>
    <row r="680" ht="12.75" customHeight="1">
      <c r="A680" s="135"/>
      <c r="B680" s="135"/>
      <c r="C680" s="135"/>
      <c r="D680" s="135"/>
      <c r="E680" s="135"/>
      <c r="F680" s="135"/>
      <c r="G680" s="135"/>
      <c r="H680" s="135"/>
      <c r="I680" s="135"/>
      <c r="J680" s="135"/>
      <c r="K680" s="136"/>
      <c r="L680" s="137"/>
    </row>
    <row r="681" ht="12.75" customHeight="1">
      <c r="A681" s="135"/>
      <c r="B681" s="135"/>
      <c r="C681" s="135"/>
      <c r="D681" s="135"/>
      <c r="E681" s="135"/>
      <c r="F681" s="135"/>
      <c r="G681" s="135"/>
      <c r="H681" s="135"/>
      <c r="I681" s="135"/>
      <c r="J681" s="135"/>
      <c r="K681" s="136"/>
      <c r="L681" s="137"/>
    </row>
    <row r="682" ht="12.75" customHeight="1">
      <c r="A682" s="135"/>
      <c r="B682" s="135"/>
      <c r="C682" s="135"/>
      <c r="D682" s="135"/>
      <c r="E682" s="135"/>
      <c r="F682" s="135"/>
      <c r="G682" s="135"/>
      <c r="H682" s="135"/>
      <c r="I682" s="135"/>
      <c r="J682" s="135"/>
      <c r="K682" s="136"/>
      <c r="L682" s="137"/>
    </row>
    <row r="683" ht="12.75" customHeight="1">
      <c r="A683" s="135"/>
      <c r="B683" s="135"/>
      <c r="C683" s="135"/>
      <c r="D683" s="135"/>
      <c r="E683" s="135"/>
      <c r="F683" s="135"/>
      <c r="G683" s="135"/>
      <c r="H683" s="135"/>
      <c r="I683" s="135"/>
      <c r="J683" s="135"/>
      <c r="K683" s="136"/>
      <c r="L683" s="137"/>
    </row>
    <row r="684" ht="12.75" customHeight="1">
      <c r="A684" s="135"/>
      <c r="B684" s="135"/>
      <c r="C684" s="135"/>
      <c r="D684" s="135"/>
      <c r="E684" s="135"/>
      <c r="F684" s="135"/>
      <c r="G684" s="135"/>
      <c r="H684" s="135"/>
      <c r="I684" s="135"/>
      <c r="J684" s="135"/>
      <c r="K684" s="136"/>
      <c r="L684" s="137"/>
    </row>
    <row r="685" ht="12.75" customHeight="1">
      <c r="A685" s="135"/>
      <c r="B685" s="135"/>
      <c r="C685" s="135"/>
      <c r="D685" s="135"/>
      <c r="E685" s="135"/>
      <c r="F685" s="135"/>
      <c r="G685" s="135"/>
      <c r="H685" s="135"/>
      <c r="I685" s="135"/>
      <c r="J685" s="135"/>
      <c r="K685" s="136"/>
      <c r="L685" s="137"/>
    </row>
    <row r="686" ht="12.75" customHeight="1">
      <c r="A686" s="135"/>
      <c r="B686" s="135"/>
      <c r="C686" s="135"/>
      <c r="D686" s="135"/>
      <c r="E686" s="135"/>
      <c r="F686" s="135"/>
      <c r="G686" s="135"/>
      <c r="H686" s="135"/>
      <c r="I686" s="135"/>
      <c r="J686" s="135"/>
      <c r="K686" s="136"/>
      <c r="L686" s="137"/>
    </row>
    <row r="687" ht="12.75" customHeight="1">
      <c r="A687" s="135"/>
      <c r="B687" s="135"/>
      <c r="C687" s="135"/>
      <c r="D687" s="135"/>
      <c r="E687" s="135"/>
      <c r="F687" s="135"/>
      <c r="G687" s="135"/>
      <c r="H687" s="135"/>
      <c r="I687" s="135"/>
      <c r="J687" s="135"/>
      <c r="K687" s="136"/>
      <c r="L687" s="137"/>
    </row>
    <row r="688" ht="12.75" customHeight="1">
      <c r="A688" s="135"/>
      <c r="B688" s="135"/>
      <c r="C688" s="135"/>
      <c r="D688" s="135"/>
      <c r="E688" s="135"/>
      <c r="F688" s="135"/>
      <c r="G688" s="135"/>
      <c r="H688" s="135"/>
      <c r="I688" s="135"/>
      <c r="J688" s="135"/>
      <c r="K688" s="136"/>
      <c r="L688" s="137"/>
    </row>
    <row r="689" ht="12.75" customHeight="1">
      <c r="A689" s="135"/>
      <c r="B689" s="135"/>
      <c r="C689" s="135"/>
      <c r="D689" s="135"/>
      <c r="E689" s="135"/>
      <c r="F689" s="135"/>
      <c r="G689" s="135"/>
      <c r="H689" s="135"/>
      <c r="I689" s="135"/>
      <c r="J689" s="135"/>
      <c r="K689" s="136"/>
      <c r="L689" s="137"/>
    </row>
    <row r="690" ht="12.75" customHeight="1">
      <c r="A690" s="135"/>
      <c r="B690" s="135"/>
      <c r="C690" s="135"/>
      <c r="D690" s="135"/>
      <c r="E690" s="135"/>
      <c r="F690" s="135"/>
      <c r="G690" s="135"/>
      <c r="H690" s="135"/>
      <c r="I690" s="135"/>
      <c r="J690" s="135"/>
      <c r="K690" s="136"/>
      <c r="L690" s="137"/>
    </row>
    <row r="691" ht="12.75" customHeight="1">
      <c r="A691" s="135"/>
      <c r="B691" s="135"/>
      <c r="C691" s="135"/>
      <c r="D691" s="135"/>
      <c r="E691" s="135"/>
      <c r="F691" s="135"/>
      <c r="G691" s="135"/>
      <c r="H691" s="135"/>
      <c r="I691" s="135"/>
      <c r="J691" s="135"/>
      <c r="K691" s="136"/>
      <c r="L691" s="137"/>
    </row>
    <row r="692" ht="12.75" customHeight="1">
      <c r="A692" s="135"/>
      <c r="B692" s="135"/>
      <c r="C692" s="135"/>
      <c r="D692" s="135"/>
      <c r="E692" s="135"/>
      <c r="F692" s="135"/>
      <c r="G692" s="135"/>
      <c r="H692" s="135"/>
      <c r="I692" s="135"/>
      <c r="J692" s="135"/>
      <c r="K692" s="136"/>
      <c r="L692" s="137"/>
    </row>
    <row r="693" ht="12.75" customHeight="1">
      <c r="A693" s="135"/>
      <c r="B693" s="135"/>
      <c r="C693" s="135"/>
      <c r="D693" s="135"/>
      <c r="E693" s="135"/>
      <c r="F693" s="135"/>
      <c r="G693" s="135"/>
      <c r="H693" s="135"/>
      <c r="I693" s="135"/>
      <c r="J693" s="135"/>
      <c r="K693" s="136"/>
      <c r="L693" s="137"/>
    </row>
    <row r="694" ht="12.75" customHeight="1">
      <c r="A694" s="135"/>
      <c r="B694" s="135"/>
      <c r="C694" s="135"/>
      <c r="D694" s="135"/>
      <c r="E694" s="135"/>
      <c r="F694" s="135"/>
      <c r="G694" s="135"/>
      <c r="H694" s="135"/>
      <c r="I694" s="135"/>
      <c r="J694" s="135"/>
      <c r="K694" s="136"/>
      <c r="L694" s="137"/>
    </row>
    <row r="695" ht="12.75" customHeight="1">
      <c r="A695" s="135"/>
      <c r="B695" s="135"/>
      <c r="C695" s="135"/>
      <c r="D695" s="135"/>
      <c r="E695" s="135"/>
      <c r="F695" s="135"/>
      <c r="G695" s="135"/>
      <c r="H695" s="135"/>
      <c r="I695" s="135"/>
      <c r="J695" s="135"/>
      <c r="K695" s="136"/>
      <c r="L695" s="137"/>
    </row>
    <row r="696" ht="12.75" customHeight="1">
      <c r="A696" s="135"/>
      <c r="B696" s="135"/>
      <c r="C696" s="135"/>
      <c r="D696" s="135"/>
      <c r="E696" s="135"/>
      <c r="F696" s="135"/>
      <c r="G696" s="135"/>
      <c r="H696" s="135"/>
      <c r="I696" s="135"/>
      <c r="J696" s="135"/>
      <c r="K696" s="136"/>
      <c r="L696" s="137"/>
    </row>
    <row r="697" ht="12.75" customHeight="1">
      <c r="A697" s="135"/>
      <c r="B697" s="135"/>
      <c r="C697" s="135"/>
      <c r="D697" s="135"/>
      <c r="E697" s="135"/>
      <c r="F697" s="135"/>
      <c r="G697" s="135"/>
      <c r="H697" s="135"/>
      <c r="I697" s="135"/>
      <c r="J697" s="135"/>
      <c r="K697" s="136"/>
      <c r="L697" s="137"/>
    </row>
    <row r="698" ht="12.75" customHeight="1">
      <c r="A698" s="135"/>
      <c r="B698" s="135"/>
      <c r="C698" s="135"/>
      <c r="D698" s="135"/>
      <c r="E698" s="135"/>
      <c r="F698" s="135"/>
      <c r="G698" s="135"/>
      <c r="H698" s="135"/>
      <c r="I698" s="135"/>
      <c r="J698" s="135"/>
      <c r="K698" s="136"/>
      <c r="L698" s="137"/>
    </row>
    <row r="699" ht="12.75" customHeight="1">
      <c r="A699" s="135"/>
      <c r="B699" s="135"/>
      <c r="C699" s="135"/>
      <c r="D699" s="135"/>
      <c r="E699" s="135"/>
      <c r="F699" s="135"/>
      <c r="G699" s="135"/>
      <c r="H699" s="135"/>
      <c r="I699" s="135"/>
      <c r="J699" s="135"/>
      <c r="K699" s="136"/>
      <c r="L699" s="137"/>
    </row>
    <row r="700" ht="12.75" customHeight="1">
      <c r="A700" s="135"/>
      <c r="B700" s="135"/>
      <c r="C700" s="135"/>
      <c r="D700" s="135"/>
      <c r="E700" s="135"/>
      <c r="F700" s="135"/>
      <c r="G700" s="135"/>
      <c r="H700" s="135"/>
      <c r="I700" s="135"/>
      <c r="J700" s="135"/>
      <c r="K700" s="136"/>
      <c r="L700" s="137"/>
    </row>
    <row r="701" ht="12.75" customHeight="1">
      <c r="A701" s="135"/>
      <c r="B701" s="135"/>
      <c r="C701" s="135"/>
      <c r="D701" s="135"/>
      <c r="E701" s="135"/>
      <c r="F701" s="135"/>
      <c r="G701" s="135"/>
      <c r="H701" s="135"/>
      <c r="I701" s="135"/>
      <c r="J701" s="135"/>
      <c r="K701" s="136"/>
      <c r="L701" s="137"/>
    </row>
    <row r="702" ht="12.75" customHeight="1">
      <c r="A702" s="135"/>
      <c r="B702" s="135"/>
      <c r="C702" s="135"/>
      <c r="D702" s="135"/>
      <c r="E702" s="135"/>
      <c r="F702" s="135"/>
      <c r="G702" s="135"/>
      <c r="H702" s="135"/>
      <c r="I702" s="135"/>
      <c r="J702" s="135"/>
      <c r="K702" s="136"/>
      <c r="L702" s="137"/>
    </row>
    <row r="703" ht="12.75" customHeight="1">
      <c r="A703" s="135"/>
      <c r="B703" s="135"/>
      <c r="C703" s="135"/>
      <c r="D703" s="135"/>
      <c r="E703" s="135"/>
      <c r="F703" s="135"/>
      <c r="G703" s="135"/>
      <c r="H703" s="135"/>
      <c r="I703" s="135"/>
      <c r="J703" s="135"/>
      <c r="K703" s="136"/>
      <c r="L703" s="137"/>
    </row>
    <row r="704" ht="12.75" customHeight="1">
      <c r="A704" s="135"/>
      <c r="B704" s="135"/>
      <c r="C704" s="135"/>
      <c r="D704" s="135"/>
      <c r="E704" s="135"/>
      <c r="F704" s="135"/>
      <c r="G704" s="135"/>
      <c r="H704" s="135"/>
      <c r="I704" s="135"/>
      <c r="J704" s="135"/>
      <c r="K704" s="136"/>
      <c r="L704" s="137"/>
    </row>
    <row r="705" ht="12.75" customHeight="1">
      <c r="A705" s="135"/>
      <c r="B705" s="135"/>
      <c r="C705" s="135"/>
      <c r="D705" s="135"/>
      <c r="E705" s="135"/>
      <c r="F705" s="135"/>
      <c r="G705" s="135"/>
      <c r="H705" s="135"/>
      <c r="I705" s="135"/>
      <c r="J705" s="135"/>
      <c r="K705" s="136"/>
      <c r="L705" s="137"/>
    </row>
    <row r="706" ht="12.75" customHeight="1">
      <c r="A706" s="135"/>
      <c r="B706" s="135"/>
      <c r="C706" s="135"/>
      <c r="D706" s="135"/>
      <c r="E706" s="135"/>
      <c r="F706" s="135"/>
      <c r="G706" s="135"/>
      <c r="H706" s="135"/>
      <c r="I706" s="135"/>
      <c r="J706" s="135"/>
      <c r="K706" s="136"/>
      <c r="L706" s="137"/>
    </row>
    <row r="707" ht="12.75" customHeight="1">
      <c r="A707" s="135"/>
      <c r="B707" s="135"/>
      <c r="C707" s="135"/>
      <c r="D707" s="135"/>
      <c r="E707" s="135"/>
      <c r="F707" s="135"/>
      <c r="G707" s="135"/>
      <c r="H707" s="135"/>
      <c r="I707" s="135"/>
      <c r="J707" s="135"/>
      <c r="K707" s="136"/>
      <c r="L707" s="137"/>
    </row>
    <row r="708" ht="12.75" customHeight="1">
      <c r="A708" s="135"/>
      <c r="B708" s="135"/>
      <c r="C708" s="135"/>
      <c r="D708" s="135"/>
      <c r="E708" s="135"/>
      <c r="F708" s="135"/>
      <c r="G708" s="135"/>
      <c r="H708" s="135"/>
      <c r="I708" s="135"/>
      <c r="J708" s="135"/>
      <c r="K708" s="136"/>
      <c r="L708" s="137"/>
    </row>
    <row r="709" ht="12.75" customHeight="1">
      <c r="A709" s="135"/>
      <c r="B709" s="135"/>
      <c r="C709" s="135"/>
      <c r="D709" s="135"/>
      <c r="E709" s="135"/>
      <c r="F709" s="135"/>
      <c r="G709" s="135"/>
      <c r="H709" s="135"/>
      <c r="I709" s="135"/>
      <c r="J709" s="135"/>
      <c r="K709" s="136"/>
      <c r="L709" s="137"/>
    </row>
    <row r="710" ht="12.75" customHeight="1">
      <c r="A710" s="135"/>
      <c r="B710" s="135"/>
      <c r="C710" s="135"/>
      <c r="D710" s="135"/>
      <c r="E710" s="135"/>
      <c r="F710" s="135"/>
      <c r="G710" s="135"/>
      <c r="H710" s="135"/>
      <c r="I710" s="135"/>
      <c r="J710" s="135"/>
      <c r="K710" s="136"/>
      <c r="L710" s="137"/>
    </row>
    <row r="711" ht="12.75" customHeight="1">
      <c r="A711" s="135"/>
      <c r="B711" s="135"/>
      <c r="C711" s="135"/>
      <c r="D711" s="135"/>
      <c r="E711" s="135"/>
      <c r="F711" s="135"/>
      <c r="G711" s="135"/>
      <c r="H711" s="135"/>
      <c r="I711" s="135"/>
      <c r="J711" s="135"/>
      <c r="K711" s="136"/>
      <c r="L711" s="137"/>
    </row>
    <row r="712" ht="12.75" customHeight="1">
      <c r="A712" s="135"/>
      <c r="B712" s="135"/>
      <c r="C712" s="135"/>
      <c r="D712" s="135"/>
      <c r="E712" s="135"/>
      <c r="F712" s="135"/>
      <c r="G712" s="135"/>
      <c r="H712" s="135"/>
      <c r="I712" s="135"/>
      <c r="J712" s="135"/>
      <c r="K712" s="136"/>
      <c r="L712" s="137"/>
    </row>
    <row r="713" ht="12.75" customHeight="1">
      <c r="A713" s="135"/>
      <c r="B713" s="135"/>
      <c r="C713" s="135"/>
      <c r="D713" s="135"/>
      <c r="E713" s="135"/>
      <c r="F713" s="135"/>
      <c r="G713" s="135"/>
      <c r="H713" s="135"/>
      <c r="I713" s="135"/>
      <c r="J713" s="135"/>
      <c r="K713" s="136"/>
      <c r="L713" s="137"/>
    </row>
    <row r="714" ht="12.75" customHeight="1">
      <c r="A714" s="135"/>
      <c r="B714" s="135"/>
      <c r="C714" s="135"/>
      <c r="D714" s="135"/>
      <c r="E714" s="135"/>
      <c r="F714" s="135"/>
      <c r="G714" s="135"/>
      <c r="H714" s="135"/>
      <c r="I714" s="135"/>
      <c r="J714" s="135"/>
      <c r="K714" s="136"/>
      <c r="L714" s="137"/>
    </row>
    <row r="715" ht="12.75" customHeight="1">
      <c r="A715" s="135"/>
      <c r="B715" s="135"/>
      <c r="C715" s="135"/>
      <c r="D715" s="135"/>
      <c r="E715" s="135"/>
      <c r="F715" s="135"/>
      <c r="G715" s="135"/>
      <c r="H715" s="135"/>
      <c r="I715" s="135"/>
      <c r="J715" s="135"/>
      <c r="K715" s="136"/>
      <c r="L715" s="137"/>
    </row>
    <row r="716" ht="12.75" customHeight="1">
      <c r="A716" s="135"/>
      <c r="B716" s="135"/>
      <c r="C716" s="135"/>
      <c r="D716" s="135"/>
      <c r="E716" s="135"/>
      <c r="F716" s="135"/>
      <c r="G716" s="135"/>
      <c r="H716" s="135"/>
      <c r="I716" s="135"/>
      <c r="J716" s="135"/>
      <c r="K716" s="136"/>
      <c r="L716" s="137"/>
    </row>
    <row r="717" ht="12.75" customHeight="1">
      <c r="A717" s="135"/>
      <c r="B717" s="135"/>
      <c r="C717" s="135"/>
      <c r="D717" s="135"/>
      <c r="E717" s="135"/>
      <c r="F717" s="135"/>
      <c r="G717" s="135"/>
      <c r="H717" s="135"/>
      <c r="I717" s="135"/>
      <c r="J717" s="135"/>
      <c r="K717" s="136"/>
      <c r="L717" s="137"/>
    </row>
    <row r="718" ht="12.75" customHeight="1">
      <c r="A718" s="135"/>
      <c r="B718" s="135"/>
      <c r="C718" s="135"/>
      <c r="D718" s="135"/>
      <c r="E718" s="135"/>
      <c r="F718" s="135"/>
      <c r="G718" s="135"/>
      <c r="H718" s="135"/>
      <c r="I718" s="135"/>
      <c r="J718" s="135"/>
      <c r="K718" s="136"/>
      <c r="L718" s="137"/>
    </row>
    <row r="719" ht="12.75" customHeight="1">
      <c r="A719" s="135"/>
      <c r="B719" s="135"/>
      <c r="C719" s="135"/>
      <c r="D719" s="135"/>
      <c r="E719" s="135"/>
      <c r="F719" s="135"/>
      <c r="G719" s="135"/>
      <c r="H719" s="135"/>
      <c r="I719" s="135"/>
      <c r="J719" s="135"/>
      <c r="K719" s="136"/>
      <c r="L719" s="137"/>
    </row>
    <row r="720" ht="12.75" customHeight="1">
      <c r="A720" s="135"/>
      <c r="B720" s="135"/>
      <c r="C720" s="135"/>
      <c r="D720" s="135"/>
      <c r="E720" s="135"/>
      <c r="F720" s="135"/>
      <c r="G720" s="135"/>
      <c r="H720" s="135"/>
      <c r="I720" s="135"/>
      <c r="J720" s="135"/>
      <c r="K720" s="136"/>
      <c r="L720" s="137"/>
    </row>
    <row r="721" ht="12.75" customHeight="1">
      <c r="A721" s="135"/>
      <c r="B721" s="135"/>
      <c r="C721" s="135"/>
      <c r="D721" s="135"/>
      <c r="E721" s="135"/>
      <c r="F721" s="135"/>
      <c r="G721" s="135"/>
      <c r="H721" s="135"/>
      <c r="I721" s="135"/>
      <c r="J721" s="135"/>
      <c r="K721" s="136"/>
      <c r="L721" s="137"/>
    </row>
    <row r="722" ht="12.75" customHeight="1">
      <c r="A722" s="135"/>
      <c r="B722" s="135"/>
      <c r="C722" s="135"/>
      <c r="D722" s="135"/>
      <c r="E722" s="135"/>
      <c r="F722" s="135"/>
      <c r="G722" s="135"/>
      <c r="H722" s="135"/>
      <c r="I722" s="135"/>
      <c r="J722" s="135"/>
      <c r="K722" s="136"/>
      <c r="L722" s="137"/>
    </row>
    <row r="723" ht="12.75" customHeight="1">
      <c r="A723" s="135"/>
      <c r="B723" s="135"/>
      <c r="C723" s="135"/>
      <c r="D723" s="135"/>
      <c r="E723" s="135"/>
      <c r="F723" s="135"/>
      <c r="G723" s="135"/>
      <c r="H723" s="135"/>
      <c r="I723" s="135"/>
      <c r="J723" s="135"/>
      <c r="K723" s="136"/>
      <c r="L723" s="137"/>
    </row>
    <row r="724" ht="12.75" customHeight="1">
      <c r="A724" s="135"/>
      <c r="B724" s="135"/>
      <c r="C724" s="135"/>
      <c r="D724" s="135"/>
      <c r="E724" s="135"/>
      <c r="F724" s="135"/>
      <c r="G724" s="135"/>
      <c r="H724" s="135"/>
      <c r="I724" s="135"/>
      <c r="J724" s="135"/>
      <c r="K724" s="136"/>
      <c r="L724" s="137"/>
    </row>
    <row r="725" ht="12.75" customHeight="1">
      <c r="A725" s="135"/>
      <c r="B725" s="135"/>
      <c r="C725" s="135"/>
      <c r="D725" s="135"/>
      <c r="E725" s="135"/>
      <c r="F725" s="135"/>
      <c r="G725" s="135"/>
      <c r="H725" s="135"/>
      <c r="I725" s="135"/>
      <c r="J725" s="135"/>
      <c r="K725" s="136"/>
      <c r="L725" s="137"/>
    </row>
    <row r="726" ht="12.75" customHeight="1">
      <c r="A726" s="135"/>
      <c r="B726" s="135"/>
      <c r="C726" s="135"/>
      <c r="D726" s="135"/>
      <c r="E726" s="135"/>
      <c r="F726" s="135"/>
      <c r="G726" s="135"/>
      <c r="H726" s="135"/>
      <c r="I726" s="135"/>
      <c r="J726" s="135"/>
      <c r="K726" s="136"/>
      <c r="L726" s="137"/>
    </row>
    <row r="727" ht="12.75" customHeight="1">
      <c r="A727" s="135"/>
      <c r="B727" s="135"/>
      <c r="C727" s="135"/>
      <c r="D727" s="135"/>
      <c r="E727" s="135"/>
      <c r="F727" s="135"/>
      <c r="G727" s="135"/>
      <c r="H727" s="135"/>
      <c r="I727" s="135"/>
      <c r="J727" s="135"/>
      <c r="K727" s="136"/>
      <c r="L727" s="137"/>
    </row>
    <row r="728" ht="12.75" customHeight="1">
      <c r="A728" s="135"/>
      <c r="B728" s="135"/>
      <c r="C728" s="135"/>
      <c r="D728" s="135"/>
      <c r="E728" s="135"/>
      <c r="F728" s="135"/>
      <c r="G728" s="135"/>
      <c r="H728" s="135"/>
      <c r="I728" s="135"/>
      <c r="J728" s="135"/>
      <c r="K728" s="136"/>
      <c r="L728" s="137"/>
    </row>
    <row r="729" ht="12.75" customHeight="1">
      <c r="A729" s="135"/>
      <c r="B729" s="135"/>
      <c r="C729" s="135"/>
      <c r="D729" s="135"/>
      <c r="E729" s="135"/>
      <c r="F729" s="135"/>
      <c r="G729" s="135"/>
      <c r="H729" s="135"/>
      <c r="I729" s="135"/>
      <c r="J729" s="135"/>
      <c r="K729" s="136"/>
      <c r="L729" s="137"/>
    </row>
    <row r="730" ht="12.75" customHeight="1">
      <c r="A730" s="135"/>
      <c r="B730" s="135"/>
      <c r="C730" s="135"/>
      <c r="D730" s="135"/>
      <c r="E730" s="135"/>
      <c r="F730" s="135"/>
      <c r="G730" s="135"/>
      <c r="H730" s="135"/>
      <c r="I730" s="135"/>
      <c r="J730" s="135"/>
      <c r="K730" s="136"/>
      <c r="L730" s="137"/>
    </row>
    <row r="731" ht="12.75" customHeight="1">
      <c r="A731" s="135"/>
      <c r="B731" s="135"/>
      <c r="C731" s="135"/>
      <c r="D731" s="135"/>
      <c r="E731" s="135"/>
      <c r="F731" s="135"/>
      <c r="G731" s="135"/>
      <c r="H731" s="135"/>
      <c r="I731" s="135"/>
      <c r="J731" s="135"/>
      <c r="K731" s="136"/>
      <c r="L731" s="137"/>
    </row>
    <row r="732" ht="12.75" customHeight="1">
      <c r="A732" s="135"/>
      <c r="B732" s="135"/>
      <c r="C732" s="135"/>
      <c r="D732" s="135"/>
      <c r="E732" s="135"/>
      <c r="F732" s="135"/>
      <c r="G732" s="135"/>
      <c r="H732" s="135"/>
      <c r="I732" s="135"/>
      <c r="J732" s="135"/>
      <c r="K732" s="136"/>
      <c r="L732" s="137"/>
    </row>
    <row r="733" ht="12.75" customHeight="1">
      <c r="A733" s="135"/>
      <c r="B733" s="135"/>
      <c r="C733" s="135"/>
      <c r="D733" s="135"/>
      <c r="E733" s="135"/>
      <c r="F733" s="135"/>
      <c r="G733" s="135"/>
      <c r="H733" s="135"/>
      <c r="I733" s="135"/>
      <c r="J733" s="135"/>
      <c r="K733" s="136"/>
      <c r="L733" s="137"/>
    </row>
    <row r="734" ht="12.75" customHeight="1">
      <c r="A734" s="135"/>
      <c r="B734" s="135"/>
      <c r="C734" s="135"/>
      <c r="D734" s="135"/>
      <c r="E734" s="135"/>
      <c r="F734" s="135"/>
      <c r="G734" s="135"/>
      <c r="H734" s="135"/>
      <c r="I734" s="135"/>
      <c r="J734" s="135"/>
      <c r="K734" s="136"/>
      <c r="L734" s="137"/>
    </row>
    <row r="735" ht="12.75" customHeight="1">
      <c r="A735" s="135"/>
      <c r="B735" s="135"/>
      <c r="C735" s="135"/>
      <c r="D735" s="135"/>
      <c r="E735" s="135"/>
      <c r="F735" s="135"/>
      <c r="G735" s="135"/>
      <c r="H735" s="135"/>
      <c r="I735" s="135"/>
      <c r="J735" s="135"/>
      <c r="K735" s="136"/>
      <c r="L735" s="137"/>
    </row>
    <row r="736" ht="12.75" customHeight="1">
      <c r="A736" s="135"/>
      <c r="B736" s="135"/>
      <c r="C736" s="135"/>
      <c r="D736" s="135"/>
      <c r="E736" s="135"/>
      <c r="F736" s="135"/>
      <c r="G736" s="135"/>
      <c r="H736" s="135"/>
      <c r="I736" s="135"/>
      <c r="J736" s="135"/>
      <c r="K736" s="136"/>
      <c r="L736" s="137"/>
    </row>
    <row r="737" ht="12.75" customHeight="1">
      <c r="A737" s="135"/>
      <c r="B737" s="135"/>
      <c r="C737" s="135"/>
      <c r="D737" s="135"/>
      <c r="E737" s="135"/>
      <c r="F737" s="135"/>
      <c r="G737" s="135"/>
      <c r="H737" s="135"/>
      <c r="I737" s="135"/>
      <c r="J737" s="135"/>
      <c r="K737" s="136"/>
      <c r="L737" s="137"/>
    </row>
    <row r="738" ht="12.75" customHeight="1">
      <c r="A738" s="135"/>
      <c r="B738" s="135"/>
      <c r="C738" s="135"/>
      <c r="D738" s="135"/>
      <c r="E738" s="135"/>
      <c r="F738" s="135"/>
      <c r="G738" s="135"/>
      <c r="H738" s="135"/>
      <c r="I738" s="135"/>
      <c r="J738" s="135"/>
      <c r="K738" s="136"/>
      <c r="L738" s="137"/>
    </row>
    <row r="739" ht="12.75" customHeight="1">
      <c r="A739" s="135"/>
      <c r="B739" s="135"/>
      <c r="C739" s="135"/>
      <c r="D739" s="135"/>
      <c r="E739" s="135"/>
      <c r="F739" s="135"/>
      <c r="G739" s="135"/>
      <c r="H739" s="135"/>
      <c r="I739" s="135"/>
      <c r="J739" s="135"/>
      <c r="K739" s="136"/>
      <c r="L739" s="137"/>
    </row>
    <row r="740" ht="12.75" customHeight="1">
      <c r="A740" s="135"/>
      <c r="B740" s="135"/>
      <c r="C740" s="135"/>
      <c r="D740" s="135"/>
      <c r="E740" s="135"/>
      <c r="F740" s="135"/>
      <c r="G740" s="135"/>
      <c r="H740" s="135"/>
      <c r="I740" s="135"/>
      <c r="J740" s="135"/>
      <c r="K740" s="136"/>
      <c r="L740" s="137"/>
    </row>
    <row r="741" ht="12.75" customHeight="1">
      <c r="A741" s="135"/>
      <c r="B741" s="135"/>
      <c r="C741" s="135"/>
      <c r="D741" s="135"/>
      <c r="E741" s="135"/>
      <c r="F741" s="135"/>
      <c r="G741" s="135"/>
      <c r="H741" s="135"/>
      <c r="I741" s="135"/>
      <c r="J741" s="135"/>
      <c r="K741" s="136"/>
      <c r="L741" s="137"/>
    </row>
    <row r="742" ht="12.75" customHeight="1">
      <c r="A742" s="135"/>
      <c r="B742" s="135"/>
      <c r="C742" s="135"/>
      <c r="D742" s="135"/>
      <c r="E742" s="135"/>
      <c r="F742" s="135"/>
      <c r="G742" s="135"/>
      <c r="H742" s="135"/>
      <c r="I742" s="135"/>
      <c r="J742" s="135"/>
      <c r="K742" s="136"/>
      <c r="L742" s="137"/>
    </row>
    <row r="743" ht="12.75" customHeight="1">
      <c r="A743" s="135"/>
      <c r="B743" s="135"/>
      <c r="C743" s="135"/>
      <c r="D743" s="135"/>
      <c r="E743" s="135"/>
      <c r="F743" s="135"/>
      <c r="G743" s="135"/>
      <c r="H743" s="135"/>
      <c r="I743" s="135"/>
      <c r="J743" s="135"/>
      <c r="K743" s="136"/>
      <c r="L743" s="137"/>
    </row>
    <row r="744" ht="12.75" customHeight="1">
      <c r="A744" s="135"/>
      <c r="B744" s="135"/>
      <c r="C744" s="135"/>
      <c r="D744" s="135"/>
      <c r="E744" s="135"/>
      <c r="F744" s="135"/>
      <c r="G744" s="135"/>
      <c r="H744" s="135"/>
      <c r="I744" s="135"/>
      <c r="J744" s="135"/>
      <c r="K744" s="136"/>
      <c r="L744" s="137"/>
    </row>
    <row r="745" ht="12.75" customHeight="1">
      <c r="A745" s="135"/>
      <c r="B745" s="135"/>
      <c r="C745" s="135"/>
      <c r="D745" s="135"/>
      <c r="E745" s="135"/>
      <c r="F745" s="135"/>
      <c r="G745" s="135"/>
      <c r="H745" s="135"/>
      <c r="I745" s="135"/>
      <c r="J745" s="135"/>
      <c r="K745" s="136"/>
      <c r="L745" s="137"/>
    </row>
    <row r="746" ht="12.75" customHeight="1">
      <c r="A746" s="135"/>
      <c r="B746" s="135"/>
      <c r="C746" s="135"/>
      <c r="D746" s="135"/>
      <c r="E746" s="135"/>
      <c r="F746" s="135"/>
      <c r="G746" s="135"/>
      <c r="H746" s="135"/>
      <c r="I746" s="135"/>
      <c r="J746" s="135"/>
      <c r="K746" s="136"/>
      <c r="L746" s="137"/>
    </row>
    <row r="747" ht="12.75" customHeight="1">
      <c r="A747" s="135"/>
      <c r="B747" s="135"/>
      <c r="C747" s="135"/>
      <c r="D747" s="135"/>
      <c r="E747" s="135"/>
      <c r="F747" s="135"/>
      <c r="G747" s="135"/>
      <c r="H747" s="135"/>
      <c r="I747" s="135"/>
      <c r="J747" s="135"/>
      <c r="K747" s="136"/>
      <c r="L747" s="137"/>
    </row>
    <row r="748" ht="12.75" customHeight="1">
      <c r="A748" s="135"/>
      <c r="B748" s="135"/>
      <c r="C748" s="135"/>
      <c r="D748" s="135"/>
      <c r="E748" s="135"/>
      <c r="F748" s="135"/>
      <c r="G748" s="135"/>
      <c r="H748" s="135"/>
      <c r="I748" s="135"/>
      <c r="J748" s="135"/>
      <c r="K748" s="136"/>
      <c r="L748" s="137"/>
    </row>
    <row r="749" ht="12.75" customHeight="1">
      <c r="A749" s="135"/>
      <c r="B749" s="135"/>
      <c r="C749" s="135"/>
      <c r="D749" s="135"/>
      <c r="E749" s="135"/>
      <c r="F749" s="135"/>
      <c r="G749" s="135"/>
      <c r="H749" s="135"/>
      <c r="I749" s="135"/>
      <c r="J749" s="135"/>
      <c r="K749" s="136"/>
      <c r="L749" s="137"/>
    </row>
    <row r="750" ht="12.75" customHeight="1">
      <c r="A750" s="135"/>
      <c r="B750" s="135"/>
      <c r="C750" s="135"/>
      <c r="D750" s="135"/>
      <c r="E750" s="135"/>
      <c r="F750" s="135"/>
      <c r="G750" s="135"/>
      <c r="H750" s="135"/>
      <c r="I750" s="135"/>
      <c r="J750" s="135"/>
      <c r="K750" s="136"/>
      <c r="L750" s="137"/>
    </row>
    <row r="751" ht="12.75" customHeight="1">
      <c r="A751" s="135"/>
      <c r="B751" s="135"/>
      <c r="C751" s="135"/>
      <c r="D751" s="135"/>
      <c r="E751" s="135"/>
      <c r="F751" s="135"/>
      <c r="G751" s="135"/>
      <c r="H751" s="135"/>
      <c r="I751" s="135"/>
      <c r="J751" s="135"/>
      <c r="K751" s="136"/>
      <c r="L751" s="137"/>
    </row>
    <row r="752" ht="12.75" customHeight="1">
      <c r="A752" s="135"/>
      <c r="B752" s="135"/>
      <c r="C752" s="135"/>
      <c r="D752" s="135"/>
      <c r="E752" s="135"/>
      <c r="F752" s="135"/>
      <c r="G752" s="135"/>
      <c r="H752" s="135"/>
      <c r="I752" s="135"/>
      <c r="J752" s="135"/>
      <c r="K752" s="136"/>
      <c r="L752" s="137"/>
    </row>
    <row r="753" ht="12.75" customHeight="1">
      <c r="A753" s="135"/>
      <c r="B753" s="135"/>
      <c r="C753" s="135"/>
      <c r="D753" s="135"/>
      <c r="E753" s="135"/>
      <c r="F753" s="135"/>
      <c r="G753" s="135"/>
      <c r="H753" s="135"/>
      <c r="I753" s="135"/>
      <c r="J753" s="135"/>
      <c r="K753" s="136"/>
      <c r="L753" s="137"/>
    </row>
    <row r="754" ht="12.75" customHeight="1">
      <c r="A754" s="135"/>
      <c r="B754" s="135"/>
      <c r="C754" s="135"/>
      <c r="D754" s="135"/>
      <c r="E754" s="135"/>
      <c r="F754" s="135"/>
      <c r="G754" s="135"/>
      <c r="H754" s="135"/>
      <c r="I754" s="135"/>
      <c r="J754" s="135"/>
      <c r="K754" s="136"/>
      <c r="L754" s="137"/>
    </row>
    <row r="755" ht="12.75" customHeight="1">
      <c r="A755" s="135"/>
      <c r="B755" s="135"/>
      <c r="C755" s="135"/>
      <c r="D755" s="135"/>
      <c r="E755" s="135"/>
      <c r="F755" s="135"/>
      <c r="G755" s="135"/>
      <c r="H755" s="135"/>
      <c r="I755" s="135"/>
      <c r="J755" s="135"/>
      <c r="K755" s="136"/>
      <c r="L755" s="137"/>
    </row>
    <row r="756" ht="12.75" customHeight="1">
      <c r="A756" s="135"/>
      <c r="B756" s="135"/>
      <c r="C756" s="135"/>
      <c r="D756" s="135"/>
      <c r="E756" s="135"/>
      <c r="F756" s="135"/>
      <c r="G756" s="135"/>
      <c r="H756" s="135"/>
      <c r="I756" s="135"/>
      <c r="J756" s="135"/>
      <c r="K756" s="136"/>
      <c r="L756" s="137"/>
    </row>
    <row r="757" ht="12.75" customHeight="1">
      <c r="A757" s="135"/>
      <c r="B757" s="135"/>
      <c r="C757" s="135"/>
      <c r="D757" s="135"/>
      <c r="E757" s="135"/>
      <c r="F757" s="135"/>
      <c r="G757" s="135"/>
      <c r="H757" s="135"/>
      <c r="I757" s="135"/>
      <c r="J757" s="135"/>
      <c r="K757" s="136"/>
      <c r="L757" s="137"/>
    </row>
    <row r="758" ht="12.75" customHeight="1">
      <c r="A758" s="135"/>
      <c r="B758" s="135"/>
      <c r="C758" s="135"/>
      <c r="D758" s="135"/>
      <c r="E758" s="135"/>
      <c r="F758" s="135"/>
      <c r="G758" s="135"/>
      <c r="H758" s="135"/>
      <c r="I758" s="135"/>
      <c r="J758" s="135"/>
      <c r="K758" s="136"/>
      <c r="L758" s="137"/>
    </row>
    <row r="759" ht="12.75" customHeight="1">
      <c r="A759" s="135"/>
      <c r="B759" s="135"/>
      <c r="C759" s="135"/>
      <c r="D759" s="135"/>
      <c r="E759" s="135"/>
      <c r="F759" s="135"/>
      <c r="G759" s="135"/>
      <c r="H759" s="135"/>
      <c r="I759" s="135"/>
      <c r="J759" s="135"/>
      <c r="K759" s="136"/>
      <c r="L759" s="137"/>
    </row>
    <row r="760" ht="12.75" customHeight="1">
      <c r="A760" s="135"/>
      <c r="B760" s="135"/>
      <c r="C760" s="135"/>
      <c r="D760" s="135"/>
      <c r="E760" s="135"/>
      <c r="F760" s="135"/>
      <c r="G760" s="135"/>
      <c r="H760" s="135"/>
      <c r="I760" s="135"/>
      <c r="J760" s="135"/>
      <c r="K760" s="136"/>
      <c r="L760" s="137"/>
    </row>
    <row r="761" ht="12.75" customHeight="1">
      <c r="A761" s="135"/>
      <c r="B761" s="135"/>
      <c r="C761" s="135"/>
      <c r="D761" s="135"/>
      <c r="E761" s="135"/>
      <c r="F761" s="135"/>
      <c r="G761" s="135"/>
      <c r="H761" s="135"/>
      <c r="I761" s="135"/>
      <c r="J761" s="135"/>
      <c r="K761" s="136"/>
      <c r="L761" s="137"/>
    </row>
    <row r="762" ht="12.75" customHeight="1">
      <c r="A762" s="135"/>
      <c r="B762" s="135"/>
      <c r="C762" s="135"/>
      <c r="D762" s="135"/>
      <c r="E762" s="135"/>
      <c r="F762" s="135"/>
      <c r="G762" s="135"/>
      <c r="H762" s="135"/>
      <c r="I762" s="135"/>
      <c r="J762" s="135"/>
      <c r="K762" s="136"/>
      <c r="L762" s="137"/>
    </row>
    <row r="763" ht="12.75" customHeight="1">
      <c r="A763" s="135"/>
      <c r="B763" s="135"/>
      <c r="C763" s="135"/>
      <c r="D763" s="135"/>
      <c r="E763" s="135"/>
      <c r="F763" s="135"/>
      <c r="G763" s="135"/>
      <c r="H763" s="135"/>
      <c r="I763" s="135"/>
      <c r="J763" s="135"/>
      <c r="K763" s="136"/>
      <c r="L763" s="137"/>
    </row>
    <row r="764" ht="12.75" customHeight="1">
      <c r="A764" s="135"/>
      <c r="B764" s="135"/>
      <c r="C764" s="135"/>
      <c r="D764" s="135"/>
      <c r="E764" s="135"/>
      <c r="F764" s="135"/>
      <c r="G764" s="135"/>
      <c r="H764" s="135"/>
      <c r="I764" s="135"/>
      <c r="J764" s="135"/>
      <c r="K764" s="136"/>
      <c r="L764" s="137"/>
    </row>
    <row r="765" ht="12.75" customHeight="1">
      <c r="A765" s="135"/>
      <c r="B765" s="135"/>
      <c r="C765" s="135"/>
      <c r="D765" s="135"/>
      <c r="E765" s="135"/>
      <c r="F765" s="135"/>
      <c r="G765" s="135"/>
      <c r="H765" s="135"/>
      <c r="I765" s="135"/>
      <c r="J765" s="135"/>
      <c r="K765" s="136"/>
      <c r="L765" s="137"/>
    </row>
    <row r="766" ht="12.75" customHeight="1">
      <c r="A766" s="135"/>
      <c r="B766" s="135"/>
      <c r="C766" s="135"/>
      <c r="D766" s="135"/>
      <c r="E766" s="135"/>
      <c r="F766" s="135"/>
      <c r="G766" s="135"/>
      <c r="H766" s="135"/>
      <c r="I766" s="135"/>
      <c r="J766" s="135"/>
      <c r="K766" s="136"/>
      <c r="L766" s="137"/>
    </row>
    <row r="767" ht="12.75" customHeight="1">
      <c r="A767" s="135"/>
      <c r="B767" s="135"/>
      <c r="C767" s="135"/>
      <c r="D767" s="135"/>
      <c r="E767" s="135"/>
      <c r="F767" s="135"/>
      <c r="G767" s="135"/>
      <c r="H767" s="135"/>
      <c r="I767" s="135"/>
      <c r="J767" s="135"/>
      <c r="K767" s="136"/>
      <c r="L767" s="137"/>
    </row>
    <row r="768" ht="12.75" customHeight="1">
      <c r="A768" s="135"/>
      <c r="B768" s="135"/>
      <c r="C768" s="135"/>
      <c r="D768" s="135"/>
      <c r="E768" s="135"/>
      <c r="F768" s="135"/>
      <c r="G768" s="135"/>
      <c r="H768" s="135"/>
      <c r="I768" s="135"/>
      <c r="J768" s="135"/>
      <c r="K768" s="136"/>
      <c r="L768" s="137"/>
    </row>
    <row r="769" ht="12.75" customHeight="1">
      <c r="A769" s="135"/>
      <c r="B769" s="135"/>
      <c r="C769" s="135"/>
      <c r="D769" s="135"/>
      <c r="E769" s="135"/>
      <c r="F769" s="135"/>
      <c r="G769" s="135"/>
      <c r="H769" s="135"/>
      <c r="I769" s="135"/>
      <c r="J769" s="135"/>
      <c r="K769" s="136"/>
      <c r="L769" s="137"/>
    </row>
    <row r="770" ht="12.75" customHeight="1">
      <c r="A770" s="135"/>
      <c r="B770" s="135"/>
      <c r="C770" s="135"/>
      <c r="D770" s="135"/>
      <c r="E770" s="135"/>
      <c r="F770" s="135"/>
      <c r="G770" s="135"/>
      <c r="H770" s="135"/>
      <c r="I770" s="135"/>
      <c r="J770" s="135"/>
      <c r="K770" s="136"/>
      <c r="L770" s="137"/>
    </row>
    <row r="771" ht="12.75" customHeight="1">
      <c r="A771" s="135"/>
      <c r="B771" s="135"/>
      <c r="C771" s="135"/>
      <c r="D771" s="135"/>
      <c r="E771" s="135"/>
      <c r="F771" s="135"/>
      <c r="G771" s="135"/>
      <c r="H771" s="135"/>
      <c r="I771" s="135"/>
      <c r="J771" s="135"/>
      <c r="K771" s="136"/>
      <c r="L771" s="137"/>
    </row>
    <row r="772" ht="12.75" customHeight="1">
      <c r="A772" s="135"/>
      <c r="B772" s="135"/>
      <c r="C772" s="135"/>
      <c r="D772" s="135"/>
      <c r="E772" s="135"/>
      <c r="F772" s="135"/>
      <c r="G772" s="135"/>
      <c r="H772" s="135"/>
      <c r="I772" s="135"/>
      <c r="J772" s="135"/>
      <c r="K772" s="136"/>
      <c r="L772" s="137"/>
    </row>
    <row r="773" ht="12.75" customHeight="1">
      <c r="A773" s="135"/>
      <c r="B773" s="135"/>
      <c r="C773" s="135"/>
      <c r="D773" s="135"/>
      <c r="E773" s="135"/>
      <c r="F773" s="135"/>
      <c r="G773" s="135"/>
      <c r="H773" s="135"/>
      <c r="I773" s="135"/>
      <c r="J773" s="135"/>
      <c r="K773" s="136"/>
      <c r="L773" s="137"/>
    </row>
    <row r="774" ht="12.75" customHeight="1">
      <c r="A774" s="135"/>
      <c r="B774" s="135"/>
      <c r="C774" s="135"/>
      <c r="D774" s="135"/>
      <c r="E774" s="135"/>
      <c r="F774" s="135"/>
      <c r="G774" s="135"/>
      <c r="H774" s="135"/>
      <c r="I774" s="135"/>
      <c r="J774" s="135"/>
      <c r="K774" s="136"/>
      <c r="L774" s="137"/>
    </row>
    <row r="775" ht="12.75" customHeight="1">
      <c r="A775" s="135"/>
      <c r="B775" s="135"/>
      <c r="C775" s="135"/>
      <c r="D775" s="135"/>
      <c r="E775" s="135"/>
      <c r="F775" s="135"/>
      <c r="G775" s="135"/>
      <c r="H775" s="135"/>
      <c r="I775" s="135"/>
      <c r="J775" s="135"/>
      <c r="K775" s="136"/>
      <c r="L775" s="137"/>
    </row>
    <row r="776" ht="12.75" customHeight="1">
      <c r="A776" s="135"/>
      <c r="B776" s="135"/>
      <c r="C776" s="135"/>
      <c r="D776" s="135"/>
      <c r="E776" s="135"/>
      <c r="F776" s="135"/>
      <c r="G776" s="135"/>
      <c r="H776" s="135"/>
      <c r="I776" s="135"/>
      <c r="J776" s="135"/>
      <c r="K776" s="136"/>
      <c r="L776" s="137"/>
    </row>
    <row r="777" ht="12.75" customHeight="1">
      <c r="A777" s="135"/>
      <c r="B777" s="135"/>
      <c r="C777" s="135"/>
      <c r="D777" s="135"/>
      <c r="E777" s="135"/>
      <c r="F777" s="135"/>
      <c r="G777" s="135"/>
      <c r="H777" s="135"/>
      <c r="I777" s="135"/>
      <c r="J777" s="135"/>
      <c r="K777" s="136"/>
      <c r="L777" s="137"/>
    </row>
    <row r="778" ht="12.75" customHeight="1">
      <c r="A778" s="135"/>
      <c r="B778" s="135"/>
      <c r="C778" s="135"/>
      <c r="D778" s="135"/>
      <c r="E778" s="135"/>
      <c r="F778" s="135"/>
      <c r="G778" s="135"/>
      <c r="H778" s="135"/>
      <c r="I778" s="135"/>
      <c r="J778" s="135"/>
      <c r="K778" s="136"/>
      <c r="L778" s="137"/>
    </row>
    <row r="779" ht="12.75" customHeight="1">
      <c r="A779" s="135"/>
      <c r="B779" s="135"/>
      <c r="C779" s="135"/>
      <c r="D779" s="135"/>
      <c r="E779" s="135"/>
      <c r="F779" s="135"/>
      <c r="G779" s="135"/>
      <c r="H779" s="135"/>
      <c r="I779" s="135"/>
      <c r="J779" s="135"/>
      <c r="K779" s="136"/>
      <c r="L779" s="137"/>
    </row>
    <row r="780" ht="12.75" customHeight="1">
      <c r="A780" s="135"/>
      <c r="B780" s="135"/>
      <c r="C780" s="135"/>
      <c r="D780" s="135"/>
      <c r="E780" s="135"/>
      <c r="F780" s="135"/>
      <c r="G780" s="135"/>
      <c r="H780" s="135"/>
      <c r="I780" s="135"/>
      <c r="J780" s="135"/>
      <c r="K780" s="136"/>
      <c r="L780" s="137"/>
    </row>
    <row r="781" ht="12.75" customHeight="1">
      <c r="A781" s="135"/>
      <c r="B781" s="135"/>
      <c r="C781" s="135"/>
      <c r="D781" s="135"/>
      <c r="E781" s="135"/>
      <c r="F781" s="135"/>
      <c r="G781" s="135"/>
      <c r="H781" s="135"/>
      <c r="I781" s="135"/>
      <c r="J781" s="135"/>
      <c r="K781" s="136"/>
      <c r="L781" s="137"/>
    </row>
    <row r="782" ht="12.75" customHeight="1">
      <c r="A782" s="135"/>
      <c r="B782" s="135"/>
      <c r="C782" s="135"/>
      <c r="D782" s="135"/>
      <c r="E782" s="135"/>
      <c r="F782" s="135"/>
      <c r="G782" s="135"/>
      <c r="H782" s="135"/>
      <c r="I782" s="135"/>
      <c r="J782" s="135"/>
      <c r="K782" s="136"/>
      <c r="L782" s="137"/>
    </row>
    <row r="783" ht="12.75" customHeight="1">
      <c r="A783" s="135"/>
      <c r="B783" s="135"/>
      <c r="C783" s="135"/>
      <c r="D783" s="135"/>
      <c r="E783" s="135"/>
      <c r="F783" s="135"/>
      <c r="G783" s="135"/>
      <c r="H783" s="135"/>
      <c r="I783" s="135"/>
      <c r="J783" s="135"/>
      <c r="K783" s="136"/>
      <c r="L783" s="137"/>
    </row>
    <row r="784" ht="12.75" customHeight="1">
      <c r="A784" s="135"/>
      <c r="B784" s="135"/>
      <c r="C784" s="135"/>
      <c r="D784" s="135"/>
      <c r="E784" s="135"/>
      <c r="F784" s="135"/>
      <c r="G784" s="135"/>
      <c r="H784" s="135"/>
      <c r="I784" s="135"/>
      <c r="J784" s="135"/>
      <c r="K784" s="136"/>
      <c r="L784" s="137"/>
    </row>
    <row r="785" ht="12.75" customHeight="1">
      <c r="A785" s="135"/>
      <c r="B785" s="135"/>
      <c r="C785" s="135"/>
      <c r="D785" s="135"/>
      <c r="E785" s="135"/>
      <c r="F785" s="135"/>
      <c r="G785" s="135"/>
      <c r="H785" s="135"/>
      <c r="I785" s="135"/>
      <c r="J785" s="135"/>
      <c r="K785" s="136"/>
      <c r="L785" s="137"/>
    </row>
    <row r="786" ht="12.75" customHeight="1">
      <c r="A786" s="135"/>
      <c r="B786" s="135"/>
      <c r="C786" s="135"/>
      <c r="D786" s="135"/>
      <c r="E786" s="135"/>
      <c r="F786" s="135"/>
      <c r="G786" s="135"/>
      <c r="H786" s="135"/>
      <c r="I786" s="135"/>
      <c r="J786" s="135"/>
      <c r="K786" s="136"/>
      <c r="L786" s="137"/>
    </row>
    <row r="787" ht="12.75" customHeight="1">
      <c r="A787" s="135"/>
      <c r="B787" s="135"/>
      <c r="C787" s="135"/>
      <c r="D787" s="135"/>
      <c r="E787" s="135"/>
      <c r="F787" s="135"/>
      <c r="G787" s="135"/>
      <c r="H787" s="135"/>
      <c r="I787" s="135"/>
      <c r="J787" s="135"/>
      <c r="K787" s="136"/>
      <c r="L787" s="137"/>
    </row>
    <row r="788" ht="12.75" customHeight="1">
      <c r="A788" s="135"/>
      <c r="B788" s="135"/>
      <c r="C788" s="135"/>
      <c r="D788" s="135"/>
      <c r="E788" s="135"/>
      <c r="F788" s="135"/>
      <c r="G788" s="135"/>
      <c r="H788" s="135"/>
      <c r="I788" s="135"/>
      <c r="J788" s="135"/>
      <c r="K788" s="136"/>
      <c r="L788" s="137"/>
    </row>
    <row r="789" ht="12.75" customHeight="1">
      <c r="A789" s="135"/>
      <c r="B789" s="135"/>
      <c r="C789" s="135"/>
      <c r="D789" s="135"/>
      <c r="E789" s="135"/>
      <c r="F789" s="135"/>
      <c r="G789" s="135"/>
      <c r="H789" s="135"/>
      <c r="I789" s="135"/>
      <c r="J789" s="135"/>
      <c r="K789" s="136"/>
      <c r="L789" s="137"/>
    </row>
    <row r="790" ht="12.75" customHeight="1">
      <c r="A790" s="135"/>
      <c r="B790" s="135"/>
      <c r="C790" s="135"/>
      <c r="D790" s="135"/>
      <c r="E790" s="135"/>
      <c r="F790" s="135"/>
      <c r="G790" s="135"/>
      <c r="H790" s="135"/>
      <c r="I790" s="135"/>
      <c r="J790" s="135"/>
      <c r="K790" s="136"/>
      <c r="L790" s="137"/>
    </row>
    <row r="791" ht="12.75" customHeight="1">
      <c r="A791" s="135"/>
      <c r="B791" s="135"/>
      <c r="C791" s="135"/>
      <c r="D791" s="135"/>
      <c r="E791" s="135"/>
      <c r="F791" s="135"/>
      <c r="G791" s="135"/>
      <c r="H791" s="135"/>
      <c r="I791" s="135"/>
      <c r="J791" s="135"/>
      <c r="K791" s="136"/>
      <c r="L791" s="137"/>
    </row>
    <row r="792" ht="12.75" customHeight="1">
      <c r="A792" s="135"/>
      <c r="B792" s="135"/>
      <c r="C792" s="135"/>
      <c r="D792" s="135"/>
      <c r="E792" s="135"/>
      <c r="F792" s="135"/>
      <c r="G792" s="135"/>
      <c r="H792" s="135"/>
      <c r="I792" s="135"/>
      <c r="J792" s="135"/>
      <c r="K792" s="136"/>
      <c r="L792" s="137"/>
    </row>
    <row r="793" ht="12.75" customHeight="1">
      <c r="A793" s="135"/>
      <c r="B793" s="135"/>
      <c r="C793" s="135"/>
      <c r="D793" s="135"/>
      <c r="E793" s="135"/>
      <c r="F793" s="135"/>
      <c r="G793" s="135"/>
      <c r="H793" s="135"/>
      <c r="I793" s="135"/>
      <c r="J793" s="135"/>
      <c r="K793" s="136"/>
      <c r="L793" s="137"/>
    </row>
    <row r="794" ht="12.75" customHeight="1">
      <c r="A794" s="135"/>
      <c r="B794" s="135"/>
      <c r="C794" s="135"/>
      <c r="D794" s="135"/>
      <c r="E794" s="135"/>
      <c r="F794" s="135"/>
      <c r="G794" s="135"/>
      <c r="H794" s="135"/>
      <c r="I794" s="135"/>
      <c r="J794" s="135"/>
      <c r="K794" s="136"/>
      <c r="L794" s="137"/>
    </row>
    <row r="795" ht="12.75" customHeight="1">
      <c r="A795" s="135"/>
      <c r="B795" s="135"/>
      <c r="C795" s="135"/>
      <c r="D795" s="135"/>
      <c r="E795" s="135"/>
      <c r="F795" s="135"/>
      <c r="G795" s="135"/>
      <c r="H795" s="135"/>
      <c r="I795" s="135"/>
      <c r="J795" s="135"/>
      <c r="K795" s="136"/>
      <c r="L795" s="137"/>
    </row>
    <row r="796" ht="12.75" customHeight="1">
      <c r="A796" s="135"/>
      <c r="B796" s="135"/>
      <c r="C796" s="135"/>
      <c r="D796" s="135"/>
      <c r="E796" s="135"/>
      <c r="F796" s="135"/>
      <c r="G796" s="135"/>
      <c r="H796" s="135"/>
      <c r="I796" s="135"/>
      <c r="J796" s="135"/>
      <c r="K796" s="136"/>
      <c r="L796" s="137"/>
    </row>
    <row r="797" ht="12.75" customHeight="1">
      <c r="A797" s="135"/>
      <c r="B797" s="135"/>
      <c r="C797" s="135"/>
      <c r="D797" s="135"/>
      <c r="E797" s="135"/>
      <c r="F797" s="135"/>
      <c r="G797" s="135"/>
      <c r="H797" s="135"/>
      <c r="I797" s="135"/>
      <c r="J797" s="135"/>
      <c r="K797" s="136"/>
      <c r="L797" s="137"/>
    </row>
    <row r="798" ht="12.75" customHeight="1">
      <c r="A798" s="135"/>
      <c r="B798" s="135"/>
      <c r="C798" s="135"/>
      <c r="D798" s="135"/>
      <c r="E798" s="135"/>
      <c r="F798" s="135"/>
      <c r="G798" s="135"/>
      <c r="H798" s="135"/>
      <c r="I798" s="135"/>
      <c r="J798" s="135"/>
      <c r="K798" s="136"/>
      <c r="L798" s="137"/>
    </row>
    <row r="799" ht="12.75" customHeight="1">
      <c r="A799" s="135"/>
      <c r="B799" s="135"/>
      <c r="C799" s="135"/>
      <c r="D799" s="135"/>
      <c r="E799" s="135"/>
      <c r="F799" s="135"/>
      <c r="G799" s="135"/>
      <c r="H799" s="135"/>
      <c r="I799" s="135"/>
      <c r="J799" s="135"/>
      <c r="K799" s="136"/>
      <c r="L799" s="137"/>
    </row>
    <row r="800" ht="12.75" customHeight="1">
      <c r="A800" s="135"/>
      <c r="B800" s="135"/>
      <c r="C800" s="135"/>
      <c r="D800" s="135"/>
      <c r="E800" s="135"/>
      <c r="F800" s="135"/>
      <c r="G800" s="135"/>
      <c r="H800" s="135"/>
      <c r="I800" s="135"/>
      <c r="J800" s="135"/>
      <c r="K800" s="136"/>
      <c r="L800" s="137"/>
    </row>
    <row r="801" ht="12.75" customHeight="1">
      <c r="A801" s="135"/>
      <c r="B801" s="135"/>
      <c r="C801" s="135"/>
      <c r="D801" s="135"/>
      <c r="E801" s="135"/>
      <c r="F801" s="135"/>
      <c r="G801" s="135"/>
      <c r="H801" s="135"/>
      <c r="I801" s="135"/>
      <c r="J801" s="135"/>
      <c r="K801" s="136"/>
      <c r="L801" s="137"/>
    </row>
    <row r="802" ht="12.75" customHeight="1">
      <c r="A802" s="135"/>
      <c r="B802" s="135"/>
      <c r="C802" s="135"/>
      <c r="D802" s="135"/>
      <c r="E802" s="135"/>
      <c r="F802" s="135"/>
      <c r="G802" s="135"/>
      <c r="H802" s="135"/>
      <c r="I802" s="135"/>
      <c r="J802" s="135"/>
      <c r="K802" s="136"/>
      <c r="L802" s="137"/>
    </row>
    <row r="803" ht="12.75" customHeight="1">
      <c r="A803" s="135"/>
      <c r="B803" s="135"/>
      <c r="C803" s="135"/>
      <c r="D803" s="135"/>
      <c r="E803" s="135"/>
      <c r="F803" s="135"/>
      <c r="G803" s="135"/>
      <c r="H803" s="135"/>
      <c r="I803" s="135"/>
      <c r="J803" s="135"/>
      <c r="K803" s="136"/>
      <c r="L803" s="137"/>
    </row>
    <row r="804" ht="12.75" customHeight="1">
      <c r="A804" s="135"/>
      <c r="B804" s="135"/>
      <c r="C804" s="135"/>
      <c r="D804" s="135"/>
      <c r="E804" s="135"/>
      <c r="F804" s="135"/>
      <c r="G804" s="135"/>
      <c r="H804" s="135"/>
      <c r="I804" s="135"/>
      <c r="J804" s="135"/>
      <c r="K804" s="136"/>
      <c r="L804" s="137"/>
    </row>
    <row r="805" ht="12.75" customHeight="1">
      <c r="A805" s="135"/>
      <c r="B805" s="135"/>
      <c r="C805" s="135"/>
      <c r="D805" s="135"/>
      <c r="E805" s="135"/>
      <c r="F805" s="135"/>
      <c r="G805" s="135"/>
      <c r="H805" s="135"/>
      <c r="I805" s="135"/>
      <c r="J805" s="135"/>
      <c r="K805" s="136"/>
      <c r="L805" s="137"/>
    </row>
    <row r="806" ht="12.75" customHeight="1">
      <c r="A806" s="135"/>
      <c r="B806" s="135"/>
      <c r="C806" s="135"/>
      <c r="D806" s="135"/>
      <c r="E806" s="135"/>
      <c r="F806" s="135"/>
      <c r="G806" s="135"/>
      <c r="H806" s="135"/>
      <c r="I806" s="135"/>
      <c r="J806" s="135"/>
      <c r="K806" s="136"/>
      <c r="L806" s="137"/>
    </row>
    <row r="807" ht="12.75" customHeight="1">
      <c r="A807" s="135"/>
      <c r="B807" s="135"/>
      <c r="C807" s="135"/>
      <c r="D807" s="135"/>
      <c r="E807" s="135"/>
      <c r="F807" s="135"/>
      <c r="G807" s="135"/>
      <c r="H807" s="135"/>
      <c r="I807" s="135"/>
      <c r="J807" s="135"/>
      <c r="K807" s="136"/>
      <c r="L807" s="137"/>
    </row>
    <row r="808" ht="12.75" customHeight="1">
      <c r="A808" s="135"/>
      <c r="B808" s="135"/>
      <c r="C808" s="135"/>
      <c r="D808" s="135"/>
      <c r="E808" s="135"/>
      <c r="F808" s="135"/>
      <c r="G808" s="135"/>
      <c r="H808" s="135"/>
      <c r="I808" s="135"/>
      <c r="J808" s="135"/>
      <c r="K808" s="136"/>
      <c r="L808" s="137"/>
    </row>
    <row r="809" ht="12.75" customHeight="1">
      <c r="A809" s="135"/>
      <c r="B809" s="135"/>
      <c r="C809" s="135"/>
      <c r="D809" s="135"/>
      <c r="E809" s="135"/>
      <c r="F809" s="135"/>
      <c r="G809" s="135"/>
      <c r="H809" s="135"/>
      <c r="I809" s="135"/>
      <c r="J809" s="135"/>
      <c r="K809" s="136"/>
      <c r="L809" s="137"/>
    </row>
    <row r="810" ht="12.75" customHeight="1">
      <c r="A810" s="135"/>
      <c r="B810" s="135"/>
      <c r="C810" s="135"/>
      <c r="D810" s="135"/>
      <c r="E810" s="135"/>
      <c r="F810" s="135"/>
      <c r="G810" s="135"/>
      <c r="H810" s="135"/>
      <c r="I810" s="135"/>
      <c r="J810" s="135"/>
      <c r="K810" s="136"/>
      <c r="L810" s="137"/>
    </row>
    <row r="811" ht="12.75" customHeight="1">
      <c r="A811" s="135"/>
      <c r="B811" s="135"/>
      <c r="C811" s="135"/>
      <c r="D811" s="135"/>
      <c r="E811" s="135"/>
      <c r="F811" s="135"/>
      <c r="G811" s="135"/>
      <c r="H811" s="135"/>
      <c r="I811" s="135"/>
      <c r="J811" s="135"/>
      <c r="K811" s="136"/>
      <c r="L811" s="137"/>
    </row>
    <row r="812" ht="12.75" customHeight="1">
      <c r="A812" s="135"/>
      <c r="B812" s="135"/>
      <c r="C812" s="135"/>
      <c r="D812" s="135"/>
      <c r="E812" s="135"/>
      <c r="F812" s="135"/>
      <c r="G812" s="135"/>
      <c r="H812" s="135"/>
      <c r="I812" s="135"/>
      <c r="J812" s="135"/>
      <c r="K812" s="136"/>
      <c r="L812" s="137"/>
    </row>
    <row r="813" ht="12.75" customHeight="1">
      <c r="A813" s="135"/>
      <c r="B813" s="135"/>
      <c r="C813" s="135"/>
      <c r="D813" s="135"/>
      <c r="E813" s="135"/>
      <c r="F813" s="135"/>
      <c r="G813" s="135"/>
      <c r="H813" s="135"/>
      <c r="I813" s="135"/>
      <c r="J813" s="135"/>
      <c r="K813" s="136"/>
      <c r="L813" s="137"/>
    </row>
    <row r="814" ht="12.75" customHeight="1">
      <c r="A814" s="135"/>
      <c r="B814" s="135"/>
      <c r="C814" s="135"/>
      <c r="D814" s="135"/>
      <c r="E814" s="135"/>
      <c r="F814" s="135"/>
      <c r="G814" s="135"/>
      <c r="H814" s="135"/>
      <c r="I814" s="135"/>
      <c r="J814" s="135"/>
      <c r="K814" s="136"/>
      <c r="L814" s="137"/>
    </row>
    <row r="815" ht="12.75" customHeight="1">
      <c r="A815" s="135"/>
      <c r="B815" s="135"/>
      <c r="C815" s="135"/>
      <c r="D815" s="135"/>
      <c r="E815" s="135"/>
      <c r="F815" s="135"/>
      <c r="G815" s="135"/>
      <c r="H815" s="135"/>
      <c r="I815" s="135"/>
      <c r="J815" s="135"/>
      <c r="K815" s="136"/>
      <c r="L815" s="137"/>
    </row>
    <row r="816" ht="12.75" customHeight="1">
      <c r="A816" s="135"/>
      <c r="B816" s="135"/>
      <c r="C816" s="135"/>
      <c r="D816" s="135"/>
      <c r="E816" s="135"/>
      <c r="F816" s="135"/>
      <c r="G816" s="135"/>
      <c r="H816" s="135"/>
      <c r="I816" s="135"/>
      <c r="J816" s="135"/>
      <c r="K816" s="136"/>
      <c r="L816" s="137"/>
    </row>
    <row r="817" ht="12.75" customHeight="1">
      <c r="A817" s="135"/>
      <c r="B817" s="135"/>
      <c r="C817" s="135"/>
      <c r="D817" s="135"/>
      <c r="E817" s="135"/>
      <c r="F817" s="135"/>
      <c r="G817" s="135"/>
      <c r="H817" s="135"/>
      <c r="I817" s="135"/>
      <c r="J817" s="135"/>
      <c r="K817" s="136"/>
      <c r="L817" s="137"/>
    </row>
    <row r="818" ht="12.75" customHeight="1">
      <c r="A818" s="135"/>
      <c r="B818" s="135"/>
      <c r="C818" s="135"/>
      <c r="D818" s="135"/>
      <c r="E818" s="135"/>
      <c r="F818" s="135"/>
      <c r="G818" s="135"/>
      <c r="H818" s="135"/>
      <c r="I818" s="135"/>
      <c r="J818" s="135"/>
      <c r="K818" s="136"/>
      <c r="L818" s="137"/>
    </row>
    <row r="819" ht="12.75" customHeight="1">
      <c r="A819" s="135"/>
      <c r="B819" s="135"/>
      <c r="C819" s="135"/>
      <c r="D819" s="135"/>
      <c r="E819" s="135"/>
      <c r="F819" s="135"/>
      <c r="G819" s="135"/>
      <c r="H819" s="135"/>
      <c r="I819" s="135"/>
      <c r="J819" s="135"/>
      <c r="K819" s="136"/>
      <c r="L819" s="137"/>
    </row>
    <row r="820" ht="12.75" customHeight="1">
      <c r="A820" s="135"/>
      <c r="B820" s="135"/>
      <c r="C820" s="135"/>
      <c r="D820" s="135"/>
      <c r="E820" s="135"/>
      <c r="F820" s="135"/>
      <c r="G820" s="135"/>
      <c r="H820" s="135"/>
      <c r="I820" s="135"/>
      <c r="J820" s="135"/>
      <c r="K820" s="136"/>
      <c r="L820" s="137"/>
    </row>
    <row r="821" ht="12.75" customHeight="1">
      <c r="A821" s="135"/>
      <c r="B821" s="135"/>
      <c r="C821" s="135"/>
      <c r="D821" s="135"/>
      <c r="E821" s="135"/>
      <c r="F821" s="135"/>
      <c r="G821" s="135"/>
      <c r="H821" s="135"/>
      <c r="I821" s="135"/>
      <c r="J821" s="135"/>
      <c r="K821" s="136"/>
      <c r="L821" s="137"/>
    </row>
    <row r="822" ht="12.75" customHeight="1">
      <c r="A822" s="135"/>
      <c r="B822" s="135"/>
      <c r="C822" s="135"/>
      <c r="D822" s="135"/>
      <c r="E822" s="135"/>
      <c r="F822" s="135"/>
      <c r="G822" s="135"/>
      <c r="H822" s="135"/>
      <c r="I822" s="135"/>
      <c r="J822" s="135"/>
      <c r="K822" s="136"/>
      <c r="L822" s="137"/>
    </row>
    <row r="823" ht="12.75" customHeight="1">
      <c r="A823" s="135"/>
      <c r="B823" s="135"/>
      <c r="C823" s="135"/>
      <c r="D823" s="135"/>
      <c r="E823" s="135"/>
      <c r="F823" s="135"/>
      <c r="G823" s="135"/>
      <c r="H823" s="135"/>
      <c r="I823" s="135"/>
      <c r="J823" s="135"/>
      <c r="K823" s="136"/>
      <c r="L823" s="137"/>
    </row>
    <row r="824" ht="12.75" customHeight="1">
      <c r="A824" s="135"/>
      <c r="B824" s="135"/>
      <c r="C824" s="135"/>
      <c r="D824" s="135"/>
      <c r="E824" s="135"/>
      <c r="F824" s="135"/>
      <c r="G824" s="135"/>
      <c r="H824" s="135"/>
      <c r="I824" s="135"/>
      <c r="J824" s="135"/>
      <c r="K824" s="136"/>
      <c r="L824" s="137"/>
    </row>
    <row r="825" ht="12.75" customHeight="1">
      <c r="A825" s="135"/>
      <c r="B825" s="135"/>
      <c r="C825" s="135"/>
      <c r="D825" s="135"/>
      <c r="E825" s="135"/>
      <c r="F825" s="135"/>
      <c r="G825" s="135"/>
      <c r="H825" s="135"/>
      <c r="I825" s="135"/>
      <c r="J825" s="135"/>
      <c r="K825" s="136"/>
      <c r="L825" s="137"/>
    </row>
    <row r="826" ht="12.75" customHeight="1">
      <c r="A826" s="135"/>
      <c r="B826" s="135"/>
      <c r="C826" s="135"/>
      <c r="D826" s="135"/>
      <c r="E826" s="135"/>
      <c r="F826" s="135"/>
      <c r="G826" s="135"/>
      <c r="H826" s="135"/>
      <c r="I826" s="135"/>
      <c r="J826" s="135"/>
      <c r="K826" s="136"/>
      <c r="L826" s="137"/>
    </row>
    <row r="827" ht="12.75" customHeight="1">
      <c r="A827" s="135"/>
      <c r="B827" s="135"/>
      <c r="C827" s="135"/>
      <c r="D827" s="135"/>
      <c r="E827" s="135"/>
      <c r="F827" s="135"/>
      <c r="G827" s="135"/>
      <c r="H827" s="135"/>
      <c r="I827" s="135"/>
      <c r="J827" s="135"/>
      <c r="K827" s="136"/>
      <c r="L827" s="137"/>
    </row>
    <row r="828" ht="12.75" customHeight="1">
      <c r="A828" s="135"/>
      <c r="B828" s="135"/>
      <c r="C828" s="135"/>
      <c r="D828" s="135"/>
      <c r="E828" s="135"/>
      <c r="F828" s="135"/>
      <c r="G828" s="135"/>
      <c r="H828" s="135"/>
      <c r="I828" s="135"/>
      <c r="J828" s="135"/>
      <c r="K828" s="136"/>
      <c r="L828" s="137"/>
    </row>
    <row r="829" ht="12.75" customHeight="1">
      <c r="A829" s="135"/>
      <c r="B829" s="135"/>
      <c r="C829" s="135"/>
      <c r="D829" s="135"/>
      <c r="E829" s="135"/>
      <c r="F829" s="135"/>
      <c r="G829" s="135"/>
      <c r="H829" s="135"/>
      <c r="I829" s="135"/>
      <c r="J829" s="135"/>
      <c r="K829" s="136"/>
      <c r="L829" s="137"/>
    </row>
    <row r="830" ht="12.75" customHeight="1">
      <c r="A830" s="135"/>
      <c r="B830" s="135"/>
      <c r="C830" s="135"/>
      <c r="D830" s="135"/>
      <c r="E830" s="135"/>
      <c r="F830" s="135"/>
      <c r="G830" s="135"/>
      <c r="H830" s="135"/>
      <c r="I830" s="135"/>
      <c r="J830" s="135"/>
      <c r="K830" s="136"/>
      <c r="L830" s="137"/>
    </row>
    <row r="831" ht="12.75" customHeight="1">
      <c r="A831" s="135"/>
      <c r="B831" s="135"/>
      <c r="C831" s="135"/>
      <c r="D831" s="135"/>
      <c r="E831" s="135"/>
      <c r="F831" s="135"/>
      <c r="G831" s="135"/>
      <c r="H831" s="135"/>
      <c r="I831" s="135"/>
      <c r="J831" s="135"/>
      <c r="K831" s="136"/>
      <c r="L831" s="137"/>
    </row>
    <row r="832" ht="12.75" customHeight="1">
      <c r="A832" s="135"/>
      <c r="B832" s="135"/>
      <c r="C832" s="135"/>
      <c r="D832" s="135"/>
      <c r="E832" s="135"/>
      <c r="F832" s="135"/>
      <c r="G832" s="135"/>
      <c r="H832" s="135"/>
      <c r="I832" s="135"/>
      <c r="J832" s="135"/>
      <c r="K832" s="136"/>
      <c r="L832" s="137"/>
    </row>
    <row r="833" ht="12.75" customHeight="1">
      <c r="A833" s="135"/>
      <c r="B833" s="135"/>
      <c r="C833" s="135"/>
      <c r="D833" s="135"/>
      <c r="E833" s="135"/>
      <c r="F833" s="135"/>
      <c r="G833" s="135"/>
      <c r="H833" s="135"/>
      <c r="I833" s="135"/>
      <c r="J833" s="135"/>
      <c r="K833" s="136"/>
      <c r="L833" s="137"/>
    </row>
    <row r="834" ht="12.75" customHeight="1">
      <c r="A834" s="135"/>
      <c r="B834" s="135"/>
      <c r="C834" s="135"/>
      <c r="D834" s="135"/>
      <c r="E834" s="135"/>
      <c r="F834" s="135"/>
      <c r="G834" s="135"/>
      <c r="H834" s="135"/>
      <c r="I834" s="135"/>
      <c r="J834" s="135"/>
      <c r="K834" s="136"/>
      <c r="L834" s="137"/>
    </row>
    <row r="835" ht="12.75" customHeight="1">
      <c r="A835" s="135"/>
      <c r="B835" s="135"/>
      <c r="C835" s="135"/>
      <c r="D835" s="135"/>
      <c r="E835" s="135"/>
      <c r="F835" s="135"/>
      <c r="G835" s="135"/>
      <c r="H835" s="135"/>
      <c r="I835" s="135"/>
      <c r="J835" s="135"/>
      <c r="K835" s="136"/>
      <c r="L835" s="137"/>
    </row>
    <row r="836" ht="12.75" customHeight="1">
      <c r="A836" s="135"/>
      <c r="B836" s="135"/>
      <c r="C836" s="135"/>
      <c r="D836" s="135"/>
      <c r="E836" s="135"/>
      <c r="F836" s="135"/>
      <c r="G836" s="135"/>
      <c r="H836" s="135"/>
      <c r="I836" s="135"/>
      <c r="J836" s="135"/>
      <c r="K836" s="136"/>
      <c r="L836" s="137"/>
    </row>
    <row r="837" ht="12.75" customHeight="1">
      <c r="A837" s="135"/>
      <c r="B837" s="135"/>
      <c r="C837" s="135"/>
      <c r="D837" s="135"/>
      <c r="E837" s="135"/>
      <c r="F837" s="135"/>
      <c r="G837" s="135"/>
      <c r="H837" s="135"/>
      <c r="I837" s="135"/>
      <c r="J837" s="135"/>
      <c r="K837" s="136"/>
      <c r="L837" s="137"/>
    </row>
    <row r="838" ht="12.75" customHeight="1">
      <c r="A838" s="135"/>
      <c r="B838" s="135"/>
      <c r="C838" s="135"/>
      <c r="D838" s="135"/>
      <c r="E838" s="135"/>
      <c r="F838" s="135"/>
      <c r="G838" s="135"/>
      <c r="H838" s="135"/>
      <c r="I838" s="135"/>
      <c r="J838" s="135"/>
      <c r="K838" s="136"/>
      <c r="L838" s="137"/>
    </row>
    <row r="839" ht="12.75" customHeight="1">
      <c r="A839" s="135"/>
      <c r="B839" s="135"/>
      <c r="C839" s="135"/>
      <c r="D839" s="135"/>
      <c r="E839" s="135"/>
      <c r="F839" s="135"/>
      <c r="G839" s="135"/>
      <c r="H839" s="135"/>
      <c r="I839" s="135"/>
      <c r="J839" s="135"/>
      <c r="K839" s="136"/>
      <c r="L839" s="137"/>
    </row>
    <row r="840" ht="12.75" customHeight="1">
      <c r="A840" s="135"/>
      <c r="B840" s="135"/>
      <c r="C840" s="135"/>
      <c r="D840" s="135"/>
      <c r="E840" s="135"/>
      <c r="F840" s="135"/>
      <c r="G840" s="135"/>
      <c r="H840" s="135"/>
      <c r="I840" s="135"/>
      <c r="J840" s="135"/>
      <c r="K840" s="136"/>
      <c r="L840" s="137"/>
    </row>
    <row r="841" ht="12.75" customHeight="1">
      <c r="A841" s="135"/>
      <c r="B841" s="135"/>
      <c r="C841" s="135"/>
      <c r="D841" s="135"/>
      <c r="E841" s="135"/>
      <c r="F841" s="135"/>
      <c r="G841" s="135"/>
      <c r="H841" s="135"/>
      <c r="I841" s="135"/>
      <c r="J841" s="135"/>
      <c r="K841" s="136"/>
      <c r="L841" s="137"/>
    </row>
    <row r="842" ht="12.75" customHeight="1">
      <c r="A842" s="135"/>
      <c r="B842" s="135"/>
      <c r="C842" s="135"/>
      <c r="D842" s="135"/>
      <c r="E842" s="135"/>
      <c r="F842" s="135"/>
      <c r="G842" s="135"/>
      <c r="H842" s="135"/>
      <c r="I842" s="135"/>
      <c r="J842" s="135"/>
      <c r="K842" s="136"/>
      <c r="L842" s="137"/>
    </row>
    <row r="843" ht="12.75" customHeight="1">
      <c r="A843" s="135"/>
      <c r="B843" s="135"/>
      <c r="C843" s="135"/>
      <c r="D843" s="135"/>
      <c r="E843" s="135"/>
      <c r="F843" s="135"/>
      <c r="G843" s="135"/>
      <c r="H843" s="135"/>
      <c r="I843" s="135"/>
      <c r="J843" s="135"/>
      <c r="K843" s="136"/>
      <c r="L843" s="137"/>
    </row>
    <row r="844" ht="12.75" customHeight="1">
      <c r="A844" s="135"/>
      <c r="B844" s="135"/>
      <c r="C844" s="135"/>
      <c r="D844" s="135"/>
      <c r="E844" s="135"/>
      <c r="F844" s="135"/>
      <c r="G844" s="135"/>
      <c r="H844" s="135"/>
      <c r="I844" s="135"/>
      <c r="J844" s="135"/>
      <c r="K844" s="136"/>
      <c r="L844" s="137"/>
    </row>
    <row r="845" ht="12.75" customHeight="1">
      <c r="A845" s="135"/>
      <c r="B845" s="135"/>
      <c r="C845" s="135"/>
      <c r="D845" s="135"/>
      <c r="E845" s="135"/>
      <c r="F845" s="135"/>
      <c r="G845" s="135"/>
      <c r="H845" s="135"/>
      <c r="I845" s="135"/>
      <c r="J845" s="135"/>
      <c r="K845" s="136"/>
      <c r="L845" s="137"/>
    </row>
    <row r="846" ht="12.75" customHeight="1">
      <c r="A846" s="135"/>
      <c r="B846" s="135"/>
      <c r="C846" s="135"/>
      <c r="D846" s="135"/>
      <c r="E846" s="135"/>
      <c r="F846" s="135"/>
      <c r="G846" s="135"/>
      <c r="H846" s="135"/>
      <c r="I846" s="135"/>
      <c r="J846" s="135"/>
      <c r="K846" s="136"/>
      <c r="L846" s="137"/>
    </row>
    <row r="847" ht="12.75" customHeight="1">
      <c r="A847" s="135"/>
      <c r="B847" s="135"/>
      <c r="C847" s="135"/>
      <c r="D847" s="135"/>
      <c r="E847" s="135"/>
      <c r="F847" s="135"/>
      <c r="G847" s="135"/>
      <c r="H847" s="135"/>
      <c r="I847" s="135"/>
      <c r="J847" s="135"/>
      <c r="K847" s="136"/>
      <c r="L847" s="137"/>
    </row>
    <row r="848" ht="12.75" customHeight="1">
      <c r="A848" s="135"/>
      <c r="B848" s="135"/>
      <c r="C848" s="135"/>
      <c r="D848" s="135"/>
      <c r="E848" s="135"/>
      <c r="F848" s="135"/>
      <c r="G848" s="135"/>
      <c r="H848" s="135"/>
      <c r="I848" s="135"/>
      <c r="J848" s="135"/>
      <c r="K848" s="136"/>
      <c r="L848" s="137"/>
    </row>
    <row r="849" ht="12.75" customHeight="1">
      <c r="A849" s="135"/>
      <c r="B849" s="135"/>
      <c r="C849" s="135"/>
      <c r="D849" s="135"/>
      <c r="E849" s="135"/>
      <c r="F849" s="135"/>
      <c r="G849" s="135"/>
      <c r="H849" s="135"/>
      <c r="I849" s="135"/>
      <c r="J849" s="135"/>
      <c r="K849" s="136"/>
      <c r="L849" s="137"/>
    </row>
    <row r="850" ht="12.75" customHeight="1">
      <c r="A850" s="135"/>
      <c r="B850" s="135"/>
      <c r="C850" s="135"/>
      <c r="D850" s="135"/>
      <c r="E850" s="135"/>
      <c r="F850" s="135"/>
      <c r="G850" s="135"/>
      <c r="H850" s="135"/>
      <c r="I850" s="135"/>
      <c r="J850" s="135"/>
      <c r="K850" s="136"/>
      <c r="L850" s="137"/>
    </row>
    <row r="851" ht="12.75" customHeight="1">
      <c r="A851" s="135"/>
      <c r="B851" s="135"/>
      <c r="C851" s="135"/>
      <c r="D851" s="135"/>
      <c r="E851" s="135"/>
      <c r="F851" s="135"/>
      <c r="G851" s="135"/>
      <c r="H851" s="135"/>
      <c r="I851" s="135"/>
      <c r="J851" s="135"/>
      <c r="K851" s="136"/>
      <c r="L851" s="137"/>
    </row>
    <row r="852" ht="12.75" customHeight="1">
      <c r="A852" s="135"/>
      <c r="B852" s="135"/>
      <c r="C852" s="135"/>
      <c r="D852" s="135"/>
      <c r="E852" s="135"/>
      <c r="F852" s="135"/>
      <c r="G852" s="135"/>
      <c r="H852" s="135"/>
      <c r="I852" s="135"/>
      <c r="J852" s="135"/>
      <c r="K852" s="136"/>
      <c r="L852" s="137"/>
    </row>
    <row r="853" ht="12.75" customHeight="1">
      <c r="A853" s="135"/>
      <c r="B853" s="135"/>
      <c r="C853" s="135"/>
      <c r="D853" s="135"/>
      <c r="E853" s="135"/>
      <c r="F853" s="135"/>
      <c r="G853" s="135"/>
      <c r="H853" s="135"/>
      <c r="I853" s="135"/>
      <c r="J853" s="135"/>
      <c r="K853" s="136"/>
      <c r="L853" s="137"/>
    </row>
    <row r="854" ht="12.75" customHeight="1">
      <c r="A854" s="135"/>
      <c r="B854" s="135"/>
      <c r="C854" s="135"/>
      <c r="D854" s="135"/>
      <c r="E854" s="135"/>
      <c r="F854" s="135"/>
      <c r="G854" s="135"/>
      <c r="H854" s="135"/>
      <c r="I854" s="135"/>
      <c r="J854" s="135"/>
      <c r="K854" s="136"/>
      <c r="L854" s="137"/>
    </row>
    <row r="855" ht="12.75" customHeight="1">
      <c r="A855" s="135"/>
      <c r="B855" s="135"/>
      <c r="C855" s="135"/>
      <c r="D855" s="135"/>
      <c r="E855" s="135"/>
      <c r="F855" s="135"/>
      <c r="G855" s="135"/>
      <c r="H855" s="135"/>
      <c r="I855" s="135"/>
      <c r="J855" s="135"/>
      <c r="K855" s="136"/>
      <c r="L855" s="137"/>
    </row>
    <row r="856" ht="12.75" customHeight="1">
      <c r="A856" s="135"/>
      <c r="B856" s="135"/>
      <c r="C856" s="135"/>
      <c r="D856" s="135"/>
      <c r="E856" s="135"/>
      <c r="F856" s="135"/>
      <c r="G856" s="135"/>
      <c r="H856" s="135"/>
      <c r="I856" s="135"/>
      <c r="J856" s="135"/>
      <c r="K856" s="136"/>
      <c r="L856" s="137"/>
    </row>
    <row r="857" ht="12.75" customHeight="1">
      <c r="A857" s="135"/>
      <c r="B857" s="135"/>
      <c r="C857" s="135"/>
      <c r="D857" s="135"/>
      <c r="E857" s="135"/>
      <c r="F857" s="135"/>
      <c r="G857" s="135"/>
      <c r="H857" s="135"/>
      <c r="I857" s="135"/>
      <c r="J857" s="135"/>
      <c r="K857" s="136"/>
      <c r="L857" s="137"/>
    </row>
    <row r="858" ht="12.75" customHeight="1">
      <c r="A858" s="135"/>
      <c r="B858" s="135"/>
      <c r="C858" s="135"/>
      <c r="D858" s="135"/>
      <c r="E858" s="135"/>
      <c r="F858" s="135"/>
      <c r="G858" s="135"/>
      <c r="H858" s="135"/>
      <c r="I858" s="135"/>
      <c r="J858" s="135"/>
      <c r="K858" s="136"/>
      <c r="L858" s="137"/>
    </row>
    <row r="859" ht="12.75" customHeight="1">
      <c r="A859" s="135"/>
      <c r="B859" s="135"/>
      <c r="C859" s="135"/>
      <c r="D859" s="135"/>
      <c r="E859" s="135"/>
      <c r="F859" s="135"/>
      <c r="G859" s="135"/>
      <c r="H859" s="135"/>
      <c r="I859" s="135"/>
      <c r="J859" s="135"/>
      <c r="K859" s="136"/>
      <c r="L859" s="137"/>
    </row>
    <row r="860" ht="12.75" customHeight="1">
      <c r="A860" s="135"/>
      <c r="B860" s="135"/>
      <c r="C860" s="135"/>
      <c r="D860" s="135"/>
      <c r="E860" s="135"/>
      <c r="F860" s="135"/>
      <c r="G860" s="135"/>
      <c r="H860" s="135"/>
      <c r="I860" s="135"/>
      <c r="J860" s="135"/>
      <c r="K860" s="136"/>
      <c r="L860" s="137"/>
    </row>
    <row r="861" ht="12.75" customHeight="1">
      <c r="A861" s="135"/>
      <c r="B861" s="135"/>
      <c r="C861" s="135"/>
      <c r="D861" s="135"/>
      <c r="E861" s="135"/>
      <c r="F861" s="135"/>
      <c r="G861" s="135"/>
      <c r="H861" s="135"/>
      <c r="I861" s="135"/>
      <c r="J861" s="135"/>
      <c r="K861" s="136"/>
      <c r="L861" s="137"/>
    </row>
    <row r="862" ht="12.75" customHeight="1">
      <c r="A862" s="135"/>
      <c r="B862" s="135"/>
      <c r="C862" s="135"/>
      <c r="D862" s="135"/>
      <c r="E862" s="135"/>
      <c r="F862" s="135"/>
      <c r="G862" s="135"/>
      <c r="H862" s="135"/>
      <c r="I862" s="135"/>
      <c r="J862" s="135"/>
      <c r="K862" s="136"/>
      <c r="L862" s="137"/>
    </row>
    <row r="863" ht="12.75" customHeight="1">
      <c r="A863" s="135"/>
      <c r="B863" s="135"/>
      <c r="C863" s="135"/>
      <c r="D863" s="135"/>
      <c r="E863" s="135"/>
      <c r="F863" s="135"/>
      <c r="G863" s="135"/>
      <c r="H863" s="135"/>
      <c r="I863" s="135"/>
      <c r="J863" s="135"/>
      <c r="K863" s="136"/>
      <c r="L863" s="137"/>
    </row>
    <row r="864" ht="12.75" customHeight="1">
      <c r="A864" s="135"/>
      <c r="B864" s="135"/>
      <c r="C864" s="135"/>
      <c r="D864" s="135"/>
      <c r="E864" s="135"/>
      <c r="F864" s="135"/>
      <c r="G864" s="135"/>
      <c r="H864" s="135"/>
      <c r="I864" s="135"/>
      <c r="J864" s="135"/>
      <c r="K864" s="136"/>
      <c r="L864" s="137"/>
    </row>
    <row r="865" ht="12.75" customHeight="1">
      <c r="A865" s="135"/>
      <c r="B865" s="135"/>
      <c r="C865" s="135"/>
      <c r="D865" s="135"/>
      <c r="E865" s="135"/>
      <c r="F865" s="135"/>
      <c r="G865" s="135"/>
      <c r="H865" s="135"/>
      <c r="I865" s="135"/>
      <c r="J865" s="135"/>
      <c r="K865" s="136"/>
      <c r="L865" s="137"/>
    </row>
    <row r="866" ht="12.75" customHeight="1">
      <c r="A866" s="135"/>
      <c r="B866" s="135"/>
      <c r="C866" s="135"/>
      <c r="D866" s="135"/>
      <c r="E866" s="135"/>
      <c r="F866" s="135"/>
      <c r="G866" s="135"/>
      <c r="H866" s="135"/>
      <c r="I866" s="135"/>
      <c r="J866" s="135"/>
      <c r="K866" s="136"/>
      <c r="L866" s="137"/>
    </row>
    <row r="867" ht="12.75" customHeight="1">
      <c r="A867" s="135"/>
      <c r="B867" s="135"/>
      <c r="C867" s="135"/>
      <c r="D867" s="135"/>
      <c r="E867" s="135"/>
      <c r="F867" s="135"/>
      <c r="G867" s="135"/>
      <c r="H867" s="135"/>
      <c r="I867" s="135"/>
      <c r="J867" s="135"/>
      <c r="K867" s="136"/>
      <c r="L867" s="137"/>
    </row>
    <row r="868" ht="12.75" customHeight="1">
      <c r="A868" s="135"/>
      <c r="B868" s="135"/>
      <c r="C868" s="135"/>
      <c r="D868" s="135"/>
      <c r="E868" s="135"/>
      <c r="F868" s="135"/>
      <c r="G868" s="135"/>
      <c r="H868" s="135"/>
      <c r="I868" s="135"/>
      <c r="J868" s="135"/>
      <c r="K868" s="136"/>
      <c r="L868" s="137"/>
    </row>
    <row r="869" ht="12.75" customHeight="1">
      <c r="A869" s="135"/>
      <c r="B869" s="135"/>
      <c r="C869" s="135"/>
      <c r="D869" s="135"/>
      <c r="E869" s="135"/>
      <c r="F869" s="135"/>
      <c r="G869" s="135"/>
      <c r="H869" s="135"/>
      <c r="I869" s="135"/>
      <c r="J869" s="135"/>
      <c r="K869" s="136"/>
      <c r="L869" s="137"/>
    </row>
    <row r="870" ht="12.75" customHeight="1">
      <c r="A870" s="135"/>
      <c r="B870" s="135"/>
      <c r="C870" s="135"/>
      <c r="D870" s="135"/>
      <c r="E870" s="135"/>
      <c r="F870" s="135"/>
      <c r="G870" s="135"/>
      <c r="H870" s="135"/>
      <c r="I870" s="135"/>
      <c r="J870" s="135"/>
      <c r="K870" s="136"/>
      <c r="L870" s="137"/>
    </row>
    <row r="871" ht="12.75" customHeight="1">
      <c r="A871" s="135"/>
      <c r="B871" s="135"/>
      <c r="C871" s="135"/>
      <c r="D871" s="135"/>
      <c r="E871" s="135"/>
      <c r="F871" s="135"/>
      <c r="G871" s="135"/>
      <c r="H871" s="135"/>
      <c r="I871" s="135"/>
      <c r="J871" s="135"/>
      <c r="K871" s="136"/>
      <c r="L871" s="137"/>
    </row>
    <row r="872" ht="12.75" customHeight="1">
      <c r="A872" s="135"/>
      <c r="B872" s="135"/>
      <c r="C872" s="135"/>
      <c r="D872" s="135"/>
      <c r="E872" s="135"/>
      <c r="F872" s="135"/>
      <c r="G872" s="135"/>
      <c r="H872" s="135"/>
      <c r="I872" s="135"/>
      <c r="J872" s="135"/>
      <c r="K872" s="136"/>
      <c r="L872" s="137"/>
    </row>
    <row r="873" ht="12.75" customHeight="1">
      <c r="A873" s="135"/>
      <c r="B873" s="135"/>
      <c r="C873" s="135"/>
      <c r="D873" s="135"/>
      <c r="E873" s="135"/>
      <c r="F873" s="135"/>
      <c r="G873" s="135"/>
      <c r="H873" s="135"/>
      <c r="I873" s="135"/>
      <c r="J873" s="135"/>
      <c r="K873" s="136"/>
      <c r="L873" s="137"/>
    </row>
    <row r="874" ht="12.75" customHeight="1">
      <c r="A874" s="135"/>
      <c r="B874" s="135"/>
      <c r="C874" s="135"/>
      <c r="D874" s="135"/>
      <c r="E874" s="135"/>
      <c r="F874" s="135"/>
      <c r="G874" s="135"/>
      <c r="H874" s="135"/>
      <c r="I874" s="135"/>
      <c r="J874" s="135"/>
      <c r="K874" s="136"/>
      <c r="L874" s="137"/>
    </row>
    <row r="875" ht="12.75" customHeight="1">
      <c r="A875" s="135"/>
      <c r="B875" s="135"/>
      <c r="C875" s="135"/>
      <c r="D875" s="135"/>
      <c r="E875" s="135"/>
      <c r="F875" s="135"/>
      <c r="G875" s="135"/>
      <c r="H875" s="135"/>
      <c r="I875" s="135"/>
      <c r="J875" s="135"/>
      <c r="K875" s="136"/>
      <c r="L875" s="137"/>
    </row>
    <row r="876" ht="12.75" customHeight="1">
      <c r="A876" s="135"/>
      <c r="B876" s="135"/>
      <c r="C876" s="135"/>
      <c r="D876" s="135"/>
      <c r="E876" s="135"/>
      <c r="F876" s="135"/>
      <c r="G876" s="135"/>
      <c r="H876" s="135"/>
      <c r="I876" s="135"/>
      <c r="J876" s="135"/>
      <c r="K876" s="136"/>
      <c r="L876" s="137"/>
    </row>
    <row r="877" ht="12.75" customHeight="1">
      <c r="A877" s="135"/>
      <c r="B877" s="135"/>
      <c r="C877" s="135"/>
      <c r="D877" s="135"/>
      <c r="E877" s="135"/>
      <c r="F877" s="135"/>
      <c r="G877" s="135"/>
      <c r="H877" s="135"/>
      <c r="I877" s="135"/>
      <c r="J877" s="135"/>
      <c r="K877" s="136"/>
      <c r="L877" s="137"/>
    </row>
    <row r="878" ht="12.75" customHeight="1">
      <c r="A878" s="135"/>
      <c r="B878" s="135"/>
      <c r="C878" s="135"/>
      <c r="D878" s="135"/>
      <c r="E878" s="135"/>
      <c r="F878" s="135"/>
      <c r="G878" s="135"/>
      <c r="H878" s="135"/>
      <c r="I878" s="135"/>
      <c r="J878" s="135"/>
      <c r="K878" s="136"/>
      <c r="L878" s="137"/>
    </row>
    <row r="879" ht="12.75" customHeight="1">
      <c r="A879" s="135"/>
      <c r="B879" s="135"/>
      <c r="C879" s="135"/>
      <c r="D879" s="135"/>
      <c r="E879" s="135"/>
      <c r="F879" s="135"/>
      <c r="G879" s="135"/>
      <c r="H879" s="135"/>
      <c r="I879" s="135"/>
      <c r="J879" s="135"/>
      <c r="K879" s="136"/>
      <c r="L879" s="137"/>
    </row>
    <row r="880" ht="12.75" customHeight="1">
      <c r="A880" s="135"/>
      <c r="B880" s="135"/>
      <c r="C880" s="135"/>
      <c r="D880" s="135"/>
      <c r="E880" s="135"/>
      <c r="F880" s="135"/>
      <c r="G880" s="135"/>
      <c r="H880" s="135"/>
      <c r="I880" s="135"/>
      <c r="J880" s="135"/>
      <c r="K880" s="136"/>
      <c r="L880" s="137"/>
    </row>
    <row r="881" ht="12.75" customHeight="1">
      <c r="A881" s="135"/>
      <c r="B881" s="135"/>
      <c r="C881" s="135"/>
      <c r="D881" s="135"/>
      <c r="E881" s="135"/>
      <c r="F881" s="135"/>
      <c r="G881" s="135"/>
      <c r="H881" s="135"/>
      <c r="I881" s="135"/>
      <c r="J881" s="135"/>
      <c r="K881" s="136"/>
      <c r="L881" s="137"/>
    </row>
    <row r="882" ht="12.75" customHeight="1">
      <c r="A882" s="135"/>
      <c r="B882" s="135"/>
      <c r="C882" s="135"/>
      <c r="D882" s="135"/>
      <c r="E882" s="135"/>
      <c r="F882" s="135"/>
      <c r="G882" s="135"/>
      <c r="H882" s="135"/>
      <c r="I882" s="135"/>
      <c r="J882" s="135"/>
      <c r="K882" s="136"/>
      <c r="L882" s="137"/>
    </row>
    <row r="883" ht="12.75" customHeight="1">
      <c r="A883" s="135"/>
      <c r="B883" s="135"/>
      <c r="C883" s="135"/>
      <c r="D883" s="135"/>
      <c r="E883" s="135"/>
      <c r="F883" s="135"/>
      <c r="G883" s="135"/>
      <c r="H883" s="135"/>
      <c r="I883" s="135"/>
      <c r="J883" s="135"/>
      <c r="K883" s="136"/>
      <c r="L883" s="137"/>
    </row>
    <row r="884" ht="12.75" customHeight="1">
      <c r="A884" s="135"/>
      <c r="B884" s="135"/>
      <c r="C884" s="135"/>
      <c r="D884" s="135"/>
      <c r="E884" s="135"/>
      <c r="F884" s="135"/>
      <c r="G884" s="135"/>
      <c r="H884" s="135"/>
      <c r="I884" s="135"/>
      <c r="J884" s="135"/>
      <c r="K884" s="136"/>
      <c r="L884" s="137"/>
    </row>
    <row r="885" ht="12.75" customHeight="1">
      <c r="A885" s="135"/>
      <c r="B885" s="135"/>
      <c r="C885" s="135"/>
      <c r="D885" s="135"/>
      <c r="E885" s="135"/>
      <c r="F885" s="135"/>
      <c r="G885" s="135"/>
      <c r="H885" s="135"/>
      <c r="I885" s="135"/>
      <c r="J885" s="135"/>
      <c r="K885" s="136"/>
      <c r="L885" s="137"/>
    </row>
    <row r="886" ht="12.75" customHeight="1">
      <c r="A886" s="135"/>
      <c r="B886" s="135"/>
      <c r="C886" s="135"/>
      <c r="D886" s="135"/>
      <c r="E886" s="135"/>
      <c r="F886" s="135"/>
      <c r="G886" s="135"/>
      <c r="H886" s="135"/>
      <c r="I886" s="135"/>
      <c r="J886" s="135"/>
      <c r="K886" s="136"/>
      <c r="L886" s="137"/>
    </row>
    <row r="887" ht="12.75" customHeight="1">
      <c r="A887" s="135"/>
      <c r="B887" s="135"/>
      <c r="C887" s="135"/>
      <c r="D887" s="135"/>
      <c r="E887" s="135"/>
      <c r="F887" s="135"/>
      <c r="G887" s="135"/>
      <c r="H887" s="135"/>
      <c r="I887" s="135"/>
      <c r="J887" s="135"/>
      <c r="K887" s="136"/>
      <c r="L887" s="137"/>
    </row>
    <row r="888" ht="12.75" customHeight="1">
      <c r="A888" s="135"/>
      <c r="B888" s="135"/>
      <c r="C888" s="135"/>
      <c r="D888" s="135"/>
      <c r="E888" s="135"/>
      <c r="F888" s="135"/>
      <c r="G888" s="135"/>
      <c r="H888" s="135"/>
      <c r="I888" s="135"/>
      <c r="J888" s="135"/>
      <c r="K888" s="136"/>
      <c r="L888" s="137"/>
    </row>
    <row r="889" ht="12.75" customHeight="1">
      <c r="A889" s="135"/>
      <c r="B889" s="135"/>
      <c r="C889" s="135"/>
      <c r="D889" s="135"/>
      <c r="E889" s="135"/>
      <c r="F889" s="135"/>
      <c r="G889" s="135"/>
      <c r="H889" s="135"/>
      <c r="I889" s="135"/>
      <c r="J889" s="135"/>
      <c r="K889" s="136"/>
      <c r="L889" s="137"/>
    </row>
    <row r="890" ht="12.75" customHeight="1">
      <c r="A890" s="135"/>
      <c r="B890" s="135"/>
      <c r="C890" s="135"/>
      <c r="D890" s="135"/>
      <c r="E890" s="135"/>
      <c r="F890" s="135"/>
      <c r="G890" s="135"/>
      <c r="H890" s="135"/>
      <c r="I890" s="135"/>
      <c r="J890" s="135"/>
      <c r="K890" s="136"/>
      <c r="L890" s="137"/>
    </row>
    <row r="891" ht="12.75" customHeight="1">
      <c r="A891" s="135"/>
      <c r="B891" s="135"/>
      <c r="C891" s="135"/>
      <c r="D891" s="135"/>
      <c r="E891" s="135"/>
      <c r="F891" s="135"/>
      <c r="G891" s="135"/>
      <c r="H891" s="135"/>
      <c r="I891" s="135"/>
      <c r="J891" s="135"/>
      <c r="K891" s="136"/>
      <c r="L891" s="137"/>
    </row>
    <row r="892" ht="12.75" customHeight="1">
      <c r="A892" s="135"/>
      <c r="B892" s="135"/>
      <c r="C892" s="135"/>
      <c r="D892" s="135"/>
      <c r="E892" s="135"/>
      <c r="F892" s="135"/>
      <c r="G892" s="135"/>
      <c r="H892" s="135"/>
      <c r="I892" s="135"/>
      <c r="J892" s="135"/>
      <c r="K892" s="136"/>
      <c r="L892" s="137"/>
    </row>
    <row r="893" ht="12.75" customHeight="1">
      <c r="A893" s="135"/>
      <c r="B893" s="135"/>
      <c r="C893" s="135"/>
      <c r="D893" s="135"/>
      <c r="E893" s="135"/>
      <c r="F893" s="135"/>
      <c r="G893" s="135"/>
      <c r="H893" s="135"/>
      <c r="I893" s="135"/>
      <c r="J893" s="135"/>
      <c r="K893" s="136"/>
      <c r="L893" s="137"/>
    </row>
    <row r="894" ht="12.75" customHeight="1">
      <c r="A894" s="135"/>
      <c r="B894" s="135"/>
      <c r="C894" s="135"/>
      <c r="D894" s="135"/>
      <c r="E894" s="135"/>
      <c r="F894" s="135"/>
      <c r="G894" s="135"/>
      <c r="H894" s="135"/>
      <c r="I894" s="135"/>
      <c r="J894" s="135"/>
      <c r="K894" s="136"/>
      <c r="L894" s="137"/>
    </row>
    <row r="895" ht="12.75" customHeight="1">
      <c r="A895" s="135"/>
      <c r="B895" s="135"/>
      <c r="C895" s="135"/>
      <c r="D895" s="135"/>
      <c r="E895" s="135"/>
      <c r="F895" s="135"/>
      <c r="G895" s="135"/>
      <c r="H895" s="135"/>
      <c r="I895" s="135"/>
      <c r="J895" s="135"/>
      <c r="K895" s="136"/>
      <c r="L895" s="137"/>
    </row>
    <row r="896" ht="12.75" customHeight="1">
      <c r="A896" s="135"/>
      <c r="B896" s="135"/>
      <c r="C896" s="135"/>
      <c r="D896" s="135"/>
      <c r="E896" s="135"/>
      <c r="F896" s="135"/>
      <c r="G896" s="135"/>
      <c r="H896" s="135"/>
      <c r="I896" s="135"/>
      <c r="J896" s="135"/>
      <c r="K896" s="136"/>
      <c r="L896" s="137"/>
    </row>
    <row r="897" ht="12.75" customHeight="1">
      <c r="A897" s="135"/>
      <c r="B897" s="135"/>
      <c r="C897" s="135"/>
      <c r="D897" s="135"/>
      <c r="E897" s="135"/>
      <c r="F897" s="135"/>
      <c r="G897" s="135"/>
      <c r="H897" s="135"/>
      <c r="I897" s="135"/>
      <c r="J897" s="135"/>
      <c r="K897" s="136"/>
      <c r="L897" s="137"/>
    </row>
    <row r="898" ht="12.75" customHeight="1">
      <c r="A898" s="135"/>
      <c r="B898" s="135"/>
      <c r="C898" s="135"/>
      <c r="D898" s="135"/>
      <c r="E898" s="135"/>
      <c r="F898" s="135"/>
      <c r="G898" s="135"/>
      <c r="H898" s="135"/>
      <c r="I898" s="135"/>
      <c r="J898" s="135"/>
      <c r="K898" s="136"/>
      <c r="L898" s="137"/>
    </row>
    <row r="899" ht="12.75" customHeight="1">
      <c r="A899" s="135"/>
      <c r="B899" s="135"/>
      <c r="C899" s="135"/>
      <c r="D899" s="135"/>
      <c r="E899" s="135"/>
      <c r="F899" s="135"/>
      <c r="G899" s="135"/>
      <c r="H899" s="135"/>
      <c r="I899" s="135"/>
      <c r="J899" s="135"/>
      <c r="K899" s="136"/>
      <c r="L899" s="137"/>
    </row>
    <row r="900" ht="12.75" customHeight="1">
      <c r="A900" s="135"/>
      <c r="B900" s="135"/>
      <c r="C900" s="135"/>
      <c r="D900" s="135"/>
      <c r="E900" s="135"/>
      <c r="F900" s="135"/>
      <c r="G900" s="135"/>
      <c r="H900" s="135"/>
      <c r="I900" s="135"/>
      <c r="J900" s="135"/>
      <c r="K900" s="136"/>
      <c r="L900" s="137"/>
    </row>
    <row r="901" ht="12.75" customHeight="1">
      <c r="A901" s="135"/>
      <c r="B901" s="135"/>
      <c r="C901" s="135"/>
      <c r="D901" s="135"/>
      <c r="E901" s="135"/>
      <c r="F901" s="135"/>
      <c r="G901" s="135"/>
      <c r="H901" s="135"/>
      <c r="I901" s="135"/>
      <c r="J901" s="135"/>
      <c r="K901" s="136"/>
      <c r="L901" s="137"/>
    </row>
    <row r="902" ht="12.75" customHeight="1">
      <c r="A902" s="135"/>
      <c r="B902" s="135"/>
      <c r="C902" s="135"/>
      <c r="D902" s="135"/>
      <c r="E902" s="135"/>
      <c r="F902" s="135"/>
      <c r="G902" s="135"/>
      <c r="H902" s="135"/>
      <c r="I902" s="135"/>
      <c r="J902" s="135"/>
      <c r="K902" s="136"/>
      <c r="L902" s="137"/>
    </row>
    <row r="903" ht="12.75" customHeight="1">
      <c r="A903" s="135"/>
      <c r="B903" s="135"/>
      <c r="C903" s="135"/>
      <c r="D903" s="135"/>
      <c r="E903" s="135"/>
      <c r="F903" s="135"/>
      <c r="G903" s="135"/>
      <c r="H903" s="135"/>
      <c r="I903" s="135"/>
      <c r="J903" s="135"/>
      <c r="K903" s="136"/>
      <c r="L903" s="137"/>
    </row>
    <row r="904" ht="12.75" customHeight="1">
      <c r="A904" s="135"/>
      <c r="B904" s="135"/>
      <c r="C904" s="135"/>
      <c r="D904" s="135"/>
      <c r="E904" s="135"/>
      <c r="F904" s="135"/>
      <c r="G904" s="135"/>
      <c r="H904" s="135"/>
      <c r="I904" s="135"/>
      <c r="J904" s="135"/>
      <c r="K904" s="136"/>
      <c r="L904" s="137"/>
    </row>
    <row r="905" ht="12.75" customHeight="1">
      <c r="A905" s="135"/>
      <c r="B905" s="135"/>
      <c r="C905" s="135"/>
      <c r="D905" s="135"/>
      <c r="E905" s="135"/>
      <c r="F905" s="135"/>
      <c r="G905" s="135"/>
      <c r="H905" s="135"/>
      <c r="I905" s="135"/>
      <c r="J905" s="135"/>
      <c r="K905" s="136"/>
      <c r="L905" s="137"/>
    </row>
    <row r="906" ht="12.75" customHeight="1">
      <c r="A906" s="135"/>
      <c r="B906" s="135"/>
      <c r="C906" s="135"/>
      <c r="D906" s="135"/>
      <c r="E906" s="135"/>
      <c r="F906" s="135"/>
      <c r="G906" s="135"/>
      <c r="H906" s="135"/>
      <c r="I906" s="135"/>
      <c r="J906" s="135"/>
      <c r="K906" s="136"/>
      <c r="L906" s="137"/>
    </row>
    <row r="907" ht="12.75" customHeight="1">
      <c r="A907" s="135"/>
      <c r="B907" s="135"/>
      <c r="C907" s="135"/>
      <c r="D907" s="135"/>
      <c r="E907" s="135"/>
      <c r="F907" s="135"/>
      <c r="G907" s="135"/>
      <c r="H907" s="135"/>
      <c r="I907" s="135"/>
      <c r="J907" s="135"/>
      <c r="K907" s="136"/>
      <c r="L907" s="137"/>
    </row>
    <row r="908" ht="12.75" customHeight="1">
      <c r="A908" s="135"/>
      <c r="B908" s="135"/>
      <c r="C908" s="135"/>
      <c r="D908" s="135"/>
      <c r="E908" s="135"/>
      <c r="F908" s="135"/>
      <c r="G908" s="135"/>
      <c r="H908" s="135"/>
      <c r="I908" s="135"/>
      <c r="J908" s="135"/>
      <c r="K908" s="136"/>
      <c r="L908" s="137"/>
    </row>
    <row r="909" ht="12.75" customHeight="1">
      <c r="A909" s="135"/>
      <c r="B909" s="135"/>
      <c r="C909" s="135"/>
      <c r="D909" s="135"/>
      <c r="E909" s="135"/>
      <c r="F909" s="135"/>
      <c r="G909" s="135"/>
      <c r="H909" s="135"/>
      <c r="I909" s="135"/>
      <c r="J909" s="135"/>
      <c r="K909" s="136"/>
      <c r="L909" s="137"/>
    </row>
    <row r="910" ht="12.75" customHeight="1">
      <c r="A910" s="135"/>
      <c r="B910" s="135"/>
      <c r="C910" s="135"/>
      <c r="D910" s="135"/>
      <c r="E910" s="135"/>
      <c r="F910" s="135"/>
      <c r="G910" s="135"/>
      <c r="H910" s="135"/>
      <c r="I910" s="135"/>
      <c r="J910" s="135"/>
      <c r="K910" s="136"/>
      <c r="L910" s="137"/>
    </row>
    <row r="911" ht="12.75" customHeight="1">
      <c r="A911" s="135"/>
      <c r="B911" s="135"/>
      <c r="C911" s="135"/>
      <c r="D911" s="135"/>
      <c r="E911" s="135"/>
      <c r="F911" s="135"/>
      <c r="G911" s="135"/>
      <c r="H911" s="135"/>
      <c r="I911" s="135"/>
      <c r="J911" s="135"/>
      <c r="K911" s="136"/>
      <c r="L911" s="137"/>
    </row>
    <row r="912" ht="12.75" customHeight="1">
      <c r="A912" s="135"/>
      <c r="B912" s="135"/>
      <c r="C912" s="135"/>
      <c r="D912" s="135"/>
      <c r="E912" s="135"/>
      <c r="F912" s="135"/>
      <c r="G912" s="135"/>
      <c r="H912" s="135"/>
      <c r="I912" s="135"/>
      <c r="J912" s="135"/>
      <c r="K912" s="136"/>
      <c r="L912" s="137"/>
    </row>
    <row r="913" ht="12.75" customHeight="1">
      <c r="A913" s="135"/>
      <c r="B913" s="135"/>
      <c r="C913" s="135"/>
      <c r="D913" s="135"/>
      <c r="E913" s="135"/>
      <c r="F913" s="135"/>
      <c r="G913" s="135"/>
      <c r="H913" s="135"/>
      <c r="I913" s="135"/>
      <c r="J913" s="135"/>
      <c r="K913" s="136"/>
      <c r="L913" s="137"/>
    </row>
    <row r="914" ht="12.75" customHeight="1">
      <c r="A914" s="135"/>
      <c r="B914" s="135"/>
      <c r="C914" s="135"/>
      <c r="D914" s="135"/>
      <c r="E914" s="135"/>
      <c r="F914" s="135"/>
      <c r="G914" s="135"/>
      <c r="H914" s="135"/>
      <c r="I914" s="135"/>
      <c r="J914" s="135"/>
      <c r="K914" s="136"/>
      <c r="L914" s="137"/>
    </row>
    <row r="915" ht="12.75" customHeight="1">
      <c r="A915" s="135"/>
      <c r="B915" s="135"/>
      <c r="C915" s="135"/>
      <c r="D915" s="135"/>
      <c r="E915" s="135"/>
      <c r="F915" s="135"/>
      <c r="G915" s="135"/>
      <c r="H915" s="135"/>
      <c r="I915" s="135"/>
      <c r="J915" s="135"/>
      <c r="K915" s="136"/>
      <c r="L915" s="137"/>
    </row>
    <row r="916" ht="12.75" customHeight="1">
      <c r="A916" s="135"/>
      <c r="B916" s="135"/>
      <c r="C916" s="135"/>
      <c r="D916" s="135"/>
      <c r="E916" s="135"/>
      <c r="F916" s="135"/>
      <c r="G916" s="135"/>
      <c r="H916" s="135"/>
      <c r="I916" s="135"/>
      <c r="J916" s="135"/>
      <c r="K916" s="136"/>
      <c r="L916" s="137"/>
    </row>
    <row r="917" ht="12.75" customHeight="1">
      <c r="A917" s="135"/>
      <c r="B917" s="135"/>
      <c r="C917" s="135"/>
      <c r="D917" s="135"/>
      <c r="E917" s="135"/>
      <c r="F917" s="135"/>
      <c r="G917" s="135"/>
      <c r="H917" s="135"/>
      <c r="I917" s="135"/>
      <c r="J917" s="135"/>
      <c r="K917" s="136"/>
      <c r="L917" s="137"/>
    </row>
    <row r="918" ht="12.75" customHeight="1">
      <c r="A918" s="135"/>
      <c r="B918" s="135"/>
      <c r="C918" s="135"/>
      <c r="D918" s="135"/>
      <c r="E918" s="135"/>
      <c r="F918" s="135"/>
      <c r="G918" s="135"/>
      <c r="H918" s="135"/>
      <c r="I918" s="135"/>
      <c r="J918" s="135"/>
      <c r="K918" s="136"/>
      <c r="L918" s="137"/>
    </row>
    <row r="919" ht="12.75" customHeight="1">
      <c r="A919" s="135"/>
      <c r="B919" s="135"/>
      <c r="C919" s="135"/>
      <c r="D919" s="135"/>
      <c r="E919" s="135"/>
      <c r="F919" s="135"/>
      <c r="G919" s="135"/>
      <c r="H919" s="135"/>
      <c r="I919" s="135"/>
      <c r="J919" s="135"/>
      <c r="K919" s="136"/>
      <c r="L919" s="137"/>
    </row>
    <row r="920" ht="12.75" customHeight="1">
      <c r="A920" s="135"/>
      <c r="B920" s="135"/>
      <c r="C920" s="135"/>
      <c r="D920" s="135"/>
      <c r="E920" s="135"/>
      <c r="F920" s="135"/>
      <c r="G920" s="135"/>
      <c r="H920" s="135"/>
      <c r="I920" s="135"/>
      <c r="J920" s="135"/>
      <c r="K920" s="136"/>
      <c r="L920" s="137"/>
    </row>
    <row r="921" ht="12.75" customHeight="1">
      <c r="A921" s="135"/>
      <c r="B921" s="135"/>
      <c r="C921" s="135"/>
      <c r="D921" s="135"/>
      <c r="E921" s="135"/>
      <c r="F921" s="135"/>
      <c r="G921" s="135"/>
      <c r="H921" s="135"/>
      <c r="I921" s="135"/>
      <c r="J921" s="135"/>
      <c r="K921" s="136"/>
      <c r="L921" s="137"/>
    </row>
    <row r="922" ht="12.75" customHeight="1">
      <c r="A922" s="135"/>
      <c r="B922" s="135"/>
      <c r="C922" s="135"/>
      <c r="D922" s="135"/>
      <c r="E922" s="135"/>
      <c r="F922" s="135"/>
      <c r="G922" s="135"/>
      <c r="H922" s="135"/>
      <c r="I922" s="135"/>
      <c r="J922" s="135"/>
      <c r="K922" s="136"/>
      <c r="L922" s="137"/>
    </row>
    <row r="923" ht="12.75" customHeight="1">
      <c r="A923" s="135"/>
      <c r="B923" s="135"/>
      <c r="C923" s="135"/>
      <c r="D923" s="135"/>
      <c r="E923" s="135"/>
      <c r="F923" s="135"/>
      <c r="G923" s="135"/>
      <c r="H923" s="135"/>
      <c r="I923" s="135"/>
      <c r="J923" s="135"/>
      <c r="K923" s="136"/>
      <c r="L923" s="137"/>
    </row>
    <row r="924" ht="12.75" customHeight="1">
      <c r="A924" s="135"/>
      <c r="B924" s="135"/>
      <c r="C924" s="135"/>
      <c r="D924" s="135"/>
      <c r="E924" s="135"/>
      <c r="F924" s="135"/>
      <c r="G924" s="135"/>
      <c r="H924" s="135"/>
      <c r="I924" s="135"/>
      <c r="J924" s="135"/>
      <c r="K924" s="136"/>
      <c r="L924" s="137"/>
    </row>
    <row r="925" ht="12.75" customHeight="1">
      <c r="A925" s="135"/>
      <c r="B925" s="135"/>
      <c r="C925" s="135"/>
      <c r="D925" s="135"/>
      <c r="E925" s="135"/>
      <c r="F925" s="135"/>
      <c r="G925" s="135"/>
      <c r="H925" s="135"/>
      <c r="I925" s="135"/>
      <c r="J925" s="135"/>
      <c r="K925" s="136"/>
      <c r="L925" s="137"/>
    </row>
    <row r="926" ht="12.75" customHeight="1">
      <c r="A926" s="135"/>
      <c r="B926" s="135"/>
      <c r="C926" s="135"/>
      <c r="D926" s="135"/>
      <c r="E926" s="135"/>
      <c r="F926" s="135"/>
      <c r="G926" s="135"/>
      <c r="H926" s="135"/>
      <c r="I926" s="135"/>
      <c r="J926" s="135"/>
      <c r="K926" s="136"/>
      <c r="L926" s="137"/>
    </row>
    <row r="927" ht="12.75" customHeight="1">
      <c r="A927" s="135"/>
      <c r="B927" s="135"/>
      <c r="C927" s="135"/>
      <c r="D927" s="135"/>
      <c r="E927" s="135"/>
      <c r="F927" s="135"/>
      <c r="G927" s="135"/>
      <c r="H927" s="135"/>
      <c r="I927" s="135"/>
      <c r="J927" s="135"/>
      <c r="K927" s="136"/>
      <c r="L927" s="137"/>
    </row>
    <row r="928" ht="12.75" customHeight="1">
      <c r="A928" s="135"/>
      <c r="B928" s="135"/>
      <c r="C928" s="135"/>
      <c r="D928" s="135"/>
      <c r="E928" s="135"/>
      <c r="F928" s="135"/>
      <c r="G928" s="135"/>
      <c r="H928" s="135"/>
      <c r="I928" s="135"/>
      <c r="J928" s="135"/>
      <c r="K928" s="136"/>
      <c r="L928" s="137"/>
    </row>
    <row r="929" ht="12.75" customHeight="1">
      <c r="A929" s="135"/>
      <c r="B929" s="135"/>
      <c r="C929" s="135"/>
      <c r="D929" s="135"/>
      <c r="E929" s="135"/>
      <c r="F929" s="135"/>
      <c r="G929" s="135"/>
      <c r="H929" s="135"/>
      <c r="I929" s="135"/>
      <c r="J929" s="135"/>
      <c r="K929" s="136"/>
      <c r="L929" s="137"/>
    </row>
    <row r="930" ht="12.75" customHeight="1">
      <c r="A930" s="135"/>
      <c r="B930" s="135"/>
      <c r="C930" s="135"/>
      <c r="D930" s="135"/>
      <c r="E930" s="135"/>
      <c r="F930" s="135"/>
      <c r="G930" s="135"/>
      <c r="H930" s="135"/>
      <c r="I930" s="135"/>
      <c r="J930" s="135"/>
      <c r="K930" s="136"/>
      <c r="L930" s="137"/>
    </row>
    <row r="931" ht="12.75" customHeight="1">
      <c r="A931" s="135"/>
      <c r="B931" s="135"/>
      <c r="C931" s="135"/>
      <c r="D931" s="135"/>
      <c r="E931" s="135"/>
      <c r="F931" s="135"/>
      <c r="G931" s="135"/>
      <c r="H931" s="135"/>
      <c r="I931" s="135"/>
      <c r="J931" s="135"/>
      <c r="K931" s="136"/>
      <c r="L931" s="137"/>
    </row>
    <row r="932" ht="12.75" customHeight="1">
      <c r="A932" s="135"/>
      <c r="B932" s="135"/>
      <c r="C932" s="135"/>
      <c r="D932" s="135"/>
      <c r="E932" s="135"/>
      <c r="F932" s="135"/>
      <c r="G932" s="135"/>
      <c r="H932" s="135"/>
      <c r="I932" s="135"/>
      <c r="J932" s="135"/>
      <c r="K932" s="136"/>
      <c r="L932" s="137"/>
    </row>
    <row r="933" ht="12.75" customHeight="1">
      <c r="A933" s="135"/>
      <c r="B933" s="135"/>
      <c r="C933" s="135"/>
      <c r="D933" s="135"/>
      <c r="E933" s="135"/>
      <c r="F933" s="135"/>
      <c r="G933" s="135"/>
      <c r="H933" s="135"/>
      <c r="I933" s="135"/>
      <c r="J933" s="135"/>
      <c r="K933" s="136"/>
      <c r="L933" s="137"/>
    </row>
    <row r="934" ht="12.75" customHeight="1">
      <c r="A934" s="135"/>
      <c r="B934" s="135"/>
      <c r="C934" s="135"/>
      <c r="D934" s="135"/>
      <c r="E934" s="135"/>
      <c r="F934" s="135"/>
      <c r="G934" s="135"/>
      <c r="H934" s="135"/>
      <c r="I934" s="135"/>
      <c r="J934" s="135"/>
      <c r="K934" s="136"/>
      <c r="L934" s="137"/>
    </row>
    <row r="935" ht="12.75" customHeight="1">
      <c r="A935" s="135"/>
      <c r="B935" s="135"/>
      <c r="C935" s="135"/>
      <c r="D935" s="135"/>
      <c r="E935" s="135"/>
      <c r="F935" s="135"/>
      <c r="G935" s="135"/>
      <c r="H935" s="135"/>
      <c r="I935" s="135"/>
      <c r="J935" s="135"/>
      <c r="K935" s="136"/>
      <c r="L935" s="137"/>
    </row>
    <row r="936" ht="12.75" customHeight="1">
      <c r="A936" s="135"/>
      <c r="B936" s="135"/>
      <c r="C936" s="135"/>
      <c r="D936" s="135"/>
      <c r="E936" s="135"/>
      <c r="F936" s="135"/>
      <c r="G936" s="135"/>
      <c r="H936" s="135"/>
      <c r="I936" s="135"/>
      <c r="J936" s="135"/>
      <c r="K936" s="136"/>
      <c r="L936" s="137"/>
    </row>
    <row r="937" ht="12.75" customHeight="1">
      <c r="A937" s="135"/>
      <c r="B937" s="135"/>
      <c r="C937" s="135"/>
      <c r="D937" s="135"/>
      <c r="E937" s="135"/>
      <c r="F937" s="135"/>
      <c r="G937" s="135"/>
      <c r="H937" s="135"/>
      <c r="I937" s="135"/>
      <c r="J937" s="135"/>
      <c r="K937" s="136"/>
      <c r="L937" s="137"/>
    </row>
    <row r="938" ht="12.75" customHeight="1">
      <c r="A938" s="135"/>
      <c r="B938" s="135"/>
      <c r="C938" s="135"/>
      <c r="D938" s="135"/>
      <c r="E938" s="135"/>
      <c r="F938" s="135"/>
      <c r="G938" s="135"/>
      <c r="H938" s="135"/>
      <c r="I938" s="135"/>
      <c r="J938" s="135"/>
      <c r="K938" s="136"/>
      <c r="L938" s="137"/>
    </row>
    <row r="939" ht="12.75" customHeight="1">
      <c r="A939" s="135"/>
      <c r="B939" s="135"/>
      <c r="C939" s="135"/>
      <c r="D939" s="135"/>
      <c r="E939" s="135"/>
      <c r="F939" s="135"/>
      <c r="G939" s="135"/>
      <c r="H939" s="135"/>
      <c r="I939" s="135"/>
      <c r="J939" s="135"/>
      <c r="K939" s="136"/>
      <c r="L939" s="137"/>
    </row>
    <row r="940" ht="12.75" customHeight="1">
      <c r="A940" s="135"/>
      <c r="B940" s="135"/>
      <c r="C940" s="135"/>
      <c r="D940" s="135"/>
      <c r="E940" s="135"/>
      <c r="F940" s="135"/>
      <c r="G940" s="135"/>
      <c r="H940" s="135"/>
      <c r="I940" s="135"/>
      <c r="J940" s="135"/>
      <c r="K940" s="136"/>
      <c r="L940" s="137"/>
    </row>
    <row r="941" ht="12.75" customHeight="1">
      <c r="A941" s="135"/>
      <c r="B941" s="135"/>
      <c r="C941" s="135"/>
      <c r="D941" s="135"/>
      <c r="E941" s="135"/>
      <c r="F941" s="135"/>
      <c r="G941" s="135"/>
      <c r="H941" s="135"/>
      <c r="I941" s="135"/>
      <c r="J941" s="135"/>
      <c r="K941" s="136"/>
      <c r="L941" s="137"/>
    </row>
    <row r="942" ht="12.75" customHeight="1">
      <c r="A942" s="135"/>
      <c r="B942" s="135"/>
      <c r="C942" s="135"/>
      <c r="D942" s="135"/>
      <c r="E942" s="135"/>
      <c r="F942" s="135"/>
      <c r="G942" s="135"/>
      <c r="H942" s="135"/>
      <c r="I942" s="135"/>
      <c r="J942" s="135"/>
      <c r="K942" s="136"/>
      <c r="L942" s="137"/>
    </row>
    <row r="943" ht="12.75" customHeight="1">
      <c r="A943" s="135"/>
      <c r="B943" s="135"/>
      <c r="C943" s="135"/>
      <c r="D943" s="135"/>
      <c r="E943" s="135"/>
      <c r="F943" s="135"/>
      <c r="G943" s="135"/>
      <c r="H943" s="135"/>
      <c r="I943" s="135"/>
      <c r="J943" s="135"/>
      <c r="K943" s="136"/>
      <c r="L943" s="137"/>
    </row>
    <row r="944" ht="12.75" customHeight="1">
      <c r="A944" s="135"/>
      <c r="B944" s="135"/>
      <c r="C944" s="135"/>
      <c r="D944" s="135"/>
      <c r="E944" s="135"/>
      <c r="F944" s="135"/>
      <c r="G944" s="135"/>
      <c r="H944" s="135"/>
      <c r="I944" s="135"/>
      <c r="J944" s="135"/>
      <c r="K944" s="136"/>
      <c r="L944" s="137"/>
    </row>
    <row r="945" ht="12.75" customHeight="1">
      <c r="A945" s="135"/>
      <c r="B945" s="135"/>
      <c r="C945" s="135"/>
      <c r="D945" s="135"/>
      <c r="E945" s="135"/>
      <c r="F945" s="135"/>
      <c r="G945" s="135"/>
      <c r="H945" s="135"/>
      <c r="I945" s="135"/>
      <c r="J945" s="135"/>
      <c r="K945" s="136"/>
      <c r="L945" s="137"/>
    </row>
    <row r="946" ht="12.75" customHeight="1">
      <c r="A946" s="135"/>
      <c r="B946" s="135"/>
      <c r="C946" s="135"/>
      <c r="D946" s="135"/>
      <c r="E946" s="135"/>
      <c r="F946" s="135"/>
      <c r="G946" s="135"/>
      <c r="H946" s="135"/>
      <c r="I946" s="135"/>
      <c r="J946" s="135"/>
      <c r="K946" s="136"/>
      <c r="L946" s="137"/>
    </row>
    <row r="947" ht="12.75" customHeight="1">
      <c r="A947" s="135"/>
      <c r="B947" s="135"/>
      <c r="C947" s="135"/>
      <c r="D947" s="135"/>
      <c r="E947" s="135"/>
      <c r="F947" s="135"/>
      <c r="G947" s="135"/>
      <c r="H947" s="135"/>
      <c r="I947" s="135"/>
      <c r="J947" s="135"/>
      <c r="K947" s="136"/>
      <c r="L947" s="137"/>
    </row>
    <row r="948" ht="12.75" customHeight="1">
      <c r="A948" s="135"/>
      <c r="B948" s="135"/>
      <c r="C948" s="135"/>
      <c r="D948" s="135"/>
      <c r="E948" s="135"/>
      <c r="F948" s="135"/>
      <c r="G948" s="135"/>
      <c r="H948" s="135"/>
      <c r="I948" s="135"/>
      <c r="J948" s="135"/>
      <c r="K948" s="136"/>
      <c r="L948" s="137"/>
    </row>
    <row r="949" ht="12.75" customHeight="1">
      <c r="A949" s="135"/>
      <c r="B949" s="135"/>
      <c r="C949" s="135"/>
      <c r="D949" s="135"/>
      <c r="E949" s="135"/>
      <c r="F949" s="135"/>
      <c r="G949" s="135"/>
      <c r="H949" s="135"/>
      <c r="I949" s="135"/>
      <c r="J949" s="135"/>
      <c r="K949" s="136"/>
      <c r="L949" s="137"/>
    </row>
    <row r="950" ht="12.75" customHeight="1">
      <c r="A950" s="135"/>
      <c r="B950" s="135"/>
      <c r="C950" s="135"/>
      <c r="D950" s="135"/>
      <c r="E950" s="135"/>
      <c r="F950" s="135"/>
      <c r="G950" s="135"/>
      <c r="H950" s="135"/>
      <c r="I950" s="135"/>
      <c r="J950" s="135"/>
      <c r="K950" s="136"/>
      <c r="L950" s="137"/>
    </row>
    <row r="951" ht="12.75" customHeight="1">
      <c r="A951" s="135"/>
      <c r="B951" s="135"/>
      <c r="C951" s="135"/>
      <c r="D951" s="135"/>
      <c r="E951" s="135"/>
      <c r="F951" s="135"/>
      <c r="G951" s="135"/>
      <c r="H951" s="135"/>
      <c r="I951" s="135"/>
      <c r="J951" s="135"/>
      <c r="K951" s="136"/>
      <c r="L951" s="137"/>
    </row>
    <row r="952" ht="12.75" customHeight="1">
      <c r="A952" s="135"/>
      <c r="B952" s="135"/>
      <c r="C952" s="135"/>
      <c r="D952" s="135"/>
      <c r="E952" s="135"/>
      <c r="F952" s="135"/>
      <c r="G952" s="135"/>
      <c r="H952" s="135"/>
      <c r="I952" s="135"/>
      <c r="J952" s="135"/>
      <c r="K952" s="136"/>
      <c r="L952" s="137"/>
    </row>
    <row r="953" ht="12.75" customHeight="1">
      <c r="A953" s="135"/>
      <c r="B953" s="135"/>
      <c r="C953" s="135"/>
      <c r="D953" s="135"/>
      <c r="E953" s="135"/>
      <c r="F953" s="135"/>
      <c r="G953" s="135"/>
      <c r="H953" s="135"/>
      <c r="I953" s="135"/>
      <c r="J953" s="135"/>
      <c r="K953" s="136"/>
      <c r="L953" s="137"/>
    </row>
    <row r="954" ht="12.75" customHeight="1">
      <c r="A954" s="135"/>
      <c r="B954" s="135"/>
      <c r="C954" s="135"/>
      <c r="D954" s="135"/>
      <c r="E954" s="135"/>
      <c r="F954" s="135"/>
      <c r="G954" s="135"/>
      <c r="H954" s="135"/>
      <c r="I954" s="135"/>
      <c r="J954" s="135"/>
      <c r="K954" s="136"/>
      <c r="L954" s="137"/>
    </row>
    <row r="955" ht="12.75" customHeight="1">
      <c r="A955" s="135"/>
      <c r="B955" s="135"/>
      <c r="C955" s="135"/>
      <c r="D955" s="135"/>
      <c r="E955" s="135"/>
      <c r="F955" s="135"/>
      <c r="G955" s="135"/>
      <c r="H955" s="135"/>
      <c r="I955" s="135"/>
      <c r="J955" s="135"/>
      <c r="K955" s="136"/>
      <c r="L955" s="137"/>
    </row>
    <row r="956" ht="12.75" customHeight="1">
      <c r="A956" s="135"/>
      <c r="B956" s="135"/>
      <c r="C956" s="135"/>
      <c r="D956" s="135"/>
      <c r="E956" s="135"/>
      <c r="F956" s="135"/>
      <c r="G956" s="135"/>
      <c r="H956" s="135"/>
      <c r="I956" s="135"/>
      <c r="J956" s="135"/>
      <c r="K956" s="136"/>
      <c r="L956" s="137"/>
    </row>
    <row r="957" ht="12.75" customHeight="1">
      <c r="A957" s="135"/>
      <c r="B957" s="135"/>
      <c r="C957" s="135"/>
      <c r="D957" s="135"/>
      <c r="E957" s="135"/>
      <c r="F957" s="135"/>
      <c r="G957" s="135"/>
      <c r="H957" s="135"/>
      <c r="I957" s="135"/>
      <c r="J957" s="135"/>
      <c r="K957" s="136"/>
      <c r="L957" s="137"/>
    </row>
    <row r="958" ht="12.75" customHeight="1">
      <c r="A958" s="135"/>
      <c r="B958" s="135"/>
      <c r="C958" s="135"/>
      <c r="D958" s="135"/>
      <c r="E958" s="135"/>
      <c r="F958" s="135"/>
      <c r="G958" s="135"/>
      <c r="H958" s="135"/>
      <c r="I958" s="135"/>
      <c r="J958" s="135"/>
      <c r="K958" s="136"/>
      <c r="L958" s="137"/>
    </row>
    <row r="959" ht="12.75" customHeight="1">
      <c r="A959" s="135"/>
      <c r="B959" s="135"/>
      <c r="C959" s="135"/>
      <c r="D959" s="135"/>
      <c r="E959" s="135"/>
      <c r="F959" s="135"/>
      <c r="G959" s="135"/>
      <c r="H959" s="135"/>
      <c r="I959" s="135"/>
      <c r="J959" s="135"/>
      <c r="K959" s="136"/>
      <c r="L959" s="137"/>
    </row>
    <row r="960" ht="12.75" customHeight="1">
      <c r="A960" s="135"/>
      <c r="B960" s="135"/>
      <c r="C960" s="135"/>
      <c r="D960" s="135"/>
      <c r="E960" s="135"/>
      <c r="F960" s="135"/>
      <c r="G960" s="135"/>
      <c r="H960" s="135"/>
      <c r="I960" s="135"/>
      <c r="J960" s="135"/>
      <c r="K960" s="136"/>
      <c r="L960" s="137"/>
    </row>
    <row r="961" ht="12.75" customHeight="1">
      <c r="A961" s="135"/>
      <c r="B961" s="135"/>
      <c r="C961" s="135"/>
      <c r="D961" s="135"/>
      <c r="E961" s="135"/>
      <c r="F961" s="135"/>
      <c r="G961" s="135"/>
      <c r="H961" s="135"/>
      <c r="I961" s="135"/>
      <c r="J961" s="135"/>
      <c r="K961" s="136"/>
      <c r="L961" s="137"/>
    </row>
    <row r="962" ht="12.75" customHeight="1">
      <c r="A962" s="135"/>
      <c r="B962" s="135"/>
      <c r="C962" s="135"/>
      <c r="D962" s="135"/>
      <c r="E962" s="135"/>
      <c r="F962" s="135"/>
      <c r="G962" s="135"/>
      <c r="H962" s="135"/>
      <c r="I962" s="135"/>
      <c r="J962" s="135"/>
      <c r="K962" s="136"/>
      <c r="L962" s="137"/>
    </row>
    <row r="963" ht="12.75" customHeight="1">
      <c r="A963" s="135"/>
      <c r="B963" s="135"/>
      <c r="C963" s="135"/>
      <c r="D963" s="135"/>
      <c r="E963" s="135"/>
      <c r="F963" s="135"/>
      <c r="G963" s="135"/>
      <c r="H963" s="135"/>
      <c r="I963" s="135"/>
      <c r="J963" s="135"/>
      <c r="K963" s="136"/>
      <c r="L963" s="137"/>
    </row>
    <row r="964" ht="12.75" customHeight="1">
      <c r="A964" s="135"/>
      <c r="B964" s="135"/>
      <c r="C964" s="135"/>
      <c r="D964" s="135"/>
      <c r="E964" s="135"/>
      <c r="F964" s="135"/>
      <c r="G964" s="135"/>
      <c r="H964" s="135"/>
      <c r="I964" s="135"/>
      <c r="J964" s="135"/>
      <c r="K964" s="136"/>
      <c r="L964" s="137"/>
    </row>
    <row r="965" ht="12.75" customHeight="1">
      <c r="A965" s="135"/>
      <c r="B965" s="135"/>
      <c r="C965" s="135"/>
      <c r="D965" s="135"/>
      <c r="E965" s="135"/>
      <c r="F965" s="135"/>
      <c r="G965" s="135"/>
      <c r="H965" s="135"/>
      <c r="I965" s="135"/>
      <c r="J965" s="135"/>
      <c r="K965" s="136"/>
      <c r="L965" s="137"/>
    </row>
    <row r="966" ht="12.75" customHeight="1">
      <c r="A966" s="135"/>
      <c r="B966" s="135"/>
      <c r="C966" s="135"/>
      <c r="D966" s="135"/>
      <c r="E966" s="135"/>
      <c r="F966" s="135"/>
      <c r="G966" s="135"/>
      <c r="H966" s="135"/>
      <c r="I966" s="135"/>
      <c r="J966" s="135"/>
      <c r="K966" s="136"/>
      <c r="L966" s="137"/>
    </row>
    <row r="967" ht="12.75" customHeight="1">
      <c r="A967" s="135"/>
      <c r="B967" s="135"/>
      <c r="C967" s="135"/>
      <c r="D967" s="135"/>
      <c r="E967" s="135"/>
      <c r="F967" s="135"/>
      <c r="G967" s="135"/>
      <c r="H967" s="135"/>
      <c r="I967" s="135"/>
      <c r="J967" s="135"/>
      <c r="K967" s="136"/>
      <c r="L967" s="137"/>
    </row>
    <row r="968" ht="12.75" customHeight="1">
      <c r="A968" s="135"/>
      <c r="B968" s="135"/>
      <c r="C968" s="135"/>
      <c r="D968" s="135"/>
      <c r="E968" s="135"/>
      <c r="F968" s="135"/>
      <c r="G968" s="135"/>
      <c r="H968" s="135"/>
      <c r="I968" s="135"/>
      <c r="J968" s="135"/>
      <c r="K968" s="136"/>
      <c r="L968" s="137"/>
    </row>
    <row r="969" ht="12.75" customHeight="1">
      <c r="A969" s="135"/>
      <c r="B969" s="135"/>
      <c r="C969" s="135"/>
      <c r="D969" s="135"/>
      <c r="E969" s="135"/>
      <c r="F969" s="135"/>
      <c r="G969" s="135"/>
      <c r="H969" s="135"/>
      <c r="I969" s="135"/>
      <c r="J969" s="135"/>
      <c r="K969" s="136"/>
      <c r="L969" s="137"/>
    </row>
    <row r="970" ht="12.75" customHeight="1">
      <c r="A970" s="135"/>
      <c r="B970" s="135"/>
      <c r="C970" s="135"/>
      <c r="D970" s="135"/>
      <c r="E970" s="135"/>
      <c r="F970" s="135"/>
      <c r="G970" s="135"/>
      <c r="H970" s="135"/>
      <c r="I970" s="135"/>
      <c r="J970" s="135"/>
      <c r="K970" s="136"/>
      <c r="L970" s="137"/>
    </row>
    <row r="971" ht="12.75" customHeight="1">
      <c r="A971" s="135"/>
      <c r="B971" s="135"/>
      <c r="C971" s="135"/>
      <c r="D971" s="135"/>
      <c r="E971" s="135"/>
      <c r="F971" s="135"/>
      <c r="G971" s="135"/>
      <c r="H971" s="135"/>
      <c r="I971" s="135"/>
      <c r="J971" s="135"/>
      <c r="K971" s="136"/>
      <c r="L971" s="137"/>
    </row>
    <row r="972" ht="12.75" customHeight="1">
      <c r="A972" s="135"/>
      <c r="B972" s="135"/>
      <c r="C972" s="135"/>
      <c r="D972" s="135"/>
      <c r="E972" s="135"/>
      <c r="F972" s="135"/>
      <c r="G972" s="135"/>
      <c r="H972" s="135"/>
      <c r="I972" s="135"/>
      <c r="J972" s="135"/>
      <c r="K972" s="136"/>
      <c r="L972" s="137"/>
    </row>
    <row r="973" ht="12.75" customHeight="1">
      <c r="A973" s="135"/>
      <c r="B973" s="135"/>
      <c r="C973" s="135"/>
      <c r="D973" s="135"/>
      <c r="E973" s="135"/>
      <c r="F973" s="135"/>
      <c r="G973" s="135"/>
      <c r="H973" s="135"/>
      <c r="I973" s="135"/>
      <c r="J973" s="135"/>
      <c r="K973" s="136"/>
      <c r="L973" s="137"/>
    </row>
    <row r="974" ht="12.75" customHeight="1">
      <c r="A974" s="135"/>
      <c r="B974" s="135"/>
      <c r="C974" s="135"/>
      <c r="D974" s="135"/>
      <c r="E974" s="135"/>
      <c r="F974" s="135"/>
      <c r="G974" s="135"/>
      <c r="H974" s="135"/>
      <c r="I974" s="135"/>
      <c r="J974" s="135"/>
      <c r="K974" s="136"/>
      <c r="L974" s="137"/>
    </row>
    <row r="975" ht="12.75" customHeight="1">
      <c r="A975" s="135"/>
      <c r="B975" s="135"/>
      <c r="C975" s="135"/>
      <c r="D975" s="135"/>
      <c r="E975" s="135"/>
      <c r="F975" s="135"/>
      <c r="G975" s="135"/>
      <c r="H975" s="135"/>
      <c r="I975" s="135"/>
      <c r="J975" s="135"/>
      <c r="K975" s="136"/>
      <c r="L975" s="137"/>
    </row>
    <row r="976" ht="12.75" customHeight="1">
      <c r="A976" s="135"/>
      <c r="B976" s="135"/>
      <c r="C976" s="135"/>
      <c r="D976" s="135"/>
      <c r="E976" s="135"/>
      <c r="F976" s="135"/>
      <c r="G976" s="135"/>
      <c r="H976" s="135"/>
      <c r="I976" s="135"/>
      <c r="J976" s="135"/>
      <c r="K976" s="136"/>
      <c r="L976" s="137"/>
    </row>
    <row r="977" ht="12.75" customHeight="1">
      <c r="A977" s="135"/>
      <c r="B977" s="135"/>
      <c r="C977" s="135"/>
      <c r="D977" s="135"/>
      <c r="E977" s="135"/>
      <c r="F977" s="135"/>
      <c r="G977" s="135"/>
      <c r="H977" s="135"/>
      <c r="I977" s="135"/>
      <c r="J977" s="135"/>
      <c r="K977" s="136"/>
      <c r="L977" s="137"/>
    </row>
    <row r="978" ht="12.75" customHeight="1">
      <c r="A978" s="135"/>
      <c r="B978" s="135"/>
      <c r="C978" s="135"/>
      <c r="D978" s="135"/>
      <c r="E978" s="135"/>
      <c r="F978" s="135"/>
      <c r="G978" s="135"/>
      <c r="H978" s="135"/>
      <c r="I978" s="135"/>
      <c r="J978" s="135"/>
      <c r="K978" s="136"/>
      <c r="L978" s="137"/>
    </row>
    <row r="979" ht="12.75" customHeight="1">
      <c r="A979" s="135"/>
      <c r="B979" s="135"/>
      <c r="C979" s="135"/>
      <c r="D979" s="135"/>
      <c r="E979" s="135"/>
      <c r="F979" s="135"/>
      <c r="G979" s="135"/>
      <c r="H979" s="135"/>
      <c r="I979" s="135"/>
      <c r="J979" s="135"/>
      <c r="K979" s="136"/>
      <c r="L979" s="137"/>
    </row>
    <row r="980" ht="12.75" customHeight="1">
      <c r="A980" s="135"/>
      <c r="B980" s="135"/>
      <c r="C980" s="135"/>
      <c r="D980" s="135"/>
      <c r="E980" s="135"/>
      <c r="F980" s="135"/>
      <c r="G980" s="135"/>
      <c r="H980" s="135"/>
      <c r="I980" s="135"/>
      <c r="J980" s="135"/>
      <c r="K980" s="136"/>
      <c r="L980" s="137"/>
    </row>
    <row r="981" ht="12.75" customHeight="1">
      <c r="A981" s="135"/>
      <c r="B981" s="135"/>
      <c r="C981" s="135"/>
      <c r="D981" s="135"/>
      <c r="E981" s="135"/>
      <c r="F981" s="135"/>
      <c r="G981" s="135"/>
      <c r="H981" s="135"/>
      <c r="I981" s="135"/>
      <c r="J981" s="135"/>
      <c r="K981" s="136"/>
      <c r="L981" s="137"/>
    </row>
    <row r="982" ht="12.75" customHeight="1">
      <c r="A982" s="135"/>
      <c r="B982" s="135"/>
      <c r="C982" s="135"/>
      <c r="D982" s="135"/>
      <c r="E982" s="135"/>
      <c r="F982" s="135"/>
      <c r="G982" s="135"/>
      <c r="H982" s="135"/>
      <c r="I982" s="135"/>
      <c r="J982" s="135"/>
      <c r="K982" s="136"/>
      <c r="L982" s="137"/>
    </row>
    <row r="983" ht="12.75" customHeight="1">
      <c r="A983" s="135"/>
      <c r="B983" s="135"/>
      <c r="C983" s="135"/>
      <c r="D983" s="135"/>
      <c r="E983" s="135"/>
      <c r="F983" s="135"/>
      <c r="G983" s="135"/>
      <c r="H983" s="135"/>
      <c r="I983" s="135"/>
      <c r="J983" s="135"/>
      <c r="K983" s="136"/>
      <c r="L983" s="137"/>
    </row>
    <row r="984" ht="12.75" customHeight="1">
      <c r="A984" s="135"/>
      <c r="B984" s="135"/>
      <c r="C984" s="135"/>
      <c r="D984" s="135"/>
      <c r="E984" s="135"/>
      <c r="F984" s="135"/>
      <c r="G984" s="135"/>
      <c r="H984" s="135"/>
      <c r="I984" s="135"/>
      <c r="J984" s="135"/>
      <c r="K984" s="136"/>
      <c r="L984" s="137"/>
    </row>
    <row r="985" ht="12.75" customHeight="1">
      <c r="A985" s="135"/>
      <c r="B985" s="135"/>
      <c r="C985" s="135"/>
      <c r="D985" s="135"/>
      <c r="E985" s="135"/>
      <c r="F985" s="135"/>
      <c r="G985" s="135"/>
      <c r="H985" s="135"/>
      <c r="I985" s="135"/>
      <c r="J985" s="135"/>
      <c r="K985" s="136"/>
      <c r="L985" s="137"/>
    </row>
    <row r="986" ht="12.75" customHeight="1">
      <c r="A986" s="135"/>
      <c r="B986" s="135"/>
      <c r="C986" s="135"/>
      <c r="D986" s="135"/>
      <c r="E986" s="135"/>
      <c r="F986" s="135"/>
      <c r="G986" s="135"/>
      <c r="H986" s="135"/>
      <c r="I986" s="135"/>
      <c r="J986" s="135"/>
      <c r="K986" s="136"/>
      <c r="L986" s="137"/>
    </row>
    <row r="987" ht="12.75" customHeight="1">
      <c r="A987" s="135"/>
      <c r="B987" s="135"/>
      <c r="C987" s="135"/>
      <c r="D987" s="135"/>
      <c r="E987" s="135"/>
      <c r="F987" s="135"/>
      <c r="G987" s="135"/>
      <c r="H987" s="135"/>
      <c r="I987" s="135"/>
      <c r="J987" s="135"/>
      <c r="K987" s="136"/>
      <c r="L987" s="137"/>
    </row>
    <row r="988" ht="12.75" customHeight="1">
      <c r="A988" s="135"/>
      <c r="B988" s="135"/>
      <c r="C988" s="135"/>
      <c r="D988" s="135"/>
      <c r="E988" s="135"/>
      <c r="F988" s="135"/>
      <c r="G988" s="135"/>
      <c r="H988" s="135"/>
      <c r="I988" s="135"/>
      <c r="J988" s="135"/>
      <c r="K988" s="136"/>
      <c r="L988" s="137"/>
    </row>
    <row r="989" ht="12.75" customHeight="1">
      <c r="A989" s="135"/>
      <c r="B989" s="135"/>
      <c r="C989" s="135"/>
      <c r="D989" s="135"/>
      <c r="E989" s="135"/>
      <c r="F989" s="135"/>
      <c r="G989" s="135"/>
      <c r="H989" s="135"/>
      <c r="I989" s="135"/>
      <c r="J989" s="135"/>
      <c r="K989" s="136"/>
      <c r="L989" s="137"/>
    </row>
    <row r="990" ht="12.75" customHeight="1">
      <c r="A990" s="135"/>
      <c r="B990" s="135"/>
      <c r="C990" s="135"/>
      <c r="D990" s="135"/>
      <c r="E990" s="135"/>
      <c r="F990" s="135"/>
      <c r="G990" s="135"/>
      <c r="H990" s="135"/>
      <c r="I990" s="135"/>
      <c r="J990" s="135"/>
      <c r="K990" s="136"/>
      <c r="L990" s="137"/>
    </row>
    <row r="991" ht="12.75" customHeight="1">
      <c r="A991" s="135"/>
      <c r="B991" s="135"/>
      <c r="C991" s="135"/>
      <c r="D991" s="135"/>
      <c r="E991" s="135"/>
      <c r="F991" s="135"/>
      <c r="G991" s="135"/>
      <c r="H991" s="135"/>
      <c r="I991" s="135"/>
      <c r="J991" s="135"/>
      <c r="K991" s="136"/>
      <c r="L991" s="137"/>
    </row>
    <row r="992" ht="12.75" customHeight="1">
      <c r="A992" s="135"/>
      <c r="B992" s="135"/>
      <c r="C992" s="135"/>
      <c r="D992" s="135"/>
      <c r="E992" s="135"/>
      <c r="F992" s="135"/>
      <c r="G992" s="135"/>
      <c r="H992" s="135"/>
      <c r="I992" s="135"/>
      <c r="J992" s="135"/>
      <c r="K992" s="136"/>
      <c r="L992" s="137"/>
    </row>
    <row r="993" ht="12.75" customHeight="1">
      <c r="A993" s="135"/>
      <c r="B993" s="135"/>
      <c r="C993" s="135"/>
      <c r="D993" s="135"/>
      <c r="E993" s="135"/>
      <c r="F993" s="135"/>
      <c r="G993" s="135"/>
      <c r="H993" s="135"/>
      <c r="I993" s="135"/>
      <c r="J993" s="135"/>
      <c r="K993" s="136"/>
      <c r="L993" s="137"/>
    </row>
    <row r="994" ht="12.75" customHeight="1">
      <c r="A994" s="135"/>
      <c r="B994" s="135"/>
      <c r="C994" s="135"/>
      <c r="D994" s="135"/>
      <c r="E994" s="135"/>
      <c r="F994" s="135"/>
      <c r="G994" s="135"/>
      <c r="H994" s="135"/>
      <c r="I994" s="135"/>
      <c r="J994" s="135"/>
      <c r="K994" s="136"/>
      <c r="L994" s="137"/>
    </row>
    <row r="995" ht="12.75" customHeight="1">
      <c r="A995" s="135"/>
      <c r="B995" s="135"/>
      <c r="C995" s="135"/>
      <c r="D995" s="135"/>
      <c r="E995" s="135"/>
      <c r="F995" s="135"/>
      <c r="G995" s="135"/>
      <c r="H995" s="135"/>
      <c r="I995" s="135"/>
      <c r="J995" s="135"/>
      <c r="K995" s="136"/>
      <c r="L995" s="137"/>
    </row>
    <row r="996" ht="12.75" customHeight="1">
      <c r="A996" s="135"/>
      <c r="B996" s="135"/>
      <c r="C996" s="135"/>
      <c r="D996" s="135"/>
      <c r="E996" s="135"/>
      <c r="F996" s="135"/>
      <c r="G996" s="135"/>
      <c r="H996" s="135"/>
      <c r="I996" s="135"/>
      <c r="J996" s="135"/>
      <c r="K996" s="136"/>
      <c r="L996" s="137"/>
    </row>
    <row r="997" ht="12.75" customHeight="1">
      <c r="A997" s="135"/>
      <c r="B997" s="135"/>
      <c r="C997" s="135"/>
      <c r="D997" s="135"/>
      <c r="E997" s="135"/>
      <c r="F997" s="135"/>
      <c r="G997" s="135"/>
      <c r="H997" s="135"/>
      <c r="I997" s="135"/>
      <c r="J997" s="135"/>
      <c r="K997" s="136"/>
      <c r="L997" s="137"/>
    </row>
    <row r="998" ht="12.75" customHeight="1">
      <c r="A998" s="135"/>
      <c r="B998" s="135"/>
      <c r="C998" s="135"/>
      <c r="D998" s="135"/>
      <c r="E998" s="135"/>
      <c r="F998" s="135"/>
      <c r="G998" s="135"/>
      <c r="H998" s="135"/>
      <c r="I998" s="135"/>
      <c r="J998" s="135"/>
      <c r="K998" s="136"/>
      <c r="L998" s="137"/>
    </row>
    <row r="999" ht="12.75" customHeight="1">
      <c r="A999" s="135"/>
      <c r="B999" s="135"/>
      <c r="C999" s="135"/>
      <c r="D999" s="135"/>
      <c r="E999" s="135"/>
      <c r="F999" s="135"/>
      <c r="G999" s="135"/>
      <c r="H999" s="135"/>
      <c r="I999" s="135"/>
      <c r="J999" s="135"/>
      <c r="K999" s="136"/>
      <c r="L999" s="137"/>
    </row>
    <row r="1000" ht="12.75" customHeight="1">
      <c r="A1000" s="135"/>
      <c r="B1000" s="135"/>
      <c r="C1000" s="135"/>
      <c r="D1000" s="135"/>
      <c r="E1000" s="135"/>
      <c r="F1000" s="135"/>
      <c r="G1000" s="135"/>
      <c r="H1000" s="135"/>
      <c r="I1000" s="135"/>
      <c r="J1000" s="135"/>
      <c r="K1000" s="136"/>
      <c r="L1000" s="137"/>
    </row>
    <row r="1001" ht="12.75" customHeight="1">
      <c r="A1001" s="135"/>
      <c r="B1001" s="135"/>
      <c r="C1001" s="135"/>
      <c r="D1001" s="135"/>
      <c r="E1001" s="135"/>
      <c r="F1001" s="135"/>
      <c r="G1001" s="135"/>
      <c r="H1001" s="135"/>
      <c r="I1001" s="135"/>
      <c r="J1001" s="135"/>
      <c r="K1001" s="136"/>
      <c r="L1001" s="137"/>
    </row>
  </sheetData>
  <mergeCells count="2">
    <mergeCell ref="A1:I1"/>
    <mergeCell ref="J1:K1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7.0" topLeftCell="D8" activePane="bottomRight" state="frozen"/>
      <selection activeCell="D1" sqref="D1" pane="topRight"/>
      <selection activeCell="A8" sqref="A8" pane="bottomLeft"/>
      <selection activeCell="D8" sqref="D8" pane="bottomRight"/>
    </sheetView>
  </sheetViews>
  <sheetFormatPr customHeight="1" defaultColWidth="14.43" defaultRowHeight="15.0" outlineLevelCol="1"/>
  <cols>
    <col customWidth="1" min="1" max="1" width="2.71"/>
    <col customWidth="1" min="2" max="2" width="3.0"/>
    <col customWidth="1" min="3" max="3" width="22.0"/>
    <col customWidth="1" hidden="1" min="4" max="9" width="15.71" outlineLevel="1"/>
    <col customWidth="1" min="10" max="45" width="15.71"/>
  </cols>
  <sheetData>
    <row r="1" ht="25.5" customHeight="1">
      <c r="A1" s="194"/>
      <c r="D1" s="54"/>
      <c r="E1" s="54"/>
      <c r="F1" s="54"/>
      <c r="G1" s="54"/>
      <c r="H1" s="54"/>
      <c r="I1" s="54"/>
      <c r="J1" s="5"/>
      <c r="S1" s="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</row>
    <row r="2" ht="25.5" customHeight="1">
      <c r="A2" s="194" t="str">
        <f>Macro!A2</f>
        <v>StartUp Co</v>
      </c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</row>
    <row r="3" ht="12.0" customHeight="1">
      <c r="B3" s="8" t="s">
        <v>1</v>
      </c>
      <c r="D3" s="195">
        <v>2020.0</v>
      </c>
      <c r="E3" s="108"/>
      <c r="F3" s="108"/>
      <c r="G3" s="108"/>
      <c r="H3" s="108"/>
      <c r="I3" s="109"/>
      <c r="J3" s="195">
        <v>2021.0</v>
      </c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9"/>
      <c r="V3" s="195">
        <v>2022.0</v>
      </c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9"/>
      <c r="AH3" s="195">
        <v>2023.0</v>
      </c>
      <c r="AI3" s="108"/>
      <c r="AJ3" s="108"/>
      <c r="AK3" s="108"/>
      <c r="AL3" s="108"/>
      <c r="AM3" s="108"/>
      <c r="AN3" s="108"/>
      <c r="AO3" s="108"/>
      <c r="AP3" s="108"/>
      <c r="AQ3" s="108"/>
      <c r="AR3" s="108"/>
      <c r="AS3" s="109"/>
    </row>
    <row r="4" ht="12.0" customHeight="1">
      <c r="B4" s="8" t="s">
        <v>2</v>
      </c>
      <c r="D4" s="196">
        <v>3.0</v>
      </c>
      <c r="E4" s="197">
        <v>3.0</v>
      </c>
      <c r="F4" s="198">
        <v>3.0</v>
      </c>
      <c r="G4" s="196">
        <v>4.0</v>
      </c>
      <c r="H4" s="197">
        <v>4.0</v>
      </c>
      <c r="I4" s="198">
        <v>4.0</v>
      </c>
      <c r="J4" s="195">
        <v>1.0</v>
      </c>
      <c r="K4" s="199">
        <v>1.0</v>
      </c>
      <c r="L4" s="200">
        <v>1.0</v>
      </c>
      <c r="M4" s="195">
        <v>2.0</v>
      </c>
      <c r="N4" s="199">
        <v>2.0</v>
      </c>
      <c r="O4" s="200">
        <v>2.0</v>
      </c>
      <c r="P4" s="195">
        <v>3.0</v>
      </c>
      <c r="Q4" s="199">
        <v>3.0</v>
      </c>
      <c r="R4" s="200">
        <v>3.0</v>
      </c>
      <c r="S4" s="195">
        <v>4.0</v>
      </c>
      <c r="T4" s="199">
        <v>4.0</v>
      </c>
      <c r="U4" s="200">
        <v>4.0</v>
      </c>
      <c r="V4" s="199">
        <v>1.0</v>
      </c>
      <c r="W4" s="199">
        <v>1.0</v>
      </c>
      <c r="X4" s="200">
        <v>1.0</v>
      </c>
      <c r="Y4" s="195">
        <v>2.0</v>
      </c>
      <c r="Z4" s="199">
        <v>2.0</v>
      </c>
      <c r="AA4" s="200">
        <v>2.0</v>
      </c>
      <c r="AB4" s="195">
        <v>3.0</v>
      </c>
      <c r="AC4" s="199">
        <v>3.0</v>
      </c>
      <c r="AD4" s="200">
        <v>3.0</v>
      </c>
      <c r="AE4" s="195">
        <v>4.0</v>
      </c>
      <c r="AF4" s="199">
        <v>4.0</v>
      </c>
      <c r="AG4" s="200">
        <v>4.0</v>
      </c>
      <c r="AH4" s="199">
        <v>1.0</v>
      </c>
      <c r="AI4" s="199">
        <v>1.0</v>
      </c>
      <c r="AJ4" s="200">
        <v>1.0</v>
      </c>
      <c r="AK4" s="195">
        <v>2.0</v>
      </c>
      <c r="AL4" s="199">
        <v>2.0</v>
      </c>
      <c r="AM4" s="200">
        <v>2.0</v>
      </c>
      <c r="AN4" s="195">
        <v>3.0</v>
      </c>
      <c r="AO4" s="199">
        <v>3.0</v>
      </c>
      <c r="AP4" s="200">
        <v>3.0</v>
      </c>
      <c r="AQ4" s="195">
        <v>4.0</v>
      </c>
      <c r="AR4" s="199">
        <v>4.0</v>
      </c>
      <c r="AS4" s="200">
        <v>4.0</v>
      </c>
    </row>
    <row r="5" ht="12.0" customHeight="1">
      <c r="B5" s="8" t="s">
        <v>7</v>
      </c>
      <c r="D5" s="201">
        <v>43707.0</v>
      </c>
      <c r="E5" s="18">
        <f t="shared" ref="E5:AS5" si="1">EOMONTH(D5,1)</f>
        <v>43738</v>
      </c>
      <c r="F5" s="19">
        <f t="shared" si="1"/>
        <v>43769</v>
      </c>
      <c r="G5" s="17">
        <f t="shared" si="1"/>
        <v>43799</v>
      </c>
      <c r="H5" s="18">
        <f t="shared" si="1"/>
        <v>43830</v>
      </c>
      <c r="I5" s="19">
        <f t="shared" si="1"/>
        <v>43861</v>
      </c>
      <c r="J5" s="17">
        <f t="shared" si="1"/>
        <v>43890</v>
      </c>
      <c r="K5" s="18">
        <f t="shared" si="1"/>
        <v>43921</v>
      </c>
      <c r="L5" s="18">
        <f t="shared" si="1"/>
        <v>43951</v>
      </c>
      <c r="M5" s="17">
        <f t="shared" si="1"/>
        <v>43982</v>
      </c>
      <c r="N5" s="18">
        <f t="shared" si="1"/>
        <v>44012</v>
      </c>
      <c r="O5" s="19">
        <f t="shared" si="1"/>
        <v>44043</v>
      </c>
      <c r="P5" s="18">
        <f t="shared" si="1"/>
        <v>44074</v>
      </c>
      <c r="Q5" s="18">
        <f t="shared" si="1"/>
        <v>44104</v>
      </c>
      <c r="R5" s="18">
        <f t="shared" si="1"/>
        <v>44135</v>
      </c>
      <c r="S5" s="17">
        <f t="shared" si="1"/>
        <v>44165</v>
      </c>
      <c r="T5" s="18">
        <f t="shared" si="1"/>
        <v>44196</v>
      </c>
      <c r="U5" s="19">
        <f t="shared" si="1"/>
        <v>44227</v>
      </c>
      <c r="V5" s="18">
        <f t="shared" si="1"/>
        <v>44255</v>
      </c>
      <c r="W5" s="18">
        <f t="shared" si="1"/>
        <v>44286</v>
      </c>
      <c r="X5" s="18">
        <f t="shared" si="1"/>
        <v>44316</v>
      </c>
      <c r="Y5" s="17">
        <f t="shared" si="1"/>
        <v>44347</v>
      </c>
      <c r="Z5" s="18">
        <f t="shared" si="1"/>
        <v>44377</v>
      </c>
      <c r="AA5" s="19">
        <f t="shared" si="1"/>
        <v>44408</v>
      </c>
      <c r="AB5" s="18">
        <f t="shared" si="1"/>
        <v>44439</v>
      </c>
      <c r="AC5" s="18">
        <f t="shared" si="1"/>
        <v>44469</v>
      </c>
      <c r="AD5" s="18">
        <f t="shared" si="1"/>
        <v>44500</v>
      </c>
      <c r="AE5" s="17">
        <f t="shared" si="1"/>
        <v>44530</v>
      </c>
      <c r="AF5" s="18">
        <f t="shared" si="1"/>
        <v>44561</v>
      </c>
      <c r="AG5" s="19">
        <f t="shared" si="1"/>
        <v>44592</v>
      </c>
      <c r="AH5" s="18">
        <f t="shared" si="1"/>
        <v>44620</v>
      </c>
      <c r="AI5" s="18">
        <f t="shared" si="1"/>
        <v>44651</v>
      </c>
      <c r="AJ5" s="18">
        <f t="shared" si="1"/>
        <v>44681</v>
      </c>
      <c r="AK5" s="17">
        <f t="shared" si="1"/>
        <v>44712</v>
      </c>
      <c r="AL5" s="18">
        <f t="shared" si="1"/>
        <v>44742</v>
      </c>
      <c r="AM5" s="19">
        <f t="shared" si="1"/>
        <v>44773</v>
      </c>
      <c r="AN5" s="18">
        <f t="shared" si="1"/>
        <v>44804</v>
      </c>
      <c r="AO5" s="18">
        <f t="shared" si="1"/>
        <v>44834</v>
      </c>
      <c r="AP5" s="18">
        <f t="shared" si="1"/>
        <v>44865</v>
      </c>
      <c r="AQ5" s="17">
        <f t="shared" si="1"/>
        <v>44895</v>
      </c>
      <c r="AR5" s="18">
        <f t="shared" si="1"/>
        <v>44926</v>
      </c>
      <c r="AS5" s="19">
        <f t="shared" si="1"/>
        <v>44957</v>
      </c>
    </row>
    <row r="6" ht="15.0" customHeight="1">
      <c r="D6" s="202" t="s">
        <v>42</v>
      </c>
      <c r="E6" s="203" t="s">
        <v>42</v>
      </c>
      <c r="F6" s="204" t="s">
        <v>42</v>
      </c>
      <c r="G6" s="202" t="s">
        <v>42</v>
      </c>
      <c r="H6" s="203" t="s">
        <v>42</v>
      </c>
      <c r="I6" s="204" t="s">
        <v>42</v>
      </c>
      <c r="J6" s="205" t="s">
        <v>42</v>
      </c>
      <c r="K6" s="206" t="s">
        <v>42</v>
      </c>
      <c r="L6" s="206" t="s">
        <v>42</v>
      </c>
      <c r="M6" s="205" t="s">
        <v>43</v>
      </c>
      <c r="N6" s="206" t="s">
        <v>43</v>
      </c>
      <c r="O6" s="207" t="s">
        <v>43</v>
      </c>
      <c r="P6" s="205" t="s">
        <v>43</v>
      </c>
      <c r="Q6" s="206" t="s">
        <v>43</v>
      </c>
      <c r="R6" s="207" t="s">
        <v>43</v>
      </c>
      <c r="S6" s="205" t="s">
        <v>43</v>
      </c>
      <c r="T6" s="206" t="s">
        <v>43</v>
      </c>
      <c r="U6" s="207" t="s">
        <v>43</v>
      </c>
      <c r="V6" s="205" t="s">
        <v>43</v>
      </c>
      <c r="W6" s="206" t="s">
        <v>43</v>
      </c>
      <c r="X6" s="207" t="s">
        <v>43</v>
      </c>
      <c r="Y6" s="205" t="s">
        <v>43</v>
      </c>
      <c r="Z6" s="206" t="s">
        <v>43</v>
      </c>
      <c r="AA6" s="207" t="s">
        <v>43</v>
      </c>
      <c r="AB6" s="205" t="s">
        <v>43</v>
      </c>
      <c r="AC6" s="206" t="s">
        <v>43</v>
      </c>
      <c r="AD6" s="207" t="s">
        <v>43</v>
      </c>
      <c r="AE6" s="205" t="s">
        <v>43</v>
      </c>
      <c r="AF6" s="206" t="s">
        <v>43</v>
      </c>
      <c r="AG6" s="207" t="s">
        <v>43</v>
      </c>
      <c r="AH6" s="205" t="s">
        <v>43</v>
      </c>
      <c r="AI6" s="206" t="s">
        <v>43</v>
      </c>
      <c r="AJ6" s="207" t="s">
        <v>43</v>
      </c>
      <c r="AK6" s="205" t="s">
        <v>43</v>
      </c>
      <c r="AL6" s="206" t="s">
        <v>43</v>
      </c>
      <c r="AM6" s="207" t="s">
        <v>43</v>
      </c>
      <c r="AN6" s="205" t="s">
        <v>43</v>
      </c>
      <c r="AO6" s="206" t="s">
        <v>43</v>
      </c>
      <c r="AP6" s="207" t="s">
        <v>43</v>
      </c>
      <c r="AQ6" s="205" t="s">
        <v>43</v>
      </c>
      <c r="AR6" s="206" t="s">
        <v>43</v>
      </c>
      <c r="AS6" s="207" t="s">
        <v>43</v>
      </c>
    </row>
    <row r="7" ht="4.5" customHeight="1">
      <c r="D7" s="116"/>
      <c r="E7" s="117"/>
      <c r="F7" s="118"/>
      <c r="G7" s="116"/>
      <c r="H7" s="117"/>
      <c r="I7" s="118"/>
      <c r="J7" s="116"/>
      <c r="K7" s="117"/>
      <c r="L7" s="117"/>
      <c r="M7" s="116"/>
      <c r="N7" s="117"/>
      <c r="O7" s="118"/>
      <c r="P7" s="117"/>
      <c r="Q7" s="117"/>
      <c r="R7" s="117"/>
      <c r="S7" s="116"/>
      <c r="T7" s="117"/>
      <c r="U7" s="118"/>
      <c r="V7" s="117"/>
      <c r="W7" s="117"/>
      <c r="X7" s="117"/>
      <c r="Y7" s="116"/>
      <c r="Z7" s="117"/>
      <c r="AA7" s="118"/>
      <c r="AB7" s="117"/>
      <c r="AC7" s="117"/>
      <c r="AD7" s="117"/>
      <c r="AE7" s="116"/>
      <c r="AF7" s="117"/>
      <c r="AG7" s="118"/>
      <c r="AH7" s="117"/>
      <c r="AI7" s="117"/>
      <c r="AJ7" s="117"/>
      <c r="AK7" s="116"/>
      <c r="AL7" s="117"/>
      <c r="AM7" s="118"/>
      <c r="AN7" s="117"/>
      <c r="AO7" s="117"/>
      <c r="AP7" s="117"/>
      <c r="AQ7" s="116"/>
      <c r="AR7" s="117"/>
      <c r="AS7" s="118"/>
    </row>
    <row r="8" ht="12.0" customHeight="1">
      <c r="A8" s="29"/>
      <c r="B8" s="122" t="s">
        <v>193</v>
      </c>
      <c r="C8" s="29"/>
      <c r="D8" s="30"/>
      <c r="E8" s="31"/>
      <c r="F8" s="32"/>
      <c r="G8" s="30"/>
      <c r="H8" s="31"/>
      <c r="I8" s="32"/>
      <c r="J8" s="30"/>
      <c r="K8" s="31"/>
      <c r="L8" s="31"/>
      <c r="M8" s="30"/>
      <c r="N8" s="31"/>
      <c r="O8" s="32"/>
      <c r="P8" s="31"/>
      <c r="Q8" s="31"/>
      <c r="R8" s="31"/>
      <c r="S8" s="30"/>
      <c r="T8" s="31"/>
      <c r="U8" s="32"/>
      <c r="V8" s="31"/>
      <c r="W8" s="31"/>
      <c r="X8" s="31"/>
      <c r="Y8" s="30"/>
      <c r="Z8" s="31"/>
      <c r="AA8" s="32"/>
      <c r="AB8" s="31"/>
      <c r="AC8" s="31"/>
      <c r="AD8" s="31"/>
      <c r="AE8" s="30"/>
      <c r="AF8" s="31"/>
      <c r="AG8" s="32"/>
      <c r="AH8" s="31"/>
      <c r="AI8" s="31"/>
      <c r="AJ8" s="31"/>
      <c r="AK8" s="30"/>
      <c r="AL8" s="31"/>
      <c r="AM8" s="32"/>
      <c r="AN8" s="31"/>
      <c r="AO8" s="31"/>
      <c r="AP8" s="31"/>
      <c r="AQ8" s="30"/>
      <c r="AR8" s="31"/>
      <c r="AS8" s="32"/>
    </row>
    <row r="9" ht="12.0" customHeight="1">
      <c r="A9" s="4"/>
      <c r="B9" s="123"/>
      <c r="C9" s="4" t="s">
        <v>194</v>
      </c>
      <c r="D9" s="34"/>
      <c r="E9" s="35">
        <f>Team!E19</f>
        <v>0</v>
      </c>
      <c r="F9" s="36">
        <f>Team!F19</f>
        <v>0</v>
      </c>
      <c r="G9" s="34">
        <f>Team!G19</f>
        <v>0</v>
      </c>
      <c r="H9" s="35">
        <f>Team!H19</f>
        <v>0</v>
      </c>
      <c r="I9" s="36">
        <f>Team!I19</f>
        <v>0</v>
      </c>
      <c r="J9" s="34">
        <f>Team!J19</f>
        <v>0</v>
      </c>
      <c r="K9" s="35">
        <f>Team!K19</f>
        <v>0</v>
      </c>
      <c r="L9" s="35">
        <f>Team!L19</f>
        <v>0</v>
      </c>
      <c r="M9" s="34">
        <f>Team!M19</f>
        <v>0</v>
      </c>
      <c r="N9" s="35">
        <f>Team!N19</f>
        <v>0</v>
      </c>
      <c r="O9" s="36">
        <f>Team!O19</f>
        <v>0</v>
      </c>
      <c r="P9" s="35">
        <f>Team!P19</f>
        <v>1</v>
      </c>
      <c r="Q9" s="35">
        <f>Team!Q19</f>
        <v>0</v>
      </c>
      <c r="R9" s="35">
        <f>Team!R19</f>
        <v>0</v>
      </c>
      <c r="S9" s="34">
        <f>Team!S19</f>
        <v>0</v>
      </c>
      <c r="T9" s="35">
        <f>Team!T19</f>
        <v>0</v>
      </c>
      <c r="U9" s="36">
        <f>Team!U19</f>
        <v>0</v>
      </c>
      <c r="V9" s="35">
        <f>Team!V19</f>
        <v>1</v>
      </c>
      <c r="W9" s="35">
        <f>Team!W19</f>
        <v>0</v>
      </c>
      <c r="X9" s="35">
        <f>Team!X19</f>
        <v>0</v>
      </c>
      <c r="Y9" s="34">
        <f>Team!Y19</f>
        <v>0</v>
      </c>
      <c r="Z9" s="35">
        <f>Team!Z19</f>
        <v>0</v>
      </c>
      <c r="AA9" s="36">
        <f>Team!AA19</f>
        <v>0</v>
      </c>
      <c r="AB9" s="35">
        <f>Team!AB19</f>
        <v>1</v>
      </c>
      <c r="AC9" s="35">
        <f>Team!AC19</f>
        <v>0</v>
      </c>
      <c r="AD9" s="35">
        <f>Team!AD19</f>
        <v>0</v>
      </c>
      <c r="AE9" s="34">
        <f>Team!AE19</f>
        <v>0</v>
      </c>
      <c r="AF9" s="35">
        <f>Team!AF19</f>
        <v>0</v>
      </c>
      <c r="AG9" s="36">
        <f>Team!AG19</f>
        <v>0</v>
      </c>
      <c r="AH9" s="35">
        <f>Team!AH19</f>
        <v>1</v>
      </c>
      <c r="AI9" s="35">
        <f>Team!AI19</f>
        <v>0</v>
      </c>
      <c r="AJ9" s="35">
        <f>Team!AJ19</f>
        <v>0</v>
      </c>
      <c r="AK9" s="34">
        <f>Team!AK19</f>
        <v>0</v>
      </c>
      <c r="AL9" s="35">
        <f>Team!AL19</f>
        <v>0</v>
      </c>
      <c r="AM9" s="36">
        <f>Team!AM19</f>
        <v>0</v>
      </c>
      <c r="AN9" s="35">
        <f>Team!AN19</f>
        <v>1</v>
      </c>
      <c r="AO9" s="35">
        <f>Team!AO19</f>
        <v>0</v>
      </c>
      <c r="AP9" s="35">
        <f>Team!AP19</f>
        <v>0</v>
      </c>
      <c r="AQ9" s="34">
        <f>Team!AQ19</f>
        <v>0</v>
      </c>
      <c r="AR9" s="35">
        <f>Team!AR19</f>
        <v>0</v>
      </c>
      <c r="AS9" s="36">
        <f>Team!AS19</f>
        <v>0</v>
      </c>
    </row>
    <row r="10" ht="12.0" customHeight="1">
      <c r="A10" s="4"/>
      <c r="B10" s="4"/>
      <c r="C10" s="4" t="s">
        <v>195</v>
      </c>
      <c r="D10" s="208"/>
      <c r="E10" s="35">
        <f>Team!E118</f>
        <v>2</v>
      </c>
      <c r="F10" s="36">
        <f>Team!F118</f>
        <v>2</v>
      </c>
      <c r="G10" s="34">
        <f>Team!G118</f>
        <v>2</v>
      </c>
      <c r="H10" s="35">
        <f>Team!H118</f>
        <v>2</v>
      </c>
      <c r="I10" s="36">
        <f>Team!I118</f>
        <v>2</v>
      </c>
      <c r="J10" s="34">
        <f>Team!J118</f>
        <v>2</v>
      </c>
      <c r="K10" s="35">
        <f>Team!K118</f>
        <v>2</v>
      </c>
      <c r="L10" s="35">
        <f>Team!L118</f>
        <v>2</v>
      </c>
      <c r="M10" s="34">
        <f>Team!M118</f>
        <v>2</v>
      </c>
      <c r="N10" s="35">
        <f>Team!N118</f>
        <v>2</v>
      </c>
      <c r="O10" s="36">
        <f>Team!O118</f>
        <v>2</v>
      </c>
      <c r="P10" s="35">
        <f>Team!P118</f>
        <v>3</v>
      </c>
      <c r="Q10" s="35">
        <f>Team!Q118</f>
        <v>3</v>
      </c>
      <c r="R10" s="35">
        <f>Team!R118</f>
        <v>3</v>
      </c>
      <c r="S10" s="34">
        <f>Team!S118</f>
        <v>3</v>
      </c>
      <c r="T10" s="35">
        <f>Team!T118</f>
        <v>3</v>
      </c>
      <c r="U10" s="36">
        <f>Team!U118</f>
        <v>3</v>
      </c>
      <c r="V10" s="35">
        <f>Team!V118</f>
        <v>4</v>
      </c>
      <c r="W10" s="35">
        <f>Team!W118</f>
        <v>4</v>
      </c>
      <c r="X10" s="35">
        <f>Team!X118</f>
        <v>4</v>
      </c>
      <c r="Y10" s="34">
        <f>Team!Y118</f>
        <v>4</v>
      </c>
      <c r="Z10" s="35">
        <f>Team!Z118</f>
        <v>4</v>
      </c>
      <c r="AA10" s="36">
        <f>Team!AA118</f>
        <v>4</v>
      </c>
      <c r="AB10" s="35">
        <f>Team!AB118</f>
        <v>5</v>
      </c>
      <c r="AC10" s="35">
        <f>Team!AC118</f>
        <v>5</v>
      </c>
      <c r="AD10" s="35">
        <f>Team!AD118</f>
        <v>5</v>
      </c>
      <c r="AE10" s="34">
        <f>Team!AE118</f>
        <v>5</v>
      </c>
      <c r="AF10" s="35">
        <f>Team!AF118</f>
        <v>5</v>
      </c>
      <c r="AG10" s="36">
        <f>Team!AG118</f>
        <v>5</v>
      </c>
      <c r="AH10" s="35">
        <f>Team!AH118</f>
        <v>6</v>
      </c>
      <c r="AI10" s="35">
        <f>Team!AI118</f>
        <v>6</v>
      </c>
      <c r="AJ10" s="35">
        <f>Team!AJ118</f>
        <v>6</v>
      </c>
      <c r="AK10" s="34">
        <f>Team!AK118</f>
        <v>6</v>
      </c>
      <c r="AL10" s="35">
        <f>Team!AL118</f>
        <v>6</v>
      </c>
      <c r="AM10" s="36">
        <f>Team!AM118</f>
        <v>6</v>
      </c>
      <c r="AN10" s="35">
        <f>Team!AN118</f>
        <v>7</v>
      </c>
      <c r="AO10" s="35">
        <f>Team!AO118</f>
        <v>7</v>
      </c>
      <c r="AP10" s="35">
        <f>Team!AP118</f>
        <v>7</v>
      </c>
      <c r="AQ10" s="34">
        <f>Team!AQ118</f>
        <v>7</v>
      </c>
      <c r="AR10" s="35">
        <f>Team!AR118</f>
        <v>7</v>
      </c>
      <c r="AS10" s="36">
        <f>Team!AS118</f>
        <v>7</v>
      </c>
    </row>
    <row r="11" ht="12.0" customHeight="1">
      <c r="A11" s="4"/>
      <c r="B11" s="4"/>
      <c r="C11" s="4" t="s">
        <v>196</v>
      </c>
      <c r="D11" s="209"/>
      <c r="E11" s="210"/>
      <c r="F11" s="36" t="str">
        <f>SUM(OFFSET(F9,0,0,1,-Macro!$H$14))</f>
        <v>#VALUE!</v>
      </c>
      <c r="G11" s="34" t="str">
        <f>SUM(OFFSET(G9,0,0,1,-Macro!$H$14))</f>
        <v>#VALUE!</v>
      </c>
      <c r="H11" s="35" t="str">
        <f>SUM(OFFSET(H9,0,0,1,-Macro!$H$14))</f>
        <v>#VALUE!</v>
      </c>
      <c r="I11" s="36" t="str">
        <f>SUM(OFFSET(I9,0,0,1,-Macro!$H$14))</f>
        <v>#VALUE!</v>
      </c>
      <c r="J11" s="34" t="str">
        <f>SUM(OFFSET(J9,0,0,1,-MAX(Macro!$H$14,1)))</f>
        <v>#VALUE!</v>
      </c>
      <c r="K11" s="35" t="str">
        <f>SUM(OFFSET(K9,0,0,1,-MAX(Macro!$H$14,1)))</f>
        <v>#VALUE!</v>
      </c>
      <c r="L11" s="35" t="str">
        <f>SUM(OFFSET(L9,0,0,1,-MAX(Macro!$H$14,1)))</f>
        <v>#VALUE!</v>
      </c>
      <c r="M11" s="34" t="str">
        <f>SUM(OFFSET(M9,0,0,1,-MAX(Macro!$H$14,1)))</f>
        <v>#VALUE!</v>
      </c>
      <c r="N11" s="35" t="str">
        <f>SUM(OFFSET(N9,0,0,1,-MAX(Macro!$H$14,1)))</f>
        <v>#VALUE!</v>
      </c>
      <c r="O11" s="36" t="str">
        <f>SUM(OFFSET(O9,0,0,1,-MAX(Macro!$H$14,1)))</f>
        <v>#VALUE!</v>
      </c>
      <c r="P11" s="35" t="str">
        <f>SUM(OFFSET(P9,0,0,1,-MAX(Macro!$H$14,1)))</f>
        <v>#VALUE!</v>
      </c>
      <c r="Q11" s="35" t="str">
        <f>SUM(OFFSET(Q9,0,0,1,-MAX(Macro!$H$14,1)))</f>
        <v>#VALUE!</v>
      </c>
      <c r="R11" s="35" t="str">
        <f>SUM(OFFSET(R9,0,0,1,-MAX(Macro!$H$14,1)))</f>
        <v>#VALUE!</v>
      </c>
      <c r="S11" s="34" t="str">
        <f>SUM(OFFSET(S9,0,0,1,-MAX(Macro!$H$14,1)))</f>
        <v>#VALUE!</v>
      </c>
      <c r="T11" s="35" t="str">
        <f>SUM(OFFSET(T9,0,0,1,-MAX(Macro!$H$14,1)))</f>
        <v>#VALUE!</v>
      </c>
      <c r="U11" s="36" t="str">
        <f>SUM(OFFSET(U9,0,0,1,-MAX(Macro!$H$14,1)))</f>
        <v>#VALUE!</v>
      </c>
      <c r="V11" s="35" t="str">
        <f>SUM(OFFSET(V9,0,0,1,-MAX(Macro!$H$14,1)))</f>
        <v>#VALUE!</v>
      </c>
      <c r="W11" s="35" t="str">
        <f>SUM(OFFSET(W9,0,0,1,-MAX(Macro!$H$14,1)))</f>
        <v>#VALUE!</v>
      </c>
      <c r="X11" s="35" t="str">
        <f>SUM(OFFSET(X9,0,0,1,-MAX(Macro!$H$14,1)))</f>
        <v>#VALUE!</v>
      </c>
      <c r="Y11" s="34" t="str">
        <f>SUM(OFFSET(Y9,0,0,1,-MAX(Macro!$H$14,1)))</f>
        <v>#VALUE!</v>
      </c>
      <c r="Z11" s="35" t="str">
        <f>SUM(OFFSET(Z9,0,0,1,-MAX(Macro!$H$14,1)))</f>
        <v>#VALUE!</v>
      </c>
      <c r="AA11" s="36" t="str">
        <f>SUM(OFFSET(AA9,0,0,1,-MAX(Macro!$H$14,1)))</f>
        <v>#VALUE!</v>
      </c>
      <c r="AB11" s="35" t="str">
        <f>SUM(OFFSET(AB9,0,0,1,-MAX(Macro!$H$14,1)))</f>
        <v>#VALUE!</v>
      </c>
      <c r="AC11" s="35" t="str">
        <f>SUM(OFFSET(AC9,0,0,1,-MAX(Macro!$H$14,1)))</f>
        <v>#VALUE!</v>
      </c>
      <c r="AD11" s="35" t="str">
        <f>SUM(OFFSET(AD9,0,0,1,-MAX(Macro!$H$14,1)))</f>
        <v>#VALUE!</v>
      </c>
      <c r="AE11" s="34" t="str">
        <f>SUM(OFFSET(AE9,0,0,1,-MAX(Macro!$H$14,1)))</f>
        <v>#VALUE!</v>
      </c>
      <c r="AF11" s="35" t="str">
        <f>SUM(OFFSET(AF9,0,0,1,-MAX(Macro!$H$14,1)))</f>
        <v>#VALUE!</v>
      </c>
      <c r="AG11" s="36" t="str">
        <f>SUM(OFFSET(AG9,0,0,1,-MAX(Macro!$H$14,1)))</f>
        <v>#VALUE!</v>
      </c>
      <c r="AH11" s="35" t="str">
        <f>SUM(OFFSET(AH9,0,0,1,-MAX(Macro!$H$14,1)))</f>
        <v>#VALUE!</v>
      </c>
      <c r="AI11" s="35" t="str">
        <f>SUM(OFFSET(AI9,0,0,1,-MAX(Macro!$H$14,1)))</f>
        <v>#VALUE!</v>
      </c>
      <c r="AJ11" s="35" t="str">
        <f>SUM(OFFSET(AJ9,0,0,1,-MAX(Macro!$H$14,1)))</f>
        <v>#VALUE!</v>
      </c>
      <c r="AK11" s="34" t="str">
        <f>SUM(OFFSET(AK9,0,0,1,-MAX(Macro!$H$14,1)))</f>
        <v>#VALUE!</v>
      </c>
      <c r="AL11" s="35" t="str">
        <f>SUM(OFFSET(AL9,0,0,1,-MAX(Macro!$H$14,1)))</f>
        <v>#VALUE!</v>
      </c>
      <c r="AM11" s="36" t="str">
        <f>SUM(OFFSET(AM9,0,0,1,-MAX(Macro!$H$14,1)))</f>
        <v>#VALUE!</v>
      </c>
      <c r="AN11" s="35" t="str">
        <f>SUM(OFFSET(AN9,0,0,1,-MAX(Macro!$H$14,1)))</f>
        <v>#VALUE!</v>
      </c>
      <c r="AO11" s="35" t="str">
        <f>SUM(OFFSET(AO9,0,0,1,-MAX(Macro!$H$14,1)))</f>
        <v>#VALUE!</v>
      </c>
      <c r="AP11" s="35" t="str">
        <f>SUM(OFFSET(AP9,0,0,1,-MAX(Macro!$H$14,1)))</f>
        <v>#VALUE!</v>
      </c>
      <c r="AQ11" s="34" t="str">
        <f>SUM(OFFSET(AQ9,0,0,1,-MAX(Macro!$H$14,1)))</f>
        <v>#VALUE!</v>
      </c>
      <c r="AR11" s="35" t="str">
        <f>SUM(OFFSET(AR9,0,0,1,-MAX(Macro!$H$14,1)))</f>
        <v>#VALUE!</v>
      </c>
      <c r="AS11" s="36" t="str">
        <f>SUM(OFFSET(AS9,0,0,1,-MAX(Macro!$H$14,1)))</f>
        <v>#VALUE!</v>
      </c>
    </row>
    <row r="12" ht="12.0" customHeight="1">
      <c r="A12" s="4"/>
      <c r="B12" s="4"/>
      <c r="C12" s="4" t="s">
        <v>197</v>
      </c>
      <c r="D12" s="209"/>
      <c r="E12" s="210"/>
      <c r="F12" s="63" t="str">
        <f t="shared" ref="F12:AS12" si="2">F10-F11</f>
        <v>#VALUE!</v>
      </c>
      <c r="G12" s="61" t="str">
        <f t="shared" si="2"/>
        <v>#VALUE!</v>
      </c>
      <c r="H12" s="62" t="str">
        <f t="shared" si="2"/>
        <v>#VALUE!</v>
      </c>
      <c r="I12" s="63" t="str">
        <f t="shared" si="2"/>
        <v>#VALUE!</v>
      </c>
      <c r="J12" s="61" t="str">
        <f t="shared" si="2"/>
        <v>#VALUE!</v>
      </c>
      <c r="K12" s="62" t="str">
        <f t="shared" si="2"/>
        <v>#VALUE!</v>
      </c>
      <c r="L12" s="62" t="str">
        <f t="shared" si="2"/>
        <v>#VALUE!</v>
      </c>
      <c r="M12" s="61" t="str">
        <f t="shared" si="2"/>
        <v>#VALUE!</v>
      </c>
      <c r="N12" s="62" t="str">
        <f t="shared" si="2"/>
        <v>#VALUE!</v>
      </c>
      <c r="O12" s="63" t="str">
        <f t="shared" si="2"/>
        <v>#VALUE!</v>
      </c>
      <c r="P12" s="62" t="str">
        <f t="shared" si="2"/>
        <v>#VALUE!</v>
      </c>
      <c r="Q12" s="62" t="str">
        <f t="shared" si="2"/>
        <v>#VALUE!</v>
      </c>
      <c r="R12" s="62" t="str">
        <f t="shared" si="2"/>
        <v>#VALUE!</v>
      </c>
      <c r="S12" s="61" t="str">
        <f t="shared" si="2"/>
        <v>#VALUE!</v>
      </c>
      <c r="T12" s="62" t="str">
        <f t="shared" si="2"/>
        <v>#VALUE!</v>
      </c>
      <c r="U12" s="63" t="str">
        <f t="shared" si="2"/>
        <v>#VALUE!</v>
      </c>
      <c r="V12" s="62" t="str">
        <f t="shared" si="2"/>
        <v>#VALUE!</v>
      </c>
      <c r="W12" s="62" t="str">
        <f t="shared" si="2"/>
        <v>#VALUE!</v>
      </c>
      <c r="X12" s="62" t="str">
        <f t="shared" si="2"/>
        <v>#VALUE!</v>
      </c>
      <c r="Y12" s="61" t="str">
        <f t="shared" si="2"/>
        <v>#VALUE!</v>
      </c>
      <c r="Z12" s="62" t="str">
        <f t="shared" si="2"/>
        <v>#VALUE!</v>
      </c>
      <c r="AA12" s="63" t="str">
        <f t="shared" si="2"/>
        <v>#VALUE!</v>
      </c>
      <c r="AB12" s="62" t="str">
        <f t="shared" si="2"/>
        <v>#VALUE!</v>
      </c>
      <c r="AC12" s="62" t="str">
        <f t="shared" si="2"/>
        <v>#VALUE!</v>
      </c>
      <c r="AD12" s="62" t="str">
        <f t="shared" si="2"/>
        <v>#VALUE!</v>
      </c>
      <c r="AE12" s="61" t="str">
        <f t="shared" si="2"/>
        <v>#VALUE!</v>
      </c>
      <c r="AF12" s="62" t="str">
        <f t="shared" si="2"/>
        <v>#VALUE!</v>
      </c>
      <c r="AG12" s="63" t="str">
        <f t="shared" si="2"/>
        <v>#VALUE!</v>
      </c>
      <c r="AH12" s="62" t="str">
        <f t="shared" si="2"/>
        <v>#VALUE!</v>
      </c>
      <c r="AI12" s="62" t="str">
        <f t="shared" si="2"/>
        <v>#VALUE!</v>
      </c>
      <c r="AJ12" s="62" t="str">
        <f t="shared" si="2"/>
        <v>#VALUE!</v>
      </c>
      <c r="AK12" s="61" t="str">
        <f t="shared" si="2"/>
        <v>#VALUE!</v>
      </c>
      <c r="AL12" s="62" t="str">
        <f t="shared" si="2"/>
        <v>#VALUE!</v>
      </c>
      <c r="AM12" s="63" t="str">
        <f t="shared" si="2"/>
        <v>#VALUE!</v>
      </c>
      <c r="AN12" s="62" t="str">
        <f t="shared" si="2"/>
        <v>#VALUE!</v>
      </c>
      <c r="AO12" s="62" t="str">
        <f t="shared" si="2"/>
        <v>#VALUE!</v>
      </c>
      <c r="AP12" s="62" t="str">
        <f t="shared" si="2"/>
        <v>#VALUE!</v>
      </c>
      <c r="AQ12" s="61" t="str">
        <f t="shared" si="2"/>
        <v>#VALUE!</v>
      </c>
      <c r="AR12" s="62" t="str">
        <f t="shared" si="2"/>
        <v>#VALUE!</v>
      </c>
      <c r="AS12" s="63" t="str">
        <f t="shared" si="2"/>
        <v>#VALUE!</v>
      </c>
    </row>
    <row r="13" ht="12.0" customHeight="1">
      <c r="A13" s="4"/>
      <c r="B13" s="4"/>
      <c r="C13" s="4"/>
      <c r="D13" s="209"/>
      <c r="E13" s="210"/>
      <c r="F13" s="211"/>
      <c r="G13" s="61"/>
      <c r="H13" s="62"/>
      <c r="I13" s="63"/>
      <c r="J13" s="61"/>
      <c r="K13" s="62"/>
      <c r="L13" s="62"/>
      <c r="M13" s="61"/>
      <c r="N13" s="62"/>
      <c r="O13" s="63"/>
      <c r="P13" s="62"/>
      <c r="Q13" s="62"/>
      <c r="R13" s="62"/>
      <c r="S13" s="61"/>
      <c r="T13" s="62"/>
      <c r="U13" s="63"/>
      <c r="V13" s="62"/>
      <c r="W13" s="62"/>
      <c r="X13" s="62"/>
      <c r="Y13" s="61"/>
      <c r="Z13" s="62"/>
      <c r="AA13" s="63"/>
      <c r="AB13" s="62"/>
      <c r="AC13" s="62"/>
      <c r="AD13" s="62"/>
      <c r="AE13" s="61"/>
      <c r="AF13" s="62"/>
      <c r="AG13" s="63"/>
      <c r="AH13" s="62"/>
      <c r="AI13" s="62"/>
      <c r="AJ13" s="62"/>
      <c r="AK13" s="61"/>
      <c r="AL13" s="62"/>
      <c r="AM13" s="63"/>
      <c r="AN13" s="62"/>
      <c r="AO13" s="62"/>
      <c r="AP13" s="62"/>
      <c r="AQ13" s="61"/>
      <c r="AR13" s="62"/>
      <c r="AS13" s="63"/>
    </row>
    <row r="14" ht="12.0" customHeight="1">
      <c r="A14" s="4"/>
      <c r="B14" s="4"/>
      <c r="C14" s="123" t="s">
        <v>198</v>
      </c>
      <c r="D14" s="209"/>
      <c r="E14" s="210"/>
      <c r="F14" s="211"/>
      <c r="G14" s="61"/>
      <c r="H14" s="62"/>
      <c r="I14" s="63"/>
      <c r="J14" s="61"/>
      <c r="K14" s="62"/>
      <c r="L14" s="62"/>
      <c r="M14" s="61"/>
      <c r="N14" s="62"/>
      <c r="O14" s="63"/>
      <c r="P14" s="62"/>
      <c r="Q14" s="62"/>
      <c r="R14" s="62"/>
      <c r="S14" s="61"/>
      <c r="T14" s="62"/>
      <c r="U14" s="63"/>
      <c r="V14" s="62"/>
      <c r="W14" s="62"/>
      <c r="X14" s="62"/>
      <c r="Y14" s="61"/>
      <c r="Z14" s="62"/>
      <c r="AA14" s="63"/>
      <c r="AB14" s="62"/>
      <c r="AC14" s="62"/>
      <c r="AD14" s="62"/>
      <c r="AE14" s="61"/>
      <c r="AF14" s="62"/>
      <c r="AG14" s="63"/>
      <c r="AH14" s="62"/>
      <c r="AI14" s="62"/>
      <c r="AJ14" s="62"/>
      <c r="AK14" s="61"/>
      <c r="AL14" s="62"/>
      <c r="AM14" s="63"/>
      <c r="AN14" s="62"/>
      <c r="AO14" s="62"/>
      <c r="AP14" s="62"/>
      <c r="AQ14" s="61"/>
      <c r="AR14" s="62"/>
      <c r="AS14" s="63"/>
    </row>
    <row r="15" ht="12.0" customHeight="1">
      <c r="A15" s="4"/>
      <c r="B15" s="4"/>
      <c r="C15" s="4" t="s">
        <v>199</v>
      </c>
      <c r="D15" s="212">
        <v>1.0</v>
      </c>
      <c r="E15" s="213">
        <v>1.0</v>
      </c>
      <c r="F15" s="214">
        <v>1.0</v>
      </c>
      <c r="G15" s="212">
        <v>2.0</v>
      </c>
      <c r="H15" s="213">
        <v>2.0</v>
      </c>
      <c r="I15" s="214">
        <v>2.0</v>
      </c>
      <c r="J15" s="212">
        <v>4.0</v>
      </c>
      <c r="K15" s="213">
        <v>4.0</v>
      </c>
      <c r="L15" s="213">
        <v>4.0</v>
      </c>
      <c r="M15" s="34" t="str">
        <f>ROUND(M11*Macro!$H$13+M12*Macro!$H$15,0)</f>
        <v>#VALUE!</v>
      </c>
      <c r="N15" s="35" t="str">
        <f>ROUND(N11*Macro!$H$13+N12*Macro!$H$15,0)</f>
        <v>#VALUE!</v>
      </c>
      <c r="O15" s="36" t="str">
        <f>ROUND(O11*Macro!$H$13+O12*Macro!$H$15,0)</f>
        <v>#VALUE!</v>
      </c>
      <c r="P15" s="35" t="str">
        <f>ROUND(P11*Macro!$H$13+P12*Macro!$H$15,0)</f>
        <v>#VALUE!</v>
      </c>
      <c r="Q15" s="35" t="str">
        <f>ROUND(Q11*Macro!$H$13+Q12*Macro!$H$15,0)</f>
        <v>#VALUE!</v>
      </c>
      <c r="R15" s="35" t="str">
        <f>ROUND(R11*Macro!$H$13+R12*Macro!$H$15,0)</f>
        <v>#VALUE!</v>
      </c>
      <c r="S15" s="34" t="str">
        <f>ROUND(S11*Macro!$H$13+S12*Macro!$H$15,0)</f>
        <v>#VALUE!</v>
      </c>
      <c r="T15" s="35" t="str">
        <f>ROUND(T11*Macro!$H$13+T12*Macro!$H$15,0)</f>
        <v>#VALUE!</v>
      </c>
      <c r="U15" s="36" t="str">
        <f>ROUND(U11*Macro!$H$13+U12*Macro!$H$15,0)</f>
        <v>#VALUE!</v>
      </c>
      <c r="V15" s="35" t="str">
        <f>ROUND(V11*Macro!$H$13+V12*Macro!$H$15,0)</f>
        <v>#VALUE!</v>
      </c>
      <c r="W15" s="35" t="str">
        <f>ROUND(W11*Macro!$H$13+W12*Macro!$H$15,0)</f>
        <v>#VALUE!</v>
      </c>
      <c r="X15" s="35" t="str">
        <f>ROUND(X11*Macro!$H$13+X12*Macro!$H$15,0)</f>
        <v>#VALUE!</v>
      </c>
      <c r="Y15" s="34" t="str">
        <f>ROUND(Y11*Macro!$H$13+Y12*Macro!$H$15,0)</f>
        <v>#VALUE!</v>
      </c>
      <c r="Z15" s="35" t="str">
        <f>ROUND(Z11*Macro!$H$13+Z12*Macro!$H$15,0)</f>
        <v>#VALUE!</v>
      </c>
      <c r="AA15" s="36" t="str">
        <f>ROUND(AA11*Macro!$H$13+AA12*Macro!$H$15,0)</f>
        <v>#VALUE!</v>
      </c>
      <c r="AB15" s="35" t="str">
        <f>ROUND(AB11*Macro!$H$13+AB12*Macro!$H$15,0)</f>
        <v>#VALUE!</v>
      </c>
      <c r="AC15" s="35" t="str">
        <f>ROUND(AC11*Macro!$H$13+AC12*Macro!$H$15,0)</f>
        <v>#VALUE!</v>
      </c>
      <c r="AD15" s="35" t="str">
        <f>ROUND(AD11*Macro!$H$13+AD12*Macro!$H$15,0)</f>
        <v>#VALUE!</v>
      </c>
      <c r="AE15" s="34" t="str">
        <f>ROUND(AE11*Macro!$H$13+AE12*Macro!$H$15,0)</f>
        <v>#VALUE!</v>
      </c>
      <c r="AF15" s="35" t="str">
        <f>ROUND(AF11*Macro!$H$13+AF12*Macro!$H$15,0)</f>
        <v>#VALUE!</v>
      </c>
      <c r="AG15" s="36" t="str">
        <f>ROUND(AG11*Macro!$H$13+AG12*Macro!$H$15,0)</f>
        <v>#VALUE!</v>
      </c>
      <c r="AH15" s="35" t="str">
        <f>ROUND(AH11*Macro!$H$13+AH12*Macro!$H$15,0)</f>
        <v>#VALUE!</v>
      </c>
      <c r="AI15" s="35" t="str">
        <f>ROUND(AI11*Macro!$H$13+AI12*Macro!$H$15,0)</f>
        <v>#VALUE!</v>
      </c>
      <c r="AJ15" s="35" t="str">
        <f>ROUND(AJ11*Macro!$H$13+AJ12*Macro!$H$15,0)</f>
        <v>#VALUE!</v>
      </c>
      <c r="AK15" s="34" t="str">
        <f>ROUND(AK11*Macro!$H$13+AK12*Macro!$H$15,0)</f>
        <v>#VALUE!</v>
      </c>
      <c r="AL15" s="35" t="str">
        <f>ROUND(AL11*Macro!$H$13+AL12*Macro!$H$15,0)</f>
        <v>#VALUE!</v>
      </c>
      <c r="AM15" s="36" t="str">
        <f>ROUND(AM11*Macro!$H$13+AM12*Macro!$H$15,0)</f>
        <v>#VALUE!</v>
      </c>
      <c r="AN15" s="35" t="str">
        <f>ROUND(AN11*Macro!$H$13+AN12*Macro!$H$15,0)</f>
        <v>#VALUE!</v>
      </c>
      <c r="AO15" s="35" t="str">
        <f>ROUND(AO11*Macro!$H$13+AO12*Macro!$H$15,0)</f>
        <v>#VALUE!</v>
      </c>
      <c r="AP15" s="35" t="str">
        <f>ROUND(AP11*Macro!$H$13+AP12*Macro!$H$15,0)</f>
        <v>#VALUE!</v>
      </c>
      <c r="AQ15" s="34" t="str">
        <f>ROUND(AQ11*Macro!$H$13+AQ12*Macro!$H$15,0)</f>
        <v>#VALUE!</v>
      </c>
      <c r="AR15" s="35" t="str">
        <f>ROUND(AR11*Macro!$H$13+AR12*Macro!$H$15,0)</f>
        <v>#VALUE!</v>
      </c>
      <c r="AS15" s="36" t="str">
        <f>ROUND(AS11*Macro!$H$13+AS12*Macro!$H$15,0)</f>
        <v>#VALUE!</v>
      </c>
    </row>
    <row r="16" ht="12.0" customHeight="1">
      <c r="A16" s="4"/>
      <c r="B16" s="4"/>
      <c r="C16" s="47" t="s">
        <v>200</v>
      </c>
      <c r="D16" s="215">
        <v>20000.0</v>
      </c>
      <c r="E16" s="216">
        <v>20000.0</v>
      </c>
      <c r="F16" s="217">
        <v>20000.0</v>
      </c>
      <c r="G16" s="215">
        <v>25000.0</v>
      </c>
      <c r="H16" s="216">
        <v>25000.0</v>
      </c>
      <c r="I16" s="217">
        <v>25000.0</v>
      </c>
      <c r="J16" s="215">
        <v>40000.0</v>
      </c>
      <c r="K16" s="216">
        <v>40000.0</v>
      </c>
      <c r="L16" s="216">
        <v>40000.0</v>
      </c>
      <c r="M16" s="48">
        <f>Macro!$H$18</f>
        <v>50000</v>
      </c>
      <c r="N16" s="49">
        <f>Macro!$H$18</f>
        <v>50000</v>
      </c>
      <c r="O16" s="50">
        <f>Macro!$H$18</f>
        <v>50000</v>
      </c>
      <c r="P16" s="49">
        <f>Macro!$H$18</f>
        <v>50000</v>
      </c>
      <c r="Q16" s="49">
        <f>Macro!$H$18</f>
        <v>50000</v>
      </c>
      <c r="R16" s="49">
        <f>Macro!$H$18</f>
        <v>50000</v>
      </c>
      <c r="S16" s="48">
        <f>Macro!$H$18</f>
        <v>50000</v>
      </c>
      <c r="T16" s="49">
        <f>Macro!$H$18</f>
        <v>50000</v>
      </c>
      <c r="U16" s="50">
        <f>Macro!$H$18</f>
        <v>50000</v>
      </c>
      <c r="V16" s="49">
        <f>Macro!$H$18</f>
        <v>50000</v>
      </c>
      <c r="W16" s="49">
        <f>Macro!$H$18</f>
        <v>50000</v>
      </c>
      <c r="X16" s="49">
        <f>Macro!$H$18</f>
        <v>50000</v>
      </c>
      <c r="Y16" s="48">
        <f>Macro!$H$18</f>
        <v>50000</v>
      </c>
      <c r="Z16" s="49">
        <f>Macro!$H$18</f>
        <v>50000</v>
      </c>
      <c r="AA16" s="50">
        <f>Macro!$H$18</f>
        <v>50000</v>
      </c>
      <c r="AB16" s="49">
        <f>Macro!$H$18</f>
        <v>50000</v>
      </c>
      <c r="AC16" s="49">
        <f>Macro!$H$18</f>
        <v>50000</v>
      </c>
      <c r="AD16" s="49">
        <f>Macro!$H$18</f>
        <v>50000</v>
      </c>
      <c r="AE16" s="48">
        <f>Macro!$H$18</f>
        <v>50000</v>
      </c>
      <c r="AF16" s="49">
        <f>Macro!$H$18</f>
        <v>50000</v>
      </c>
      <c r="AG16" s="50">
        <f>Macro!$H$18</f>
        <v>50000</v>
      </c>
      <c r="AH16" s="49">
        <f>Macro!$H$18</f>
        <v>50000</v>
      </c>
      <c r="AI16" s="49">
        <f>Macro!$H$18</f>
        <v>50000</v>
      </c>
      <c r="AJ16" s="49">
        <f>Macro!$H$18</f>
        <v>50000</v>
      </c>
      <c r="AK16" s="48">
        <f>Macro!$H$18</f>
        <v>50000</v>
      </c>
      <c r="AL16" s="49">
        <f>Macro!$H$18</f>
        <v>50000</v>
      </c>
      <c r="AM16" s="50">
        <f>Macro!$H$18</f>
        <v>50000</v>
      </c>
      <c r="AN16" s="49">
        <f>Macro!$H$18</f>
        <v>50000</v>
      </c>
      <c r="AO16" s="49">
        <f>Macro!$H$18</f>
        <v>50000</v>
      </c>
      <c r="AP16" s="49">
        <f>Macro!$H$18</f>
        <v>50000</v>
      </c>
      <c r="AQ16" s="48">
        <f>Macro!$H$18</f>
        <v>50000</v>
      </c>
      <c r="AR16" s="49">
        <f>Macro!$H$18</f>
        <v>50000</v>
      </c>
      <c r="AS16" s="50">
        <f>Macro!$H$18</f>
        <v>50000</v>
      </c>
    </row>
    <row r="17" ht="12.0" customHeight="1">
      <c r="A17" s="4"/>
      <c r="B17" s="4"/>
      <c r="C17" s="4" t="s">
        <v>201</v>
      </c>
      <c r="D17" s="218">
        <f t="shared" ref="D17:AS17" si="3">D15*D16</f>
        <v>20000</v>
      </c>
      <c r="E17" s="219">
        <f t="shared" si="3"/>
        <v>20000</v>
      </c>
      <c r="F17" s="220">
        <f t="shared" si="3"/>
        <v>20000</v>
      </c>
      <c r="G17" s="218">
        <f t="shared" si="3"/>
        <v>50000</v>
      </c>
      <c r="H17" s="219">
        <f t="shared" si="3"/>
        <v>50000</v>
      </c>
      <c r="I17" s="220">
        <f t="shared" si="3"/>
        <v>50000</v>
      </c>
      <c r="J17" s="218">
        <f t="shared" si="3"/>
        <v>160000</v>
      </c>
      <c r="K17" s="219">
        <f t="shared" si="3"/>
        <v>160000</v>
      </c>
      <c r="L17" s="219">
        <f t="shared" si="3"/>
        <v>160000</v>
      </c>
      <c r="M17" s="61" t="str">
        <f t="shared" si="3"/>
        <v>#VALUE!</v>
      </c>
      <c r="N17" s="62" t="str">
        <f t="shared" si="3"/>
        <v>#VALUE!</v>
      </c>
      <c r="O17" s="63" t="str">
        <f t="shared" si="3"/>
        <v>#VALUE!</v>
      </c>
      <c r="P17" s="62" t="str">
        <f t="shared" si="3"/>
        <v>#VALUE!</v>
      </c>
      <c r="Q17" s="62" t="str">
        <f t="shared" si="3"/>
        <v>#VALUE!</v>
      </c>
      <c r="R17" s="62" t="str">
        <f t="shared" si="3"/>
        <v>#VALUE!</v>
      </c>
      <c r="S17" s="61" t="str">
        <f t="shared" si="3"/>
        <v>#VALUE!</v>
      </c>
      <c r="T17" s="62" t="str">
        <f t="shared" si="3"/>
        <v>#VALUE!</v>
      </c>
      <c r="U17" s="63" t="str">
        <f t="shared" si="3"/>
        <v>#VALUE!</v>
      </c>
      <c r="V17" s="62" t="str">
        <f t="shared" si="3"/>
        <v>#VALUE!</v>
      </c>
      <c r="W17" s="62" t="str">
        <f t="shared" si="3"/>
        <v>#VALUE!</v>
      </c>
      <c r="X17" s="62" t="str">
        <f t="shared" si="3"/>
        <v>#VALUE!</v>
      </c>
      <c r="Y17" s="61" t="str">
        <f t="shared" si="3"/>
        <v>#VALUE!</v>
      </c>
      <c r="Z17" s="62" t="str">
        <f t="shared" si="3"/>
        <v>#VALUE!</v>
      </c>
      <c r="AA17" s="63" t="str">
        <f t="shared" si="3"/>
        <v>#VALUE!</v>
      </c>
      <c r="AB17" s="62" t="str">
        <f t="shared" si="3"/>
        <v>#VALUE!</v>
      </c>
      <c r="AC17" s="62" t="str">
        <f t="shared" si="3"/>
        <v>#VALUE!</v>
      </c>
      <c r="AD17" s="62" t="str">
        <f t="shared" si="3"/>
        <v>#VALUE!</v>
      </c>
      <c r="AE17" s="61" t="str">
        <f t="shared" si="3"/>
        <v>#VALUE!</v>
      </c>
      <c r="AF17" s="62" t="str">
        <f t="shared" si="3"/>
        <v>#VALUE!</v>
      </c>
      <c r="AG17" s="63" t="str">
        <f t="shared" si="3"/>
        <v>#VALUE!</v>
      </c>
      <c r="AH17" s="62" t="str">
        <f t="shared" si="3"/>
        <v>#VALUE!</v>
      </c>
      <c r="AI17" s="62" t="str">
        <f t="shared" si="3"/>
        <v>#VALUE!</v>
      </c>
      <c r="AJ17" s="62" t="str">
        <f t="shared" si="3"/>
        <v>#VALUE!</v>
      </c>
      <c r="AK17" s="61" t="str">
        <f t="shared" si="3"/>
        <v>#VALUE!</v>
      </c>
      <c r="AL17" s="62" t="str">
        <f t="shared" si="3"/>
        <v>#VALUE!</v>
      </c>
      <c r="AM17" s="63" t="str">
        <f t="shared" si="3"/>
        <v>#VALUE!</v>
      </c>
      <c r="AN17" s="62" t="str">
        <f t="shared" si="3"/>
        <v>#VALUE!</v>
      </c>
      <c r="AO17" s="62" t="str">
        <f t="shared" si="3"/>
        <v>#VALUE!</v>
      </c>
      <c r="AP17" s="62" t="str">
        <f t="shared" si="3"/>
        <v>#VALUE!</v>
      </c>
      <c r="AQ17" s="61" t="str">
        <f t="shared" si="3"/>
        <v>#VALUE!</v>
      </c>
      <c r="AR17" s="62" t="str">
        <f t="shared" si="3"/>
        <v>#VALUE!</v>
      </c>
      <c r="AS17" s="63" t="str">
        <f t="shared" si="3"/>
        <v>#VALUE!</v>
      </c>
    </row>
    <row r="18" ht="12.0" customHeight="1">
      <c r="A18" s="4"/>
      <c r="B18" s="4"/>
      <c r="C18" s="4"/>
      <c r="D18" s="64"/>
      <c r="E18" s="4"/>
      <c r="F18" s="65"/>
      <c r="G18" s="64"/>
      <c r="H18" s="4"/>
      <c r="I18" s="65"/>
      <c r="J18" s="64"/>
      <c r="K18" s="4"/>
      <c r="L18" s="4"/>
      <c r="M18" s="64"/>
      <c r="N18" s="4"/>
      <c r="O18" s="65"/>
      <c r="P18" s="4"/>
      <c r="Q18" s="4"/>
      <c r="R18" s="4"/>
      <c r="S18" s="64"/>
      <c r="T18" s="4"/>
      <c r="U18" s="65"/>
      <c r="V18" s="4"/>
      <c r="W18" s="4"/>
      <c r="X18" s="4"/>
      <c r="Y18" s="64"/>
      <c r="Z18" s="4"/>
      <c r="AA18" s="65"/>
      <c r="AB18" s="4"/>
      <c r="AC18" s="4"/>
      <c r="AD18" s="4"/>
      <c r="AE18" s="64"/>
      <c r="AF18" s="4"/>
      <c r="AG18" s="65"/>
      <c r="AH18" s="4"/>
      <c r="AI18" s="4"/>
      <c r="AJ18" s="4"/>
      <c r="AK18" s="64"/>
      <c r="AL18" s="4"/>
      <c r="AM18" s="65"/>
      <c r="AN18" s="4"/>
      <c r="AO18" s="4"/>
      <c r="AP18" s="4"/>
      <c r="AQ18" s="64"/>
      <c r="AR18" s="4"/>
      <c r="AS18" s="65"/>
    </row>
    <row r="19" ht="12.0" customHeight="1">
      <c r="A19" s="4"/>
      <c r="B19" s="4"/>
      <c r="C19" s="8" t="s">
        <v>202</v>
      </c>
      <c r="D19" s="64"/>
      <c r="E19" s="4"/>
      <c r="F19" s="65"/>
      <c r="G19" s="64"/>
      <c r="H19" s="4"/>
      <c r="I19" s="65"/>
      <c r="J19" s="64"/>
      <c r="K19" s="4"/>
      <c r="L19" s="4"/>
      <c r="M19" s="64"/>
      <c r="N19" s="4"/>
      <c r="O19" s="65"/>
      <c r="P19" s="4"/>
      <c r="Q19" s="4"/>
      <c r="R19" s="4"/>
      <c r="S19" s="64"/>
      <c r="T19" s="4"/>
      <c r="U19" s="65"/>
      <c r="V19" s="4"/>
      <c r="W19" s="4"/>
      <c r="X19" s="4"/>
      <c r="Y19" s="64"/>
      <c r="Z19" s="4"/>
      <c r="AA19" s="65"/>
      <c r="AB19" s="4"/>
      <c r="AC19" s="4"/>
      <c r="AD19" s="4"/>
      <c r="AE19" s="64"/>
      <c r="AF19" s="4"/>
      <c r="AG19" s="65"/>
      <c r="AH19" s="4"/>
      <c r="AI19" s="4"/>
      <c r="AJ19" s="4"/>
      <c r="AK19" s="64"/>
      <c r="AL19" s="4"/>
      <c r="AM19" s="65"/>
      <c r="AN19" s="4"/>
      <c r="AO19" s="4"/>
      <c r="AP19" s="4"/>
      <c r="AQ19" s="64"/>
      <c r="AR19" s="4"/>
      <c r="AS19" s="65"/>
    </row>
    <row r="20" ht="12.0" customHeight="1">
      <c r="A20" s="4"/>
      <c r="B20" s="4"/>
      <c r="C20" s="4" t="s">
        <v>203</v>
      </c>
      <c r="D20" s="221">
        <v>0.0</v>
      </c>
      <c r="E20" s="222">
        <v>0.0</v>
      </c>
      <c r="F20" s="223">
        <v>0.0</v>
      </c>
      <c r="G20" s="221">
        <v>0.0</v>
      </c>
      <c r="H20" s="222">
        <v>0.0</v>
      </c>
      <c r="I20" s="223">
        <v>0.0</v>
      </c>
      <c r="J20" s="221">
        <v>0.0</v>
      </c>
      <c r="K20" s="222">
        <v>0.0</v>
      </c>
      <c r="L20" s="222">
        <v>0.0</v>
      </c>
      <c r="M20" s="34">
        <f>ROUNDUP(IF(ISNUMBER(OFFSET(M15,0,-Macro!$H$19))=TRUE,OFFSET(M15,0,-Macro!$H$19)*Macro!$H$22,0),0)</f>
        <v>0</v>
      </c>
      <c r="N20" s="35">
        <f>ROUNDUP(IF(ISNUMBER(OFFSET(N15,0,-Macro!$H$19))=TRUE,OFFSET(N15,0,-Macro!$H$19)*Macro!$H$22,0),0)</f>
        <v>0</v>
      </c>
      <c r="O20" s="36">
        <f>ROUNDUP(IF(ISNUMBER(OFFSET(O15,0,-Macro!$H$19))=TRUE,OFFSET(O15,0,-Macro!$H$19)*Macro!$H$22,0),0)</f>
        <v>0</v>
      </c>
      <c r="P20" s="35">
        <f>ROUNDUP(IF(ISNUMBER(OFFSET(P15,0,-Macro!$H$19))=TRUE,OFFSET(P15,0,-Macro!$H$19)*Macro!$H$22,0),0)</f>
        <v>1</v>
      </c>
      <c r="Q20" s="35">
        <f>ROUNDUP(IF(ISNUMBER(OFFSET(Q15,0,-Macro!$H$19))=TRUE,OFFSET(Q15,0,-Macro!$H$19)*Macro!$H$22,0),0)</f>
        <v>1</v>
      </c>
      <c r="R20" s="35">
        <f>ROUNDUP(IF(ISNUMBER(OFFSET(R15,0,-Macro!$H$19))=TRUE,OFFSET(R15,0,-Macro!$H$19)*Macro!$H$22,0),0)</f>
        <v>1</v>
      </c>
      <c r="S20" s="34">
        <f>ROUNDUP(IF(ISNUMBER(OFFSET(S15,0,-Macro!$H$19))=TRUE,OFFSET(S15,0,-Macro!$H$19)*Macro!$H$22,0),0)</f>
        <v>1</v>
      </c>
      <c r="T20" s="35">
        <f>ROUNDUP(IF(ISNUMBER(OFFSET(T15,0,-Macro!$H$19))=TRUE,OFFSET(T15,0,-Macro!$H$19)*Macro!$H$22,0),0)</f>
        <v>1</v>
      </c>
      <c r="U20" s="36">
        <f>ROUNDUP(IF(ISNUMBER(OFFSET(U15,0,-Macro!$H$19))=TRUE,OFFSET(U15,0,-Macro!$H$19)*Macro!$H$22,0),0)</f>
        <v>1</v>
      </c>
      <c r="V20" s="35">
        <f>ROUNDUP(IF(ISNUMBER(OFFSET(V15,0,-Macro!$H$19))=TRUE,OFFSET(V15,0,-Macro!$H$19)*Macro!$H$22,0),0)</f>
        <v>1</v>
      </c>
      <c r="W20" s="35">
        <f>ROUNDUP(IF(ISNUMBER(OFFSET(W15,0,-Macro!$H$19))=TRUE,OFFSET(W15,0,-Macro!$H$19)*Macro!$H$22,0),0)</f>
        <v>1</v>
      </c>
      <c r="X20" s="35">
        <f>ROUNDUP(IF(ISNUMBER(OFFSET(X15,0,-Macro!$H$19))=TRUE,OFFSET(X15,0,-Macro!$H$19)*Macro!$H$22,0),0)</f>
        <v>1</v>
      </c>
      <c r="Y20" s="34">
        <f>ROUNDUP(IF(ISNUMBER(OFFSET(Y15,0,-Macro!$H$19))=TRUE,OFFSET(Y15,0,-Macro!$H$19)*Macro!$H$22,0),0)</f>
        <v>0</v>
      </c>
      <c r="Z20" s="35">
        <f>ROUNDUP(IF(ISNUMBER(OFFSET(Z15,0,-Macro!$H$19))=TRUE,OFFSET(Z15,0,-Macro!$H$19)*Macro!$H$22,0),0)</f>
        <v>0</v>
      </c>
      <c r="AA20" s="36">
        <f>ROUNDUP(IF(ISNUMBER(OFFSET(AA15,0,-Macro!$H$19))=TRUE,OFFSET(AA15,0,-Macro!$H$19)*Macro!$H$22,0),0)</f>
        <v>0</v>
      </c>
      <c r="AB20" s="35">
        <f>ROUNDUP(IF(ISNUMBER(OFFSET(AB15,0,-Macro!$H$19))=TRUE,OFFSET(AB15,0,-Macro!$H$19)*Macro!$H$22,0),0)</f>
        <v>0</v>
      </c>
      <c r="AC20" s="35">
        <f>ROUNDUP(IF(ISNUMBER(OFFSET(AC15,0,-Macro!$H$19))=TRUE,OFFSET(AC15,0,-Macro!$H$19)*Macro!$H$22,0),0)</f>
        <v>0</v>
      </c>
      <c r="AD20" s="35">
        <f>ROUNDUP(IF(ISNUMBER(OFFSET(AD15,0,-Macro!$H$19))=TRUE,OFFSET(AD15,0,-Macro!$H$19)*Macro!$H$22,0),0)</f>
        <v>0</v>
      </c>
      <c r="AE20" s="34">
        <f>ROUNDUP(IF(ISNUMBER(OFFSET(AE15,0,-Macro!$H$19))=TRUE,OFFSET(AE15,0,-Macro!$H$19)*Macro!$H$22,0),0)</f>
        <v>0</v>
      </c>
      <c r="AF20" s="35">
        <f>ROUNDUP(IF(ISNUMBER(OFFSET(AF15,0,-Macro!$H$19))=TRUE,OFFSET(AF15,0,-Macro!$H$19)*Macro!$H$22,0),0)</f>
        <v>0</v>
      </c>
      <c r="AG20" s="36">
        <f>ROUNDUP(IF(ISNUMBER(OFFSET(AG15,0,-Macro!$H$19))=TRUE,OFFSET(AG15,0,-Macro!$H$19)*Macro!$H$22,0),0)</f>
        <v>0</v>
      </c>
      <c r="AH20" s="35">
        <f>ROUNDUP(IF(ISNUMBER(OFFSET(AH15,0,-Macro!$H$19))=TRUE,OFFSET(AH15,0,-Macro!$H$19)*Macro!$H$22,0),0)</f>
        <v>0</v>
      </c>
      <c r="AI20" s="35">
        <f>ROUNDUP(IF(ISNUMBER(OFFSET(AI15,0,-Macro!$H$19))=TRUE,OFFSET(AI15,0,-Macro!$H$19)*Macro!$H$22,0),0)</f>
        <v>0</v>
      </c>
      <c r="AJ20" s="35">
        <f>ROUNDUP(IF(ISNUMBER(OFFSET(AJ15,0,-Macro!$H$19))=TRUE,OFFSET(AJ15,0,-Macro!$H$19)*Macro!$H$22,0),0)</f>
        <v>0</v>
      </c>
      <c r="AK20" s="34">
        <f>ROUNDUP(IF(ISNUMBER(OFFSET(AK15,0,-Macro!$H$19))=TRUE,OFFSET(AK15,0,-Macro!$H$19)*Macro!$H$22,0),0)</f>
        <v>0</v>
      </c>
      <c r="AL20" s="35">
        <f>ROUNDUP(IF(ISNUMBER(OFFSET(AL15,0,-Macro!$H$19))=TRUE,OFFSET(AL15,0,-Macro!$H$19)*Macro!$H$22,0),0)</f>
        <v>0</v>
      </c>
      <c r="AM20" s="36">
        <f>ROUNDUP(IF(ISNUMBER(OFFSET(AM15,0,-Macro!$H$19))=TRUE,OFFSET(AM15,0,-Macro!$H$19)*Macro!$H$22,0),0)</f>
        <v>0</v>
      </c>
      <c r="AN20" s="35">
        <f>ROUNDUP(IF(ISNUMBER(OFFSET(AN15,0,-Macro!$H$19))=TRUE,OFFSET(AN15,0,-Macro!$H$19)*Macro!$H$22,0),0)</f>
        <v>0</v>
      </c>
      <c r="AO20" s="35">
        <f>ROUNDUP(IF(ISNUMBER(OFFSET(AO15,0,-Macro!$H$19))=TRUE,OFFSET(AO15,0,-Macro!$H$19)*Macro!$H$22,0),0)</f>
        <v>0</v>
      </c>
      <c r="AP20" s="35">
        <f>ROUNDUP(IF(ISNUMBER(OFFSET(AP15,0,-Macro!$H$19))=TRUE,OFFSET(AP15,0,-Macro!$H$19)*Macro!$H$22,0),0)</f>
        <v>0</v>
      </c>
      <c r="AQ20" s="34">
        <f>ROUNDUP(IF(ISNUMBER(OFFSET(AQ15,0,-Macro!$H$19))=TRUE,OFFSET(AQ15,0,-Macro!$H$19)*Macro!$H$22,0),0)</f>
        <v>0</v>
      </c>
      <c r="AR20" s="35">
        <f>ROUNDUP(IF(ISNUMBER(OFFSET(AR15,0,-Macro!$H$19))=TRUE,OFFSET(AR15,0,-Macro!$H$19)*Macro!$H$22,0),0)</f>
        <v>0</v>
      </c>
      <c r="AS20" s="36">
        <f>ROUNDUP(IF(ISNUMBER(OFFSET(AS15,0,-Macro!$H$19))=TRUE,OFFSET(AS15,0,-Macro!$H$19)*Macro!$H$22,0),0)</f>
        <v>0</v>
      </c>
    </row>
    <row r="21" ht="12.0" customHeight="1">
      <c r="A21" s="4"/>
      <c r="B21" s="4"/>
      <c r="C21" s="47" t="s">
        <v>204</v>
      </c>
      <c r="D21" s="224">
        <v>0.0</v>
      </c>
      <c r="E21" s="225">
        <v>0.0</v>
      </c>
      <c r="F21" s="226">
        <v>0.0</v>
      </c>
      <c r="G21" s="224">
        <v>0.0</v>
      </c>
      <c r="H21" s="225">
        <v>0.0</v>
      </c>
      <c r="I21" s="226">
        <v>0.0</v>
      </c>
      <c r="J21" s="224">
        <v>0.0</v>
      </c>
      <c r="K21" s="225">
        <v>0.0</v>
      </c>
      <c r="L21" s="225">
        <v>0.0</v>
      </c>
      <c r="M21" s="48">
        <f>IF(ISNUMBER(OFFSET(M16,0,-Macro!$H$19))=TRUE,OFFSET(M16,0,-Macro!$H$19)*Macro!$H$23,0)</f>
        <v>0</v>
      </c>
      <c r="N21" s="49">
        <f>IF(ISNUMBER(OFFSET(N16,0,-Macro!$H$19))=TRUE,OFFSET(N16,0,-Macro!$H$19)*Macro!$H$23,0)</f>
        <v>0</v>
      </c>
      <c r="O21" s="50">
        <f>IF(ISNUMBER(OFFSET(O16,0,-Macro!$H$19))=TRUE,OFFSET(O16,0,-Macro!$H$19)*Macro!$H$23,0)</f>
        <v>0</v>
      </c>
      <c r="P21" s="49">
        <f>IF(ISNUMBER(OFFSET(P16,0,-Macro!$H$19))=TRUE,OFFSET(P16,0,-Macro!$H$19)*Macro!$H$23,0)</f>
        <v>10000</v>
      </c>
      <c r="Q21" s="49">
        <f>IF(ISNUMBER(OFFSET(Q16,0,-Macro!$H$19))=TRUE,OFFSET(Q16,0,-Macro!$H$19)*Macro!$H$23,0)</f>
        <v>10000</v>
      </c>
      <c r="R21" s="49">
        <f>IF(ISNUMBER(OFFSET(R16,0,-Macro!$H$19))=TRUE,OFFSET(R16,0,-Macro!$H$19)*Macro!$H$23,0)</f>
        <v>10000</v>
      </c>
      <c r="S21" s="48">
        <f>IF(ISNUMBER(OFFSET(S16,0,-Macro!$H$19))=TRUE,OFFSET(S16,0,-Macro!$H$19)*Macro!$H$23,0)</f>
        <v>12500</v>
      </c>
      <c r="T21" s="49">
        <f>IF(ISNUMBER(OFFSET(T16,0,-Macro!$H$19))=TRUE,OFFSET(T16,0,-Macro!$H$19)*Macro!$H$23,0)</f>
        <v>12500</v>
      </c>
      <c r="U21" s="50">
        <f>IF(ISNUMBER(OFFSET(U16,0,-Macro!$H$19))=TRUE,OFFSET(U16,0,-Macro!$H$19)*Macro!$H$23,0)</f>
        <v>12500</v>
      </c>
      <c r="V21" s="49">
        <f>IF(ISNUMBER(OFFSET(V16,0,-Macro!$H$19))=TRUE,OFFSET(V16,0,-Macro!$H$19)*Macro!$H$23,0)</f>
        <v>20000</v>
      </c>
      <c r="W21" s="49">
        <f>IF(ISNUMBER(OFFSET(W16,0,-Macro!$H$19))=TRUE,OFFSET(W16,0,-Macro!$H$19)*Macro!$H$23,0)</f>
        <v>20000</v>
      </c>
      <c r="X21" s="49">
        <f>IF(ISNUMBER(OFFSET(X16,0,-Macro!$H$19))=TRUE,OFFSET(X16,0,-Macro!$H$19)*Macro!$H$23,0)</f>
        <v>20000</v>
      </c>
      <c r="Y21" s="48">
        <f>IF(ISNUMBER(OFFSET(Y16,0,-Macro!$H$19))=TRUE,OFFSET(Y16,0,-Macro!$H$19)*Macro!$H$23,0)</f>
        <v>25000</v>
      </c>
      <c r="Z21" s="49">
        <f>IF(ISNUMBER(OFFSET(Z16,0,-Macro!$H$19))=TRUE,OFFSET(Z16,0,-Macro!$H$19)*Macro!$H$23,0)</f>
        <v>25000</v>
      </c>
      <c r="AA21" s="50">
        <f>IF(ISNUMBER(OFFSET(AA16,0,-Macro!$H$19))=TRUE,OFFSET(AA16,0,-Macro!$H$19)*Macro!$H$23,0)</f>
        <v>25000</v>
      </c>
      <c r="AB21" s="49">
        <f>IF(ISNUMBER(OFFSET(AB16,0,-Macro!$H$19))=TRUE,OFFSET(AB16,0,-Macro!$H$19)*Macro!$H$23,0)</f>
        <v>25000</v>
      </c>
      <c r="AC21" s="49">
        <f>IF(ISNUMBER(OFFSET(AC16,0,-Macro!$H$19))=TRUE,OFFSET(AC16,0,-Macro!$H$19)*Macro!$H$23,0)</f>
        <v>25000</v>
      </c>
      <c r="AD21" s="49">
        <f>IF(ISNUMBER(OFFSET(AD16,0,-Macro!$H$19))=TRUE,OFFSET(AD16,0,-Macro!$H$19)*Macro!$H$23,0)</f>
        <v>25000</v>
      </c>
      <c r="AE21" s="48">
        <f>IF(ISNUMBER(OFFSET(AE16,0,-Macro!$H$19))=TRUE,OFFSET(AE16,0,-Macro!$H$19)*Macro!$H$23,0)</f>
        <v>25000</v>
      </c>
      <c r="AF21" s="49">
        <f>IF(ISNUMBER(OFFSET(AF16,0,-Macro!$H$19))=TRUE,OFFSET(AF16,0,-Macro!$H$19)*Macro!$H$23,0)</f>
        <v>25000</v>
      </c>
      <c r="AG21" s="50">
        <f>IF(ISNUMBER(OFFSET(AG16,0,-Macro!$H$19))=TRUE,OFFSET(AG16,0,-Macro!$H$19)*Macro!$H$23,0)</f>
        <v>25000</v>
      </c>
      <c r="AH21" s="49">
        <f>IF(ISNUMBER(OFFSET(AH16,0,-Macro!$H$19))=TRUE,OFFSET(AH16,0,-Macro!$H$19)*Macro!$H$23,0)</f>
        <v>25000</v>
      </c>
      <c r="AI21" s="49">
        <f>IF(ISNUMBER(OFFSET(AI16,0,-Macro!$H$19))=TRUE,OFFSET(AI16,0,-Macro!$H$19)*Macro!$H$23,0)</f>
        <v>25000</v>
      </c>
      <c r="AJ21" s="49">
        <f>IF(ISNUMBER(OFFSET(AJ16,0,-Macro!$H$19))=TRUE,OFFSET(AJ16,0,-Macro!$H$19)*Macro!$H$23,0)</f>
        <v>25000</v>
      </c>
      <c r="AK21" s="48">
        <f>IF(ISNUMBER(OFFSET(AK16,0,-Macro!$H$19))=TRUE,OFFSET(AK16,0,-Macro!$H$19)*Macro!$H$23,0)</f>
        <v>25000</v>
      </c>
      <c r="AL21" s="49">
        <f>IF(ISNUMBER(OFFSET(AL16,0,-Macro!$H$19))=TRUE,OFFSET(AL16,0,-Macro!$H$19)*Macro!$H$23,0)</f>
        <v>25000</v>
      </c>
      <c r="AM21" s="50">
        <f>IF(ISNUMBER(OFFSET(AM16,0,-Macro!$H$19))=TRUE,OFFSET(AM16,0,-Macro!$H$19)*Macro!$H$23,0)</f>
        <v>25000</v>
      </c>
      <c r="AN21" s="49">
        <f>IF(ISNUMBER(OFFSET(AN16,0,-Macro!$H$19))=TRUE,OFFSET(AN16,0,-Macro!$H$19)*Macro!$H$23,0)</f>
        <v>25000</v>
      </c>
      <c r="AO21" s="49">
        <f>IF(ISNUMBER(OFFSET(AO16,0,-Macro!$H$19))=TRUE,OFFSET(AO16,0,-Macro!$H$19)*Macro!$H$23,0)</f>
        <v>25000</v>
      </c>
      <c r="AP21" s="49">
        <f>IF(ISNUMBER(OFFSET(AP16,0,-Macro!$H$19))=TRUE,OFFSET(AP16,0,-Macro!$H$19)*Macro!$H$23,0)</f>
        <v>25000</v>
      </c>
      <c r="AQ21" s="48">
        <f>IF(ISNUMBER(OFFSET(AQ16,0,-Macro!$H$19))=TRUE,OFFSET(AQ16,0,-Macro!$H$19)*Macro!$H$23,0)</f>
        <v>25000</v>
      </c>
      <c r="AR21" s="49">
        <f>IF(ISNUMBER(OFFSET(AR16,0,-Macro!$H$19))=TRUE,OFFSET(AR16,0,-Macro!$H$19)*Macro!$H$23,0)</f>
        <v>25000</v>
      </c>
      <c r="AS21" s="50">
        <f>IF(ISNUMBER(OFFSET(AS16,0,-Macro!$H$19))=TRUE,OFFSET(AS16,0,-Macro!$H$19)*Macro!$H$23,0)</f>
        <v>25000</v>
      </c>
    </row>
    <row r="22" ht="12.0" customHeight="1">
      <c r="A22" s="4"/>
      <c r="B22" s="4"/>
      <c r="C22" s="4" t="s">
        <v>205</v>
      </c>
      <c r="D22" s="227">
        <f t="shared" ref="D22:G22" si="4">D20*D21</f>
        <v>0</v>
      </c>
      <c r="E22" s="228">
        <f t="shared" si="4"/>
        <v>0</v>
      </c>
      <c r="F22" s="229">
        <f t="shared" si="4"/>
        <v>0</v>
      </c>
      <c r="G22" s="227">
        <f t="shared" si="4"/>
        <v>0</v>
      </c>
      <c r="H22" s="228" t="s">
        <v>206</v>
      </c>
      <c r="I22" s="229">
        <f t="shared" ref="I22:AS22" si="5">I20*I21</f>
        <v>0</v>
      </c>
      <c r="J22" s="227">
        <f t="shared" si="5"/>
        <v>0</v>
      </c>
      <c r="K22" s="228">
        <f t="shared" si="5"/>
        <v>0</v>
      </c>
      <c r="L22" s="228">
        <f t="shared" si="5"/>
        <v>0</v>
      </c>
      <c r="M22" s="61">
        <f t="shared" si="5"/>
        <v>0</v>
      </c>
      <c r="N22" s="62">
        <f t="shared" si="5"/>
        <v>0</v>
      </c>
      <c r="O22" s="63">
        <f t="shared" si="5"/>
        <v>0</v>
      </c>
      <c r="P22" s="62">
        <f t="shared" si="5"/>
        <v>10000</v>
      </c>
      <c r="Q22" s="62">
        <f t="shared" si="5"/>
        <v>10000</v>
      </c>
      <c r="R22" s="62">
        <f t="shared" si="5"/>
        <v>10000</v>
      </c>
      <c r="S22" s="61">
        <f t="shared" si="5"/>
        <v>12500</v>
      </c>
      <c r="T22" s="62">
        <f t="shared" si="5"/>
        <v>12500</v>
      </c>
      <c r="U22" s="63">
        <f t="shared" si="5"/>
        <v>12500</v>
      </c>
      <c r="V22" s="62">
        <f t="shared" si="5"/>
        <v>20000</v>
      </c>
      <c r="W22" s="62">
        <f t="shared" si="5"/>
        <v>20000</v>
      </c>
      <c r="X22" s="62">
        <f t="shared" si="5"/>
        <v>20000</v>
      </c>
      <c r="Y22" s="61">
        <f t="shared" si="5"/>
        <v>0</v>
      </c>
      <c r="Z22" s="62">
        <f t="shared" si="5"/>
        <v>0</v>
      </c>
      <c r="AA22" s="63">
        <f t="shared" si="5"/>
        <v>0</v>
      </c>
      <c r="AB22" s="62">
        <f t="shared" si="5"/>
        <v>0</v>
      </c>
      <c r="AC22" s="62">
        <f t="shared" si="5"/>
        <v>0</v>
      </c>
      <c r="AD22" s="62">
        <f t="shared" si="5"/>
        <v>0</v>
      </c>
      <c r="AE22" s="61">
        <f t="shared" si="5"/>
        <v>0</v>
      </c>
      <c r="AF22" s="62">
        <f t="shared" si="5"/>
        <v>0</v>
      </c>
      <c r="AG22" s="63">
        <f t="shared" si="5"/>
        <v>0</v>
      </c>
      <c r="AH22" s="62">
        <f t="shared" si="5"/>
        <v>0</v>
      </c>
      <c r="AI22" s="62">
        <f t="shared" si="5"/>
        <v>0</v>
      </c>
      <c r="AJ22" s="62">
        <f t="shared" si="5"/>
        <v>0</v>
      </c>
      <c r="AK22" s="61">
        <f t="shared" si="5"/>
        <v>0</v>
      </c>
      <c r="AL22" s="62">
        <f t="shared" si="5"/>
        <v>0</v>
      </c>
      <c r="AM22" s="63">
        <f t="shared" si="5"/>
        <v>0</v>
      </c>
      <c r="AN22" s="62">
        <f t="shared" si="5"/>
        <v>0</v>
      </c>
      <c r="AO22" s="62">
        <f t="shared" si="5"/>
        <v>0</v>
      </c>
      <c r="AP22" s="62">
        <f t="shared" si="5"/>
        <v>0</v>
      </c>
      <c r="AQ22" s="61">
        <f t="shared" si="5"/>
        <v>0</v>
      </c>
      <c r="AR22" s="62">
        <f t="shared" si="5"/>
        <v>0</v>
      </c>
      <c r="AS22" s="63">
        <f t="shared" si="5"/>
        <v>0</v>
      </c>
    </row>
    <row r="23" ht="11.25" customHeight="1">
      <c r="A23" s="4"/>
      <c r="B23" s="4"/>
      <c r="C23" s="4"/>
      <c r="D23" s="64"/>
      <c r="E23" s="4"/>
      <c r="F23" s="65"/>
      <c r="G23" s="64"/>
      <c r="H23" s="4"/>
      <c r="I23" s="65"/>
      <c r="J23" s="64"/>
      <c r="K23" s="4"/>
      <c r="L23" s="4"/>
      <c r="M23" s="64"/>
      <c r="N23" s="4"/>
      <c r="O23" s="65"/>
      <c r="P23" s="4"/>
      <c r="Q23" s="4"/>
      <c r="R23" s="4"/>
      <c r="S23" s="64"/>
      <c r="T23" s="4"/>
      <c r="U23" s="65"/>
      <c r="V23" s="4"/>
      <c r="W23" s="4"/>
      <c r="X23" s="4"/>
      <c r="Y23" s="64"/>
      <c r="Z23" s="4"/>
      <c r="AA23" s="65"/>
      <c r="AB23" s="4"/>
      <c r="AC23" s="4"/>
      <c r="AD23" s="4"/>
      <c r="AE23" s="64"/>
      <c r="AF23" s="4"/>
      <c r="AG23" s="65"/>
      <c r="AH23" s="4"/>
      <c r="AI23" s="4"/>
      <c r="AJ23" s="4"/>
      <c r="AK23" s="64"/>
      <c r="AL23" s="4"/>
      <c r="AM23" s="65"/>
      <c r="AN23" s="4"/>
      <c r="AO23" s="4"/>
      <c r="AP23" s="4"/>
      <c r="AQ23" s="64"/>
      <c r="AR23" s="4"/>
      <c r="AS23" s="65"/>
    </row>
    <row r="24" ht="12.0" customHeight="1">
      <c r="A24" s="4"/>
      <c r="B24" s="4"/>
      <c r="C24" s="8" t="s">
        <v>16</v>
      </c>
      <c r="D24" s="64"/>
      <c r="E24" s="4"/>
      <c r="F24" s="65"/>
      <c r="G24" s="64"/>
      <c r="H24" s="4"/>
      <c r="I24" s="65"/>
      <c r="J24" s="64"/>
      <c r="K24" s="4"/>
      <c r="L24" s="4"/>
      <c r="M24" s="64"/>
      <c r="N24" s="4"/>
      <c r="O24" s="65"/>
      <c r="P24" s="4"/>
      <c r="Q24" s="4"/>
      <c r="R24" s="4"/>
      <c r="S24" s="64"/>
      <c r="T24" s="4"/>
      <c r="U24" s="65"/>
      <c r="V24" s="4"/>
      <c r="W24" s="4"/>
      <c r="X24" s="4"/>
      <c r="Y24" s="64"/>
      <c r="Z24" s="4"/>
      <c r="AA24" s="65"/>
      <c r="AB24" s="4"/>
      <c r="AC24" s="4"/>
      <c r="AD24" s="4"/>
      <c r="AE24" s="64"/>
      <c r="AF24" s="4"/>
      <c r="AG24" s="65"/>
      <c r="AH24" s="4"/>
      <c r="AI24" s="4"/>
      <c r="AJ24" s="4"/>
      <c r="AK24" s="64"/>
      <c r="AL24" s="4"/>
      <c r="AM24" s="65"/>
      <c r="AN24" s="4"/>
      <c r="AO24" s="4"/>
      <c r="AP24" s="4"/>
      <c r="AQ24" s="64"/>
      <c r="AR24" s="4"/>
      <c r="AS24" s="65"/>
    </row>
    <row r="25" ht="12.0" customHeight="1">
      <c r="A25" s="4"/>
      <c r="B25" s="4"/>
      <c r="C25" s="4" t="s">
        <v>207</v>
      </c>
      <c r="D25" s="221">
        <v>0.0</v>
      </c>
      <c r="E25" s="222">
        <v>0.0</v>
      </c>
      <c r="F25" s="223">
        <v>0.0</v>
      </c>
      <c r="G25" s="221">
        <v>0.0</v>
      </c>
      <c r="H25" s="222">
        <v>0.0</v>
      </c>
      <c r="I25" s="223">
        <v>0.0</v>
      </c>
      <c r="J25" s="212">
        <v>1.0</v>
      </c>
      <c r="K25" s="213">
        <v>1.0</v>
      </c>
      <c r="L25" s="213">
        <v>1.0</v>
      </c>
      <c r="M25" s="34">
        <f>ROUNDUP(IF(ISNUMBER(OFFSET(M15,0,-12))=TRUE,OFFSET(M15,0,-12)*Macro!$H$20,0),0)</f>
        <v>0</v>
      </c>
      <c r="N25" s="35">
        <f>ROUNDUP(IF(ISNUMBER(OFFSET(N15,0,-12))=TRUE,OFFSET(N15,0,-12)*Macro!$H$20,0),0)</f>
        <v>0</v>
      </c>
      <c r="O25" s="36">
        <f>ROUNDUP(IF(ISNUMBER(OFFSET(O15,0,-12))=TRUE,OFFSET(O15,0,-12)*Macro!$H$20,0),0)</f>
        <v>0</v>
      </c>
      <c r="P25" s="35">
        <f>ROUNDUP(IF(ISNUMBER(OFFSET(P15,0,-12))=TRUE,OFFSET(P15,0,-12)*Macro!$H$20,0),0)</f>
        <v>1</v>
      </c>
      <c r="Q25" s="35">
        <f>ROUNDUP(IF(ISNUMBER(OFFSET(Q15,0,-12))=TRUE,OFFSET(Q15,0,-12)*Macro!$H$20,0),0)</f>
        <v>1</v>
      </c>
      <c r="R25" s="35">
        <f>ROUNDUP(IF(ISNUMBER(OFFSET(R15,0,-12))=TRUE,OFFSET(R15,0,-12)*Macro!$H$20,0),0)</f>
        <v>1</v>
      </c>
      <c r="S25" s="34">
        <f>ROUNDUP(IF(ISNUMBER(OFFSET(S15,0,-12))=TRUE,OFFSET(S15,0,-12)*Macro!$H$20,0),0)</f>
        <v>1</v>
      </c>
      <c r="T25" s="35">
        <f>ROUNDUP(IF(ISNUMBER(OFFSET(T15,0,-12))=TRUE,OFFSET(T15,0,-12)*Macro!$H$20,0),0)</f>
        <v>1</v>
      </c>
      <c r="U25" s="36">
        <f>ROUNDUP(IF(ISNUMBER(OFFSET(U15,0,-12))=TRUE,OFFSET(U15,0,-12)*Macro!$H$20,0),0)</f>
        <v>1</v>
      </c>
      <c r="V25" s="35">
        <f>ROUNDUP(IF(ISNUMBER(OFFSET(V15,0,-12))=TRUE,OFFSET(V15,0,-12)*Macro!$H$20,0),0)</f>
        <v>1</v>
      </c>
      <c r="W25" s="35">
        <f>ROUNDUP(IF(ISNUMBER(OFFSET(W15,0,-12))=TRUE,OFFSET(W15,0,-12)*Macro!$H$20,0),0)</f>
        <v>1</v>
      </c>
      <c r="X25" s="35">
        <f>ROUNDUP(IF(ISNUMBER(OFFSET(X15,0,-12))=TRUE,OFFSET(X15,0,-12)*Macro!$H$20,0),0)</f>
        <v>1</v>
      </c>
      <c r="Y25" s="34">
        <f>ROUNDUP(IF(ISNUMBER(OFFSET(Y15,0,-12))=TRUE,OFFSET(Y15,0,-12)*Macro!$H$20,0),0)</f>
        <v>0</v>
      </c>
      <c r="Z25" s="35">
        <f>ROUNDUP(IF(ISNUMBER(OFFSET(Z15,0,-12))=TRUE,OFFSET(Z15,0,-12)*Macro!$H$20,0),0)</f>
        <v>0</v>
      </c>
      <c r="AA25" s="36">
        <f>ROUNDUP(IF(ISNUMBER(OFFSET(AA15,0,-12))=TRUE,OFFSET(AA15,0,-12)*Macro!$H$20,0),0)</f>
        <v>0</v>
      </c>
      <c r="AB25" s="35">
        <f>ROUNDUP(IF(ISNUMBER(OFFSET(AB15,0,-12))=TRUE,OFFSET(AB15,0,-12)*Macro!$H$20,0),0)</f>
        <v>0</v>
      </c>
      <c r="AC25" s="35">
        <f>ROUNDUP(IF(ISNUMBER(OFFSET(AC15,0,-12))=TRUE,OFFSET(AC15,0,-12)*Macro!$H$20,0),0)</f>
        <v>0</v>
      </c>
      <c r="AD25" s="35">
        <f>ROUNDUP(IF(ISNUMBER(OFFSET(AD15,0,-12))=TRUE,OFFSET(AD15,0,-12)*Macro!$H$20,0),0)</f>
        <v>0</v>
      </c>
      <c r="AE25" s="34">
        <f>ROUNDUP(IF(ISNUMBER(OFFSET(AE15,0,-12))=TRUE,OFFSET(AE15,0,-12)*Macro!$H$20,0),0)</f>
        <v>0</v>
      </c>
      <c r="AF25" s="35">
        <f>ROUNDUP(IF(ISNUMBER(OFFSET(AF15,0,-12))=TRUE,OFFSET(AF15,0,-12)*Macro!$H$20,0),0)</f>
        <v>0</v>
      </c>
      <c r="AG25" s="36">
        <f>ROUNDUP(IF(ISNUMBER(OFFSET(AG15,0,-12))=TRUE,OFFSET(AG15,0,-12)*Macro!$H$20,0),0)</f>
        <v>0</v>
      </c>
      <c r="AH25" s="35">
        <f>ROUNDUP(IF(ISNUMBER(OFFSET(AH15,0,-12))=TRUE,OFFSET(AH15,0,-12)*Macro!$H$20,0),0)</f>
        <v>0</v>
      </c>
      <c r="AI25" s="35">
        <f>ROUNDUP(IF(ISNUMBER(OFFSET(AI15,0,-12))=TRUE,OFFSET(AI15,0,-12)*Macro!$H$20,0),0)</f>
        <v>0</v>
      </c>
      <c r="AJ25" s="35">
        <f>ROUNDUP(IF(ISNUMBER(OFFSET(AJ15,0,-12))=TRUE,OFFSET(AJ15,0,-12)*Macro!$H$20,0),0)</f>
        <v>0</v>
      </c>
      <c r="AK25" s="34">
        <f>ROUNDUP(IF(ISNUMBER(OFFSET(AK15,0,-12))=TRUE,OFFSET(AK15,0,-12)*Macro!$H$20,0),0)</f>
        <v>0</v>
      </c>
      <c r="AL25" s="35">
        <f>ROUNDUP(IF(ISNUMBER(OFFSET(AL15,0,-12))=TRUE,OFFSET(AL15,0,-12)*Macro!$H$20,0),0)</f>
        <v>0</v>
      </c>
      <c r="AM25" s="36">
        <f>ROUNDUP(IF(ISNUMBER(OFFSET(AM15,0,-12))=TRUE,OFFSET(AM15,0,-12)*Macro!$H$20,0),0)</f>
        <v>0</v>
      </c>
      <c r="AN25" s="35">
        <f>ROUNDUP(IF(ISNUMBER(OFFSET(AN15,0,-12))=TRUE,OFFSET(AN15,0,-12)*Macro!$H$20,0),0)</f>
        <v>0</v>
      </c>
      <c r="AO25" s="35">
        <f>ROUNDUP(IF(ISNUMBER(OFFSET(AO15,0,-12))=TRUE,OFFSET(AO15,0,-12)*Macro!$H$20,0),0)</f>
        <v>0</v>
      </c>
      <c r="AP25" s="35">
        <f>ROUNDUP(IF(ISNUMBER(OFFSET(AP15,0,-12))=TRUE,OFFSET(AP15,0,-12)*Macro!$H$20,0),0)</f>
        <v>0</v>
      </c>
      <c r="AQ25" s="34">
        <f>ROUNDUP(IF(ISNUMBER(OFFSET(AQ15,0,-12))=TRUE,OFFSET(AQ15,0,-12)*Macro!$H$20,0),0)</f>
        <v>0</v>
      </c>
      <c r="AR25" s="35">
        <f>ROUNDUP(IF(ISNUMBER(OFFSET(AR15,0,-12))=TRUE,OFFSET(AR15,0,-12)*Macro!$H$20,0),0)</f>
        <v>0</v>
      </c>
      <c r="AS25" s="36">
        <f>ROUNDUP(IF(ISNUMBER(OFFSET(AS15,0,-12))=TRUE,OFFSET(AS15,0,-12)*Macro!$H$20,0),0)</f>
        <v>0</v>
      </c>
    </row>
    <row r="26" ht="12.0" customHeight="1">
      <c r="A26" s="4"/>
      <c r="B26" s="4"/>
      <c r="C26" s="47" t="s">
        <v>208</v>
      </c>
      <c r="D26" s="224">
        <v>0.0</v>
      </c>
      <c r="E26" s="225">
        <v>0.0</v>
      </c>
      <c r="F26" s="226">
        <v>0.0</v>
      </c>
      <c r="G26" s="224">
        <v>0.0</v>
      </c>
      <c r="H26" s="225">
        <v>0.0</v>
      </c>
      <c r="I26" s="226">
        <v>0.0</v>
      </c>
      <c r="J26" s="215">
        <v>-20000.0</v>
      </c>
      <c r="K26" s="216">
        <v>-20000.0</v>
      </c>
      <c r="L26" s="216">
        <v>-20000.0</v>
      </c>
      <c r="M26" s="230">
        <f t="shared" ref="M26:AS26" si="6">-IF(ISNUMBER(OFFSET(M16,0,-12))=TRUE,OFFSET(M16,0,-12),0)</f>
        <v>0</v>
      </c>
      <c r="N26" s="49">
        <f t="shared" si="6"/>
        <v>0</v>
      </c>
      <c r="O26" s="50">
        <f t="shared" si="6"/>
        <v>0</v>
      </c>
      <c r="P26" s="49">
        <f t="shared" si="6"/>
        <v>-20000</v>
      </c>
      <c r="Q26" s="49">
        <f t="shared" si="6"/>
        <v>-20000</v>
      </c>
      <c r="R26" s="49">
        <f t="shared" si="6"/>
        <v>-20000</v>
      </c>
      <c r="S26" s="48">
        <f t="shared" si="6"/>
        <v>-25000</v>
      </c>
      <c r="T26" s="49">
        <f t="shared" si="6"/>
        <v>-25000</v>
      </c>
      <c r="U26" s="50">
        <f t="shared" si="6"/>
        <v>-25000</v>
      </c>
      <c r="V26" s="49">
        <f t="shared" si="6"/>
        <v>-40000</v>
      </c>
      <c r="W26" s="49">
        <f t="shared" si="6"/>
        <v>-40000</v>
      </c>
      <c r="X26" s="49">
        <f t="shared" si="6"/>
        <v>-40000</v>
      </c>
      <c r="Y26" s="48">
        <f t="shared" si="6"/>
        <v>-50000</v>
      </c>
      <c r="Z26" s="49">
        <f t="shared" si="6"/>
        <v>-50000</v>
      </c>
      <c r="AA26" s="50">
        <f t="shared" si="6"/>
        <v>-50000</v>
      </c>
      <c r="AB26" s="49">
        <f t="shared" si="6"/>
        <v>-50000</v>
      </c>
      <c r="AC26" s="49">
        <f t="shared" si="6"/>
        <v>-50000</v>
      </c>
      <c r="AD26" s="49">
        <f t="shared" si="6"/>
        <v>-50000</v>
      </c>
      <c r="AE26" s="48">
        <f t="shared" si="6"/>
        <v>-50000</v>
      </c>
      <c r="AF26" s="49">
        <f t="shared" si="6"/>
        <v>-50000</v>
      </c>
      <c r="AG26" s="50">
        <f t="shared" si="6"/>
        <v>-50000</v>
      </c>
      <c r="AH26" s="49">
        <f t="shared" si="6"/>
        <v>-50000</v>
      </c>
      <c r="AI26" s="49">
        <f t="shared" si="6"/>
        <v>-50000</v>
      </c>
      <c r="AJ26" s="49">
        <f t="shared" si="6"/>
        <v>-50000</v>
      </c>
      <c r="AK26" s="48">
        <f t="shared" si="6"/>
        <v>-50000</v>
      </c>
      <c r="AL26" s="49">
        <f t="shared" si="6"/>
        <v>-50000</v>
      </c>
      <c r="AM26" s="50">
        <f t="shared" si="6"/>
        <v>-50000</v>
      </c>
      <c r="AN26" s="49">
        <f t="shared" si="6"/>
        <v>-50000</v>
      </c>
      <c r="AO26" s="49">
        <f t="shared" si="6"/>
        <v>-50000</v>
      </c>
      <c r="AP26" s="49">
        <f t="shared" si="6"/>
        <v>-50000</v>
      </c>
      <c r="AQ26" s="48">
        <f t="shared" si="6"/>
        <v>-50000</v>
      </c>
      <c r="AR26" s="49">
        <f t="shared" si="6"/>
        <v>-50000</v>
      </c>
      <c r="AS26" s="50">
        <f t="shared" si="6"/>
        <v>-50000</v>
      </c>
    </row>
    <row r="27" ht="12.0" customHeight="1">
      <c r="A27" s="4"/>
      <c r="B27" s="8"/>
      <c r="C27" s="4" t="s">
        <v>209</v>
      </c>
      <c r="D27" s="227">
        <f t="shared" ref="D27:AS27" si="7">D25*D26</f>
        <v>0</v>
      </c>
      <c r="E27" s="228">
        <f t="shared" si="7"/>
        <v>0</v>
      </c>
      <c r="F27" s="229">
        <f t="shared" si="7"/>
        <v>0</v>
      </c>
      <c r="G27" s="227">
        <f t="shared" si="7"/>
        <v>0</v>
      </c>
      <c r="H27" s="228">
        <f t="shared" si="7"/>
        <v>0</v>
      </c>
      <c r="I27" s="229">
        <f t="shared" si="7"/>
        <v>0</v>
      </c>
      <c r="J27" s="218">
        <f t="shared" si="7"/>
        <v>-20000</v>
      </c>
      <c r="K27" s="219">
        <f t="shared" si="7"/>
        <v>-20000</v>
      </c>
      <c r="L27" s="219">
        <f t="shared" si="7"/>
        <v>-20000</v>
      </c>
      <c r="M27" s="61">
        <f t="shared" si="7"/>
        <v>0</v>
      </c>
      <c r="N27" s="62">
        <f t="shared" si="7"/>
        <v>0</v>
      </c>
      <c r="O27" s="63">
        <f t="shared" si="7"/>
        <v>0</v>
      </c>
      <c r="P27" s="62">
        <f t="shared" si="7"/>
        <v>-20000</v>
      </c>
      <c r="Q27" s="62">
        <f t="shared" si="7"/>
        <v>-20000</v>
      </c>
      <c r="R27" s="62">
        <f t="shared" si="7"/>
        <v>-20000</v>
      </c>
      <c r="S27" s="61">
        <f t="shared" si="7"/>
        <v>-25000</v>
      </c>
      <c r="T27" s="62">
        <f t="shared" si="7"/>
        <v>-25000</v>
      </c>
      <c r="U27" s="63">
        <f t="shared" si="7"/>
        <v>-25000</v>
      </c>
      <c r="V27" s="62">
        <f t="shared" si="7"/>
        <v>-40000</v>
      </c>
      <c r="W27" s="62">
        <f t="shared" si="7"/>
        <v>-40000</v>
      </c>
      <c r="X27" s="62">
        <f t="shared" si="7"/>
        <v>-40000</v>
      </c>
      <c r="Y27" s="61">
        <f t="shared" si="7"/>
        <v>0</v>
      </c>
      <c r="Z27" s="62">
        <f t="shared" si="7"/>
        <v>0</v>
      </c>
      <c r="AA27" s="63">
        <f t="shared" si="7"/>
        <v>0</v>
      </c>
      <c r="AB27" s="62">
        <f t="shared" si="7"/>
        <v>0</v>
      </c>
      <c r="AC27" s="62">
        <f t="shared" si="7"/>
        <v>0</v>
      </c>
      <c r="AD27" s="62">
        <f t="shared" si="7"/>
        <v>0</v>
      </c>
      <c r="AE27" s="61">
        <f t="shared" si="7"/>
        <v>0</v>
      </c>
      <c r="AF27" s="62">
        <f t="shared" si="7"/>
        <v>0</v>
      </c>
      <c r="AG27" s="63">
        <f t="shared" si="7"/>
        <v>0</v>
      </c>
      <c r="AH27" s="62">
        <f t="shared" si="7"/>
        <v>0</v>
      </c>
      <c r="AI27" s="62">
        <f t="shared" si="7"/>
        <v>0</v>
      </c>
      <c r="AJ27" s="62">
        <f t="shared" si="7"/>
        <v>0</v>
      </c>
      <c r="AK27" s="61">
        <f t="shared" si="7"/>
        <v>0</v>
      </c>
      <c r="AL27" s="62">
        <f t="shared" si="7"/>
        <v>0</v>
      </c>
      <c r="AM27" s="63">
        <f t="shared" si="7"/>
        <v>0</v>
      </c>
      <c r="AN27" s="62">
        <f t="shared" si="7"/>
        <v>0</v>
      </c>
      <c r="AO27" s="62">
        <f t="shared" si="7"/>
        <v>0</v>
      </c>
      <c r="AP27" s="62">
        <f t="shared" si="7"/>
        <v>0</v>
      </c>
      <c r="AQ27" s="61">
        <f t="shared" si="7"/>
        <v>0</v>
      </c>
      <c r="AR27" s="62">
        <f t="shared" si="7"/>
        <v>0</v>
      </c>
      <c r="AS27" s="63">
        <f t="shared" si="7"/>
        <v>0</v>
      </c>
    </row>
    <row r="28" ht="12.0" customHeight="1">
      <c r="A28" s="4"/>
      <c r="B28" s="8"/>
      <c r="C28" s="4"/>
      <c r="D28" s="64"/>
      <c r="E28" s="4"/>
      <c r="F28" s="65"/>
      <c r="G28" s="209"/>
      <c r="H28" s="210"/>
      <c r="I28" s="211"/>
      <c r="J28" s="209"/>
      <c r="K28" s="210"/>
      <c r="L28" s="210"/>
      <c r="M28" s="209"/>
      <c r="N28" s="210"/>
      <c r="O28" s="211"/>
      <c r="P28" s="210"/>
      <c r="Q28" s="210"/>
      <c r="R28" s="210"/>
      <c r="S28" s="209"/>
      <c r="T28" s="210"/>
      <c r="U28" s="211"/>
      <c r="V28" s="210"/>
      <c r="W28" s="210"/>
      <c r="X28" s="210"/>
      <c r="Y28" s="209"/>
      <c r="Z28" s="210"/>
      <c r="AA28" s="211"/>
      <c r="AB28" s="210"/>
      <c r="AC28" s="210"/>
      <c r="AD28" s="210"/>
      <c r="AE28" s="209"/>
      <c r="AF28" s="210"/>
      <c r="AG28" s="211"/>
      <c r="AH28" s="210"/>
      <c r="AI28" s="210"/>
      <c r="AJ28" s="210"/>
      <c r="AK28" s="209"/>
      <c r="AL28" s="210"/>
      <c r="AM28" s="211"/>
      <c r="AN28" s="210"/>
      <c r="AO28" s="210"/>
      <c r="AP28" s="210"/>
      <c r="AQ28" s="209"/>
      <c r="AR28" s="210"/>
      <c r="AS28" s="211"/>
    </row>
    <row r="29" ht="12.0" customHeight="1">
      <c r="A29" s="4"/>
      <c r="B29" s="8"/>
      <c r="C29" s="8" t="s">
        <v>210</v>
      </c>
      <c r="D29" s="208">
        <v>0.0</v>
      </c>
      <c r="E29" s="231">
        <v>0.0</v>
      </c>
      <c r="F29" s="232">
        <v>0.0</v>
      </c>
      <c r="G29" s="233">
        <v>0.0</v>
      </c>
      <c r="H29" s="234">
        <v>0.0</v>
      </c>
      <c r="I29" s="235">
        <v>0.0</v>
      </c>
      <c r="J29" s="51">
        <f t="shared" ref="J29:AS29" si="8">J17+J22+J27</f>
        <v>140000</v>
      </c>
      <c r="K29" s="52">
        <f t="shared" si="8"/>
        <v>140000</v>
      </c>
      <c r="L29" s="52">
        <f t="shared" si="8"/>
        <v>140000</v>
      </c>
      <c r="M29" s="51" t="str">
        <f t="shared" si="8"/>
        <v>#VALUE!</v>
      </c>
      <c r="N29" s="52" t="str">
        <f t="shared" si="8"/>
        <v>#VALUE!</v>
      </c>
      <c r="O29" s="53" t="str">
        <f t="shared" si="8"/>
        <v>#VALUE!</v>
      </c>
      <c r="P29" s="52" t="str">
        <f t="shared" si="8"/>
        <v>#VALUE!</v>
      </c>
      <c r="Q29" s="52" t="str">
        <f t="shared" si="8"/>
        <v>#VALUE!</v>
      </c>
      <c r="R29" s="52" t="str">
        <f t="shared" si="8"/>
        <v>#VALUE!</v>
      </c>
      <c r="S29" s="51" t="str">
        <f t="shared" si="8"/>
        <v>#VALUE!</v>
      </c>
      <c r="T29" s="52" t="str">
        <f t="shared" si="8"/>
        <v>#VALUE!</v>
      </c>
      <c r="U29" s="53" t="str">
        <f t="shared" si="8"/>
        <v>#VALUE!</v>
      </c>
      <c r="V29" s="52" t="str">
        <f t="shared" si="8"/>
        <v>#VALUE!</v>
      </c>
      <c r="W29" s="52" t="str">
        <f t="shared" si="8"/>
        <v>#VALUE!</v>
      </c>
      <c r="X29" s="52" t="str">
        <f t="shared" si="8"/>
        <v>#VALUE!</v>
      </c>
      <c r="Y29" s="51" t="str">
        <f t="shared" si="8"/>
        <v>#VALUE!</v>
      </c>
      <c r="Z29" s="52" t="str">
        <f t="shared" si="8"/>
        <v>#VALUE!</v>
      </c>
      <c r="AA29" s="53" t="str">
        <f t="shared" si="8"/>
        <v>#VALUE!</v>
      </c>
      <c r="AB29" s="52" t="str">
        <f t="shared" si="8"/>
        <v>#VALUE!</v>
      </c>
      <c r="AC29" s="52" t="str">
        <f t="shared" si="8"/>
        <v>#VALUE!</v>
      </c>
      <c r="AD29" s="52" t="str">
        <f t="shared" si="8"/>
        <v>#VALUE!</v>
      </c>
      <c r="AE29" s="51" t="str">
        <f t="shared" si="8"/>
        <v>#VALUE!</v>
      </c>
      <c r="AF29" s="52" t="str">
        <f t="shared" si="8"/>
        <v>#VALUE!</v>
      </c>
      <c r="AG29" s="53" t="str">
        <f t="shared" si="8"/>
        <v>#VALUE!</v>
      </c>
      <c r="AH29" s="52" t="str">
        <f t="shared" si="8"/>
        <v>#VALUE!</v>
      </c>
      <c r="AI29" s="52" t="str">
        <f t="shared" si="8"/>
        <v>#VALUE!</v>
      </c>
      <c r="AJ29" s="52" t="str">
        <f t="shared" si="8"/>
        <v>#VALUE!</v>
      </c>
      <c r="AK29" s="51" t="str">
        <f t="shared" si="8"/>
        <v>#VALUE!</v>
      </c>
      <c r="AL29" s="52" t="str">
        <f t="shared" si="8"/>
        <v>#VALUE!</v>
      </c>
      <c r="AM29" s="53" t="str">
        <f t="shared" si="8"/>
        <v>#VALUE!</v>
      </c>
      <c r="AN29" s="52" t="str">
        <f t="shared" si="8"/>
        <v>#VALUE!</v>
      </c>
      <c r="AO29" s="52" t="str">
        <f t="shared" si="8"/>
        <v>#VALUE!</v>
      </c>
      <c r="AP29" s="52" t="str">
        <f t="shared" si="8"/>
        <v>#VALUE!</v>
      </c>
      <c r="AQ29" s="51" t="str">
        <f t="shared" si="8"/>
        <v>#VALUE!</v>
      </c>
      <c r="AR29" s="52" t="str">
        <f t="shared" si="8"/>
        <v>#VALUE!</v>
      </c>
      <c r="AS29" s="53" t="str">
        <f t="shared" si="8"/>
        <v>#VALUE!</v>
      </c>
    </row>
    <row r="30" ht="12.0" customHeight="1">
      <c r="A30" s="4"/>
      <c r="B30" s="8"/>
      <c r="C30" s="8" t="s">
        <v>211</v>
      </c>
      <c r="D30" s="236">
        <v>1.0</v>
      </c>
      <c r="E30" s="52">
        <f t="shared" ref="E30:AS30" si="9">E15+D30-E25</f>
        <v>2</v>
      </c>
      <c r="F30" s="53">
        <f t="shared" si="9"/>
        <v>3</v>
      </c>
      <c r="G30" s="51">
        <f t="shared" si="9"/>
        <v>5</v>
      </c>
      <c r="H30" s="52">
        <f t="shared" si="9"/>
        <v>7</v>
      </c>
      <c r="I30" s="53">
        <f t="shared" si="9"/>
        <v>9</v>
      </c>
      <c r="J30" s="51">
        <f t="shared" si="9"/>
        <v>12</v>
      </c>
      <c r="K30" s="52">
        <f t="shared" si="9"/>
        <v>15</v>
      </c>
      <c r="L30" s="52">
        <f t="shared" si="9"/>
        <v>18</v>
      </c>
      <c r="M30" s="51" t="str">
        <f t="shared" si="9"/>
        <v>#VALUE!</v>
      </c>
      <c r="N30" s="52" t="str">
        <f t="shared" si="9"/>
        <v>#VALUE!</v>
      </c>
      <c r="O30" s="53" t="str">
        <f t="shared" si="9"/>
        <v>#VALUE!</v>
      </c>
      <c r="P30" s="52" t="str">
        <f t="shared" si="9"/>
        <v>#VALUE!</v>
      </c>
      <c r="Q30" s="52" t="str">
        <f t="shared" si="9"/>
        <v>#VALUE!</v>
      </c>
      <c r="R30" s="52" t="str">
        <f t="shared" si="9"/>
        <v>#VALUE!</v>
      </c>
      <c r="S30" s="51" t="str">
        <f t="shared" si="9"/>
        <v>#VALUE!</v>
      </c>
      <c r="T30" s="52" t="str">
        <f t="shared" si="9"/>
        <v>#VALUE!</v>
      </c>
      <c r="U30" s="53" t="str">
        <f t="shared" si="9"/>
        <v>#VALUE!</v>
      </c>
      <c r="V30" s="52" t="str">
        <f t="shared" si="9"/>
        <v>#VALUE!</v>
      </c>
      <c r="W30" s="52" t="str">
        <f t="shared" si="9"/>
        <v>#VALUE!</v>
      </c>
      <c r="X30" s="52" t="str">
        <f t="shared" si="9"/>
        <v>#VALUE!</v>
      </c>
      <c r="Y30" s="51" t="str">
        <f t="shared" si="9"/>
        <v>#VALUE!</v>
      </c>
      <c r="Z30" s="52" t="str">
        <f t="shared" si="9"/>
        <v>#VALUE!</v>
      </c>
      <c r="AA30" s="53" t="str">
        <f t="shared" si="9"/>
        <v>#VALUE!</v>
      </c>
      <c r="AB30" s="52" t="str">
        <f t="shared" si="9"/>
        <v>#VALUE!</v>
      </c>
      <c r="AC30" s="52" t="str">
        <f t="shared" si="9"/>
        <v>#VALUE!</v>
      </c>
      <c r="AD30" s="52" t="str">
        <f t="shared" si="9"/>
        <v>#VALUE!</v>
      </c>
      <c r="AE30" s="51" t="str">
        <f t="shared" si="9"/>
        <v>#VALUE!</v>
      </c>
      <c r="AF30" s="52" t="str">
        <f t="shared" si="9"/>
        <v>#VALUE!</v>
      </c>
      <c r="AG30" s="53" t="str">
        <f t="shared" si="9"/>
        <v>#VALUE!</v>
      </c>
      <c r="AH30" s="52" t="str">
        <f t="shared" si="9"/>
        <v>#VALUE!</v>
      </c>
      <c r="AI30" s="52" t="str">
        <f t="shared" si="9"/>
        <v>#VALUE!</v>
      </c>
      <c r="AJ30" s="52" t="str">
        <f t="shared" si="9"/>
        <v>#VALUE!</v>
      </c>
      <c r="AK30" s="51" t="str">
        <f t="shared" si="9"/>
        <v>#VALUE!</v>
      </c>
      <c r="AL30" s="52" t="str">
        <f t="shared" si="9"/>
        <v>#VALUE!</v>
      </c>
      <c r="AM30" s="53" t="str">
        <f t="shared" si="9"/>
        <v>#VALUE!</v>
      </c>
      <c r="AN30" s="52" t="str">
        <f t="shared" si="9"/>
        <v>#VALUE!</v>
      </c>
      <c r="AO30" s="52" t="str">
        <f t="shared" si="9"/>
        <v>#VALUE!</v>
      </c>
      <c r="AP30" s="52" t="str">
        <f t="shared" si="9"/>
        <v>#VALUE!</v>
      </c>
      <c r="AQ30" s="51" t="str">
        <f t="shared" si="9"/>
        <v>#VALUE!</v>
      </c>
      <c r="AR30" s="52" t="str">
        <f t="shared" si="9"/>
        <v>#VALUE!</v>
      </c>
      <c r="AS30" s="53" t="str">
        <f t="shared" si="9"/>
        <v>#VALUE!</v>
      </c>
    </row>
    <row r="31" ht="12.0" customHeight="1">
      <c r="D31" s="64"/>
      <c r="E31" s="4"/>
      <c r="F31" s="65"/>
      <c r="G31" s="64"/>
      <c r="H31" s="4"/>
      <c r="I31" s="65"/>
      <c r="J31" s="64"/>
      <c r="K31" s="4"/>
      <c r="L31" s="4"/>
      <c r="M31" s="64"/>
      <c r="N31" s="4"/>
      <c r="O31" s="65"/>
      <c r="P31" s="4"/>
      <c r="Q31" s="4"/>
      <c r="R31" s="4"/>
      <c r="S31" s="64"/>
      <c r="T31" s="4"/>
      <c r="U31" s="65"/>
      <c r="V31" s="4"/>
      <c r="W31" s="4"/>
      <c r="X31" s="4"/>
      <c r="Y31" s="64"/>
      <c r="Z31" s="4"/>
      <c r="AA31" s="65"/>
      <c r="AB31" s="4"/>
      <c r="AC31" s="4"/>
      <c r="AD31" s="4"/>
      <c r="AE31" s="64"/>
      <c r="AF31" s="4"/>
      <c r="AG31" s="65"/>
      <c r="AH31" s="4"/>
      <c r="AI31" s="4"/>
      <c r="AJ31" s="4"/>
      <c r="AK31" s="64"/>
      <c r="AL31" s="4"/>
      <c r="AM31" s="65"/>
      <c r="AN31" s="4"/>
      <c r="AO31" s="4"/>
      <c r="AP31" s="4"/>
      <c r="AQ31" s="64"/>
      <c r="AR31" s="4"/>
      <c r="AS31" s="65"/>
    </row>
    <row r="32" ht="12.0" customHeight="1">
      <c r="B32" s="122" t="s">
        <v>212</v>
      </c>
      <c r="C32" s="29"/>
      <c r="D32" s="237"/>
      <c r="E32" s="29"/>
      <c r="F32" s="238"/>
      <c r="G32" s="237"/>
      <c r="H32" s="29"/>
      <c r="I32" s="238"/>
      <c r="J32" s="237"/>
      <c r="K32" s="29"/>
      <c r="L32" s="29"/>
      <c r="M32" s="237"/>
      <c r="N32" s="29"/>
      <c r="O32" s="238"/>
      <c r="P32" s="29"/>
      <c r="Q32" s="29"/>
      <c r="R32" s="29"/>
      <c r="S32" s="237"/>
      <c r="T32" s="29"/>
      <c r="U32" s="238"/>
      <c r="V32" s="29"/>
      <c r="W32" s="29"/>
      <c r="X32" s="29"/>
      <c r="Y32" s="237"/>
      <c r="Z32" s="29"/>
      <c r="AA32" s="238"/>
      <c r="AB32" s="29"/>
      <c r="AC32" s="29"/>
      <c r="AD32" s="29"/>
      <c r="AE32" s="237"/>
      <c r="AF32" s="29"/>
      <c r="AG32" s="238"/>
      <c r="AH32" s="29"/>
      <c r="AI32" s="29"/>
      <c r="AJ32" s="29"/>
      <c r="AK32" s="237"/>
      <c r="AL32" s="29"/>
      <c r="AM32" s="238"/>
      <c r="AN32" s="29"/>
      <c r="AO32" s="29"/>
      <c r="AP32" s="29"/>
      <c r="AQ32" s="237"/>
      <c r="AR32" s="29"/>
      <c r="AS32" s="238"/>
    </row>
    <row r="33" ht="12.0" customHeight="1">
      <c r="A33" s="4"/>
      <c r="B33" s="8"/>
      <c r="C33" s="4" t="s">
        <v>14</v>
      </c>
      <c r="D33" s="64"/>
      <c r="E33" s="4"/>
      <c r="F33" s="65"/>
      <c r="G33" s="64"/>
      <c r="H33" s="4"/>
      <c r="I33" s="65"/>
      <c r="J33" s="34">
        <f>OFFSET(J17,0,-Macro!$H$21)</f>
        <v>50000</v>
      </c>
      <c r="K33" s="35">
        <f>OFFSET(K17,0,-Macro!$H$21)</f>
        <v>160000</v>
      </c>
      <c r="L33" s="35">
        <f>OFFSET(L17,0,-Macro!$H$21)</f>
        <v>160000</v>
      </c>
      <c r="M33" s="34">
        <f>OFFSET(M17,0,-Macro!$H$21)</f>
        <v>160000</v>
      </c>
      <c r="N33" s="35" t="str">
        <f>OFFSET(N17,0,-Macro!$H$21)</f>
        <v>#VALUE!</v>
      </c>
      <c r="O33" s="36" t="str">
        <f>OFFSET(O17,0,-Macro!$H$21)</f>
        <v>#VALUE!</v>
      </c>
      <c r="P33" s="35" t="str">
        <f>OFFSET(P17,0,-Macro!$H$21)</f>
        <v>#VALUE!</v>
      </c>
      <c r="Q33" s="35" t="str">
        <f>OFFSET(Q17,0,-Macro!$H$21)</f>
        <v>#VALUE!</v>
      </c>
      <c r="R33" s="35" t="str">
        <f>OFFSET(R17,0,-Macro!$H$21)</f>
        <v>#VALUE!</v>
      </c>
      <c r="S33" s="34" t="str">
        <f>OFFSET(S17,0,-Macro!$H$21)</f>
        <v>#VALUE!</v>
      </c>
      <c r="T33" s="35" t="str">
        <f>OFFSET(T17,0,-Macro!$H$21)</f>
        <v>#VALUE!</v>
      </c>
      <c r="U33" s="36" t="str">
        <f>OFFSET(U17,0,-Macro!$H$21)</f>
        <v>#VALUE!</v>
      </c>
      <c r="V33" s="35" t="str">
        <f>OFFSET(V17,0,-Macro!$H$21)</f>
        <v>#VALUE!</v>
      </c>
      <c r="W33" s="35" t="str">
        <f>OFFSET(W17,0,-Macro!$H$21)</f>
        <v>#VALUE!</v>
      </c>
      <c r="X33" s="35" t="str">
        <f>OFFSET(X17,0,-Macro!$H$21)</f>
        <v>#VALUE!</v>
      </c>
      <c r="Y33" s="34" t="str">
        <f>OFFSET(Y17,0,-Macro!$H$21)</f>
        <v>#VALUE!</v>
      </c>
      <c r="Z33" s="35" t="str">
        <f>OFFSET(Z17,0,-Macro!$H$21)</f>
        <v>#VALUE!</v>
      </c>
      <c r="AA33" s="36" t="str">
        <f>OFFSET(AA17,0,-Macro!$H$21)</f>
        <v>#VALUE!</v>
      </c>
      <c r="AB33" s="35" t="str">
        <f>OFFSET(AB17,0,-Macro!$H$21)</f>
        <v>#VALUE!</v>
      </c>
      <c r="AC33" s="35" t="str">
        <f>OFFSET(AC17,0,-Macro!$H$21)</f>
        <v>#VALUE!</v>
      </c>
      <c r="AD33" s="35" t="str">
        <f>OFFSET(AD17,0,-Macro!$H$21)</f>
        <v>#VALUE!</v>
      </c>
      <c r="AE33" s="34" t="str">
        <f>OFFSET(AE17,0,-Macro!$H$21)</f>
        <v>#VALUE!</v>
      </c>
      <c r="AF33" s="35" t="str">
        <f>OFFSET(AF17,0,-Macro!$H$21)</f>
        <v>#VALUE!</v>
      </c>
      <c r="AG33" s="36" t="str">
        <f>OFFSET(AG17,0,-Macro!$H$21)</f>
        <v>#VALUE!</v>
      </c>
      <c r="AH33" s="35" t="str">
        <f>OFFSET(AH17,0,-Macro!$H$21)</f>
        <v>#VALUE!</v>
      </c>
      <c r="AI33" s="35" t="str">
        <f>OFFSET(AI17,0,-Macro!$H$21)</f>
        <v>#VALUE!</v>
      </c>
      <c r="AJ33" s="35" t="str">
        <f>OFFSET(AJ17,0,-Macro!$H$21)</f>
        <v>#VALUE!</v>
      </c>
      <c r="AK33" s="34" t="str">
        <f>OFFSET(AK17,0,-Macro!$H$21)</f>
        <v>#VALUE!</v>
      </c>
      <c r="AL33" s="35" t="str">
        <f>OFFSET(AL17,0,-Macro!$H$21)</f>
        <v>#VALUE!</v>
      </c>
      <c r="AM33" s="36" t="str">
        <f>OFFSET(AM17,0,-Macro!$H$21)</f>
        <v>#VALUE!</v>
      </c>
      <c r="AN33" s="35" t="str">
        <f>OFFSET(AN17,0,-Macro!$H$21)</f>
        <v>#VALUE!</v>
      </c>
      <c r="AO33" s="35" t="str">
        <f>OFFSET(AO17,0,-Macro!$H$21)</f>
        <v>#VALUE!</v>
      </c>
      <c r="AP33" s="35" t="str">
        <f>OFFSET(AP17,0,-Macro!$H$21)</f>
        <v>#VALUE!</v>
      </c>
      <c r="AQ33" s="34" t="str">
        <f>OFFSET(AQ17,0,-Macro!$H$21)</f>
        <v>#VALUE!</v>
      </c>
      <c r="AR33" s="35" t="str">
        <f>OFFSET(AR17,0,-Macro!$H$21)</f>
        <v>#VALUE!</v>
      </c>
      <c r="AS33" s="36" t="str">
        <f>OFFSET(AS17,0,-Macro!$H$21)</f>
        <v>#VALUE!</v>
      </c>
    </row>
    <row r="34" ht="12.0" customHeight="1">
      <c r="A34" s="4"/>
      <c r="B34" s="8"/>
      <c r="C34" s="4" t="s">
        <v>213</v>
      </c>
      <c r="D34" s="64"/>
      <c r="E34" s="4"/>
      <c r="F34" s="65"/>
      <c r="G34" s="64"/>
      <c r="H34" s="4"/>
      <c r="I34" s="65"/>
      <c r="J34" s="87">
        <f t="shared" ref="J34:AS34" si="10">IFERROR(OFFSET(J17,0,-12)+OFFSET(J27,0,-12),0)</f>
        <v>0</v>
      </c>
      <c r="K34" s="88">
        <f t="shared" si="10"/>
        <v>0</v>
      </c>
      <c r="L34" s="88">
        <f t="shared" si="10"/>
        <v>0</v>
      </c>
      <c r="M34" s="87">
        <f t="shared" si="10"/>
        <v>0</v>
      </c>
      <c r="N34" s="88">
        <f t="shared" si="10"/>
        <v>0</v>
      </c>
      <c r="O34" s="89">
        <f t="shared" si="10"/>
        <v>0</v>
      </c>
      <c r="P34" s="88">
        <f t="shared" si="10"/>
        <v>20000</v>
      </c>
      <c r="Q34" s="88">
        <f t="shared" si="10"/>
        <v>20000</v>
      </c>
      <c r="R34" s="88">
        <f t="shared" si="10"/>
        <v>20000</v>
      </c>
      <c r="S34" s="87">
        <f t="shared" si="10"/>
        <v>50000</v>
      </c>
      <c r="T34" s="88">
        <f t="shared" si="10"/>
        <v>50000</v>
      </c>
      <c r="U34" s="89">
        <f t="shared" si="10"/>
        <v>50000</v>
      </c>
      <c r="V34" s="88">
        <f t="shared" si="10"/>
        <v>140000</v>
      </c>
      <c r="W34" s="88">
        <f t="shared" si="10"/>
        <v>140000</v>
      </c>
      <c r="X34" s="88">
        <f t="shared" si="10"/>
        <v>140000</v>
      </c>
      <c r="Y34" s="87">
        <f t="shared" si="10"/>
        <v>0</v>
      </c>
      <c r="Z34" s="88">
        <f t="shared" si="10"/>
        <v>0</v>
      </c>
      <c r="AA34" s="89">
        <f t="shared" si="10"/>
        <v>0</v>
      </c>
      <c r="AB34" s="88">
        <f t="shared" si="10"/>
        <v>0</v>
      </c>
      <c r="AC34" s="88">
        <f t="shared" si="10"/>
        <v>0</v>
      </c>
      <c r="AD34" s="88">
        <f t="shared" si="10"/>
        <v>0</v>
      </c>
      <c r="AE34" s="87">
        <f t="shared" si="10"/>
        <v>0</v>
      </c>
      <c r="AF34" s="88">
        <f t="shared" si="10"/>
        <v>0</v>
      </c>
      <c r="AG34" s="89">
        <f t="shared" si="10"/>
        <v>0</v>
      </c>
      <c r="AH34" s="88">
        <f t="shared" si="10"/>
        <v>0</v>
      </c>
      <c r="AI34" s="88">
        <f t="shared" si="10"/>
        <v>0</v>
      </c>
      <c r="AJ34" s="88">
        <f t="shared" si="10"/>
        <v>0</v>
      </c>
      <c r="AK34" s="87">
        <f t="shared" si="10"/>
        <v>0</v>
      </c>
      <c r="AL34" s="88">
        <f t="shared" si="10"/>
        <v>0</v>
      </c>
      <c r="AM34" s="89">
        <f t="shared" si="10"/>
        <v>0</v>
      </c>
      <c r="AN34" s="88">
        <f t="shared" si="10"/>
        <v>0</v>
      </c>
      <c r="AO34" s="88">
        <f t="shared" si="10"/>
        <v>0</v>
      </c>
      <c r="AP34" s="88">
        <f t="shared" si="10"/>
        <v>0</v>
      </c>
      <c r="AQ34" s="87">
        <f t="shared" si="10"/>
        <v>0</v>
      </c>
      <c r="AR34" s="88">
        <f t="shared" si="10"/>
        <v>0</v>
      </c>
      <c r="AS34" s="89">
        <f t="shared" si="10"/>
        <v>0</v>
      </c>
    </row>
    <row r="35" ht="12.0" customHeight="1">
      <c r="A35" s="4"/>
      <c r="B35" s="8"/>
      <c r="C35" s="47" t="s">
        <v>15</v>
      </c>
      <c r="D35" s="239"/>
      <c r="E35" s="47"/>
      <c r="F35" s="240"/>
      <c r="G35" s="239"/>
      <c r="H35" s="47"/>
      <c r="I35" s="240"/>
      <c r="J35" s="241">
        <f>IFERROR(OFFSET(J22,0,-Macro!$H$21),0)</f>
        <v>0</v>
      </c>
      <c r="K35" s="242">
        <f>IFERROR(OFFSET(K22,0,-Macro!$H$21),0)</f>
        <v>0</v>
      </c>
      <c r="L35" s="242">
        <f>IFERROR(OFFSET(L22,0,-Macro!$H$21),0)</f>
        <v>0</v>
      </c>
      <c r="M35" s="241">
        <f>IFERROR(OFFSET(M22,0,-Macro!$H$21),0)</f>
        <v>0</v>
      </c>
      <c r="N35" s="242">
        <f>IFERROR(OFFSET(N22,0,-Macro!$H$21),0)</f>
        <v>0</v>
      </c>
      <c r="O35" s="243">
        <f>IFERROR(OFFSET(O22,0,-Macro!$H$21),0)</f>
        <v>0</v>
      </c>
      <c r="P35" s="242">
        <f>IFERROR(OFFSET(P22,0,-Macro!$H$21),0)</f>
        <v>0</v>
      </c>
      <c r="Q35" s="242">
        <f>IFERROR(OFFSET(Q22,0,-Macro!$H$21),0)</f>
        <v>10000</v>
      </c>
      <c r="R35" s="242">
        <f>IFERROR(OFFSET(R22,0,-Macro!$H$21),0)</f>
        <v>10000</v>
      </c>
      <c r="S35" s="241">
        <f>IFERROR(OFFSET(S22,0,-Macro!$H$21),0)</f>
        <v>10000</v>
      </c>
      <c r="T35" s="242">
        <f>IFERROR(OFFSET(T22,0,-Macro!$H$21),0)</f>
        <v>12500</v>
      </c>
      <c r="U35" s="243">
        <f>IFERROR(OFFSET(U22,0,-Macro!$H$21),0)</f>
        <v>12500</v>
      </c>
      <c r="V35" s="242">
        <f>IFERROR(OFFSET(V22,0,-Macro!$H$21),0)</f>
        <v>12500</v>
      </c>
      <c r="W35" s="242">
        <f>IFERROR(OFFSET(W22,0,-Macro!$H$21),0)</f>
        <v>20000</v>
      </c>
      <c r="X35" s="242">
        <f>IFERROR(OFFSET(X22,0,-Macro!$H$21),0)</f>
        <v>20000</v>
      </c>
      <c r="Y35" s="241">
        <f>IFERROR(OFFSET(Y22,0,-Macro!$H$21),0)</f>
        <v>20000</v>
      </c>
      <c r="Z35" s="242">
        <f>IFERROR(OFFSET(Z22,0,-Macro!$H$21),0)</f>
        <v>0</v>
      </c>
      <c r="AA35" s="243">
        <f>IFERROR(OFFSET(AA22,0,-Macro!$H$21),0)</f>
        <v>0</v>
      </c>
      <c r="AB35" s="242">
        <f>IFERROR(OFFSET(AB22,0,-Macro!$H$21),0)</f>
        <v>0</v>
      </c>
      <c r="AC35" s="242">
        <f>IFERROR(OFFSET(AC22,0,-Macro!$H$21),0)</f>
        <v>0</v>
      </c>
      <c r="AD35" s="242">
        <f>IFERROR(OFFSET(AD22,0,-Macro!$H$21),0)</f>
        <v>0</v>
      </c>
      <c r="AE35" s="241">
        <f>IFERROR(OFFSET(AE22,0,-Macro!$H$21),0)</f>
        <v>0</v>
      </c>
      <c r="AF35" s="242">
        <f>IFERROR(OFFSET(AF22,0,-Macro!$H$21),0)</f>
        <v>0</v>
      </c>
      <c r="AG35" s="243">
        <f>IFERROR(OFFSET(AG22,0,-Macro!$H$21),0)</f>
        <v>0</v>
      </c>
      <c r="AH35" s="242">
        <f>IFERROR(OFFSET(AH22,0,-Macro!$H$21),0)</f>
        <v>0</v>
      </c>
      <c r="AI35" s="242">
        <f>IFERROR(OFFSET(AI22,0,-Macro!$H$21),0)</f>
        <v>0</v>
      </c>
      <c r="AJ35" s="242">
        <f>IFERROR(OFFSET(AJ22,0,-Macro!$H$21),0)</f>
        <v>0</v>
      </c>
      <c r="AK35" s="241">
        <f>IFERROR(OFFSET(AK22,0,-Macro!$H$21),0)</f>
        <v>0</v>
      </c>
      <c r="AL35" s="242">
        <f>IFERROR(OFFSET(AL22,0,-Macro!$H$21),0)</f>
        <v>0</v>
      </c>
      <c r="AM35" s="243">
        <f>IFERROR(OFFSET(AM22,0,-Macro!$H$21),0)</f>
        <v>0</v>
      </c>
      <c r="AN35" s="242">
        <f>IFERROR(OFFSET(AN22,0,-Macro!$H$21),0)</f>
        <v>0</v>
      </c>
      <c r="AO35" s="242">
        <f>IFERROR(OFFSET(AO22,0,-Macro!$H$21),0)</f>
        <v>0</v>
      </c>
      <c r="AP35" s="242">
        <f>IFERROR(OFFSET(AP22,0,-Macro!$H$21),0)</f>
        <v>0</v>
      </c>
      <c r="AQ35" s="241">
        <f>IFERROR(OFFSET(AQ22,0,-Macro!$H$21),0)</f>
        <v>0</v>
      </c>
      <c r="AR35" s="242">
        <f>IFERROR(OFFSET(AR22,0,-Macro!$H$21),0)</f>
        <v>0</v>
      </c>
      <c r="AS35" s="243">
        <f>IFERROR(OFFSET(AS22,0,-Macro!$H$21),0)</f>
        <v>0</v>
      </c>
    </row>
    <row r="36" ht="12.0" customHeight="1">
      <c r="A36" s="4"/>
      <c r="C36" s="8" t="s">
        <v>212</v>
      </c>
      <c r="D36" s="93"/>
      <c r="E36" s="8"/>
      <c r="F36" s="244"/>
      <c r="G36" s="51"/>
      <c r="H36" s="52"/>
      <c r="I36" s="53"/>
      <c r="J36" s="51">
        <f t="shared" ref="J36:AS36" si="11">SUM(J33:J35)</f>
        <v>50000</v>
      </c>
      <c r="K36" s="52">
        <f t="shared" si="11"/>
        <v>160000</v>
      </c>
      <c r="L36" s="52">
        <f t="shared" si="11"/>
        <v>160000</v>
      </c>
      <c r="M36" s="51">
        <f t="shared" si="11"/>
        <v>160000</v>
      </c>
      <c r="N36" s="52" t="str">
        <f t="shared" si="11"/>
        <v>#VALUE!</v>
      </c>
      <c r="O36" s="53" t="str">
        <f t="shared" si="11"/>
        <v>#VALUE!</v>
      </c>
      <c r="P36" s="52" t="str">
        <f t="shared" si="11"/>
        <v>#VALUE!</v>
      </c>
      <c r="Q36" s="52" t="str">
        <f t="shared" si="11"/>
        <v>#VALUE!</v>
      </c>
      <c r="R36" s="52" t="str">
        <f t="shared" si="11"/>
        <v>#VALUE!</v>
      </c>
      <c r="S36" s="51" t="str">
        <f t="shared" si="11"/>
        <v>#VALUE!</v>
      </c>
      <c r="T36" s="52" t="str">
        <f t="shared" si="11"/>
        <v>#VALUE!</v>
      </c>
      <c r="U36" s="53" t="str">
        <f t="shared" si="11"/>
        <v>#VALUE!</v>
      </c>
      <c r="V36" s="52" t="str">
        <f t="shared" si="11"/>
        <v>#VALUE!</v>
      </c>
      <c r="W36" s="52" t="str">
        <f t="shared" si="11"/>
        <v>#VALUE!</v>
      </c>
      <c r="X36" s="52" t="str">
        <f t="shared" si="11"/>
        <v>#VALUE!</v>
      </c>
      <c r="Y36" s="51" t="str">
        <f t="shared" si="11"/>
        <v>#VALUE!</v>
      </c>
      <c r="Z36" s="52" t="str">
        <f t="shared" si="11"/>
        <v>#VALUE!</v>
      </c>
      <c r="AA36" s="53" t="str">
        <f t="shared" si="11"/>
        <v>#VALUE!</v>
      </c>
      <c r="AB36" s="52" t="str">
        <f t="shared" si="11"/>
        <v>#VALUE!</v>
      </c>
      <c r="AC36" s="52" t="str">
        <f t="shared" si="11"/>
        <v>#VALUE!</v>
      </c>
      <c r="AD36" s="52" t="str">
        <f t="shared" si="11"/>
        <v>#VALUE!</v>
      </c>
      <c r="AE36" s="51" t="str">
        <f t="shared" si="11"/>
        <v>#VALUE!</v>
      </c>
      <c r="AF36" s="52" t="str">
        <f t="shared" si="11"/>
        <v>#VALUE!</v>
      </c>
      <c r="AG36" s="53" t="str">
        <f t="shared" si="11"/>
        <v>#VALUE!</v>
      </c>
      <c r="AH36" s="52" t="str">
        <f t="shared" si="11"/>
        <v>#VALUE!</v>
      </c>
      <c r="AI36" s="52" t="str">
        <f t="shared" si="11"/>
        <v>#VALUE!</v>
      </c>
      <c r="AJ36" s="52" t="str">
        <f t="shared" si="11"/>
        <v>#VALUE!</v>
      </c>
      <c r="AK36" s="51" t="str">
        <f t="shared" si="11"/>
        <v>#VALUE!</v>
      </c>
      <c r="AL36" s="52" t="str">
        <f t="shared" si="11"/>
        <v>#VALUE!</v>
      </c>
      <c r="AM36" s="53" t="str">
        <f t="shared" si="11"/>
        <v>#VALUE!</v>
      </c>
      <c r="AN36" s="52" t="str">
        <f t="shared" si="11"/>
        <v>#VALUE!</v>
      </c>
      <c r="AO36" s="52" t="str">
        <f t="shared" si="11"/>
        <v>#VALUE!</v>
      </c>
      <c r="AP36" s="52" t="str">
        <f t="shared" si="11"/>
        <v>#VALUE!</v>
      </c>
      <c r="AQ36" s="51" t="str">
        <f t="shared" si="11"/>
        <v>#VALUE!</v>
      </c>
      <c r="AR36" s="52" t="str">
        <f t="shared" si="11"/>
        <v>#VALUE!</v>
      </c>
      <c r="AS36" s="53" t="str">
        <f t="shared" si="11"/>
        <v>#VALUE!</v>
      </c>
    </row>
    <row r="37" ht="12.0" customHeight="1">
      <c r="D37" s="64"/>
      <c r="E37" s="4"/>
      <c r="F37" s="65"/>
      <c r="G37" s="64"/>
      <c r="H37" s="4"/>
      <c r="I37" s="65"/>
      <c r="J37" s="64"/>
      <c r="K37" s="4"/>
      <c r="L37" s="4"/>
      <c r="M37" s="245"/>
      <c r="N37" s="4"/>
      <c r="O37" s="65"/>
      <c r="P37" s="4"/>
      <c r="Q37" s="4"/>
      <c r="R37" s="4"/>
      <c r="S37" s="64"/>
      <c r="T37" s="4"/>
      <c r="U37" s="65"/>
      <c r="V37" s="4"/>
      <c r="W37" s="4"/>
      <c r="X37" s="4"/>
      <c r="Y37" s="64"/>
      <c r="Z37" s="4"/>
      <c r="AA37" s="65"/>
      <c r="AB37" s="4"/>
      <c r="AC37" s="4"/>
      <c r="AD37" s="4"/>
      <c r="AE37" s="64"/>
      <c r="AF37" s="4"/>
      <c r="AG37" s="65"/>
      <c r="AH37" s="4"/>
      <c r="AI37" s="4"/>
      <c r="AJ37" s="4"/>
      <c r="AK37" s="64"/>
      <c r="AL37" s="4"/>
      <c r="AM37" s="65"/>
      <c r="AN37" s="4"/>
      <c r="AO37" s="4"/>
      <c r="AP37" s="4"/>
      <c r="AQ37" s="64"/>
      <c r="AR37" s="4"/>
      <c r="AS37" s="65"/>
    </row>
    <row r="38" ht="12.0" customHeight="1">
      <c r="B38" s="122" t="s">
        <v>9</v>
      </c>
      <c r="C38" s="29"/>
      <c r="D38" s="237"/>
      <c r="E38" s="29"/>
      <c r="F38" s="238"/>
      <c r="G38" s="237"/>
      <c r="H38" s="29"/>
      <c r="I38" s="238"/>
      <c r="J38" s="237"/>
      <c r="K38" s="29"/>
      <c r="L38" s="29"/>
      <c r="M38" s="237"/>
      <c r="N38" s="29"/>
      <c r="O38" s="238"/>
      <c r="P38" s="29"/>
      <c r="Q38" s="29"/>
      <c r="R38" s="29"/>
      <c r="S38" s="237"/>
      <c r="T38" s="29"/>
      <c r="U38" s="238"/>
      <c r="V38" s="29"/>
      <c r="W38" s="29"/>
      <c r="X38" s="29"/>
      <c r="Y38" s="237"/>
      <c r="Z38" s="29"/>
      <c r="AA38" s="238"/>
      <c r="AB38" s="29"/>
      <c r="AC38" s="29"/>
      <c r="AD38" s="29"/>
      <c r="AE38" s="237"/>
      <c r="AF38" s="29"/>
      <c r="AG38" s="238"/>
      <c r="AH38" s="29"/>
      <c r="AI38" s="29"/>
      <c r="AJ38" s="29"/>
      <c r="AK38" s="237"/>
      <c r="AL38" s="29"/>
      <c r="AM38" s="238"/>
      <c r="AN38" s="29"/>
      <c r="AO38" s="29"/>
      <c r="AP38" s="29"/>
      <c r="AQ38" s="237"/>
      <c r="AR38" s="29"/>
      <c r="AS38" s="238"/>
    </row>
    <row r="39" ht="12.0" customHeight="1">
      <c r="A39" s="4"/>
      <c r="B39" s="8"/>
      <c r="C39" s="4" t="s">
        <v>9</v>
      </c>
      <c r="D39" s="246">
        <v>20000.0</v>
      </c>
      <c r="E39" s="247">
        <f t="shared" ref="E39:AS39" si="12">D39+E44</f>
        <v>40000</v>
      </c>
      <c r="F39" s="248">
        <f t="shared" si="12"/>
        <v>60000</v>
      </c>
      <c r="G39" s="61">
        <f t="shared" si="12"/>
        <v>110000</v>
      </c>
      <c r="H39" s="62">
        <f t="shared" si="12"/>
        <v>160000</v>
      </c>
      <c r="I39" s="63">
        <f t="shared" si="12"/>
        <v>210000</v>
      </c>
      <c r="J39" s="61">
        <f t="shared" si="12"/>
        <v>350000</v>
      </c>
      <c r="K39" s="62">
        <f t="shared" si="12"/>
        <v>490000</v>
      </c>
      <c r="L39" s="62">
        <f t="shared" si="12"/>
        <v>630000</v>
      </c>
      <c r="M39" s="61" t="str">
        <f t="shared" si="12"/>
        <v>#VALUE!</v>
      </c>
      <c r="N39" s="62" t="str">
        <f t="shared" si="12"/>
        <v>#VALUE!</v>
      </c>
      <c r="O39" s="63" t="str">
        <f t="shared" si="12"/>
        <v>#VALUE!</v>
      </c>
      <c r="P39" s="62" t="str">
        <f t="shared" si="12"/>
        <v>#VALUE!</v>
      </c>
      <c r="Q39" s="62" t="str">
        <f t="shared" si="12"/>
        <v>#VALUE!</v>
      </c>
      <c r="R39" s="62" t="str">
        <f t="shared" si="12"/>
        <v>#VALUE!</v>
      </c>
      <c r="S39" s="61" t="str">
        <f t="shared" si="12"/>
        <v>#VALUE!</v>
      </c>
      <c r="T39" s="62" t="str">
        <f t="shared" si="12"/>
        <v>#VALUE!</v>
      </c>
      <c r="U39" s="63" t="str">
        <f t="shared" si="12"/>
        <v>#VALUE!</v>
      </c>
      <c r="V39" s="62" t="str">
        <f t="shared" si="12"/>
        <v>#VALUE!</v>
      </c>
      <c r="W39" s="62" t="str">
        <f t="shared" si="12"/>
        <v>#VALUE!</v>
      </c>
      <c r="X39" s="62" t="str">
        <f t="shared" si="12"/>
        <v>#VALUE!</v>
      </c>
      <c r="Y39" s="61" t="str">
        <f t="shared" si="12"/>
        <v>#VALUE!</v>
      </c>
      <c r="Z39" s="62" t="str">
        <f t="shared" si="12"/>
        <v>#VALUE!</v>
      </c>
      <c r="AA39" s="63" t="str">
        <f t="shared" si="12"/>
        <v>#VALUE!</v>
      </c>
      <c r="AB39" s="62" t="str">
        <f t="shared" si="12"/>
        <v>#VALUE!</v>
      </c>
      <c r="AC39" s="62" t="str">
        <f t="shared" si="12"/>
        <v>#VALUE!</v>
      </c>
      <c r="AD39" s="62" t="str">
        <f t="shared" si="12"/>
        <v>#VALUE!</v>
      </c>
      <c r="AE39" s="61" t="str">
        <f t="shared" si="12"/>
        <v>#VALUE!</v>
      </c>
      <c r="AF39" s="62" t="str">
        <f t="shared" si="12"/>
        <v>#VALUE!</v>
      </c>
      <c r="AG39" s="63" t="str">
        <f t="shared" si="12"/>
        <v>#VALUE!</v>
      </c>
      <c r="AH39" s="62" t="str">
        <f t="shared" si="12"/>
        <v>#VALUE!</v>
      </c>
      <c r="AI39" s="62" t="str">
        <f t="shared" si="12"/>
        <v>#VALUE!</v>
      </c>
      <c r="AJ39" s="62" t="str">
        <f t="shared" si="12"/>
        <v>#VALUE!</v>
      </c>
      <c r="AK39" s="61" t="str">
        <f t="shared" si="12"/>
        <v>#VALUE!</v>
      </c>
      <c r="AL39" s="62" t="str">
        <f t="shared" si="12"/>
        <v>#VALUE!</v>
      </c>
      <c r="AM39" s="63" t="str">
        <f t="shared" si="12"/>
        <v>#VALUE!</v>
      </c>
      <c r="AN39" s="62" t="str">
        <f t="shared" si="12"/>
        <v>#VALUE!</v>
      </c>
      <c r="AO39" s="62" t="str">
        <f t="shared" si="12"/>
        <v>#VALUE!</v>
      </c>
      <c r="AP39" s="62" t="str">
        <f t="shared" si="12"/>
        <v>#VALUE!</v>
      </c>
      <c r="AQ39" s="61" t="str">
        <f t="shared" si="12"/>
        <v>#VALUE!</v>
      </c>
      <c r="AR39" s="62" t="str">
        <f t="shared" si="12"/>
        <v>#VALUE!</v>
      </c>
      <c r="AS39" s="63" t="str">
        <f t="shared" si="12"/>
        <v>#VALUE!</v>
      </c>
    </row>
    <row r="40" ht="12.0" customHeight="1">
      <c r="A40" s="4"/>
      <c r="B40" s="8"/>
      <c r="C40" s="4"/>
      <c r="D40" s="64"/>
      <c r="E40" s="4"/>
      <c r="F40" s="65"/>
      <c r="G40" s="64"/>
      <c r="H40" s="4"/>
      <c r="I40" s="65"/>
      <c r="J40" s="64"/>
      <c r="K40" s="4"/>
      <c r="L40" s="4"/>
      <c r="M40" s="64"/>
      <c r="N40" s="4"/>
      <c r="O40" s="65"/>
      <c r="P40" s="4"/>
      <c r="Q40" s="4"/>
      <c r="R40" s="4"/>
      <c r="S40" s="64"/>
      <c r="T40" s="4"/>
      <c r="U40" s="65"/>
      <c r="V40" s="4"/>
      <c r="W40" s="4"/>
      <c r="X40" s="4"/>
      <c r="Y40" s="64"/>
      <c r="Z40" s="4"/>
      <c r="AA40" s="65"/>
      <c r="AB40" s="4"/>
      <c r="AC40" s="4"/>
      <c r="AD40" s="4"/>
      <c r="AE40" s="64"/>
      <c r="AF40" s="4"/>
      <c r="AG40" s="65"/>
      <c r="AH40" s="4"/>
      <c r="AI40" s="4"/>
      <c r="AJ40" s="4"/>
      <c r="AK40" s="64"/>
      <c r="AL40" s="4"/>
      <c r="AM40" s="65"/>
      <c r="AN40" s="4"/>
      <c r="AO40" s="4"/>
      <c r="AP40" s="4"/>
      <c r="AQ40" s="64"/>
      <c r="AR40" s="4"/>
      <c r="AS40" s="65"/>
    </row>
    <row r="41" ht="12.0" customHeight="1">
      <c r="C41" s="4" t="s">
        <v>14</v>
      </c>
      <c r="D41" s="249">
        <f t="shared" ref="D41:AS41" si="13">D17</f>
        <v>20000</v>
      </c>
      <c r="E41" s="247">
        <f t="shared" si="13"/>
        <v>20000</v>
      </c>
      <c r="F41" s="248">
        <f t="shared" si="13"/>
        <v>20000</v>
      </c>
      <c r="G41" s="249">
        <f t="shared" si="13"/>
        <v>50000</v>
      </c>
      <c r="H41" s="247">
        <f t="shared" si="13"/>
        <v>50000</v>
      </c>
      <c r="I41" s="248">
        <f t="shared" si="13"/>
        <v>50000</v>
      </c>
      <c r="J41" s="249">
        <f t="shared" si="13"/>
        <v>160000</v>
      </c>
      <c r="K41" s="62">
        <f t="shared" si="13"/>
        <v>160000</v>
      </c>
      <c r="L41" s="62">
        <f t="shared" si="13"/>
        <v>160000</v>
      </c>
      <c r="M41" s="61" t="str">
        <f t="shared" si="13"/>
        <v>#VALUE!</v>
      </c>
      <c r="N41" s="62" t="str">
        <f t="shared" si="13"/>
        <v>#VALUE!</v>
      </c>
      <c r="O41" s="63" t="str">
        <f t="shared" si="13"/>
        <v>#VALUE!</v>
      </c>
      <c r="P41" s="62" t="str">
        <f t="shared" si="13"/>
        <v>#VALUE!</v>
      </c>
      <c r="Q41" s="62" t="str">
        <f t="shared" si="13"/>
        <v>#VALUE!</v>
      </c>
      <c r="R41" s="62" t="str">
        <f t="shared" si="13"/>
        <v>#VALUE!</v>
      </c>
      <c r="S41" s="61" t="str">
        <f t="shared" si="13"/>
        <v>#VALUE!</v>
      </c>
      <c r="T41" s="62" t="str">
        <f t="shared" si="13"/>
        <v>#VALUE!</v>
      </c>
      <c r="U41" s="63" t="str">
        <f t="shared" si="13"/>
        <v>#VALUE!</v>
      </c>
      <c r="V41" s="62" t="str">
        <f t="shared" si="13"/>
        <v>#VALUE!</v>
      </c>
      <c r="W41" s="62" t="str">
        <f t="shared" si="13"/>
        <v>#VALUE!</v>
      </c>
      <c r="X41" s="62" t="str">
        <f t="shared" si="13"/>
        <v>#VALUE!</v>
      </c>
      <c r="Y41" s="61" t="str">
        <f t="shared" si="13"/>
        <v>#VALUE!</v>
      </c>
      <c r="Z41" s="62" t="str">
        <f t="shared" si="13"/>
        <v>#VALUE!</v>
      </c>
      <c r="AA41" s="63" t="str">
        <f t="shared" si="13"/>
        <v>#VALUE!</v>
      </c>
      <c r="AB41" s="62" t="str">
        <f t="shared" si="13"/>
        <v>#VALUE!</v>
      </c>
      <c r="AC41" s="62" t="str">
        <f t="shared" si="13"/>
        <v>#VALUE!</v>
      </c>
      <c r="AD41" s="62" t="str">
        <f t="shared" si="13"/>
        <v>#VALUE!</v>
      </c>
      <c r="AE41" s="61" t="str">
        <f t="shared" si="13"/>
        <v>#VALUE!</v>
      </c>
      <c r="AF41" s="62" t="str">
        <f t="shared" si="13"/>
        <v>#VALUE!</v>
      </c>
      <c r="AG41" s="63" t="str">
        <f t="shared" si="13"/>
        <v>#VALUE!</v>
      </c>
      <c r="AH41" s="62" t="str">
        <f t="shared" si="13"/>
        <v>#VALUE!</v>
      </c>
      <c r="AI41" s="62" t="str">
        <f t="shared" si="13"/>
        <v>#VALUE!</v>
      </c>
      <c r="AJ41" s="62" t="str">
        <f t="shared" si="13"/>
        <v>#VALUE!</v>
      </c>
      <c r="AK41" s="61" t="str">
        <f t="shared" si="13"/>
        <v>#VALUE!</v>
      </c>
      <c r="AL41" s="62" t="str">
        <f t="shared" si="13"/>
        <v>#VALUE!</v>
      </c>
      <c r="AM41" s="63" t="str">
        <f t="shared" si="13"/>
        <v>#VALUE!</v>
      </c>
      <c r="AN41" s="62" t="str">
        <f t="shared" si="13"/>
        <v>#VALUE!</v>
      </c>
      <c r="AO41" s="62" t="str">
        <f t="shared" si="13"/>
        <v>#VALUE!</v>
      </c>
      <c r="AP41" s="62" t="str">
        <f t="shared" si="13"/>
        <v>#VALUE!</v>
      </c>
      <c r="AQ41" s="61" t="str">
        <f t="shared" si="13"/>
        <v>#VALUE!</v>
      </c>
      <c r="AR41" s="62" t="str">
        <f t="shared" si="13"/>
        <v>#VALUE!</v>
      </c>
      <c r="AS41" s="63" t="str">
        <f t="shared" si="13"/>
        <v>#VALUE!</v>
      </c>
    </row>
    <row r="42" ht="12.0" customHeight="1">
      <c r="C42" s="4" t="s">
        <v>15</v>
      </c>
      <c r="D42" s="249">
        <f t="shared" ref="D42:AS42" si="14">D22</f>
        <v>0</v>
      </c>
      <c r="E42" s="247">
        <f t="shared" si="14"/>
        <v>0</v>
      </c>
      <c r="F42" s="248">
        <f t="shared" si="14"/>
        <v>0</v>
      </c>
      <c r="G42" s="249">
        <f t="shared" si="14"/>
        <v>0</v>
      </c>
      <c r="H42" s="247" t="str">
        <f t="shared" si="14"/>
        <v>f</v>
      </c>
      <c r="I42" s="248">
        <f t="shared" si="14"/>
        <v>0</v>
      </c>
      <c r="J42" s="250">
        <f t="shared" si="14"/>
        <v>0</v>
      </c>
      <c r="K42" s="88">
        <f t="shared" si="14"/>
        <v>0</v>
      </c>
      <c r="L42" s="88">
        <f t="shared" si="14"/>
        <v>0</v>
      </c>
      <c r="M42" s="87">
        <f t="shared" si="14"/>
        <v>0</v>
      </c>
      <c r="N42" s="88">
        <f t="shared" si="14"/>
        <v>0</v>
      </c>
      <c r="O42" s="89">
        <f t="shared" si="14"/>
        <v>0</v>
      </c>
      <c r="P42" s="88">
        <f t="shared" si="14"/>
        <v>10000</v>
      </c>
      <c r="Q42" s="88">
        <f t="shared" si="14"/>
        <v>10000</v>
      </c>
      <c r="R42" s="88">
        <f t="shared" si="14"/>
        <v>10000</v>
      </c>
      <c r="S42" s="87">
        <f t="shared" si="14"/>
        <v>12500</v>
      </c>
      <c r="T42" s="88">
        <f t="shared" si="14"/>
        <v>12500</v>
      </c>
      <c r="U42" s="89">
        <f t="shared" si="14"/>
        <v>12500</v>
      </c>
      <c r="V42" s="88">
        <f t="shared" si="14"/>
        <v>20000</v>
      </c>
      <c r="W42" s="88">
        <f t="shared" si="14"/>
        <v>20000</v>
      </c>
      <c r="X42" s="88">
        <f t="shared" si="14"/>
        <v>20000</v>
      </c>
      <c r="Y42" s="87">
        <f t="shared" si="14"/>
        <v>0</v>
      </c>
      <c r="Z42" s="88">
        <f t="shared" si="14"/>
        <v>0</v>
      </c>
      <c r="AA42" s="89">
        <f t="shared" si="14"/>
        <v>0</v>
      </c>
      <c r="AB42" s="88">
        <f t="shared" si="14"/>
        <v>0</v>
      </c>
      <c r="AC42" s="88">
        <f t="shared" si="14"/>
        <v>0</v>
      </c>
      <c r="AD42" s="88">
        <f t="shared" si="14"/>
        <v>0</v>
      </c>
      <c r="AE42" s="87">
        <f t="shared" si="14"/>
        <v>0</v>
      </c>
      <c r="AF42" s="88">
        <f t="shared" si="14"/>
        <v>0</v>
      </c>
      <c r="AG42" s="89">
        <f t="shared" si="14"/>
        <v>0</v>
      </c>
      <c r="AH42" s="88">
        <f t="shared" si="14"/>
        <v>0</v>
      </c>
      <c r="AI42" s="88">
        <f t="shared" si="14"/>
        <v>0</v>
      </c>
      <c r="AJ42" s="88">
        <f t="shared" si="14"/>
        <v>0</v>
      </c>
      <c r="AK42" s="87">
        <f t="shared" si="14"/>
        <v>0</v>
      </c>
      <c r="AL42" s="88">
        <f t="shared" si="14"/>
        <v>0</v>
      </c>
      <c r="AM42" s="89">
        <f t="shared" si="14"/>
        <v>0</v>
      </c>
      <c r="AN42" s="88">
        <f t="shared" si="14"/>
        <v>0</v>
      </c>
      <c r="AO42" s="88">
        <f t="shared" si="14"/>
        <v>0</v>
      </c>
      <c r="AP42" s="88">
        <f t="shared" si="14"/>
        <v>0</v>
      </c>
      <c r="AQ42" s="87">
        <f t="shared" si="14"/>
        <v>0</v>
      </c>
      <c r="AR42" s="88">
        <f t="shared" si="14"/>
        <v>0</v>
      </c>
      <c r="AS42" s="89">
        <f t="shared" si="14"/>
        <v>0</v>
      </c>
    </row>
    <row r="43" ht="12.0" customHeight="1">
      <c r="C43" s="47" t="s">
        <v>16</v>
      </c>
      <c r="D43" s="251">
        <f t="shared" ref="D43:AS43" si="15">D27</f>
        <v>0</v>
      </c>
      <c r="E43" s="252">
        <f t="shared" si="15"/>
        <v>0</v>
      </c>
      <c r="F43" s="253">
        <f t="shared" si="15"/>
        <v>0</v>
      </c>
      <c r="G43" s="251">
        <f t="shared" si="15"/>
        <v>0</v>
      </c>
      <c r="H43" s="252">
        <f t="shared" si="15"/>
        <v>0</v>
      </c>
      <c r="I43" s="253">
        <f t="shared" si="15"/>
        <v>0</v>
      </c>
      <c r="J43" s="251">
        <f t="shared" si="15"/>
        <v>-20000</v>
      </c>
      <c r="K43" s="254">
        <f t="shared" si="15"/>
        <v>-20000</v>
      </c>
      <c r="L43" s="254">
        <f t="shared" si="15"/>
        <v>-20000</v>
      </c>
      <c r="M43" s="230">
        <f t="shared" si="15"/>
        <v>0</v>
      </c>
      <c r="N43" s="254">
        <f t="shared" si="15"/>
        <v>0</v>
      </c>
      <c r="O43" s="255">
        <f t="shared" si="15"/>
        <v>0</v>
      </c>
      <c r="P43" s="254">
        <f t="shared" si="15"/>
        <v>-20000</v>
      </c>
      <c r="Q43" s="254">
        <f t="shared" si="15"/>
        <v>-20000</v>
      </c>
      <c r="R43" s="254">
        <f t="shared" si="15"/>
        <v>-20000</v>
      </c>
      <c r="S43" s="230">
        <f t="shared" si="15"/>
        <v>-25000</v>
      </c>
      <c r="T43" s="254">
        <f t="shared" si="15"/>
        <v>-25000</v>
      </c>
      <c r="U43" s="255">
        <f t="shared" si="15"/>
        <v>-25000</v>
      </c>
      <c r="V43" s="254">
        <f t="shared" si="15"/>
        <v>-40000</v>
      </c>
      <c r="W43" s="254">
        <f t="shared" si="15"/>
        <v>-40000</v>
      </c>
      <c r="X43" s="254">
        <f t="shared" si="15"/>
        <v>-40000</v>
      </c>
      <c r="Y43" s="230">
        <f t="shared" si="15"/>
        <v>0</v>
      </c>
      <c r="Z43" s="254">
        <f t="shared" si="15"/>
        <v>0</v>
      </c>
      <c r="AA43" s="255">
        <f t="shared" si="15"/>
        <v>0</v>
      </c>
      <c r="AB43" s="254">
        <f t="shared" si="15"/>
        <v>0</v>
      </c>
      <c r="AC43" s="254">
        <f t="shared" si="15"/>
        <v>0</v>
      </c>
      <c r="AD43" s="254">
        <f t="shared" si="15"/>
        <v>0</v>
      </c>
      <c r="AE43" s="230">
        <f t="shared" si="15"/>
        <v>0</v>
      </c>
      <c r="AF43" s="254">
        <f t="shared" si="15"/>
        <v>0</v>
      </c>
      <c r="AG43" s="255">
        <f t="shared" si="15"/>
        <v>0</v>
      </c>
      <c r="AH43" s="254">
        <f t="shared" si="15"/>
        <v>0</v>
      </c>
      <c r="AI43" s="254">
        <f t="shared" si="15"/>
        <v>0</v>
      </c>
      <c r="AJ43" s="254">
        <f t="shared" si="15"/>
        <v>0</v>
      </c>
      <c r="AK43" s="230">
        <f t="shared" si="15"/>
        <v>0</v>
      </c>
      <c r="AL43" s="254">
        <f t="shared" si="15"/>
        <v>0</v>
      </c>
      <c r="AM43" s="255">
        <f t="shared" si="15"/>
        <v>0</v>
      </c>
      <c r="AN43" s="254">
        <f t="shared" si="15"/>
        <v>0</v>
      </c>
      <c r="AO43" s="254">
        <f t="shared" si="15"/>
        <v>0</v>
      </c>
      <c r="AP43" s="254">
        <f t="shared" si="15"/>
        <v>0</v>
      </c>
      <c r="AQ43" s="230">
        <f t="shared" si="15"/>
        <v>0</v>
      </c>
      <c r="AR43" s="254">
        <f t="shared" si="15"/>
        <v>0</v>
      </c>
      <c r="AS43" s="255">
        <f t="shared" si="15"/>
        <v>0</v>
      </c>
    </row>
    <row r="44" ht="12.0" customHeight="1">
      <c r="A44" s="8"/>
      <c r="B44" s="8"/>
      <c r="C44" s="8" t="s">
        <v>214</v>
      </c>
      <c r="D44" s="256">
        <f t="shared" ref="D44:AS44" si="16">SUM(D41:D43)</f>
        <v>20000</v>
      </c>
      <c r="E44" s="257">
        <f t="shared" si="16"/>
        <v>20000</v>
      </c>
      <c r="F44" s="258">
        <f t="shared" si="16"/>
        <v>20000</v>
      </c>
      <c r="G44" s="256">
        <f t="shared" si="16"/>
        <v>50000</v>
      </c>
      <c r="H44" s="257">
        <f t="shared" si="16"/>
        <v>50000</v>
      </c>
      <c r="I44" s="258">
        <f t="shared" si="16"/>
        <v>50000</v>
      </c>
      <c r="J44" s="256">
        <f t="shared" si="16"/>
        <v>140000</v>
      </c>
      <c r="K44" s="52">
        <f t="shared" si="16"/>
        <v>140000</v>
      </c>
      <c r="L44" s="52">
        <f t="shared" si="16"/>
        <v>140000</v>
      </c>
      <c r="M44" s="51" t="str">
        <f t="shared" si="16"/>
        <v>#VALUE!</v>
      </c>
      <c r="N44" s="52" t="str">
        <f t="shared" si="16"/>
        <v>#VALUE!</v>
      </c>
      <c r="O44" s="53" t="str">
        <f t="shared" si="16"/>
        <v>#VALUE!</v>
      </c>
      <c r="P44" s="52" t="str">
        <f t="shared" si="16"/>
        <v>#VALUE!</v>
      </c>
      <c r="Q44" s="52" t="str">
        <f t="shared" si="16"/>
        <v>#VALUE!</v>
      </c>
      <c r="R44" s="52" t="str">
        <f t="shared" si="16"/>
        <v>#VALUE!</v>
      </c>
      <c r="S44" s="51" t="str">
        <f t="shared" si="16"/>
        <v>#VALUE!</v>
      </c>
      <c r="T44" s="52" t="str">
        <f t="shared" si="16"/>
        <v>#VALUE!</v>
      </c>
      <c r="U44" s="53" t="str">
        <f t="shared" si="16"/>
        <v>#VALUE!</v>
      </c>
      <c r="V44" s="52" t="str">
        <f t="shared" si="16"/>
        <v>#VALUE!</v>
      </c>
      <c r="W44" s="52" t="str">
        <f t="shared" si="16"/>
        <v>#VALUE!</v>
      </c>
      <c r="X44" s="52" t="str">
        <f t="shared" si="16"/>
        <v>#VALUE!</v>
      </c>
      <c r="Y44" s="51" t="str">
        <f t="shared" si="16"/>
        <v>#VALUE!</v>
      </c>
      <c r="Z44" s="52" t="str">
        <f t="shared" si="16"/>
        <v>#VALUE!</v>
      </c>
      <c r="AA44" s="53" t="str">
        <f t="shared" si="16"/>
        <v>#VALUE!</v>
      </c>
      <c r="AB44" s="52" t="str">
        <f t="shared" si="16"/>
        <v>#VALUE!</v>
      </c>
      <c r="AC44" s="52" t="str">
        <f t="shared" si="16"/>
        <v>#VALUE!</v>
      </c>
      <c r="AD44" s="52" t="str">
        <f t="shared" si="16"/>
        <v>#VALUE!</v>
      </c>
      <c r="AE44" s="51" t="str">
        <f t="shared" si="16"/>
        <v>#VALUE!</v>
      </c>
      <c r="AF44" s="52" t="str">
        <f t="shared" si="16"/>
        <v>#VALUE!</v>
      </c>
      <c r="AG44" s="53" t="str">
        <f t="shared" si="16"/>
        <v>#VALUE!</v>
      </c>
      <c r="AH44" s="52" t="str">
        <f t="shared" si="16"/>
        <v>#VALUE!</v>
      </c>
      <c r="AI44" s="52" t="str">
        <f t="shared" si="16"/>
        <v>#VALUE!</v>
      </c>
      <c r="AJ44" s="52" t="str">
        <f t="shared" si="16"/>
        <v>#VALUE!</v>
      </c>
      <c r="AK44" s="51" t="str">
        <f t="shared" si="16"/>
        <v>#VALUE!</v>
      </c>
      <c r="AL44" s="52" t="str">
        <f t="shared" si="16"/>
        <v>#VALUE!</v>
      </c>
      <c r="AM44" s="53" t="str">
        <f t="shared" si="16"/>
        <v>#VALUE!</v>
      </c>
      <c r="AN44" s="52" t="str">
        <f t="shared" si="16"/>
        <v>#VALUE!</v>
      </c>
      <c r="AO44" s="52" t="str">
        <f t="shared" si="16"/>
        <v>#VALUE!</v>
      </c>
      <c r="AP44" s="52" t="str">
        <f t="shared" si="16"/>
        <v>#VALUE!</v>
      </c>
      <c r="AQ44" s="51" t="str">
        <f t="shared" si="16"/>
        <v>#VALUE!</v>
      </c>
      <c r="AR44" s="52" t="str">
        <f t="shared" si="16"/>
        <v>#VALUE!</v>
      </c>
      <c r="AS44" s="53" t="str">
        <f t="shared" si="16"/>
        <v>#VALUE!</v>
      </c>
    </row>
    <row r="45" ht="12.0" customHeight="1">
      <c r="C45" s="4"/>
      <c r="D45" s="124"/>
      <c r="E45" s="125"/>
      <c r="F45" s="126"/>
      <c r="G45" s="124"/>
      <c r="H45" s="125"/>
      <c r="I45" s="126"/>
      <c r="J45" s="259"/>
      <c r="K45" s="260"/>
      <c r="L45" s="260"/>
      <c r="M45" s="259"/>
      <c r="N45" s="260"/>
      <c r="O45" s="261"/>
      <c r="P45" s="260"/>
      <c r="Q45" s="260"/>
      <c r="R45" s="260"/>
      <c r="S45" s="259"/>
      <c r="T45" s="260"/>
      <c r="U45" s="261"/>
      <c r="V45" s="260"/>
      <c r="W45" s="260"/>
      <c r="X45" s="260"/>
      <c r="Y45" s="259"/>
      <c r="Z45" s="260"/>
      <c r="AA45" s="261"/>
      <c r="AB45" s="260"/>
      <c r="AC45" s="260"/>
      <c r="AD45" s="260"/>
      <c r="AE45" s="259"/>
      <c r="AF45" s="260"/>
      <c r="AG45" s="261"/>
      <c r="AH45" s="260"/>
      <c r="AI45" s="260"/>
      <c r="AJ45" s="260"/>
      <c r="AK45" s="259"/>
      <c r="AL45" s="260"/>
      <c r="AM45" s="261"/>
      <c r="AN45" s="260"/>
      <c r="AO45" s="260"/>
      <c r="AP45" s="260"/>
      <c r="AQ45" s="259"/>
      <c r="AR45" s="260"/>
      <c r="AS45" s="261"/>
    </row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  <row r="1001" ht="12.0" customHeight="1"/>
  </sheetData>
  <mergeCells count="6">
    <mergeCell ref="J1:R1"/>
    <mergeCell ref="S1:T1"/>
    <mergeCell ref="D3:I3"/>
    <mergeCell ref="J3:U3"/>
    <mergeCell ref="V3:AG3"/>
    <mergeCell ref="AH3:AS3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7.0" topLeftCell="D8" activePane="bottomRight" state="frozen"/>
      <selection activeCell="D1" sqref="D1" pane="topRight"/>
      <selection activeCell="A8" sqref="A8" pane="bottomLeft"/>
      <selection activeCell="D8" sqref="D8" pane="bottomRight"/>
    </sheetView>
  </sheetViews>
  <sheetFormatPr customHeight="1" defaultColWidth="14.43" defaultRowHeight="15.0" outlineLevelCol="1" outlineLevelRow="1"/>
  <cols>
    <col customWidth="1" min="1" max="1" width="2.71"/>
    <col customWidth="1" min="2" max="2" width="3.0"/>
    <col customWidth="1" min="3" max="3" width="22.0"/>
    <col customWidth="1" min="4" max="6" width="10.71" outlineLevel="1"/>
    <col customWidth="1" min="7" max="9" width="11.71" outlineLevel="1"/>
    <col customWidth="1" min="10" max="38" width="11.71"/>
    <col customWidth="1" min="39" max="39" width="10.71"/>
    <col customWidth="1" min="40" max="41" width="11.71"/>
    <col customWidth="1" min="42" max="42" width="10.71"/>
    <col customWidth="1" min="43" max="44" width="11.71"/>
    <col customWidth="1" min="45" max="45" width="10.71"/>
    <col customWidth="1" min="46" max="46" width="9.14"/>
    <col customWidth="1" hidden="1" min="47" max="65" width="8.71"/>
  </cols>
  <sheetData>
    <row r="1" ht="21.75" customHeight="1">
      <c r="A1" s="3"/>
      <c r="B1" s="4"/>
      <c r="C1" s="4"/>
      <c r="D1" s="5"/>
      <c r="O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</row>
    <row r="2" ht="21.75" customHeight="1">
      <c r="A2" s="3" t="str">
        <f>Macro!A2</f>
        <v>StartUp Co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</row>
    <row r="3" ht="12.0" customHeight="1">
      <c r="A3" s="4"/>
      <c r="B3" s="8" t="s">
        <v>1</v>
      </c>
      <c r="C3" s="4"/>
      <c r="D3" s="107">
        <f>'Top line'!D3</f>
        <v>2020</v>
      </c>
      <c r="E3" s="108"/>
      <c r="F3" s="108"/>
      <c r="G3" s="108"/>
      <c r="H3" s="108"/>
      <c r="I3" s="109"/>
      <c r="J3" s="107">
        <f>'Top line'!J3</f>
        <v>2021</v>
      </c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9"/>
      <c r="V3" s="107">
        <f>'Top line'!V3</f>
        <v>2022</v>
      </c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9"/>
      <c r="AH3" s="107">
        <f>'Top line'!AH3</f>
        <v>2023</v>
      </c>
      <c r="AI3" s="108"/>
      <c r="AJ3" s="108"/>
      <c r="AK3" s="108"/>
      <c r="AL3" s="108"/>
      <c r="AM3" s="108"/>
      <c r="AN3" s="108"/>
      <c r="AO3" s="108"/>
      <c r="AP3" s="108"/>
      <c r="AQ3" s="108"/>
      <c r="AR3" s="108"/>
      <c r="AS3" s="109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</row>
    <row r="4" ht="12.0" customHeight="1">
      <c r="A4" s="4"/>
      <c r="B4" s="8" t="s">
        <v>2</v>
      </c>
      <c r="C4" s="4"/>
      <c r="D4" s="110">
        <f>'Top line'!D4</f>
        <v>3</v>
      </c>
      <c r="E4" s="111"/>
      <c r="F4" s="111"/>
      <c r="G4" s="110">
        <f>'Top line'!G4</f>
        <v>4</v>
      </c>
      <c r="H4" s="111"/>
      <c r="I4" s="112"/>
      <c r="J4" s="107">
        <f>'Top line'!J4</f>
        <v>1</v>
      </c>
      <c r="K4" s="108"/>
      <c r="L4" s="109"/>
      <c r="M4" s="107">
        <f>'Top line'!M4</f>
        <v>2</v>
      </c>
      <c r="N4" s="108"/>
      <c r="O4" s="109"/>
      <c r="P4" s="107">
        <f>'Top line'!P4</f>
        <v>3</v>
      </c>
      <c r="Q4" s="108"/>
      <c r="R4" s="109"/>
      <c r="S4" s="107">
        <f>'Top line'!S4</f>
        <v>4</v>
      </c>
      <c r="T4" s="108"/>
      <c r="U4" s="109"/>
      <c r="V4" s="107">
        <f>'Top line'!V4</f>
        <v>1</v>
      </c>
      <c r="W4" s="108"/>
      <c r="X4" s="109"/>
      <c r="Y4" s="107">
        <f>'Top line'!Y4</f>
        <v>2</v>
      </c>
      <c r="Z4" s="108"/>
      <c r="AA4" s="109"/>
      <c r="AB4" s="107">
        <f>'Top line'!AB4</f>
        <v>3</v>
      </c>
      <c r="AC4" s="108"/>
      <c r="AD4" s="109"/>
      <c r="AE4" s="107">
        <f>'Top line'!AE4</f>
        <v>4</v>
      </c>
      <c r="AF4" s="108"/>
      <c r="AG4" s="109"/>
      <c r="AH4" s="107">
        <f>'Top line'!AH4</f>
        <v>1</v>
      </c>
      <c r="AI4" s="108"/>
      <c r="AJ4" s="109"/>
      <c r="AK4" s="107">
        <f>'Top line'!AK4</f>
        <v>2</v>
      </c>
      <c r="AL4" s="108"/>
      <c r="AM4" s="109"/>
      <c r="AN4" s="107">
        <f>'Top line'!AN4</f>
        <v>3</v>
      </c>
      <c r="AO4" s="108"/>
      <c r="AP4" s="109"/>
      <c r="AQ4" s="107">
        <f>'Top line'!AQ4</f>
        <v>4</v>
      </c>
      <c r="AR4" s="108"/>
      <c r="AS4" s="109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</row>
    <row r="5" ht="12.0" customHeight="1">
      <c r="A5" s="4"/>
      <c r="B5" s="8" t="s">
        <v>7</v>
      </c>
      <c r="C5" s="4"/>
      <c r="D5" s="113">
        <f>'Top line'!D5</f>
        <v>43707</v>
      </c>
      <c r="E5" s="114">
        <f>'Top line'!E5</f>
        <v>43738</v>
      </c>
      <c r="F5" s="114">
        <f>'Top line'!F5</f>
        <v>43769</v>
      </c>
      <c r="G5" s="113">
        <f>'Top line'!G5</f>
        <v>43799</v>
      </c>
      <c r="H5" s="114">
        <f>'Top line'!H5</f>
        <v>43830</v>
      </c>
      <c r="I5" s="115">
        <f>'Top line'!I5</f>
        <v>43861</v>
      </c>
      <c r="J5" s="113">
        <f>'Top line'!J5</f>
        <v>43890</v>
      </c>
      <c r="K5" s="114">
        <f>'Top line'!K5</f>
        <v>43921</v>
      </c>
      <c r="L5" s="115">
        <f>'Top line'!L5</f>
        <v>43951</v>
      </c>
      <c r="M5" s="114">
        <f>'Top line'!M5</f>
        <v>43982</v>
      </c>
      <c r="N5" s="114">
        <f>'Top line'!N5</f>
        <v>44012</v>
      </c>
      <c r="O5" s="115">
        <f>'Top line'!O5</f>
        <v>44043</v>
      </c>
      <c r="P5" s="113">
        <f>'Top line'!P5</f>
        <v>44074</v>
      </c>
      <c r="Q5" s="114">
        <f>'Top line'!Q5</f>
        <v>44104</v>
      </c>
      <c r="R5" s="115">
        <f>'Top line'!R5</f>
        <v>44135</v>
      </c>
      <c r="S5" s="113">
        <f>'Top line'!S5</f>
        <v>44165</v>
      </c>
      <c r="T5" s="114">
        <f>'Top line'!T5</f>
        <v>44196</v>
      </c>
      <c r="U5" s="115">
        <f>'Top line'!U5</f>
        <v>44227</v>
      </c>
      <c r="V5" s="113">
        <f>'Top line'!V5</f>
        <v>44255</v>
      </c>
      <c r="W5" s="114">
        <f>'Top line'!W5</f>
        <v>44286</v>
      </c>
      <c r="X5" s="115">
        <f>'Top line'!X5</f>
        <v>44316</v>
      </c>
      <c r="Y5" s="113">
        <f>'Top line'!Y5</f>
        <v>44347</v>
      </c>
      <c r="Z5" s="114">
        <f>'Top line'!Z5</f>
        <v>44377</v>
      </c>
      <c r="AA5" s="115">
        <f>'Top line'!AA5</f>
        <v>44408</v>
      </c>
      <c r="AB5" s="113">
        <f>'Top line'!AB5</f>
        <v>44439</v>
      </c>
      <c r="AC5" s="114">
        <f>'Top line'!AC5</f>
        <v>44469</v>
      </c>
      <c r="AD5" s="115">
        <f>'Top line'!AD5</f>
        <v>44500</v>
      </c>
      <c r="AE5" s="113">
        <f>'Top line'!AE5</f>
        <v>44530</v>
      </c>
      <c r="AF5" s="114">
        <f>'Top line'!AF5</f>
        <v>44561</v>
      </c>
      <c r="AG5" s="115">
        <f>'Top line'!AG5</f>
        <v>44592</v>
      </c>
      <c r="AH5" s="113">
        <f>'Top line'!AH5</f>
        <v>44620</v>
      </c>
      <c r="AI5" s="114">
        <f>'Top line'!AI5</f>
        <v>44651</v>
      </c>
      <c r="AJ5" s="115">
        <f>'Top line'!AJ5</f>
        <v>44681</v>
      </c>
      <c r="AK5" s="113">
        <f>'Top line'!AK5</f>
        <v>44712</v>
      </c>
      <c r="AL5" s="114">
        <f>'Top line'!AL5</f>
        <v>44742</v>
      </c>
      <c r="AM5" s="115">
        <f>'Top line'!AM5</f>
        <v>44773</v>
      </c>
      <c r="AN5" s="113">
        <f>'Top line'!AN5</f>
        <v>44804</v>
      </c>
      <c r="AO5" s="114">
        <f>'Top line'!AO5</f>
        <v>44834</v>
      </c>
      <c r="AP5" s="115">
        <f>'Top line'!AP5</f>
        <v>44865</v>
      </c>
      <c r="AQ5" s="113">
        <f>'Top line'!AQ5</f>
        <v>44895</v>
      </c>
      <c r="AR5" s="114">
        <f>'Top line'!AR5</f>
        <v>44926</v>
      </c>
      <c r="AS5" s="115">
        <f>'Top line'!AS5</f>
        <v>44957</v>
      </c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</row>
    <row r="6" ht="15.0" customHeight="1">
      <c r="A6" s="4"/>
      <c r="B6" s="4"/>
      <c r="C6" s="4"/>
      <c r="D6" s="116" t="s">
        <v>42</v>
      </c>
      <c r="E6" s="117" t="s">
        <v>42</v>
      </c>
      <c r="F6" s="117" t="s">
        <v>42</v>
      </c>
      <c r="G6" s="116" t="s">
        <v>42</v>
      </c>
      <c r="H6" s="117" t="s">
        <v>42</v>
      </c>
      <c r="I6" s="118" t="s">
        <v>42</v>
      </c>
      <c r="J6" s="119" t="s">
        <v>42</v>
      </c>
      <c r="K6" s="120" t="s">
        <v>42</v>
      </c>
      <c r="L6" s="120" t="s">
        <v>42</v>
      </c>
      <c r="M6" s="119" t="s">
        <v>43</v>
      </c>
      <c r="N6" s="120" t="s">
        <v>43</v>
      </c>
      <c r="O6" s="121" t="s">
        <v>43</v>
      </c>
      <c r="P6" s="119" t="s">
        <v>43</v>
      </c>
      <c r="Q6" s="120" t="s">
        <v>43</v>
      </c>
      <c r="R6" s="121" t="s">
        <v>43</v>
      </c>
      <c r="S6" s="119" t="s">
        <v>43</v>
      </c>
      <c r="T6" s="120" t="s">
        <v>43</v>
      </c>
      <c r="U6" s="121" t="s">
        <v>43</v>
      </c>
      <c r="V6" s="119" t="s">
        <v>43</v>
      </c>
      <c r="W6" s="120" t="s">
        <v>43</v>
      </c>
      <c r="X6" s="121" t="s">
        <v>43</v>
      </c>
      <c r="Y6" s="119" t="s">
        <v>43</v>
      </c>
      <c r="Z6" s="120" t="s">
        <v>43</v>
      </c>
      <c r="AA6" s="121" t="s">
        <v>43</v>
      </c>
      <c r="AB6" s="119" t="s">
        <v>43</v>
      </c>
      <c r="AC6" s="120" t="s">
        <v>43</v>
      </c>
      <c r="AD6" s="121" t="s">
        <v>43</v>
      </c>
      <c r="AE6" s="119" t="s">
        <v>43</v>
      </c>
      <c r="AF6" s="120" t="s">
        <v>43</v>
      </c>
      <c r="AG6" s="121" t="s">
        <v>43</v>
      </c>
      <c r="AH6" s="119" t="s">
        <v>43</v>
      </c>
      <c r="AI6" s="120" t="s">
        <v>43</v>
      </c>
      <c r="AJ6" s="121" t="s">
        <v>43</v>
      </c>
      <c r="AK6" s="119" t="s">
        <v>43</v>
      </c>
      <c r="AL6" s="120" t="s">
        <v>43</v>
      </c>
      <c r="AM6" s="121" t="s">
        <v>43</v>
      </c>
      <c r="AN6" s="119" t="s">
        <v>43</v>
      </c>
      <c r="AO6" s="120" t="s">
        <v>43</v>
      </c>
      <c r="AP6" s="121" t="s">
        <v>43</v>
      </c>
      <c r="AQ6" s="119" t="s">
        <v>43</v>
      </c>
      <c r="AR6" s="120" t="s">
        <v>43</v>
      </c>
      <c r="AS6" s="121" t="s">
        <v>43</v>
      </c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</row>
    <row r="7" ht="4.5" customHeight="1">
      <c r="A7" s="4"/>
      <c r="B7" s="4"/>
      <c r="C7" s="4"/>
      <c r="D7" s="25"/>
      <c r="E7" s="26"/>
      <c r="F7" s="26"/>
      <c r="G7" s="25"/>
      <c r="H7" s="26"/>
      <c r="I7" s="27"/>
      <c r="J7" s="25"/>
      <c r="K7" s="26"/>
      <c r="L7" s="27"/>
      <c r="M7" s="25"/>
      <c r="N7" s="26"/>
      <c r="O7" s="27"/>
      <c r="P7" s="25"/>
      <c r="Q7" s="26"/>
      <c r="R7" s="27"/>
      <c r="S7" s="25"/>
      <c r="T7" s="26"/>
      <c r="U7" s="27"/>
      <c r="V7" s="25"/>
      <c r="W7" s="26"/>
      <c r="X7" s="27"/>
      <c r="Y7" s="25"/>
      <c r="Z7" s="26"/>
      <c r="AA7" s="27"/>
      <c r="AB7" s="25"/>
      <c r="AC7" s="26"/>
      <c r="AD7" s="27"/>
      <c r="AE7" s="25"/>
      <c r="AF7" s="26"/>
      <c r="AG7" s="27"/>
      <c r="AH7" s="25"/>
      <c r="AI7" s="26"/>
      <c r="AJ7" s="27"/>
      <c r="AK7" s="25"/>
      <c r="AL7" s="26"/>
      <c r="AM7" s="27"/>
      <c r="AN7" s="25"/>
      <c r="AO7" s="26"/>
      <c r="AP7" s="27"/>
      <c r="AQ7" s="25"/>
      <c r="AR7" s="26"/>
      <c r="AS7" s="27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</row>
    <row r="8" ht="12.0" customHeight="1">
      <c r="A8" s="4"/>
      <c r="B8" s="262" t="s">
        <v>215</v>
      </c>
      <c r="C8" s="29"/>
      <c r="D8" s="30"/>
      <c r="E8" s="31"/>
      <c r="F8" s="31"/>
      <c r="G8" s="30"/>
      <c r="H8" s="31"/>
      <c r="I8" s="32"/>
      <c r="J8" s="30"/>
      <c r="K8" s="31"/>
      <c r="L8" s="32"/>
      <c r="M8" s="30"/>
      <c r="N8" s="31"/>
      <c r="O8" s="32"/>
      <c r="P8" s="30"/>
      <c r="Q8" s="31"/>
      <c r="R8" s="32"/>
      <c r="S8" s="30"/>
      <c r="T8" s="31"/>
      <c r="U8" s="32"/>
      <c r="V8" s="30"/>
      <c r="W8" s="31"/>
      <c r="X8" s="32"/>
      <c r="Y8" s="30"/>
      <c r="Z8" s="31"/>
      <c r="AA8" s="32"/>
      <c r="AB8" s="30"/>
      <c r="AC8" s="31"/>
      <c r="AD8" s="32"/>
      <c r="AE8" s="30"/>
      <c r="AF8" s="31"/>
      <c r="AG8" s="32"/>
      <c r="AH8" s="30"/>
      <c r="AI8" s="31"/>
      <c r="AJ8" s="32"/>
      <c r="AK8" s="30"/>
      <c r="AL8" s="31"/>
      <c r="AM8" s="32"/>
      <c r="AN8" s="30"/>
      <c r="AO8" s="31"/>
      <c r="AP8" s="32"/>
      <c r="AQ8" s="30"/>
      <c r="AR8" s="31"/>
      <c r="AS8" s="32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</row>
    <row r="9" ht="12.0" customHeight="1">
      <c r="A9" s="4"/>
      <c r="B9" s="37" t="s">
        <v>216</v>
      </c>
      <c r="C9" s="4"/>
      <c r="D9" s="263"/>
      <c r="E9" s="264"/>
      <c r="F9" s="264"/>
      <c r="G9" s="263"/>
      <c r="H9" s="264"/>
      <c r="I9" s="265"/>
      <c r="J9" s="263">
        <f t="shared" ref="J9:AS9" si="1">J30+J45+J73+J99+J112+J88</f>
        <v>0</v>
      </c>
      <c r="K9" s="264">
        <f t="shared" si="1"/>
        <v>0</v>
      </c>
      <c r="L9" s="264">
        <f t="shared" si="1"/>
        <v>6</v>
      </c>
      <c r="M9" s="266">
        <f t="shared" si="1"/>
        <v>1</v>
      </c>
      <c r="N9" s="264">
        <f t="shared" si="1"/>
        <v>1</v>
      </c>
      <c r="O9" s="264">
        <f t="shared" si="1"/>
        <v>2</v>
      </c>
      <c r="P9" s="266">
        <f t="shared" si="1"/>
        <v>2</v>
      </c>
      <c r="Q9" s="264">
        <f t="shared" si="1"/>
        <v>0</v>
      </c>
      <c r="R9" s="264">
        <f t="shared" si="1"/>
        <v>2</v>
      </c>
      <c r="S9" s="266">
        <f t="shared" si="1"/>
        <v>1</v>
      </c>
      <c r="T9" s="264">
        <f t="shared" si="1"/>
        <v>0</v>
      </c>
      <c r="U9" s="265">
        <f t="shared" si="1"/>
        <v>0</v>
      </c>
      <c r="V9" s="266">
        <f t="shared" si="1"/>
        <v>1</v>
      </c>
      <c r="W9" s="264">
        <f t="shared" si="1"/>
        <v>0</v>
      </c>
      <c r="X9" s="265">
        <f t="shared" si="1"/>
        <v>0</v>
      </c>
      <c r="Y9" s="264">
        <f t="shared" si="1"/>
        <v>1</v>
      </c>
      <c r="Z9" s="264">
        <f t="shared" si="1"/>
        <v>1</v>
      </c>
      <c r="AA9" s="264">
        <f t="shared" si="1"/>
        <v>0</v>
      </c>
      <c r="AB9" s="266">
        <f t="shared" si="1"/>
        <v>2</v>
      </c>
      <c r="AC9" s="264">
        <f t="shared" si="1"/>
        <v>0</v>
      </c>
      <c r="AD9" s="265">
        <f t="shared" si="1"/>
        <v>0</v>
      </c>
      <c r="AE9" s="264">
        <f t="shared" si="1"/>
        <v>1</v>
      </c>
      <c r="AF9" s="264">
        <f t="shared" si="1"/>
        <v>0</v>
      </c>
      <c r="AG9" s="264">
        <f t="shared" si="1"/>
        <v>0</v>
      </c>
      <c r="AH9" s="266">
        <f t="shared" si="1"/>
        <v>4</v>
      </c>
      <c r="AI9" s="264">
        <f t="shared" si="1"/>
        <v>0</v>
      </c>
      <c r="AJ9" s="264">
        <f t="shared" si="1"/>
        <v>0</v>
      </c>
      <c r="AK9" s="266">
        <f t="shared" si="1"/>
        <v>1</v>
      </c>
      <c r="AL9" s="264">
        <f t="shared" si="1"/>
        <v>0</v>
      </c>
      <c r="AM9" s="264">
        <f t="shared" si="1"/>
        <v>0</v>
      </c>
      <c r="AN9" s="266">
        <f t="shared" si="1"/>
        <v>3</v>
      </c>
      <c r="AO9" s="264">
        <f t="shared" si="1"/>
        <v>0</v>
      </c>
      <c r="AP9" s="265">
        <f t="shared" si="1"/>
        <v>0</v>
      </c>
      <c r="AQ9" s="266">
        <f t="shared" si="1"/>
        <v>1</v>
      </c>
      <c r="AR9" s="264">
        <f t="shared" si="1"/>
        <v>0</v>
      </c>
      <c r="AS9" s="265">
        <f t="shared" si="1"/>
        <v>0</v>
      </c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</row>
    <row r="10" ht="12.0" customHeight="1">
      <c r="A10" s="4"/>
      <c r="B10" s="37" t="s">
        <v>217</v>
      </c>
      <c r="C10" s="4"/>
      <c r="D10" s="263"/>
      <c r="E10" s="264"/>
      <c r="F10" s="264"/>
      <c r="G10" s="263"/>
      <c r="H10" s="264"/>
      <c r="I10" s="265"/>
      <c r="J10" s="263">
        <f t="shared" ref="J10:AS10" si="2">J129+J144+J172+J198+J211+J187</f>
        <v>24</v>
      </c>
      <c r="K10" s="264">
        <f t="shared" si="2"/>
        <v>24</v>
      </c>
      <c r="L10" s="264">
        <f t="shared" si="2"/>
        <v>30</v>
      </c>
      <c r="M10" s="266">
        <f t="shared" si="2"/>
        <v>31</v>
      </c>
      <c r="N10" s="264">
        <f t="shared" si="2"/>
        <v>32</v>
      </c>
      <c r="O10" s="264">
        <f t="shared" si="2"/>
        <v>34</v>
      </c>
      <c r="P10" s="266">
        <f t="shared" si="2"/>
        <v>36</v>
      </c>
      <c r="Q10" s="264">
        <f t="shared" si="2"/>
        <v>36</v>
      </c>
      <c r="R10" s="264">
        <f t="shared" si="2"/>
        <v>38</v>
      </c>
      <c r="S10" s="266">
        <f t="shared" si="2"/>
        <v>39</v>
      </c>
      <c r="T10" s="264">
        <f t="shared" si="2"/>
        <v>39</v>
      </c>
      <c r="U10" s="265">
        <f t="shared" si="2"/>
        <v>39</v>
      </c>
      <c r="V10" s="266">
        <f t="shared" si="2"/>
        <v>40</v>
      </c>
      <c r="W10" s="264">
        <f t="shared" si="2"/>
        <v>40</v>
      </c>
      <c r="X10" s="265">
        <f t="shared" si="2"/>
        <v>40</v>
      </c>
      <c r="Y10" s="264">
        <f t="shared" si="2"/>
        <v>41</v>
      </c>
      <c r="Z10" s="264">
        <f t="shared" si="2"/>
        <v>42</v>
      </c>
      <c r="AA10" s="264">
        <f t="shared" si="2"/>
        <v>42</v>
      </c>
      <c r="AB10" s="266">
        <f t="shared" si="2"/>
        <v>44</v>
      </c>
      <c r="AC10" s="264">
        <f t="shared" si="2"/>
        <v>44</v>
      </c>
      <c r="AD10" s="265">
        <f t="shared" si="2"/>
        <v>44</v>
      </c>
      <c r="AE10" s="264">
        <f t="shared" si="2"/>
        <v>45</v>
      </c>
      <c r="AF10" s="264">
        <f t="shared" si="2"/>
        <v>45</v>
      </c>
      <c r="AG10" s="264">
        <f t="shared" si="2"/>
        <v>45</v>
      </c>
      <c r="AH10" s="266">
        <f t="shared" si="2"/>
        <v>49</v>
      </c>
      <c r="AI10" s="264">
        <f t="shared" si="2"/>
        <v>49</v>
      </c>
      <c r="AJ10" s="264">
        <f t="shared" si="2"/>
        <v>49</v>
      </c>
      <c r="AK10" s="266">
        <f t="shared" si="2"/>
        <v>50</v>
      </c>
      <c r="AL10" s="264">
        <f t="shared" si="2"/>
        <v>50</v>
      </c>
      <c r="AM10" s="264">
        <f t="shared" si="2"/>
        <v>50</v>
      </c>
      <c r="AN10" s="266">
        <f t="shared" si="2"/>
        <v>53</v>
      </c>
      <c r="AO10" s="264">
        <f t="shared" si="2"/>
        <v>53</v>
      </c>
      <c r="AP10" s="265">
        <f t="shared" si="2"/>
        <v>53</v>
      </c>
      <c r="AQ10" s="264">
        <f t="shared" si="2"/>
        <v>54</v>
      </c>
      <c r="AR10" s="264">
        <f t="shared" si="2"/>
        <v>54</v>
      </c>
      <c r="AS10" s="264">
        <f t="shared" si="2"/>
        <v>54</v>
      </c>
      <c r="AT10" s="6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</row>
    <row r="11" ht="12.0" customHeight="1">
      <c r="A11" s="4"/>
      <c r="B11" s="37" t="s">
        <v>88</v>
      </c>
      <c r="C11" s="4"/>
      <c r="D11" s="263"/>
      <c r="E11" s="264"/>
      <c r="F11" s="264"/>
      <c r="G11" s="263"/>
      <c r="H11" s="264"/>
      <c r="I11" s="265"/>
      <c r="J11" s="266">
        <f t="shared" ref="J11:AS11" si="3">J228+J243+J271+J297+J310+J286</f>
        <v>303333.3333</v>
      </c>
      <c r="K11" s="264">
        <f t="shared" si="3"/>
        <v>303333.3333</v>
      </c>
      <c r="L11" s="265">
        <f t="shared" si="3"/>
        <v>378333.3333</v>
      </c>
      <c r="M11" s="264">
        <f t="shared" si="3"/>
        <v>395000</v>
      </c>
      <c r="N11" s="264">
        <f t="shared" si="3"/>
        <v>407500</v>
      </c>
      <c r="O11" s="265">
        <f t="shared" si="3"/>
        <v>432500</v>
      </c>
      <c r="P11" s="264">
        <f t="shared" si="3"/>
        <v>445833.3333</v>
      </c>
      <c r="Q11" s="264">
        <f t="shared" si="3"/>
        <v>445833.3333</v>
      </c>
      <c r="R11" s="265">
        <f t="shared" si="3"/>
        <v>470833.3333</v>
      </c>
      <c r="S11" s="264">
        <f t="shared" si="3"/>
        <v>483333.3333</v>
      </c>
      <c r="T11" s="264">
        <f t="shared" si="3"/>
        <v>483333.3333</v>
      </c>
      <c r="U11" s="265">
        <f t="shared" si="3"/>
        <v>483333.3333</v>
      </c>
      <c r="V11" s="264">
        <f t="shared" si="3"/>
        <v>0</v>
      </c>
      <c r="W11" s="264">
        <f t="shared" si="3"/>
        <v>490000</v>
      </c>
      <c r="X11" s="265">
        <f t="shared" si="3"/>
        <v>490000</v>
      </c>
      <c r="Y11" s="264">
        <f t="shared" si="3"/>
        <v>502500</v>
      </c>
      <c r="Z11" s="264">
        <f t="shared" si="3"/>
        <v>515000</v>
      </c>
      <c r="AA11" s="265">
        <f t="shared" si="3"/>
        <v>515000</v>
      </c>
      <c r="AB11" s="264">
        <f t="shared" si="3"/>
        <v>528333.3333</v>
      </c>
      <c r="AC11" s="264">
        <f t="shared" si="3"/>
        <v>528333.3333</v>
      </c>
      <c r="AD11" s="265">
        <f t="shared" si="3"/>
        <v>528333.3333</v>
      </c>
      <c r="AE11" s="264">
        <f t="shared" si="3"/>
        <v>540833.3333</v>
      </c>
      <c r="AF11" s="264">
        <f t="shared" si="3"/>
        <v>540833.3333</v>
      </c>
      <c r="AG11" s="265">
        <f t="shared" si="3"/>
        <v>540833.3333</v>
      </c>
      <c r="AH11" s="264">
        <f t="shared" si="3"/>
        <v>0</v>
      </c>
      <c r="AI11" s="264">
        <f t="shared" si="3"/>
        <v>593333.3333</v>
      </c>
      <c r="AJ11" s="265">
        <f t="shared" si="3"/>
        <v>593333.3333</v>
      </c>
      <c r="AK11" s="264">
        <f t="shared" si="3"/>
        <v>605833.3333</v>
      </c>
      <c r="AL11" s="264">
        <f t="shared" si="3"/>
        <v>605833.3333</v>
      </c>
      <c r="AM11" s="265">
        <f t="shared" si="3"/>
        <v>605833.3333</v>
      </c>
      <c r="AN11" s="264">
        <f t="shared" si="3"/>
        <v>631666.6667</v>
      </c>
      <c r="AO11" s="264">
        <f t="shared" si="3"/>
        <v>631666.6667</v>
      </c>
      <c r="AP11" s="265">
        <f t="shared" si="3"/>
        <v>631666.6667</v>
      </c>
      <c r="AQ11" s="264">
        <f t="shared" si="3"/>
        <v>644166.6667</v>
      </c>
      <c r="AR11" s="264">
        <f t="shared" si="3"/>
        <v>644166.6667</v>
      </c>
      <c r="AS11" s="265">
        <f t="shared" si="3"/>
        <v>644166.6667</v>
      </c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</row>
    <row r="12" ht="12.0" customHeight="1">
      <c r="A12" s="4"/>
      <c r="B12" s="37" t="s">
        <v>218</v>
      </c>
      <c r="C12" s="4"/>
      <c r="D12" s="263"/>
      <c r="E12" s="264"/>
      <c r="F12" s="264"/>
      <c r="G12" s="263"/>
      <c r="H12" s="264"/>
      <c r="I12" s="265"/>
      <c r="J12" s="267">
        <f>SUMPRODUCT(Team!J117:J128,Macro!$F$57:$F$68)+SUMPRODUCT(Macro!$F$71:$F$82,Team!J132:J143)+SUMPRODUCT(Team!J147:J171,Macro!$F$85:$F$109)+SUMPRODUCT(Team!J175:J186,Macro!$F$112:$F$123)+SUMPRODUCT(Macro!$F$126:$F$133,Team!J190:J197)+SUMPRODUCT(Team!J201:J210,Macro!$F$136:$F$145)</f>
        <v>5</v>
      </c>
      <c r="K12" s="268">
        <f>SUMPRODUCT(Team!K117:K128,Macro!$F$57:$F$68)+SUMPRODUCT(Macro!$F$71:$F$82,Team!K132:K143)+SUMPRODUCT(Team!K147:K171,Macro!$F$85:$F$109)+SUMPRODUCT(Team!K175:K186,Macro!$F$112:$F$123)+SUMPRODUCT(Macro!$F$126:$F$133,Team!K190:K197)+SUMPRODUCT(Team!K201:K210,Macro!$F$136:$F$145)</f>
        <v>5</v>
      </c>
      <c r="L12" s="269">
        <f>SUMPRODUCT(Team!L117:L128,Macro!$F$57:$F$68)+SUMPRODUCT(Macro!$F$71:$F$82,Team!L132:L143)+SUMPRODUCT(Team!L147:L171,Macro!$F$85:$F$109)+SUMPRODUCT(Team!L175:L186,Macro!$F$112:$F$123)+SUMPRODUCT(Macro!$F$126:$F$133,Team!L190:L197)+SUMPRODUCT(Team!L201:L210,Macro!$F$136:$F$145)</f>
        <v>5</v>
      </c>
      <c r="M12" s="267">
        <f>SUMPRODUCT(Team!M117:M128,Macro!$F$57:$F$68)+SUMPRODUCT(Macro!$F$71:$F$82,Team!M132:M143)+SUMPRODUCT(Team!M147:M171,Macro!$F$85:$F$109)+SUMPRODUCT(Team!M175:M186,Macro!$F$112:$F$123)+SUMPRODUCT(Macro!$F$126:$F$133,Team!M190:M197)+SUMPRODUCT(Team!M201:M210,Macro!$F$136:$F$145)</f>
        <v>6</v>
      </c>
      <c r="N12" s="268">
        <f>SUMPRODUCT(Team!N117:N128,Macro!$F$57:$F$68)+SUMPRODUCT(Macro!$F$71:$F$82,Team!N132:N143)+SUMPRODUCT(Team!N147:N171,Macro!$F$85:$F$109)+SUMPRODUCT(Team!N175:N186,Macro!$F$112:$F$123)+SUMPRODUCT(Macro!$F$126:$F$133,Team!N190:N197)+SUMPRODUCT(Team!N201:N210,Macro!$F$136:$F$145)</f>
        <v>6</v>
      </c>
      <c r="O12" s="269">
        <f>SUMPRODUCT(Team!O117:O128,Macro!$F$57:$F$68)+SUMPRODUCT(Macro!$F$71:$F$82,Team!O132:O143)+SUMPRODUCT(Team!O147:O171,Macro!$F$85:$F$109)+SUMPRODUCT(Team!O175:O186,Macro!$F$112:$F$123)+SUMPRODUCT(Macro!$F$126:$F$133,Team!O190:O197)+SUMPRODUCT(Team!O201:O210,Macro!$F$136:$F$145)</f>
        <v>6</v>
      </c>
      <c r="P12" s="267">
        <f>SUMPRODUCT(Team!P117:P128,Macro!$F$57:$F$68)+SUMPRODUCT(Macro!$F$71:$F$82,Team!P132:P143)+SUMPRODUCT(Team!P147:P171,Macro!$F$85:$F$109)+SUMPRODUCT(Team!P175:P186,Macro!$F$112:$F$123)+SUMPRODUCT(Macro!$F$126:$F$133,Team!P190:P197)+SUMPRODUCT(Team!P201:P210,Macro!$F$136:$F$145)</f>
        <v>8</v>
      </c>
      <c r="Q12" s="268">
        <f>SUMPRODUCT(Team!Q117:Q128,Macro!$F$57:$F$68)+SUMPRODUCT(Macro!$F$71:$F$82,Team!Q132:Q143)+SUMPRODUCT(Team!Q147:Q171,Macro!$F$85:$F$109)+SUMPRODUCT(Team!Q175:Q186,Macro!$F$112:$F$123)+SUMPRODUCT(Macro!$F$126:$F$133,Team!Q190:Q197)+SUMPRODUCT(Team!Q201:Q210,Macro!$F$136:$F$145)</f>
        <v>8</v>
      </c>
      <c r="R12" s="269">
        <f>SUMPRODUCT(Team!R117:R128,Macro!$F$57:$F$68)+SUMPRODUCT(Macro!$F$71:$F$82,Team!R132:R143)+SUMPRODUCT(Team!R147:R171,Macro!$F$85:$F$109)+SUMPRODUCT(Team!R175:R186,Macro!$F$112:$F$123)+SUMPRODUCT(Macro!$F$126:$F$133,Team!R190:R197)+SUMPRODUCT(Team!R201:R210,Macro!$F$136:$F$145)</f>
        <v>9</v>
      </c>
      <c r="S12" s="267">
        <f>SUMPRODUCT(Team!S117:S128,Macro!$F$57:$F$68)+SUMPRODUCT(Macro!$F$71:$F$82,Team!S132:S143)+SUMPRODUCT(Team!S147:S171,Macro!$F$85:$F$109)+SUMPRODUCT(Team!S175:S186,Macro!$F$112:$F$123)+SUMPRODUCT(Macro!$F$126:$F$133,Team!S190:S197)+SUMPRODUCT(Team!S201:S210,Macro!$F$136:$F$145)</f>
        <v>9</v>
      </c>
      <c r="T12" s="268">
        <f>SUMPRODUCT(Team!T117:T128,Macro!$F$57:$F$68)+SUMPRODUCT(Macro!$F$71:$F$82,Team!T132:T143)+SUMPRODUCT(Team!T147:T171,Macro!$F$85:$F$109)+SUMPRODUCT(Team!T175:T186,Macro!$F$112:$F$123)+SUMPRODUCT(Macro!$F$126:$F$133,Team!T190:T197)+SUMPRODUCT(Team!T201:T210,Macro!$F$136:$F$145)</f>
        <v>9</v>
      </c>
      <c r="U12" s="269">
        <f>SUMPRODUCT(Team!U117:U128,Macro!$F$57:$F$68)+SUMPRODUCT(Macro!$F$71:$F$82,Team!U132:U143)+SUMPRODUCT(Team!U147:U171,Macro!$F$85:$F$109)+SUMPRODUCT(Team!U175:U186,Macro!$F$112:$F$123)+SUMPRODUCT(Macro!$F$126:$F$133,Team!U190:U197)+SUMPRODUCT(Team!U201:U210,Macro!$F$136:$F$145)</f>
        <v>9</v>
      </c>
      <c r="V12" s="267">
        <f>SUMPRODUCT(Team!V117:V128,Macro!$F$57:$F$68)+SUMPRODUCT(Macro!$F$71:$F$82,Team!V132:V143)+SUMPRODUCT(Team!V147:V171,Macro!$F$85:$F$109)+SUMPRODUCT(Team!V175:V186,Macro!$F$112:$F$123)+SUMPRODUCT(Macro!$F$126:$F$133,Team!V190:V197)+SUMPRODUCT(Team!V201:V210,Macro!$F$136:$F$145)</f>
        <v>10</v>
      </c>
      <c r="W12" s="268">
        <f>SUMPRODUCT(Team!W117:W128,Macro!$F$57:$F$68)+SUMPRODUCT(Macro!$F$71:$F$82,Team!W132:W143)+SUMPRODUCT(Team!W147:W171,Macro!$F$85:$F$109)+SUMPRODUCT(Team!W175:W186,Macro!$F$112:$F$123)+SUMPRODUCT(Macro!$F$126:$F$133,Team!W190:W197)+SUMPRODUCT(Team!W201:W210,Macro!$F$136:$F$145)</f>
        <v>10</v>
      </c>
      <c r="X12" s="269">
        <f>SUMPRODUCT(Team!X117:X128,Macro!$F$57:$F$68)+SUMPRODUCT(Macro!$F$71:$F$82,Team!X132:X143)+SUMPRODUCT(Team!X147:X171,Macro!$F$85:$F$109)+SUMPRODUCT(Team!X175:X186,Macro!$F$112:$F$123)+SUMPRODUCT(Macro!$F$126:$F$133,Team!X190:X197)+SUMPRODUCT(Team!X201:X210,Macro!$F$136:$F$145)</f>
        <v>10</v>
      </c>
      <c r="Y12" s="267">
        <f>SUMPRODUCT(Team!Y117:Y128,Macro!$F$57:$F$68)+SUMPRODUCT(Macro!$F$71:$F$82,Team!Y132:Y143)+SUMPRODUCT(Team!Y147:Y171,Macro!$F$85:$F$109)+SUMPRODUCT(Team!Y175:Y186,Macro!$F$112:$F$123)+SUMPRODUCT(Macro!$F$126:$F$133,Team!Y190:Y197)+SUMPRODUCT(Team!Y201:Y210,Macro!$F$136:$F$145)</f>
        <v>10</v>
      </c>
      <c r="Z12" s="268">
        <f>SUMPRODUCT(Team!Z117:Z128,Macro!$F$57:$F$68)+SUMPRODUCT(Macro!$F$71:$F$82,Team!Z132:Z143)+SUMPRODUCT(Team!Z147:Z171,Macro!$F$85:$F$109)+SUMPRODUCT(Team!Z175:Z186,Macro!$F$112:$F$123)+SUMPRODUCT(Macro!$F$126:$F$133,Team!Z190:Z197)+SUMPRODUCT(Team!Z201:Z210,Macro!$F$136:$F$145)</f>
        <v>10</v>
      </c>
      <c r="AA12" s="269">
        <f>SUMPRODUCT(Team!AA117:AA128,Macro!$F$57:$F$68)+SUMPRODUCT(Macro!$F$71:$F$82,Team!AA132:AA143)+SUMPRODUCT(Team!AA147:AA171,Macro!$F$85:$F$109)+SUMPRODUCT(Team!AA175:AA186,Macro!$F$112:$F$123)+SUMPRODUCT(Macro!$F$126:$F$133,Team!AA190:AA197)+SUMPRODUCT(Team!AA201:AA210,Macro!$F$136:$F$145)</f>
        <v>10</v>
      </c>
      <c r="AB12" s="267">
        <f>SUMPRODUCT(Team!AB117:AB128,Macro!$F$57:$F$68)+SUMPRODUCT(Macro!$F$71:$F$82,Team!AB132:AB143)+SUMPRODUCT(Team!AB147:AB171,Macro!$F$85:$F$109)+SUMPRODUCT(Team!AB175:AB186,Macro!$F$112:$F$123)+SUMPRODUCT(Macro!$F$126:$F$133,Team!AB190:AB197)+SUMPRODUCT(Team!AB201:AB210,Macro!$F$136:$F$145)</f>
        <v>12</v>
      </c>
      <c r="AC12" s="268">
        <f>SUMPRODUCT(Team!AC117:AC128,Macro!$F$57:$F$68)+SUMPRODUCT(Macro!$F$71:$F$82,Team!AC132:AC143)+SUMPRODUCT(Team!AC147:AC171,Macro!$F$85:$F$109)+SUMPRODUCT(Team!AC175:AC186,Macro!$F$112:$F$123)+SUMPRODUCT(Macro!$F$126:$F$133,Team!AC190:AC197)+SUMPRODUCT(Team!AC201:AC210,Macro!$F$136:$F$145)</f>
        <v>12</v>
      </c>
      <c r="AD12" s="269">
        <f>SUMPRODUCT(Team!AD117:AD128,Macro!$F$57:$F$68)+SUMPRODUCT(Macro!$F$71:$F$82,Team!AD132:AD143)+SUMPRODUCT(Team!AD147:AD171,Macro!$F$85:$F$109)+SUMPRODUCT(Team!AD175:AD186,Macro!$F$112:$F$123)+SUMPRODUCT(Macro!$F$126:$F$133,Team!AD190:AD197)+SUMPRODUCT(Team!AD201:AD210,Macro!$F$136:$F$145)</f>
        <v>12</v>
      </c>
      <c r="AE12" s="267">
        <f>SUMPRODUCT(Team!AE117:AE128,Macro!$F$57:$F$68)+SUMPRODUCT(Macro!$F$71:$F$82,Team!AE132:AE143)+SUMPRODUCT(Team!AE147:AE171,Macro!$F$85:$F$109)+SUMPRODUCT(Team!AE175:AE186,Macro!$F$112:$F$123)+SUMPRODUCT(Macro!$F$126:$F$133,Team!AE190:AE197)+SUMPRODUCT(Team!AE201:AE210,Macro!$F$136:$F$145)</f>
        <v>12</v>
      </c>
      <c r="AF12" s="268">
        <f>SUMPRODUCT(Team!AF117:AF128,Macro!$F$57:$F$68)+SUMPRODUCT(Macro!$F$71:$F$82,Team!AF132:AF143)+SUMPRODUCT(Team!AF147:AF171,Macro!$F$85:$F$109)+SUMPRODUCT(Team!AF175:AF186,Macro!$F$112:$F$123)+SUMPRODUCT(Macro!$F$126:$F$133,Team!AF190:AF197)+SUMPRODUCT(Team!AF201:AF210,Macro!$F$136:$F$145)</f>
        <v>12</v>
      </c>
      <c r="AG12" s="269">
        <f>SUMPRODUCT(Team!AG117:AG128,Macro!$F$57:$F$68)+SUMPRODUCT(Macro!$F$71:$F$82,Team!AG132:AG143)+SUMPRODUCT(Team!AG147:AG171,Macro!$F$85:$F$109)+SUMPRODUCT(Team!AG175:AG186,Macro!$F$112:$F$123)+SUMPRODUCT(Macro!$F$126:$F$133,Team!AG190:AG197)+SUMPRODUCT(Team!AG201:AG210,Macro!$F$136:$F$145)</f>
        <v>12</v>
      </c>
      <c r="AH12" s="267">
        <f>SUMPRODUCT(Team!AH117:AH128,Macro!$F$57:$F$68)+SUMPRODUCT(Macro!$F$71:$F$82,Team!AH132:AH143)+SUMPRODUCT(Team!AH147:AH171,Macro!$F$85:$F$109)+SUMPRODUCT(Team!AH175:AH186,Macro!$F$112:$F$123)+SUMPRODUCT(Macro!$F$126:$F$133,Team!AH190:AH197)+SUMPRODUCT(Team!AH201:AH210,Macro!$F$136:$F$145)</f>
        <v>14</v>
      </c>
      <c r="AI12" s="268">
        <f>SUMPRODUCT(Team!AI117:AI128,Macro!$F$57:$F$68)+SUMPRODUCT(Macro!$F$71:$F$82,Team!AI132:AI143)+SUMPRODUCT(Team!AI147:AI171,Macro!$F$85:$F$109)+SUMPRODUCT(Team!AI175:AI186,Macro!$F$112:$F$123)+SUMPRODUCT(Macro!$F$126:$F$133,Team!AI190:AI197)+SUMPRODUCT(Team!AI201:AI210,Macro!$F$136:$F$145)</f>
        <v>14</v>
      </c>
      <c r="AJ12" s="269">
        <f>SUMPRODUCT(Team!AJ117:AJ128,Macro!$F$57:$F$68)+SUMPRODUCT(Macro!$F$71:$F$82,Team!AJ132:AJ143)+SUMPRODUCT(Team!AJ147:AJ171,Macro!$F$85:$F$109)+SUMPRODUCT(Team!AJ175:AJ186,Macro!$F$112:$F$123)+SUMPRODUCT(Macro!$F$126:$F$133,Team!AJ190:AJ197)+SUMPRODUCT(Team!AJ201:AJ210,Macro!$F$136:$F$145)</f>
        <v>14</v>
      </c>
      <c r="AK12" s="267">
        <f>SUMPRODUCT(Team!AK117:AK128,Macro!$F$57:$F$68)+SUMPRODUCT(Macro!$F$71:$F$82,Team!AK132:AK143)+SUMPRODUCT(Team!AK147:AK171,Macro!$F$85:$F$109)+SUMPRODUCT(Team!AK175:AK186,Macro!$F$112:$F$123)+SUMPRODUCT(Macro!$F$126:$F$133,Team!AK190:AK197)+SUMPRODUCT(Team!AK201:AK210,Macro!$F$136:$F$145)</f>
        <v>14</v>
      </c>
      <c r="AL12" s="268">
        <f>SUMPRODUCT(Team!AL117:AL128,Macro!$F$57:$F$68)+SUMPRODUCT(Macro!$F$71:$F$82,Team!AL132:AL143)+SUMPRODUCT(Team!AL147:AL171,Macro!$F$85:$F$109)+SUMPRODUCT(Team!AL175:AL186,Macro!$F$112:$F$123)+SUMPRODUCT(Macro!$F$126:$F$133,Team!AL190:AL197)+SUMPRODUCT(Team!AL201:AL210,Macro!$F$136:$F$145)</f>
        <v>14</v>
      </c>
      <c r="AM12" s="269">
        <f>SUMPRODUCT(Team!AM117:AM128,Macro!$F$57:$F$68)+SUMPRODUCT(Macro!$F$71:$F$82,Team!AM132:AM143)+SUMPRODUCT(Team!AM147:AM171,Macro!$F$85:$F$109)+SUMPRODUCT(Team!AM175:AM186,Macro!$F$112:$F$123)+SUMPRODUCT(Macro!$F$126:$F$133,Team!AM190:AM197)+SUMPRODUCT(Team!AM201:AM210,Macro!$F$136:$F$145)</f>
        <v>14</v>
      </c>
      <c r="AN12" s="267">
        <f>SUMPRODUCT(Team!AN117:AN128,Macro!$F$57:$F$68)+SUMPRODUCT(Macro!$F$71:$F$82,Team!AN132:AN143)+SUMPRODUCT(Team!AN147:AN171,Macro!$F$85:$F$109)+SUMPRODUCT(Team!AN175:AN186,Macro!$F$112:$F$123)+SUMPRODUCT(Macro!$F$126:$F$133,Team!AN190:AN197)+SUMPRODUCT(Team!AN201:AN210,Macro!$F$136:$F$145)</f>
        <v>17</v>
      </c>
      <c r="AO12" s="268">
        <f>SUMPRODUCT(Team!AO117:AO128,Macro!$F$57:$F$68)+SUMPRODUCT(Macro!$F$71:$F$82,Team!AO132:AO143)+SUMPRODUCT(Team!AO147:AO171,Macro!$F$85:$F$109)+SUMPRODUCT(Team!AO175:AO186,Macro!$F$112:$F$123)+SUMPRODUCT(Macro!$F$126:$F$133,Team!AO190:AO197)+SUMPRODUCT(Team!AO201:AO210,Macro!$F$136:$F$145)</f>
        <v>17</v>
      </c>
      <c r="AP12" s="269">
        <f>SUMPRODUCT(Team!AP117:AP128,Macro!$F$57:$F$68)+SUMPRODUCT(Macro!$F$71:$F$82,Team!AP132:AP143)+SUMPRODUCT(Team!AP147:AP171,Macro!$F$85:$F$109)+SUMPRODUCT(Team!AP175:AP186,Macro!$F$112:$F$123)+SUMPRODUCT(Macro!$F$126:$F$133,Team!AP190:AP197)+SUMPRODUCT(Team!AP201:AP210,Macro!$F$136:$F$145)</f>
        <v>17</v>
      </c>
      <c r="AQ12" s="267">
        <f>SUMPRODUCT(Team!AQ117:AQ128,Macro!$F$57:$F$68)+SUMPRODUCT(Macro!$F$71:$F$82,Team!AQ132:AQ143)+SUMPRODUCT(Team!AQ147:AQ171,Macro!$F$85:$F$109)+SUMPRODUCT(Team!AQ175:AQ186,Macro!$F$112:$F$123)+SUMPRODUCT(Macro!$F$126:$F$133,Team!AQ190:AQ197)+SUMPRODUCT(Team!AQ201:AQ210,Macro!$F$136:$F$145)</f>
        <v>17</v>
      </c>
      <c r="AR12" s="268">
        <f>SUMPRODUCT(Team!AR117:AR128,Macro!$F$57:$F$68)+SUMPRODUCT(Macro!$F$71:$F$82,Team!AR132:AR143)+SUMPRODUCT(Team!AR147:AR171,Macro!$F$85:$F$109)+SUMPRODUCT(Team!AR175:AR186,Macro!$F$112:$F$123)+SUMPRODUCT(Macro!$F$126:$F$133,Team!AR190:AR197)+SUMPRODUCT(Team!AR201:AR210,Macro!$F$136:$F$145)</f>
        <v>17</v>
      </c>
      <c r="AS12" s="269">
        <f>SUMPRODUCT(Team!AS117:AS128,Macro!$F$57:$F$68)+SUMPRODUCT(Macro!$F$71:$F$82,Team!AS132:AS143)+SUMPRODUCT(Team!AS147:AS171,Macro!$F$85:$F$109)+SUMPRODUCT(Team!AS175:AS186,Macro!$F$112:$F$123)+SUMPRODUCT(Macro!$F$126:$F$133,Team!AS190:AS197)+SUMPRODUCT(Team!AS201:AS210,Macro!$F$136:$F$145)</f>
        <v>17</v>
      </c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</row>
    <row r="13" ht="12.0" customHeight="1">
      <c r="A13" s="4"/>
      <c r="B13" s="37" t="s">
        <v>219</v>
      </c>
      <c r="C13" s="4"/>
      <c r="D13" s="263"/>
      <c r="E13" s="264"/>
      <c r="F13" s="264"/>
      <c r="G13" s="263"/>
      <c r="H13" s="264"/>
      <c r="I13" s="265"/>
      <c r="J13" s="263">
        <f t="shared" ref="J13:AS13" si="4">J10-J12</f>
        <v>19</v>
      </c>
      <c r="K13" s="264">
        <f t="shared" si="4"/>
        <v>19</v>
      </c>
      <c r="L13" s="265">
        <f t="shared" si="4"/>
        <v>25</v>
      </c>
      <c r="M13" s="263">
        <f t="shared" si="4"/>
        <v>25</v>
      </c>
      <c r="N13" s="264">
        <f t="shared" si="4"/>
        <v>26</v>
      </c>
      <c r="O13" s="265">
        <f t="shared" si="4"/>
        <v>28</v>
      </c>
      <c r="P13" s="263">
        <f t="shared" si="4"/>
        <v>28</v>
      </c>
      <c r="Q13" s="264">
        <f t="shared" si="4"/>
        <v>28</v>
      </c>
      <c r="R13" s="265">
        <f t="shared" si="4"/>
        <v>29</v>
      </c>
      <c r="S13" s="263">
        <f t="shared" si="4"/>
        <v>30</v>
      </c>
      <c r="T13" s="264">
        <f t="shared" si="4"/>
        <v>30</v>
      </c>
      <c r="U13" s="265">
        <f t="shared" si="4"/>
        <v>30</v>
      </c>
      <c r="V13" s="263">
        <f t="shared" si="4"/>
        <v>30</v>
      </c>
      <c r="W13" s="264">
        <f t="shared" si="4"/>
        <v>30</v>
      </c>
      <c r="X13" s="265">
        <f t="shared" si="4"/>
        <v>30</v>
      </c>
      <c r="Y13" s="263">
        <f t="shared" si="4"/>
        <v>31</v>
      </c>
      <c r="Z13" s="264">
        <f t="shared" si="4"/>
        <v>32</v>
      </c>
      <c r="AA13" s="265">
        <f t="shared" si="4"/>
        <v>32</v>
      </c>
      <c r="AB13" s="263">
        <f t="shared" si="4"/>
        <v>32</v>
      </c>
      <c r="AC13" s="264">
        <f t="shared" si="4"/>
        <v>32</v>
      </c>
      <c r="AD13" s="265">
        <f t="shared" si="4"/>
        <v>32</v>
      </c>
      <c r="AE13" s="263">
        <f t="shared" si="4"/>
        <v>33</v>
      </c>
      <c r="AF13" s="264">
        <f t="shared" si="4"/>
        <v>33</v>
      </c>
      <c r="AG13" s="265">
        <f t="shared" si="4"/>
        <v>33</v>
      </c>
      <c r="AH13" s="263">
        <f t="shared" si="4"/>
        <v>35</v>
      </c>
      <c r="AI13" s="264">
        <f t="shared" si="4"/>
        <v>35</v>
      </c>
      <c r="AJ13" s="265">
        <f t="shared" si="4"/>
        <v>35</v>
      </c>
      <c r="AK13" s="263">
        <f t="shared" si="4"/>
        <v>36</v>
      </c>
      <c r="AL13" s="264">
        <f t="shared" si="4"/>
        <v>36</v>
      </c>
      <c r="AM13" s="265">
        <f t="shared" si="4"/>
        <v>36</v>
      </c>
      <c r="AN13" s="263">
        <f t="shared" si="4"/>
        <v>36</v>
      </c>
      <c r="AO13" s="264">
        <f t="shared" si="4"/>
        <v>36</v>
      </c>
      <c r="AP13" s="265">
        <f t="shared" si="4"/>
        <v>36</v>
      </c>
      <c r="AQ13" s="263">
        <f t="shared" si="4"/>
        <v>37</v>
      </c>
      <c r="AR13" s="264">
        <f t="shared" si="4"/>
        <v>37</v>
      </c>
      <c r="AS13" s="265">
        <f t="shared" si="4"/>
        <v>37</v>
      </c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</row>
    <row r="14" ht="12.0" customHeight="1">
      <c r="A14" s="4"/>
      <c r="B14" s="8"/>
      <c r="C14" s="4"/>
      <c r="D14" s="25"/>
      <c r="E14" s="26"/>
      <c r="F14" s="26"/>
      <c r="G14" s="25"/>
      <c r="H14" s="26"/>
      <c r="I14" s="27"/>
      <c r="J14" s="25"/>
      <c r="K14" s="26"/>
      <c r="L14" s="27"/>
      <c r="M14" s="25"/>
      <c r="N14" s="26"/>
      <c r="O14" s="27"/>
      <c r="P14" s="25"/>
      <c r="Q14" s="26"/>
      <c r="R14" s="27"/>
      <c r="S14" s="25"/>
      <c r="T14" s="26"/>
      <c r="U14" s="27"/>
      <c r="V14" s="25"/>
      <c r="W14" s="26"/>
      <c r="X14" s="27"/>
      <c r="Y14" s="25"/>
      <c r="Z14" s="26"/>
      <c r="AA14" s="27"/>
      <c r="AB14" s="25"/>
      <c r="AC14" s="26"/>
      <c r="AD14" s="27"/>
      <c r="AE14" s="25"/>
      <c r="AF14" s="26"/>
      <c r="AG14" s="27"/>
      <c r="AH14" s="25"/>
      <c r="AI14" s="26"/>
      <c r="AJ14" s="27"/>
      <c r="AK14" s="25"/>
      <c r="AL14" s="26"/>
      <c r="AM14" s="27"/>
      <c r="AN14" s="25"/>
      <c r="AO14" s="26"/>
      <c r="AP14" s="27"/>
      <c r="AQ14" s="25"/>
      <c r="AR14" s="26"/>
      <c r="AS14" s="27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</row>
    <row r="15" ht="12.0" customHeight="1">
      <c r="A15" s="4"/>
      <c r="B15" s="262" t="s">
        <v>220</v>
      </c>
      <c r="C15" s="29"/>
      <c r="D15" s="30"/>
      <c r="E15" s="31"/>
      <c r="F15" s="31"/>
      <c r="G15" s="30"/>
      <c r="H15" s="31"/>
      <c r="I15" s="32"/>
      <c r="J15" s="30"/>
      <c r="K15" s="31"/>
      <c r="L15" s="32"/>
      <c r="M15" s="30"/>
      <c r="N15" s="31"/>
      <c r="O15" s="32"/>
      <c r="P15" s="30"/>
      <c r="Q15" s="31"/>
      <c r="R15" s="32"/>
      <c r="S15" s="30"/>
      <c r="T15" s="31"/>
      <c r="U15" s="32"/>
      <c r="V15" s="30"/>
      <c r="W15" s="31"/>
      <c r="X15" s="32"/>
      <c r="Y15" s="30"/>
      <c r="Z15" s="31"/>
      <c r="AA15" s="32"/>
      <c r="AB15" s="30"/>
      <c r="AC15" s="31"/>
      <c r="AD15" s="32"/>
      <c r="AE15" s="30"/>
      <c r="AF15" s="31"/>
      <c r="AG15" s="32"/>
      <c r="AH15" s="30"/>
      <c r="AI15" s="31"/>
      <c r="AJ15" s="32"/>
      <c r="AK15" s="30"/>
      <c r="AL15" s="31"/>
      <c r="AM15" s="32"/>
      <c r="AN15" s="30"/>
      <c r="AO15" s="31"/>
      <c r="AP15" s="32"/>
      <c r="AQ15" s="30"/>
      <c r="AR15" s="31"/>
      <c r="AS15" s="32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</row>
    <row r="16" ht="4.5" hidden="1" customHeight="1" outlineLevel="1">
      <c r="A16" s="4"/>
      <c r="B16" s="4"/>
      <c r="C16" s="4"/>
      <c r="D16" s="64"/>
      <c r="E16" s="4"/>
      <c r="F16" s="4"/>
      <c r="G16" s="64"/>
      <c r="H16" s="4"/>
      <c r="I16" s="65"/>
      <c r="J16" s="64"/>
      <c r="K16" s="4"/>
      <c r="L16" s="65"/>
      <c r="M16" s="64"/>
      <c r="N16" s="4"/>
      <c r="O16" s="65"/>
      <c r="P16" s="64"/>
      <c r="Q16" s="4"/>
      <c r="R16" s="65"/>
      <c r="S16" s="64"/>
      <c r="T16" s="4"/>
      <c r="U16" s="65"/>
      <c r="V16" s="64"/>
      <c r="W16" s="4"/>
      <c r="X16" s="65"/>
      <c r="Y16" s="64"/>
      <c r="Z16" s="4"/>
      <c r="AA16" s="65"/>
      <c r="AB16" s="64"/>
      <c r="AC16" s="4"/>
      <c r="AD16" s="65"/>
      <c r="AE16" s="64"/>
      <c r="AF16" s="4"/>
      <c r="AG16" s="65"/>
      <c r="AH16" s="64"/>
      <c r="AI16" s="4"/>
      <c r="AJ16" s="65"/>
      <c r="AK16" s="64"/>
      <c r="AL16" s="4"/>
      <c r="AM16" s="65"/>
      <c r="AN16" s="64"/>
      <c r="AO16" s="4"/>
      <c r="AP16" s="65"/>
      <c r="AQ16" s="64"/>
      <c r="AR16" s="4"/>
      <c r="AS16" s="65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</row>
    <row r="17" ht="12.0" hidden="1" customHeight="1" outlineLevel="1">
      <c r="A17" s="4"/>
      <c r="B17" s="270" t="s">
        <v>19</v>
      </c>
      <c r="C17" s="4"/>
      <c r="D17" s="64"/>
      <c r="E17" s="4"/>
      <c r="F17" s="4"/>
      <c r="G17" s="64"/>
      <c r="H17" s="4"/>
      <c r="I17" s="65"/>
      <c r="J17" s="64"/>
      <c r="K17" s="4"/>
      <c r="L17" s="65"/>
      <c r="M17" s="64"/>
      <c r="N17" s="4"/>
      <c r="O17" s="65"/>
      <c r="P17" s="64"/>
      <c r="Q17" s="4"/>
      <c r="R17" s="65"/>
      <c r="S17" s="64"/>
      <c r="T17" s="4"/>
      <c r="U17" s="65"/>
      <c r="V17" s="64"/>
      <c r="W17" s="4"/>
      <c r="X17" s="65"/>
      <c r="Y17" s="64"/>
      <c r="Z17" s="4"/>
      <c r="AA17" s="65"/>
      <c r="AB17" s="64"/>
      <c r="AC17" s="4"/>
      <c r="AD17" s="65"/>
      <c r="AE17" s="64"/>
      <c r="AF17" s="4"/>
      <c r="AG17" s="65"/>
      <c r="AH17" s="64"/>
      <c r="AI17" s="4"/>
      <c r="AJ17" s="65"/>
      <c r="AK17" s="64"/>
      <c r="AL17" s="4"/>
      <c r="AM17" s="65"/>
      <c r="AN17" s="64"/>
      <c r="AO17" s="4"/>
      <c r="AP17" s="65"/>
      <c r="AQ17" s="64"/>
      <c r="AR17" s="4"/>
      <c r="AS17" s="65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</row>
    <row r="18" ht="12.0" hidden="1" customHeight="1" outlineLevel="1">
      <c r="A18" s="4"/>
      <c r="B18" s="4"/>
      <c r="C18" s="271" t="str">
        <f>Macro!B57</f>
        <v>CRO</v>
      </c>
      <c r="D18" s="64"/>
      <c r="E18" s="62">
        <f t="shared" ref="E18:AS18" si="5">E117-D117</f>
        <v>0</v>
      </c>
      <c r="F18" s="62">
        <f t="shared" si="5"/>
        <v>0</v>
      </c>
      <c r="G18" s="61">
        <f t="shared" si="5"/>
        <v>0</v>
      </c>
      <c r="H18" s="62">
        <f t="shared" si="5"/>
        <v>0</v>
      </c>
      <c r="I18" s="63">
        <f t="shared" si="5"/>
        <v>0</v>
      </c>
      <c r="J18" s="61">
        <f t="shared" si="5"/>
        <v>0</v>
      </c>
      <c r="K18" s="62">
        <f t="shared" si="5"/>
        <v>0</v>
      </c>
      <c r="L18" s="63">
        <f t="shared" si="5"/>
        <v>0</v>
      </c>
      <c r="M18" s="61">
        <f t="shared" si="5"/>
        <v>1</v>
      </c>
      <c r="N18" s="62">
        <f t="shared" si="5"/>
        <v>0</v>
      </c>
      <c r="O18" s="63">
        <f t="shared" si="5"/>
        <v>0</v>
      </c>
      <c r="P18" s="61">
        <f t="shared" si="5"/>
        <v>0</v>
      </c>
      <c r="Q18" s="62">
        <f t="shared" si="5"/>
        <v>0</v>
      </c>
      <c r="R18" s="63">
        <f t="shared" si="5"/>
        <v>0</v>
      </c>
      <c r="S18" s="61">
        <f t="shared" si="5"/>
        <v>0</v>
      </c>
      <c r="T18" s="62">
        <f t="shared" si="5"/>
        <v>0</v>
      </c>
      <c r="U18" s="63">
        <f t="shared" si="5"/>
        <v>0</v>
      </c>
      <c r="V18" s="61">
        <f t="shared" si="5"/>
        <v>0</v>
      </c>
      <c r="W18" s="62">
        <f t="shared" si="5"/>
        <v>0</v>
      </c>
      <c r="X18" s="63">
        <f t="shared" si="5"/>
        <v>0</v>
      </c>
      <c r="Y18" s="61">
        <f t="shared" si="5"/>
        <v>0</v>
      </c>
      <c r="Z18" s="62">
        <f t="shared" si="5"/>
        <v>0</v>
      </c>
      <c r="AA18" s="63">
        <f t="shared" si="5"/>
        <v>0</v>
      </c>
      <c r="AB18" s="61">
        <f t="shared" si="5"/>
        <v>0</v>
      </c>
      <c r="AC18" s="62">
        <f t="shared" si="5"/>
        <v>0</v>
      </c>
      <c r="AD18" s="63">
        <f t="shared" si="5"/>
        <v>0</v>
      </c>
      <c r="AE18" s="61">
        <f t="shared" si="5"/>
        <v>0</v>
      </c>
      <c r="AF18" s="62">
        <f t="shared" si="5"/>
        <v>0</v>
      </c>
      <c r="AG18" s="63">
        <f t="shared" si="5"/>
        <v>0</v>
      </c>
      <c r="AH18" s="61">
        <f t="shared" si="5"/>
        <v>0</v>
      </c>
      <c r="AI18" s="62">
        <f t="shared" si="5"/>
        <v>0</v>
      </c>
      <c r="AJ18" s="63">
        <f t="shared" si="5"/>
        <v>0</v>
      </c>
      <c r="AK18" s="61">
        <f t="shared" si="5"/>
        <v>0</v>
      </c>
      <c r="AL18" s="62">
        <f t="shared" si="5"/>
        <v>0</v>
      </c>
      <c r="AM18" s="63">
        <f t="shared" si="5"/>
        <v>0</v>
      </c>
      <c r="AN18" s="61">
        <f t="shared" si="5"/>
        <v>0</v>
      </c>
      <c r="AO18" s="62">
        <f t="shared" si="5"/>
        <v>0</v>
      </c>
      <c r="AP18" s="63">
        <f t="shared" si="5"/>
        <v>0</v>
      </c>
      <c r="AQ18" s="61">
        <f t="shared" si="5"/>
        <v>0</v>
      </c>
      <c r="AR18" s="62">
        <f t="shared" si="5"/>
        <v>0</v>
      </c>
      <c r="AS18" s="63">
        <f t="shared" si="5"/>
        <v>0</v>
      </c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</row>
    <row r="19" ht="12.0" hidden="1" customHeight="1" outlineLevel="1">
      <c r="A19" s="4"/>
      <c r="B19" s="4"/>
      <c r="C19" s="271" t="str">
        <f>Macro!B58</f>
        <v>AE</v>
      </c>
      <c r="D19" s="64"/>
      <c r="E19" s="62">
        <f t="shared" ref="E19:AS19" si="6">E118-D118</f>
        <v>0</v>
      </c>
      <c r="F19" s="62">
        <f t="shared" si="6"/>
        <v>0</v>
      </c>
      <c r="G19" s="61">
        <f t="shared" si="6"/>
        <v>0</v>
      </c>
      <c r="H19" s="62">
        <f t="shared" si="6"/>
        <v>0</v>
      </c>
      <c r="I19" s="63">
        <f t="shared" si="6"/>
        <v>0</v>
      </c>
      <c r="J19" s="61">
        <f t="shared" si="6"/>
        <v>0</v>
      </c>
      <c r="K19" s="62">
        <f t="shared" si="6"/>
        <v>0</v>
      </c>
      <c r="L19" s="63">
        <f t="shared" si="6"/>
        <v>0</v>
      </c>
      <c r="M19" s="61">
        <f t="shared" si="6"/>
        <v>0</v>
      </c>
      <c r="N19" s="62">
        <f t="shared" si="6"/>
        <v>0</v>
      </c>
      <c r="O19" s="63">
        <f t="shared" si="6"/>
        <v>0</v>
      </c>
      <c r="P19" s="61">
        <f t="shared" si="6"/>
        <v>1</v>
      </c>
      <c r="Q19" s="62">
        <f t="shared" si="6"/>
        <v>0</v>
      </c>
      <c r="R19" s="63">
        <f t="shared" si="6"/>
        <v>0</v>
      </c>
      <c r="S19" s="61">
        <f t="shared" si="6"/>
        <v>0</v>
      </c>
      <c r="T19" s="62">
        <f t="shared" si="6"/>
        <v>0</v>
      </c>
      <c r="U19" s="63">
        <f t="shared" si="6"/>
        <v>0</v>
      </c>
      <c r="V19" s="61">
        <f t="shared" si="6"/>
        <v>1</v>
      </c>
      <c r="W19" s="62">
        <f t="shared" si="6"/>
        <v>0</v>
      </c>
      <c r="X19" s="63">
        <f t="shared" si="6"/>
        <v>0</v>
      </c>
      <c r="Y19" s="61">
        <f t="shared" si="6"/>
        <v>0</v>
      </c>
      <c r="Z19" s="62">
        <f t="shared" si="6"/>
        <v>0</v>
      </c>
      <c r="AA19" s="63">
        <f t="shared" si="6"/>
        <v>0</v>
      </c>
      <c r="AB19" s="61">
        <f t="shared" si="6"/>
        <v>1</v>
      </c>
      <c r="AC19" s="62">
        <f t="shared" si="6"/>
        <v>0</v>
      </c>
      <c r="AD19" s="63">
        <f t="shared" si="6"/>
        <v>0</v>
      </c>
      <c r="AE19" s="61">
        <f t="shared" si="6"/>
        <v>0</v>
      </c>
      <c r="AF19" s="62">
        <f t="shared" si="6"/>
        <v>0</v>
      </c>
      <c r="AG19" s="63">
        <f t="shared" si="6"/>
        <v>0</v>
      </c>
      <c r="AH19" s="61">
        <f t="shared" si="6"/>
        <v>1</v>
      </c>
      <c r="AI19" s="62">
        <f t="shared" si="6"/>
        <v>0</v>
      </c>
      <c r="AJ19" s="63">
        <f t="shared" si="6"/>
        <v>0</v>
      </c>
      <c r="AK19" s="61">
        <f t="shared" si="6"/>
        <v>0</v>
      </c>
      <c r="AL19" s="62">
        <f t="shared" si="6"/>
        <v>0</v>
      </c>
      <c r="AM19" s="63">
        <f t="shared" si="6"/>
        <v>0</v>
      </c>
      <c r="AN19" s="61">
        <f t="shared" si="6"/>
        <v>1</v>
      </c>
      <c r="AO19" s="62">
        <f t="shared" si="6"/>
        <v>0</v>
      </c>
      <c r="AP19" s="63">
        <f t="shared" si="6"/>
        <v>0</v>
      </c>
      <c r="AQ19" s="61">
        <f t="shared" si="6"/>
        <v>0</v>
      </c>
      <c r="AR19" s="62">
        <f t="shared" si="6"/>
        <v>0</v>
      </c>
      <c r="AS19" s="63">
        <f t="shared" si="6"/>
        <v>0</v>
      </c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</row>
    <row r="20" ht="12.0" hidden="1" customHeight="1" outlineLevel="1">
      <c r="A20" s="4"/>
      <c r="B20" s="4"/>
      <c r="C20" s="271" t="str">
        <f>Macro!B59</f>
        <v>AE manager</v>
      </c>
      <c r="D20" s="64"/>
      <c r="E20" s="62">
        <f t="shared" ref="E20:AS20" si="7">E119-D119</f>
        <v>0</v>
      </c>
      <c r="F20" s="62">
        <f t="shared" si="7"/>
        <v>0</v>
      </c>
      <c r="G20" s="61">
        <f t="shared" si="7"/>
        <v>0</v>
      </c>
      <c r="H20" s="62">
        <f t="shared" si="7"/>
        <v>0</v>
      </c>
      <c r="I20" s="63">
        <f t="shared" si="7"/>
        <v>0</v>
      </c>
      <c r="J20" s="61">
        <f t="shared" si="7"/>
        <v>0</v>
      </c>
      <c r="K20" s="62">
        <f t="shared" si="7"/>
        <v>0</v>
      </c>
      <c r="L20" s="63">
        <f t="shared" si="7"/>
        <v>0</v>
      </c>
      <c r="M20" s="61">
        <f t="shared" si="7"/>
        <v>0</v>
      </c>
      <c r="N20" s="62">
        <f t="shared" si="7"/>
        <v>0</v>
      </c>
      <c r="O20" s="63">
        <f t="shared" si="7"/>
        <v>0</v>
      </c>
      <c r="P20" s="61">
        <f t="shared" si="7"/>
        <v>0</v>
      </c>
      <c r="Q20" s="62">
        <f t="shared" si="7"/>
        <v>0</v>
      </c>
      <c r="R20" s="63">
        <f t="shared" si="7"/>
        <v>0</v>
      </c>
      <c r="S20" s="61">
        <f t="shared" si="7"/>
        <v>0</v>
      </c>
      <c r="T20" s="62">
        <f t="shared" si="7"/>
        <v>0</v>
      </c>
      <c r="U20" s="63">
        <f t="shared" si="7"/>
        <v>0</v>
      </c>
      <c r="V20" s="61">
        <f t="shared" si="7"/>
        <v>0</v>
      </c>
      <c r="W20" s="62">
        <f t="shared" si="7"/>
        <v>0</v>
      </c>
      <c r="X20" s="63">
        <f t="shared" si="7"/>
        <v>0</v>
      </c>
      <c r="Y20" s="61">
        <f t="shared" si="7"/>
        <v>0</v>
      </c>
      <c r="Z20" s="62">
        <f t="shared" si="7"/>
        <v>0</v>
      </c>
      <c r="AA20" s="63">
        <f t="shared" si="7"/>
        <v>0</v>
      </c>
      <c r="AB20" s="61">
        <f t="shared" si="7"/>
        <v>0</v>
      </c>
      <c r="AC20" s="62">
        <f t="shared" si="7"/>
        <v>0</v>
      </c>
      <c r="AD20" s="63">
        <f t="shared" si="7"/>
        <v>0</v>
      </c>
      <c r="AE20" s="61">
        <f t="shared" si="7"/>
        <v>0</v>
      </c>
      <c r="AF20" s="62">
        <f t="shared" si="7"/>
        <v>0</v>
      </c>
      <c r="AG20" s="63">
        <f t="shared" si="7"/>
        <v>0</v>
      </c>
      <c r="AH20" s="61">
        <f t="shared" si="7"/>
        <v>1</v>
      </c>
      <c r="AI20" s="62">
        <f t="shared" si="7"/>
        <v>0</v>
      </c>
      <c r="AJ20" s="63">
        <f t="shared" si="7"/>
        <v>0</v>
      </c>
      <c r="AK20" s="61">
        <f t="shared" si="7"/>
        <v>0</v>
      </c>
      <c r="AL20" s="62">
        <f t="shared" si="7"/>
        <v>0</v>
      </c>
      <c r="AM20" s="63">
        <f t="shared" si="7"/>
        <v>0</v>
      </c>
      <c r="AN20" s="61">
        <f t="shared" si="7"/>
        <v>0</v>
      </c>
      <c r="AO20" s="62">
        <f t="shared" si="7"/>
        <v>0</v>
      </c>
      <c r="AP20" s="63">
        <f t="shared" si="7"/>
        <v>0</v>
      </c>
      <c r="AQ20" s="61">
        <f t="shared" si="7"/>
        <v>0</v>
      </c>
      <c r="AR20" s="62">
        <f t="shared" si="7"/>
        <v>0</v>
      </c>
      <c r="AS20" s="63">
        <f t="shared" si="7"/>
        <v>0</v>
      </c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</row>
    <row r="21" ht="12.0" hidden="1" customHeight="1" outlineLevel="1">
      <c r="A21" s="4"/>
      <c r="B21" s="4"/>
      <c r="C21" s="271" t="str">
        <f>Macro!B60</f>
        <v>SE</v>
      </c>
      <c r="D21" s="64"/>
      <c r="E21" s="62">
        <f t="shared" ref="E21:AS21" si="8">E120-D120</f>
        <v>0</v>
      </c>
      <c r="F21" s="62">
        <f t="shared" si="8"/>
        <v>0</v>
      </c>
      <c r="G21" s="61">
        <f t="shared" si="8"/>
        <v>0</v>
      </c>
      <c r="H21" s="62">
        <f t="shared" si="8"/>
        <v>0</v>
      </c>
      <c r="I21" s="63">
        <f t="shared" si="8"/>
        <v>0</v>
      </c>
      <c r="J21" s="61">
        <f t="shared" si="8"/>
        <v>0</v>
      </c>
      <c r="K21" s="62">
        <f t="shared" si="8"/>
        <v>0</v>
      </c>
      <c r="L21" s="63">
        <f t="shared" si="8"/>
        <v>0</v>
      </c>
      <c r="M21" s="61">
        <f t="shared" si="8"/>
        <v>0</v>
      </c>
      <c r="N21" s="62">
        <f t="shared" si="8"/>
        <v>0</v>
      </c>
      <c r="O21" s="63">
        <f t="shared" si="8"/>
        <v>0</v>
      </c>
      <c r="P21" s="61">
        <f t="shared" si="8"/>
        <v>1</v>
      </c>
      <c r="Q21" s="62">
        <f t="shared" si="8"/>
        <v>0</v>
      </c>
      <c r="R21" s="63">
        <f t="shared" si="8"/>
        <v>0</v>
      </c>
      <c r="S21" s="61">
        <f t="shared" si="8"/>
        <v>0</v>
      </c>
      <c r="T21" s="62">
        <f t="shared" si="8"/>
        <v>0</v>
      </c>
      <c r="U21" s="63">
        <f t="shared" si="8"/>
        <v>0</v>
      </c>
      <c r="V21" s="61">
        <f t="shared" si="8"/>
        <v>0</v>
      </c>
      <c r="W21" s="62">
        <f t="shared" si="8"/>
        <v>0</v>
      </c>
      <c r="X21" s="63">
        <f t="shared" si="8"/>
        <v>0</v>
      </c>
      <c r="Y21" s="61">
        <f t="shared" si="8"/>
        <v>0</v>
      </c>
      <c r="Z21" s="62">
        <f t="shared" si="8"/>
        <v>0</v>
      </c>
      <c r="AA21" s="63">
        <f t="shared" si="8"/>
        <v>0</v>
      </c>
      <c r="AB21" s="61">
        <f t="shared" si="8"/>
        <v>1</v>
      </c>
      <c r="AC21" s="62">
        <f t="shared" si="8"/>
        <v>0</v>
      </c>
      <c r="AD21" s="63">
        <f t="shared" si="8"/>
        <v>0</v>
      </c>
      <c r="AE21" s="61">
        <f t="shared" si="8"/>
        <v>0</v>
      </c>
      <c r="AF21" s="62">
        <f t="shared" si="8"/>
        <v>0</v>
      </c>
      <c r="AG21" s="63">
        <f t="shared" si="8"/>
        <v>0</v>
      </c>
      <c r="AH21" s="61">
        <f t="shared" si="8"/>
        <v>0</v>
      </c>
      <c r="AI21" s="62">
        <f t="shared" si="8"/>
        <v>0</v>
      </c>
      <c r="AJ21" s="63">
        <f t="shared" si="8"/>
        <v>0</v>
      </c>
      <c r="AK21" s="61">
        <f t="shared" si="8"/>
        <v>0</v>
      </c>
      <c r="AL21" s="62">
        <f t="shared" si="8"/>
        <v>0</v>
      </c>
      <c r="AM21" s="63">
        <f t="shared" si="8"/>
        <v>0</v>
      </c>
      <c r="AN21" s="61">
        <f t="shared" si="8"/>
        <v>1</v>
      </c>
      <c r="AO21" s="62">
        <f t="shared" si="8"/>
        <v>0</v>
      </c>
      <c r="AP21" s="63">
        <f t="shared" si="8"/>
        <v>0</v>
      </c>
      <c r="AQ21" s="61">
        <f t="shared" si="8"/>
        <v>0</v>
      </c>
      <c r="AR21" s="62">
        <f t="shared" si="8"/>
        <v>0</v>
      </c>
      <c r="AS21" s="63">
        <f t="shared" si="8"/>
        <v>0</v>
      </c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</row>
    <row r="22" ht="12.0" hidden="1" customHeight="1" outlineLevel="1">
      <c r="A22" s="4"/>
      <c r="B22" s="4"/>
      <c r="C22" s="271" t="str">
        <f>Macro!B61</f>
        <v>SE manager</v>
      </c>
      <c r="D22" s="64"/>
      <c r="E22" s="62">
        <f t="shared" ref="E22:AS22" si="9">E121-D121</f>
        <v>0</v>
      </c>
      <c r="F22" s="62">
        <f t="shared" si="9"/>
        <v>0</v>
      </c>
      <c r="G22" s="61">
        <f t="shared" si="9"/>
        <v>0</v>
      </c>
      <c r="H22" s="62">
        <f t="shared" si="9"/>
        <v>0</v>
      </c>
      <c r="I22" s="63">
        <f t="shared" si="9"/>
        <v>0</v>
      </c>
      <c r="J22" s="61">
        <f t="shared" si="9"/>
        <v>0</v>
      </c>
      <c r="K22" s="62">
        <f t="shared" si="9"/>
        <v>0</v>
      </c>
      <c r="L22" s="63">
        <f t="shared" si="9"/>
        <v>0</v>
      </c>
      <c r="M22" s="61">
        <f t="shared" si="9"/>
        <v>0</v>
      </c>
      <c r="N22" s="62">
        <f t="shared" si="9"/>
        <v>0</v>
      </c>
      <c r="O22" s="63">
        <f t="shared" si="9"/>
        <v>0</v>
      </c>
      <c r="P22" s="61">
        <f t="shared" si="9"/>
        <v>0</v>
      </c>
      <c r="Q22" s="62">
        <f t="shared" si="9"/>
        <v>0</v>
      </c>
      <c r="R22" s="63">
        <f t="shared" si="9"/>
        <v>0</v>
      </c>
      <c r="S22" s="61">
        <f t="shared" si="9"/>
        <v>0</v>
      </c>
      <c r="T22" s="62">
        <f t="shared" si="9"/>
        <v>0</v>
      </c>
      <c r="U22" s="63">
        <f t="shared" si="9"/>
        <v>0</v>
      </c>
      <c r="V22" s="61">
        <f t="shared" si="9"/>
        <v>0</v>
      </c>
      <c r="W22" s="62">
        <f t="shared" si="9"/>
        <v>0</v>
      </c>
      <c r="X22" s="63">
        <f t="shared" si="9"/>
        <v>0</v>
      </c>
      <c r="Y22" s="61">
        <f t="shared" si="9"/>
        <v>0</v>
      </c>
      <c r="Z22" s="62">
        <f t="shared" si="9"/>
        <v>0</v>
      </c>
      <c r="AA22" s="63">
        <f t="shared" si="9"/>
        <v>0</v>
      </c>
      <c r="AB22" s="61">
        <f t="shared" si="9"/>
        <v>0</v>
      </c>
      <c r="AC22" s="62">
        <f t="shared" si="9"/>
        <v>0</v>
      </c>
      <c r="AD22" s="63">
        <f t="shared" si="9"/>
        <v>0</v>
      </c>
      <c r="AE22" s="61">
        <f t="shared" si="9"/>
        <v>0</v>
      </c>
      <c r="AF22" s="62">
        <f t="shared" si="9"/>
        <v>0</v>
      </c>
      <c r="AG22" s="63">
        <f t="shared" si="9"/>
        <v>0</v>
      </c>
      <c r="AH22" s="61">
        <f t="shared" si="9"/>
        <v>0</v>
      </c>
      <c r="AI22" s="62">
        <f t="shared" si="9"/>
        <v>0</v>
      </c>
      <c r="AJ22" s="63">
        <f t="shared" si="9"/>
        <v>0</v>
      </c>
      <c r="AK22" s="61">
        <f t="shared" si="9"/>
        <v>0</v>
      </c>
      <c r="AL22" s="62">
        <f t="shared" si="9"/>
        <v>0</v>
      </c>
      <c r="AM22" s="63">
        <f t="shared" si="9"/>
        <v>0</v>
      </c>
      <c r="AN22" s="61">
        <f t="shared" si="9"/>
        <v>0</v>
      </c>
      <c r="AO22" s="62">
        <f t="shared" si="9"/>
        <v>0</v>
      </c>
      <c r="AP22" s="63">
        <f t="shared" si="9"/>
        <v>0</v>
      </c>
      <c r="AQ22" s="61">
        <f t="shared" si="9"/>
        <v>0</v>
      </c>
      <c r="AR22" s="62">
        <f t="shared" si="9"/>
        <v>0</v>
      </c>
      <c r="AS22" s="63">
        <f t="shared" si="9"/>
        <v>0</v>
      </c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</row>
    <row r="23" ht="12.0" hidden="1" customHeight="1" outlineLevel="1">
      <c r="A23" s="4"/>
      <c r="B23" s="4"/>
      <c r="C23" s="271" t="str">
        <f>Macro!B62</f>
        <v>Sales Ops</v>
      </c>
      <c r="D23" s="64"/>
      <c r="E23" s="62">
        <f t="shared" ref="E23:AS23" si="10">E122-D122</f>
        <v>0</v>
      </c>
      <c r="F23" s="62">
        <f t="shared" si="10"/>
        <v>0</v>
      </c>
      <c r="G23" s="61">
        <f t="shared" si="10"/>
        <v>0</v>
      </c>
      <c r="H23" s="62">
        <f t="shared" si="10"/>
        <v>0</v>
      </c>
      <c r="I23" s="63">
        <f t="shared" si="10"/>
        <v>0</v>
      </c>
      <c r="J23" s="61">
        <f t="shared" si="10"/>
        <v>0</v>
      </c>
      <c r="K23" s="62">
        <f t="shared" si="10"/>
        <v>0</v>
      </c>
      <c r="L23" s="63">
        <f t="shared" si="10"/>
        <v>0</v>
      </c>
      <c r="M23" s="61">
        <f t="shared" si="10"/>
        <v>0</v>
      </c>
      <c r="N23" s="62">
        <f t="shared" si="10"/>
        <v>0</v>
      </c>
      <c r="O23" s="63">
        <f t="shared" si="10"/>
        <v>0</v>
      </c>
      <c r="P23" s="61">
        <f t="shared" si="10"/>
        <v>0</v>
      </c>
      <c r="Q23" s="62">
        <f t="shared" si="10"/>
        <v>0</v>
      </c>
      <c r="R23" s="63">
        <f t="shared" si="10"/>
        <v>1</v>
      </c>
      <c r="S23" s="61">
        <f t="shared" si="10"/>
        <v>0</v>
      </c>
      <c r="T23" s="62">
        <f t="shared" si="10"/>
        <v>0</v>
      </c>
      <c r="U23" s="63">
        <f t="shared" si="10"/>
        <v>0</v>
      </c>
      <c r="V23" s="61">
        <f t="shared" si="10"/>
        <v>0</v>
      </c>
      <c r="W23" s="62">
        <f t="shared" si="10"/>
        <v>0</v>
      </c>
      <c r="X23" s="63">
        <f t="shared" si="10"/>
        <v>0</v>
      </c>
      <c r="Y23" s="61">
        <f t="shared" si="10"/>
        <v>0</v>
      </c>
      <c r="Z23" s="62">
        <f t="shared" si="10"/>
        <v>0</v>
      </c>
      <c r="AA23" s="63">
        <f t="shared" si="10"/>
        <v>0</v>
      </c>
      <c r="AB23" s="61">
        <f t="shared" si="10"/>
        <v>0</v>
      </c>
      <c r="AC23" s="62">
        <f t="shared" si="10"/>
        <v>0</v>
      </c>
      <c r="AD23" s="63">
        <f t="shared" si="10"/>
        <v>0</v>
      </c>
      <c r="AE23" s="61">
        <f t="shared" si="10"/>
        <v>0</v>
      </c>
      <c r="AF23" s="62">
        <f t="shared" si="10"/>
        <v>0</v>
      </c>
      <c r="AG23" s="63">
        <f t="shared" si="10"/>
        <v>0</v>
      </c>
      <c r="AH23" s="61">
        <f t="shared" si="10"/>
        <v>0</v>
      </c>
      <c r="AI23" s="62">
        <f t="shared" si="10"/>
        <v>0</v>
      </c>
      <c r="AJ23" s="63">
        <f t="shared" si="10"/>
        <v>0</v>
      </c>
      <c r="AK23" s="61">
        <f t="shared" si="10"/>
        <v>0</v>
      </c>
      <c r="AL23" s="62">
        <f t="shared" si="10"/>
        <v>0</v>
      </c>
      <c r="AM23" s="63">
        <f t="shared" si="10"/>
        <v>0</v>
      </c>
      <c r="AN23" s="61">
        <f t="shared" si="10"/>
        <v>1</v>
      </c>
      <c r="AO23" s="62">
        <f t="shared" si="10"/>
        <v>0</v>
      </c>
      <c r="AP23" s="63">
        <f t="shared" si="10"/>
        <v>0</v>
      </c>
      <c r="AQ23" s="61">
        <f t="shared" si="10"/>
        <v>0</v>
      </c>
      <c r="AR23" s="62">
        <f t="shared" si="10"/>
        <v>0</v>
      </c>
      <c r="AS23" s="63">
        <f t="shared" si="10"/>
        <v>0</v>
      </c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</row>
    <row r="24" ht="12.0" hidden="1" customHeight="1" outlineLevel="1">
      <c r="A24" s="4"/>
      <c r="B24" s="4"/>
      <c r="C24" s="271" t="str">
        <f>Macro!B63</f>
        <v>[XX]</v>
      </c>
      <c r="D24" s="64"/>
      <c r="E24" s="62">
        <f t="shared" ref="E24:AS24" si="11">E123-D123</f>
        <v>0</v>
      </c>
      <c r="F24" s="62">
        <f t="shared" si="11"/>
        <v>0</v>
      </c>
      <c r="G24" s="61">
        <f t="shared" si="11"/>
        <v>0</v>
      </c>
      <c r="H24" s="62">
        <f t="shared" si="11"/>
        <v>0</v>
      </c>
      <c r="I24" s="63">
        <f t="shared" si="11"/>
        <v>0</v>
      </c>
      <c r="J24" s="61">
        <f t="shared" si="11"/>
        <v>0</v>
      </c>
      <c r="K24" s="62">
        <f t="shared" si="11"/>
        <v>0</v>
      </c>
      <c r="L24" s="63">
        <f t="shared" si="11"/>
        <v>0</v>
      </c>
      <c r="M24" s="61">
        <f t="shared" si="11"/>
        <v>0</v>
      </c>
      <c r="N24" s="62">
        <f t="shared" si="11"/>
        <v>0</v>
      </c>
      <c r="O24" s="63">
        <f t="shared" si="11"/>
        <v>0</v>
      </c>
      <c r="P24" s="61">
        <f t="shared" si="11"/>
        <v>0</v>
      </c>
      <c r="Q24" s="62">
        <f t="shared" si="11"/>
        <v>0</v>
      </c>
      <c r="R24" s="63">
        <f t="shared" si="11"/>
        <v>0</v>
      </c>
      <c r="S24" s="61">
        <f t="shared" si="11"/>
        <v>0</v>
      </c>
      <c r="T24" s="62">
        <f t="shared" si="11"/>
        <v>0</v>
      </c>
      <c r="U24" s="63">
        <f t="shared" si="11"/>
        <v>0</v>
      </c>
      <c r="V24" s="61">
        <f t="shared" si="11"/>
        <v>0</v>
      </c>
      <c r="W24" s="62">
        <f t="shared" si="11"/>
        <v>0</v>
      </c>
      <c r="X24" s="63">
        <f t="shared" si="11"/>
        <v>0</v>
      </c>
      <c r="Y24" s="61">
        <f t="shared" si="11"/>
        <v>0</v>
      </c>
      <c r="Z24" s="62">
        <f t="shared" si="11"/>
        <v>0</v>
      </c>
      <c r="AA24" s="63">
        <f t="shared" si="11"/>
        <v>0</v>
      </c>
      <c r="AB24" s="61">
        <f t="shared" si="11"/>
        <v>0</v>
      </c>
      <c r="AC24" s="62">
        <f t="shared" si="11"/>
        <v>0</v>
      </c>
      <c r="AD24" s="63">
        <f t="shared" si="11"/>
        <v>0</v>
      </c>
      <c r="AE24" s="61">
        <f t="shared" si="11"/>
        <v>0</v>
      </c>
      <c r="AF24" s="62">
        <f t="shared" si="11"/>
        <v>0</v>
      </c>
      <c r="AG24" s="63">
        <f t="shared" si="11"/>
        <v>0</v>
      </c>
      <c r="AH24" s="61">
        <f t="shared" si="11"/>
        <v>0</v>
      </c>
      <c r="AI24" s="62">
        <f t="shared" si="11"/>
        <v>0</v>
      </c>
      <c r="AJ24" s="63">
        <f t="shared" si="11"/>
        <v>0</v>
      </c>
      <c r="AK24" s="61">
        <f t="shared" si="11"/>
        <v>0</v>
      </c>
      <c r="AL24" s="62">
        <f t="shared" si="11"/>
        <v>0</v>
      </c>
      <c r="AM24" s="63">
        <f t="shared" si="11"/>
        <v>0</v>
      </c>
      <c r="AN24" s="61">
        <f t="shared" si="11"/>
        <v>0</v>
      </c>
      <c r="AO24" s="62">
        <f t="shared" si="11"/>
        <v>0</v>
      </c>
      <c r="AP24" s="63">
        <f t="shared" si="11"/>
        <v>0</v>
      </c>
      <c r="AQ24" s="61">
        <f t="shared" si="11"/>
        <v>0</v>
      </c>
      <c r="AR24" s="62">
        <f t="shared" si="11"/>
        <v>0</v>
      </c>
      <c r="AS24" s="63">
        <f t="shared" si="11"/>
        <v>0</v>
      </c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</row>
    <row r="25" ht="12.0" hidden="1" customHeight="1" outlineLevel="1">
      <c r="A25" s="4"/>
      <c r="B25" s="4"/>
      <c r="C25" s="271" t="str">
        <f>Macro!B64</f>
        <v>[XX]</v>
      </c>
      <c r="D25" s="64"/>
      <c r="E25" s="62">
        <f t="shared" ref="E25:AS25" si="12">E124-D124</f>
        <v>0</v>
      </c>
      <c r="F25" s="62">
        <f t="shared" si="12"/>
        <v>0</v>
      </c>
      <c r="G25" s="61">
        <f t="shared" si="12"/>
        <v>0</v>
      </c>
      <c r="H25" s="62">
        <f t="shared" si="12"/>
        <v>0</v>
      </c>
      <c r="I25" s="63">
        <f t="shared" si="12"/>
        <v>0</v>
      </c>
      <c r="J25" s="61">
        <f t="shared" si="12"/>
        <v>0</v>
      </c>
      <c r="K25" s="62">
        <f t="shared" si="12"/>
        <v>0</v>
      </c>
      <c r="L25" s="63">
        <f t="shared" si="12"/>
        <v>0</v>
      </c>
      <c r="M25" s="61">
        <f t="shared" si="12"/>
        <v>0</v>
      </c>
      <c r="N25" s="62">
        <f t="shared" si="12"/>
        <v>0</v>
      </c>
      <c r="O25" s="63">
        <f t="shared" si="12"/>
        <v>0</v>
      </c>
      <c r="P25" s="61">
        <f t="shared" si="12"/>
        <v>0</v>
      </c>
      <c r="Q25" s="62">
        <f t="shared" si="12"/>
        <v>0</v>
      </c>
      <c r="R25" s="63">
        <f t="shared" si="12"/>
        <v>0</v>
      </c>
      <c r="S25" s="61">
        <f t="shared" si="12"/>
        <v>0</v>
      </c>
      <c r="T25" s="62">
        <f t="shared" si="12"/>
        <v>0</v>
      </c>
      <c r="U25" s="63">
        <f t="shared" si="12"/>
        <v>0</v>
      </c>
      <c r="V25" s="61">
        <f t="shared" si="12"/>
        <v>0</v>
      </c>
      <c r="W25" s="62">
        <f t="shared" si="12"/>
        <v>0</v>
      </c>
      <c r="X25" s="63">
        <f t="shared" si="12"/>
        <v>0</v>
      </c>
      <c r="Y25" s="61">
        <f t="shared" si="12"/>
        <v>0</v>
      </c>
      <c r="Z25" s="62">
        <f t="shared" si="12"/>
        <v>0</v>
      </c>
      <c r="AA25" s="63">
        <f t="shared" si="12"/>
        <v>0</v>
      </c>
      <c r="AB25" s="61">
        <f t="shared" si="12"/>
        <v>0</v>
      </c>
      <c r="AC25" s="62">
        <f t="shared" si="12"/>
        <v>0</v>
      </c>
      <c r="AD25" s="63">
        <f t="shared" si="12"/>
        <v>0</v>
      </c>
      <c r="AE25" s="61">
        <f t="shared" si="12"/>
        <v>0</v>
      </c>
      <c r="AF25" s="62">
        <f t="shared" si="12"/>
        <v>0</v>
      </c>
      <c r="AG25" s="63">
        <f t="shared" si="12"/>
        <v>0</v>
      </c>
      <c r="AH25" s="61">
        <f t="shared" si="12"/>
        <v>0</v>
      </c>
      <c r="AI25" s="62">
        <f t="shared" si="12"/>
        <v>0</v>
      </c>
      <c r="AJ25" s="63">
        <f t="shared" si="12"/>
        <v>0</v>
      </c>
      <c r="AK25" s="61">
        <f t="shared" si="12"/>
        <v>0</v>
      </c>
      <c r="AL25" s="62">
        <f t="shared" si="12"/>
        <v>0</v>
      </c>
      <c r="AM25" s="63">
        <f t="shared" si="12"/>
        <v>0</v>
      </c>
      <c r="AN25" s="61">
        <f t="shared" si="12"/>
        <v>0</v>
      </c>
      <c r="AO25" s="62">
        <f t="shared" si="12"/>
        <v>0</v>
      </c>
      <c r="AP25" s="63">
        <f t="shared" si="12"/>
        <v>0</v>
      </c>
      <c r="AQ25" s="61">
        <f t="shared" si="12"/>
        <v>0</v>
      </c>
      <c r="AR25" s="62">
        <f t="shared" si="12"/>
        <v>0</v>
      </c>
      <c r="AS25" s="63">
        <f t="shared" si="12"/>
        <v>0</v>
      </c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</row>
    <row r="26" ht="12.0" hidden="1" customHeight="1" outlineLevel="1">
      <c r="A26" s="4"/>
      <c r="B26" s="4"/>
      <c r="C26" s="271" t="str">
        <f>Macro!B65</f>
        <v>[XX]</v>
      </c>
      <c r="D26" s="64"/>
      <c r="E26" s="62">
        <f t="shared" ref="E26:AS26" si="13">E125-D125</f>
        <v>0</v>
      </c>
      <c r="F26" s="62">
        <f t="shared" si="13"/>
        <v>0</v>
      </c>
      <c r="G26" s="61">
        <f t="shared" si="13"/>
        <v>0</v>
      </c>
      <c r="H26" s="62">
        <f t="shared" si="13"/>
        <v>0</v>
      </c>
      <c r="I26" s="63">
        <f t="shared" si="13"/>
        <v>0</v>
      </c>
      <c r="J26" s="61">
        <f t="shared" si="13"/>
        <v>0</v>
      </c>
      <c r="K26" s="62">
        <f t="shared" si="13"/>
        <v>0</v>
      </c>
      <c r="L26" s="63">
        <f t="shared" si="13"/>
        <v>0</v>
      </c>
      <c r="M26" s="61">
        <f t="shared" si="13"/>
        <v>0</v>
      </c>
      <c r="N26" s="62">
        <f t="shared" si="13"/>
        <v>0</v>
      </c>
      <c r="O26" s="63">
        <f t="shared" si="13"/>
        <v>0</v>
      </c>
      <c r="P26" s="61">
        <f t="shared" si="13"/>
        <v>0</v>
      </c>
      <c r="Q26" s="62">
        <f t="shared" si="13"/>
        <v>0</v>
      </c>
      <c r="R26" s="63">
        <f t="shared" si="13"/>
        <v>0</v>
      </c>
      <c r="S26" s="61">
        <f t="shared" si="13"/>
        <v>0</v>
      </c>
      <c r="T26" s="62">
        <f t="shared" si="13"/>
        <v>0</v>
      </c>
      <c r="U26" s="63">
        <f t="shared" si="13"/>
        <v>0</v>
      </c>
      <c r="V26" s="61">
        <f t="shared" si="13"/>
        <v>0</v>
      </c>
      <c r="W26" s="62">
        <f t="shared" si="13"/>
        <v>0</v>
      </c>
      <c r="X26" s="63">
        <f t="shared" si="13"/>
        <v>0</v>
      </c>
      <c r="Y26" s="61">
        <f t="shared" si="13"/>
        <v>0</v>
      </c>
      <c r="Z26" s="62">
        <f t="shared" si="13"/>
        <v>0</v>
      </c>
      <c r="AA26" s="63">
        <f t="shared" si="13"/>
        <v>0</v>
      </c>
      <c r="AB26" s="61">
        <f t="shared" si="13"/>
        <v>0</v>
      </c>
      <c r="AC26" s="62">
        <f t="shared" si="13"/>
        <v>0</v>
      </c>
      <c r="AD26" s="63">
        <f t="shared" si="13"/>
        <v>0</v>
      </c>
      <c r="AE26" s="61">
        <f t="shared" si="13"/>
        <v>0</v>
      </c>
      <c r="AF26" s="62">
        <f t="shared" si="13"/>
        <v>0</v>
      </c>
      <c r="AG26" s="63">
        <f t="shared" si="13"/>
        <v>0</v>
      </c>
      <c r="AH26" s="61">
        <f t="shared" si="13"/>
        <v>0</v>
      </c>
      <c r="AI26" s="62">
        <f t="shared" si="13"/>
        <v>0</v>
      </c>
      <c r="AJ26" s="63">
        <f t="shared" si="13"/>
        <v>0</v>
      </c>
      <c r="AK26" s="61">
        <f t="shared" si="13"/>
        <v>0</v>
      </c>
      <c r="AL26" s="62">
        <f t="shared" si="13"/>
        <v>0</v>
      </c>
      <c r="AM26" s="63">
        <f t="shared" si="13"/>
        <v>0</v>
      </c>
      <c r="AN26" s="61">
        <f t="shared" si="13"/>
        <v>0</v>
      </c>
      <c r="AO26" s="62">
        <f t="shared" si="13"/>
        <v>0</v>
      </c>
      <c r="AP26" s="63">
        <f t="shared" si="13"/>
        <v>0</v>
      </c>
      <c r="AQ26" s="61">
        <f t="shared" si="13"/>
        <v>0</v>
      </c>
      <c r="AR26" s="62">
        <f t="shared" si="13"/>
        <v>0</v>
      </c>
      <c r="AS26" s="63">
        <f t="shared" si="13"/>
        <v>0</v>
      </c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</row>
    <row r="27" ht="12.0" hidden="1" customHeight="1" outlineLevel="1">
      <c r="A27" s="4"/>
      <c r="B27" s="4"/>
      <c r="C27" s="271" t="str">
        <f>Macro!B66</f>
        <v>[XX]</v>
      </c>
      <c r="D27" s="64"/>
      <c r="E27" s="62">
        <f t="shared" ref="E27:AS27" si="14">E126-D126</f>
        <v>0</v>
      </c>
      <c r="F27" s="62">
        <f t="shared" si="14"/>
        <v>0</v>
      </c>
      <c r="G27" s="61">
        <f t="shared" si="14"/>
        <v>0</v>
      </c>
      <c r="H27" s="62">
        <f t="shared" si="14"/>
        <v>0</v>
      </c>
      <c r="I27" s="63">
        <f t="shared" si="14"/>
        <v>0</v>
      </c>
      <c r="J27" s="61">
        <f t="shared" si="14"/>
        <v>0</v>
      </c>
      <c r="K27" s="62">
        <f t="shared" si="14"/>
        <v>0</v>
      </c>
      <c r="L27" s="63">
        <f t="shared" si="14"/>
        <v>0</v>
      </c>
      <c r="M27" s="61">
        <f t="shared" si="14"/>
        <v>0</v>
      </c>
      <c r="N27" s="62">
        <f t="shared" si="14"/>
        <v>0</v>
      </c>
      <c r="O27" s="63">
        <f t="shared" si="14"/>
        <v>0</v>
      </c>
      <c r="P27" s="61">
        <f t="shared" si="14"/>
        <v>0</v>
      </c>
      <c r="Q27" s="62">
        <f t="shared" si="14"/>
        <v>0</v>
      </c>
      <c r="R27" s="63">
        <f t="shared" si="14"/>
        <v>0</v>
      </c>
      <c r="S27" s="61">
        <f t="shared" si="14"/>
        <v>0</v>
      </c>
      <c r="T27" s="62">
        <f t="shared" si="14"/>
        <v>0</v>
      </c>
      <c r="U27" s="63">
        <f t="shared" si="14"/>
        <v>0</v>
      </c>
      <c r="V27" s="61">
        <f t="shared" si="14"/>
        <v>0</v>
      </c>
      <c r="W27" s="62">
        <f t="shared" si="14"/>
        <v>0</v>
      </c>
      <c r="X27" s="63">
        <f t="shared" si="14"/>
        <v>0</v>
      </c>
      <c r="Y27" s="61">
        <f t="shared" si="14"/>
        <v>0</v>
      </c>
      <c r="Z27" s="62">
        <f t="shared" si="14"/>
        <v>0</v>
      </c>
      <c r="AA27" s="63">
        <f t="shared" si="14"/>
        <v>0</v>
      </c>
      <c r="AB27" s="61">
        <f t="shared" si="14"/>
        <v>0</v>
      </c>
      <c r="AC27" s="62">
        <f t="shared" si="14"/>
        <v>0</v>
      </c>
      <c r="AD27" s="63">
        <f t="shared" si="14"/>
        <v>0</v>
      </c>
      <c r="AE27" s="61">
        <f t="shared" si="14"/>
        <v>0</v>
      </c>
      <c r="AF27" s="62">
        <f t="shared" si="14"/>
        <v>0</v>
      </c>
      <c r="AG27" s="63">
        <f t="shared" si="14"/>
        <v>0</v>
      </c>
      <c r="AH27" s="61">
        <f t="shared" si="14"/>
        <v>0</v>
      </c>
      <c r="AI27" s="62">
        <f t="shared" si="14"/>
        <v>0</v>
      </c>
      <c r="AJ27" s="63">
        <f t="shared" si="14"/>
        <v>0</v>
      </c>
      <c r="AK27" s="61">
        <f t="shared" si="14"/>
        <v>0</v>
      </c>
      <c r="AL27" s="62">
        <f t="shared" si="14"/>
        <v>0</v>
      </c>
      <c r="AM27" s="63">
        <f t="shared" si="14"/>
        <v>0</v>
      </c>
      <c r="AN27" s="61">
        <f t="shared" si="14"/>
        <v>0</v>
      </c>
      <c r="AO27" s="62">
        <f t="shared" si="14"/>
        <v>0</v>
      </c>
      <c r="AP27" s="63">
        <f t="shared" si="14"/>
        <v>0</v>
      </c>
      <c r="AQ27" s="61">
        <f t="shared" si="14"/>
        <v>0</v>
      </c>
      <c r="AR27" s="62">
        <f t="shared" si="14"/>
        <v>0</v>
      </c>
      <c r="AS27" s="63">
        <f t="shared" si="14"/>
        <v>0</v>
      </c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</row>
    <row r="28" ht="12.0" hidden="1" customHeight="1" outlineLevel="1">
      <c r="A28" s="4"/>
      <c r="B28" s="4"/>
      <c r="C28" s="271" t="str">
        <f>Macro!B67</f>
        <v>[XX]</v>
      </c>
      <c r="D28" s="64"/>
      <c r="E28" s="62">
        <f t="shared" ref="E28:AS28" si="15">E127-D127</f>
        <v>0</v>
      </c>
      <c r="F28" s="62">
        <f t="shared" si="15"/>
        <v>0</v>
      </c>
      <c r="G28" s="61">
        <f t="shared" si="15"/>
        <v>0</v>
      </c>
      <c r="H28" s="62">
        <f t="shared" si="15"/>
        <v>0</v>
      </c>
      <c r="I28" s="63">
        <f t="shared" si="15"/>
        <v>0</v>
      </c>
      <c r="J28" s="61">
        <f t="shared" si="15"/>
        <v>0</v>
      </c>
      <c r="K28" s="62">
        <f t="shared" si="15"/>
        <v>0</v>
      </c>
      <c r="L28" s="63">
        <f t="shared" si="15"/>
        <v>0</v>
      </c>
      <c r="M28" s="61">
        <f t="shared" si="15"/>
        <v>0</v>
      </c>
      <c r="N28" s="62">
        <f t="shared" si="15"/>
        <v>0</v>
      </c>
      <c r="O28" s="63">
        <f t="shared" si="15"/>
        <v>0</v>
      </c>
      <c r="P28" s="61">
        <f t="shared" si="15"/>
        <v>0</v>
      </c>
      <c r="Q28" s="62">
        <f t="shared" si="15"/>
        <v>0</v>
      </c>
      <c r="R28" s="63">
        <f t="shared" si="15"/>
        <v>0</v>
      </c>
      <c r="S28" s="61">
        <f t="shared" si="15"/>
        <v>0</v>
      </c>
      <c r="T28" s="62">
        <f t="shared" si="15"/>
        <v>0</v>
      </c>
      <c r="U28" s="63">
        <f t="shared" si="15"/>
        <v>0</v>
      </c>
      <c r="V28" s="61">
        <f t="shared" si="15"/>
        <v>0</v>
      </c>
      <c r="W28" s="62">
        <f t="shared" si="15"/>
        <v>0</v>
      </c>
      <c r="X28" s="63">
        <f t="shared" si="15"/>
        <v>0</v>
      </c>
      <c r="Y28" s="61">
        <f t="shared" si="15"/>
        <v>0</v>
      </c>
      <c r="Z28" s="62">
        <f t="shared" si="15"/>
        <v>0</v>
      </c>
      <c r="AA28" s="63">
        <f t="shared" si="15"/>
        <v>0</v>
      </c>
      <c r="AB28" s="61">
        <f t="shared" si="15"/>
        <v>0</v>
      </c>
      <c r="AC28" s="62">
        <f t="shared" si="15"/>
        <v>0</v>
      </c>
      <c r="AD28" s="63">
        <f t="shared" si="15"/>
        <v>0</v>
      </c>
      <c r="AE28" s="61">
        <f t="shared" si="15"/>
        <v>0</v>
      </c>
      <c r="AF28" s="62">
        <f t="shared" si="15"/>
        <v>0</v>
      </c>
      <c r="AG28" s="63">
        <f t="shared" si="15"/>
        <v>0</v>
      </c>
      <c r="AH28" s="61">
        <f t="shared" si="15"/>
        <v>0</v>
      </c>
      <c r="AI28" s="62">
        <f t="shared" si="15"/>
        <v>0</v>
      </c>
      <c r="AJ28" s="63">
        <f t="shared" si="15"/>
        <v>0</v>
      </c>
      <c r="AK28" s="61">
        <f t="shared" si="15"/>
        <v>0</v>
      </c>
      <c r="AL28" s="62">
        <f t="shared" si="15"/>
        <v>0</v>
      </c>
      <c r="AM28" s="63">
        <f t="shared" si="15"/>
        <v>0</v>
      </c>
      <c r="AN28" s="61">
        <f t="shared" si="15"/>
        <v>0</v>
      </c>
      <c r="AO28" s="62">
        <f t="shared" si="15"/>
        <v>0</v>
      </c>
      <c r="AP28" s="63">
        <f t="shared" si="15"/>
        <v>0</v>
      </c>
      <c r="AQ28" s="61">
        <f t="shared" si="15"/>
        <v>0</v>
      </c>
      <c r="AR28" s="62">
        <f t="shared" si="15"/>
        <v>0</v>
      </c>
      <c r="AS28" s="63">
        <f t="shared" si="15"/>
        <v>0</v>
      </c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</row>
    <row r="29" ht="12.0" hidden="1" customHeight="1" outlineLevel="1">
      <c r="A29" s="4"/>
      <c r="B29" s="4"/>
      <c r="C29" s="272" t="str">
        <f>Macro!B68</f>
        <v>[XX]</v>
      </c>
      <c r="D29" s="239"/>
      <c r="E29" s="254">
        <f t="shared" ref="E29:AS29" si="16">E128-D128</f>
        <v>0</v>
      </c>
      <c r="F29" s="254">
        <f t="shared" si="16"/>
        <v>0</v>
      </c>
      <c r="G29" s="230">
        <f t="shared" si="16"/>
        <v>0</v>
      </c>
      <c r="H29" s="254">
        <f t="shared" si="16"/>
        <v>0</v>
      </c>
      <c r="I29" s="255">
        <f t="shared" si="16"/>
        <v>0</v>
      </c>
      <c r="J29" s="230">
        <f t="shared" si="16"/>
        <v>0</v>
      </c>
      <c r="K29" s="254">
        <f t="shared" si="16"/>
        <v>0</v>
      </c>
      <c r="L29" s="255">
        <f t="shared" si="16"/>
        <v>0</v>
      </c>
      <c r="M29" s="230">
        <f t="shared" si="16"/>
        <v>0</v>
      </c>
      <c r="N29" s="254">
        <f t="shared" si="16"/>
        <v>0</v>
      </c>
      <c r="O29" s="255">
        <f t="shared" si="16"/>
        <v>0</v>
      </c>
      <c r="P29" s="230">
        <f t="shared" si="16"/>
        <v>0</v>
      </c>
      <c r="Q29" s="254">
        <f t="shared" si="16"/>
        <v>0</v>
      </c>
      <c r="R29" s="255">
        <f t="shared" si="16"/>
        <v>0</v>
      </c>
      <c r="S29" s="230">
        <f t="shared" si="16"/>
        <v>0</v>
      </c>
      <c r="T29" s="254">
        <f t="shared" si="16"/>
        <v>0</v>
      </c>
      <c r="U29" s="255">
        <f t="shared" si="16"/>
        <v>0</v>
      </c>
      <c r="V29" s="230">
        <f t="shared" si="16"/>
        <v>0</v>
      </c>
      <c r="W29" s="254">
        <f t="shared" si="16"/>
        <v>0</v>
      </c>
      <c r="X29" s="255">
        <f t="shared" si="16"/>
        <v>0</v>
      </c>
      <c r="Y29" s="230">
        <f t="shared" si="16"/>
        <v>0</v>
      </c>
      <c r="Z29" s="254">
        <f t="shared" si="16"/>
        <v>0</v>
      </c>
      <c r="AA29" s="255">
        <f t="shared" si="16"/>
        <v>0</v>
      </c>
      <c r="AB29" s="230">
        <f t="shared" si="16"/>
        <v>0</v>
      </c>
      <c r="AC29" s="254">
        <f t="shared" si="16"/>
        <v>0</v>
      </c>
      <c r="AD29" s="255">
        <f t="shared" si="16"/>
        <v>0</v>
      </c>
      <c r="AE29" s="230">
        <f t="shared" si="16"/>
        <v>0</v>
      </c>
      <c r="AF29" s="254">
        <f t="shared" si="16"/>
        <v>0</v>
      </c>
      <c r="AG29" s="255">
        <f t="shared" si="16"/>
        <v>0</v>
      </c>
      <c r="AH29" s="230">
        <f t="shared" si="16"/>
        <v>0</v>
      </c>
      <c r="AI29" s="254">
        <f t="shared" si="16"/>
        <v>0</v>
      </c>
      <c r="AJ29" s="255">
        <f t="shared" si="16"/>
        <v>0</v>
      </c>
      <c r="AK29" s="230">
        <f t="shared" si="16"/>
        <v>0</v>
      </c>
      <c r="AL29" s="254">
        <f t="shared" si="16"/>
        <v>0</v>
      </c>
      <c r="AM29" s="255">
        <f t="shared" si="16"/>
        <v>0</v>
      </c>
      <c r="AN29" s="230">
        <f t="shared" si="16"/>
        <v>0</v>
      </c>
      <c r="AO29" s="254">
        <f t="shared" si="16"/>
        <v>0</v>
      </c>
      <c r="AP29" s="255">
        <f t="shared" si="16"/>
        <v>0</v>
      </c>
      <c r="AQ29" s="230">
        <f t="shared" si="16"/>
        <v>0</v>
      </c>
      <c r="AR29" s="254">
        <f t="shared" si="16"/>
        <v>0</v>
      </c>
      <c r="AS29" s="255">
        <f t="shared" si="16"/>
        <v>0</v>
      </c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</row>
    <row r="30" ht="12.0" hidden="1" customHeight="1" outlineLevel="1">
      <c r="A30" s="8"/>
      <c r="B30" s="8"/>
      <c r="C30" s="270" t="s">
        <v>73</v>
      </c>
      <c r="D30" s="51"/>
      <c r="E30" s="52">
        <f t="shared" ref="E30:AS30" si="17">SUM(E18:E29)</f>
        <v>0</v>
      </c>
      <c r="F30" s="52">
        <f t="shared" si="17"/>
        <v>0</v>
      </c>
      <c r="G30" s="51">
        <f t="shared" si="17"/>
        <v>0</v>
      </c>
      <c r="H30" s="52">
        <f t="shared" si="17"/>
        <v>0</v>
      </c>
      <c r="I30" s="53">
        <f t="shared" si="17"/>
        <v>0</v>
      </c>
      <c r="J30" s="51">
        <f t="shared" si="17"/>
        <v>0</v>
      </c>
      <c r="K30" s="52">
        <f t="shared" si="17"/>
        <v>0</v>
      </c>
      <c r="L30" s="53">
        <f t="shared" si="17"/>
        <v>0</v>
      </c>
      <c r="M30" s="51">
        <f t="shared" si="17"/>
        <v>1</v>
      </c>
      <c r="N30" s="52">
        <f t="shared" si="17"/>
        <v>0</v>
      </c>
      <c r="O30" s="53">
        <f t="shared" si="17"/>
        <v>0</v>
      </c>
      <c r="P30" s="51">
        <f t="shared" si="17"/>
        <v>2</v>
      </c>
      <c r="Q30" s="52">
        <f t="shared" si="17"/>
        <v>0</v>
      </c>
      <c r="R30" s="53">
        <f t="shared" si="17"/>
        <v>1</v>
      </c>
      <c r="S30" s="51">
        <f t="shared" si="17"/>
        <v>0</v>
      </c>
      <c r="T30" s="52">
        <f t="shared" si="17"/>
        <v>0</v>
      </c>
      <c r="U30" s="53">
        <f t="shared" si="17"/>
        <v>0</v>
      </c>
      <c r="V30" s="51">
        <f t="shared" si="17"/>
        <v>1</v>
      </c>
      <c r="W30" s="52">
        <f t="shared" si="17"/>
        <v>0</v>
      </c>
      <c r="X30" s="53">
        <f t="shared" si="17"/>
        <v>0</v>
      </c>
      <c r="Y30" s="51">
        <f t="shared" si="17"/>
        <v>0</v>
      </c>
      <c r="Z30" s="52">
        <f t="shared" si="17"/>
        <v>0</v>
      </c>
      <c r="AA30" s="53">
        <f t="shared" si="17"/>
        <v>0</v>
      </c>
      <c r="AB30" s="51">
        <f t="shared" si="17"/>
        <v>2</v>
      </c>
      <c r="AC30" s="52">
        <f t="shared" si="17"/>
        <v>0</v>
      </c>
      <c r="AD30" s="53">
        <f t="shared" si="17"/>
        <v>0</v>
      </c>
      <c r="AE30" s="51">
        <f t="shared" si="17"/>
        <v>0</v>
      </c>
      <c r="AF30" s="52">
        <f t="shared" si="17"/>
        <v>0</v>
      </c>
      <c r="AG30" s="53">
        <f t="shared" si="17"/>
        <v>0</v>
      </c>
      <c r="AH30" s="51">
        <f t="shared" si="17"/>
        <v>2</v>
      </c>
      <c r="AI30" s="52">
        <f t="shared" si="17"/>
        <v>0</v>
      </c>
      <c r="AJ30" s="53">
        <f t="shared" si="17"/>
        <v>0</v>
      </c>
      <c r="AK30" s="51">
        <f t="shared" si="17"/>
        <v>0</v>
      </c>
      <c r="AL30" s="52">
        <f t="shared" si="17"/>
        <v>0</v>
      </c>
      <c r="AM30" s="53">
        <f t="shared" si="17"/>
        <v>0</v>
      </c>
      <c r="AN30" s="51">
        <f t="shared" si="17"/>
        <v>3</v>
      </c>
      <c r="AO30" s="52">
        <f t="shared" si="17"/>
        <v>0</v>
      </c>
      <c r="AP30" s="53">
        <f t="shared" si="17"/>
        <v>0</v>
      </c>
      <c r="AQ30" s="51">
        <f t="shared" si="17"/>
        <v>0</v>
      </c>
      <c r="AR30" s="52">
        <f t="shared" si="17"/>
        <v>0</v>
      </c>
      <c r="AS30" s="53">
        <f t="shared" si="17"/>
        <v>0</v>
      </c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</row>
    <row r="31" ht="12.0" hidden="1" customHeight="1" outlineLevel="1">
      <c r="A31" s="4"/>
      <c r="B31" s="4"/>
      <c r="C31" s="4"/>
      <c r="D31" s="64"/>
      <c r="E31" s="4"/>
      <c r="F31" s="4"/>
      <c r="G31" s="64"/>
      <c r="H31" s="4"/>
      <c r="I31" s="65"/>
      <c r="J31" s="64"/>
      <c r="K31" s="4"/>
      <c r="L31" s="65"/>
      <c r="M31" s="64"/>
      <c r="N31" s="4"/>
      <c r="O31" s="65"/>
      <c r="P31" s="64"/>
      <c r="Q31" s="4"/>
      <c r="R31" s="65"/>
      <c r="S31" s="64"/>
      <c r="T31" s="4"/>
      <c r="U31" s="65"/>
      <c r="V31" s="64"/>
      <c r="W31" s="4"/>
      <c r="X31" s="65"/>
      <c r="Y31" s="64"/>
      <c r="Z31" s="4"/>
      <c r="AA31" s="65"/>
      <c r="AB31" s="64"/>
      <c r="AC31" s="4"/>
      <c r="AD31" s="65"/>
      <c r="AE31" s="64"/>
      <c r="AF31" s="4"/>
      <c r="AG31" s="65"/>
      <c r="AH31" s="64"/>
      <c r="AI31" s="4"/>
      <c r="AJ31" s="65"/>
      <c r="AK31" s="64"/>
      <c r="AL31" s="4"/>
      <c r="AM31" s="65"/>
      <c r="AN31" s="64"/>
      <c r="AO31" s="4"/>
      <c r="AP31" s="65"/>
      <c r="AQ31" s="64"/>
      <c r="AR31" s="4"/>
      <c r="AS31" s="65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</row>
    <row r="32" ht="12.0" hidden="1" customHeight="1" outlineLevel="1">
      <c r="A32" s="4"/>
      <c r="B32" s="270" t="s">
        <v>20</v>
      </c>
      <c r="C32" s="4"/>
      <c r="D32" s="64"/>
      <c r="E32" s="4"/>
      <c r="F32" s="4"/>
      <c r="G32" s="64"/>
      <c r="H32" s="4"/>
      <c r="I32" s="65"/>
      <c r="J32" s="64"/>
      <c r="K32" s="4"/>
      <c r="L32" s="65"/>
      <c r="M32" s="64"/>
      <c r="N32" s="4"/>
      <c r="O32" s="65"/>
      <c r="P32" s="64"/>
      <c r="Q32" s="4"/>
      <c r="R32" s="65"/>
      <c r="S32" s="64"/>
      <c r="T32" s="4"/>
      <c r="U32" s="65"/>
      <c r="V32" s="64"/>
      <c r="W32" s="4"/>
      <c r="X32" s="65"/>
      <c r="Y32" s="64"/>
      <c r="Z32" s="4"/>
      <c r="AA32" s="65"/>
      <c r="AB32" s="64"/>
      <c r="AC32" s="4"/>
      <c r="AD32" s="65"/>
      <c r="AE32" s="64"/>
      <c r="AF32" s="4"/>
      <c r="AG32" s="65"/>
      <c r="AH32" s="64"/>
      <c r="AI32" s="4"/>
      <c r="AJ32" s="65"/>
      <c r="AK32" s="64"/>
      <c r="AL32" s="4"/>
      <c r="AM32" s="65"/>
      <c r="AN32" s="64"/>
      <c r="AO32" s="4"/>
      <c r="AP32" s="65"/>
      <c r="AQ32" s="64"/>
      <c r="AR32" s="4"/>
      <c r="AS32" s="65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</row>
    <row r="33" ht="12.0" hidden="1" customHeight="1" outlineLevel="1">
      <c r="A33" s="4"/>
      <c r="B33" s="8"/>
      <c r="C33" s="271" t="str">
        <f>Macro!B71</f>
        <v>CMO</v>
      </c>
      <c r="D33" s="64"/>
      <c r="E33" s="62">
        <f t="shared" ref="E33:AS33" si="18">E132-D132</f>
        <v>0</v>
      </c>
      <c r="F33" s="62">
        <f t="shared" si="18"/>
        <v>0</v>
      </c>
      <c r="G33" s="61">
        <f t="shared" si="18"/>
        <v>0</v>
      </c>
      <c r="H33" s="62">
        <f t="shared" si="18"/>
        <v>0</v>
      </c>
      <c r="I33" s="63">
        <f t="shared" si="18"/>
        <v>0</v>
      </c>
      <c r="J33" s="61">
        <f t="shared" si="18"/>
        <v>0</v>
      </c>
      <c r="K33" s="62">
        <f t="shared" si="18"/>
        <v>0</v>
      </c>
      <c r="L33" s="63">
        <f t="shared" si="18"/>
        <v>0</v>
      </c>
      <c r="M33" s="61">
        <f t="shared" si="18"/>
        <v>0</v>
      </c>
      <c r="N33" s="62">
        <f t="shared" si="18"/>
        <v>0</v>
      </c>
      <c r="O33" s="63">
        <f t="shared" si="18"/>
        <v>0</v>
      </c>
      <c r="P33" s="61">
        <f t="shared" si="18"/>
        <v>0</v>
      </c>
      <c r="Q33" s="62">
        <f t="shared" si="18"/>
        <v>0</v>
      </c>
      <c r="R33" s="63">
        <f t="shared" si="18"/>
        <v>0</v>
      </c>
      <c r="S33" s="61">
        <f t="shared" si="18"/>
        <v>0</v>
      </c>
      <c r="T33" s="62">
        <f t="shared" si="18"/>
        <v>0</v>
      </c>
      <c r="U33" s="63">
        <f t="shared" si="18"/>
        <v>0</v>
      </c>
      <c r="V33" s="61">
        <f t="shared" si="18"/>
        <v>0</v>
      </c>
      <c r="W33" s="62">
        <f t="shared" si="18"/>
        <v>0</v>
      </c>
      <c r="X33" s="63">
        <f t="shared" si="18"/>
        <v>0</v>
      </c>
      <c r="Y33" s="61">
        <f t="shared" si="18"/>
        <v>0</v>
      </c>
      <c r="Z33" s="62">
        <f t="shared" si="18"/>
        <v>0</v>
      </c>
      <c r="AA33" s="63">
        <f t="shared" si="18"/>
        <v>0</v>
      </c>
      <c r="AB33" s="61">
        <f t="shared" si="18"/>
        <v>0</v>
      </c>
      <c r="AC33" s="62">
        <f t="shared" si="18"/>
        <v>0</v>
      </c>
      <c r="AD33" s="63">
        <f t="shared" si="18"/>
        <v>0</v>
      </c>
      <c r="AE33" s="61">
        <f t="shared" si="18"/>
        <v>0</v>
      </c>
      <c r="AF33" s="62">
        <f t="shared" si="18"/>
        <v>0</v>
      </c>
      <c r="AG33" s="63">
        <f t="shared" si="18"/>
        <v>0</v>
      </c>
      <c r="AH33" s="61">
        <f t="shared" si="18"/>
        <v>1</v>
      </c>
      <c r="AI33" s="62">
        <f t="shared" si="18"/>
        <v>0</v>
      </c>
      <c r="AJ33" s="63">
        <f t="shared" si="18"/>
        <v>0</v>
      </c>
      <c r="AK33" s="61">
        <f t="shared" si="18"/>
        <v>0</v>
      </c>
      <c r="AL33" s="62">
        <f t="shared" si="18"/>
        <v>0</v>
      </c>
      <c r="AM33" s="63">
        <f t="shared" si="18"/>
        <v>0</v>
      </c>
      <c r="AN33" s="61">
        <f t="shared" si="18"/>
        <v>0</v>
      </c>
      <c r="AO33" s="62">
        <f t="shared" si="18"/>
        <v>0</v>
      </c>
      <c r="AP33" s="63">
        <f t="shared" si="18"/>
        <v>0</v>
      </c>
      <c r="AQ33" s="61">
        <f t="shared" si="18"/>
        <v>0</v>
      </c>
      <c r="AR33" s="62">
        <f t="shared" si="18"/>
        <v>0</v>
      </c>
      <c r="AS33" s="63">
        <f t="shared" si="18"/>
        <v>0</v>
      </c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</row>
    <row r="34" ht="12.0" hidden="1" customHeight="1" outlineLevel="1">
      <c r="A34" s="4"/>
      <c r="B34" s="8"/>
      <c r="C34" s="271" t="str">
        <f>Macro!B72</f>
        <v>Director of Demand</v>
      </c>
      <c r="D34" s="64"/>
      <c r="E34" s="62">
        <f t="shared" ref="E34:AS34" si="19">E133-D133</f>
        <v>0</v>
      </c>
      <c r="F34" s="62">
        <f t="shared" si="19"/>
        <v>0</v>
      </c>
      <c r="G34" s="61">
        <f t="shared" si="19"/>
        <v>0</v>
      </c>
      <c r="H34" s="62">
        <f t="shared" si="19"/>
        <v>0</v>
      </c>
      <c r="I34" s="63">
        <f t="shared" si="19"/>
        <v>0</v>
      </c>
      <c r="J34" s="61">
        <f t="shared" si="19"/>
        <v>0</v>
      </c>
      <c r="K34" s="62">
        <f t="shared" si="19"/>
        <v>0</v>
      </c>
      <c r="L34" s="63">
        <f t="shared" si="19"/>
        <v>0</v>
      </c>
      <c r="M34" s="61">
        <f t="shared" si="19"/>
        <v>-1</v>
      </c>
      <c r="N34" s="62">
        <f t="shared" si="19"/>
        <v>0</v>
      </c>
      <c r="O34" s="63">
        <f t="shared" si="19"/>
        <v>0</v>
      </c>
      <c r="P34" s="61">
        <f t="shared" si="19"/>
        <v>0</v>
      </c>
      <c r="Q34" s="62">
        <f t="shared" si="19"/>
        <v>0</v>
      </c>
      <c r="R34" s="63">
        <f t="shared" si="19"/>
        <v>0</v>
      </c>
      <c r="S34" s="61">
        <f t="shared" si="19"/>
        <v>0</v>
      </c>
      <c r="T34" s="62">
        <f t="shared" si="19"/>
        <v>0</v>
      </c>
      <c r="U34" s="63">
        <f t="shared" si="19"/>
        <v>0</v>
      </c>
      <c r="V34" s="61">
        <f t="shared" si="19"/>
        <v>0</v>
      </c>
      <c r="W34" s="62">
        <f t="shared" si="19"/>
        <v>0</v>
      </c>
      <c r="X34" s="63">
        <f t="shared" si="19"/>
        <v>0</v>
      </c>
      <c r="Y34" s="61">
        <f t="shared" si="19"/>
        <v>0</v>
      </c>
      <c r="Z34" s="62">
        <f t="shared" si="19"/>
        <v>0</v>
      </c>
      <c r="AA34" s="63">
        <f t="shared" si="19"/>
        <v>0</v>
      </c>
      <c r="AB34" s="61">
        <f t="shared" si="19"/>
        <v>0</v>
      </c>
      <c r="AC34" s="62">
        <f t="shared" si="19"/>
        <v>0</v>
      </c>
      <c r="AD34" s="63">
        <f t="shared" si="19"/>
        <v>0</v>
      </c>
      <c r="AE34" s="61">
        <f t="shared" si="19"/>
        <v>0</v>
      </c>
      <c r="AF34" s="62">
        <f t="shared" si="19"/>
        <v>0</v>
      </c>
      <c r="AG34" s="63">
        <f t="shared" si="19"/>
        <v>0</v>
      </c>
      <c r="AH34" s="61">
        <f t="shared" si="19"/>
        <v>0</v>
      </c>
      <c r="AI34" s="62">
        <f t="shared" si="19"/>
        <v>0</v>
      </c>
      <c r="AJ34" s="63">
        <f t="shared" si="19"/>
        <v>0</v>
      </c>
      <c r="AK34" s="61">
        <f t="shared" si="19"/>
        <v>0</v>
      </c>
      <c r="AL34" s="62">
        <f t="shared" si="19"/>
        <v>0</v>
      </c>
      <c r="AM34" s="63">
        <f t="shared" si="19"/>
        <v>0</v>
      </c>
      <c r="AN34" s="61">
        <f t="shared" si="19"/>
        <v>0</v>
      </c>
      <c r="AO34" s="62">
        <f t="shared" si="19"/>
        <v>0</v>
      </c>
      <c r="AP34" s="63">
        <f t="shared" si="19"/>
        <v>0</v>
      </c>
      <c r="AQ34" s="61">
        <f t="shared" si="19"/>
        <v>0</v>
      </c>
      <c r="AR34" s="62">
        <f t="shared" si="19"/>
        <v>0</v>
      </c>
      <c r="AS34" s="63">
        <f t="shared" si="19"/>
        <v>0</v>
      </c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</row>
    <row r="35" ht="12.0" hidden="1" customHeight="1" outlineLevel="1">
      <c r="A35" s="4"/>
      <c r="B35" s="8"/>
      <c r="C35" s="271" t="str">
        <f>Macro!B73</f>
        <v>SDR</v>
      </c>
      <c r="D35" s="64"/>
      <c r="E35" s="62">
        <f t="shared" ref="E35:AS35" si="20">E134-D134</f>
        <v>0</v>
      </c>
      <c r="F35" s="62">
        <f t="shared" si="20"/>
        <v>0</v>
      </c>
      <c r="G35" s="61">
        <f t="shared" si="20"/>
        <v>0</v>
      </c>
      <c r="H35" s="62">
        <f t="shared" si="20"/>
        <v>0</v>
      </c>
      <c r="I35" s="63">
        <f t="shared" si="20"/>
        <v>0</v>
      </c>
      <c r="J35" s="61">
        <f t="shared" si="20"/>
        <v>0</v>
      </c>
      <c r="K35" s="62">
        <f t="shared" si="20"/>
        <v>0</v>
      </c>
      <c r="L35" s="63">
        <f t="shared" si="20"/>
        <v>0</v>
      </c>
      <c r="M35" s="61">
        <f t="shared" si="20"/>
        <v>0</v>
      </c>
      <c r="N35" s="62">
        <f t="shared" si="20"/>
        <v>0</v>
      </c>
      <c r="O35" s="63">
        <f t="shared" si="20"/>
        <v>0</v>
      </c>
      <c r="P35" s="61">
        <f t="shared" si="20"/>
        <v>0</v>
      </c>
      <c r="Q35" s="62">
        <f t="shared" si="20"/>
        <v>0</v>
      </c>
      <c r="R35" s="63">
        <f t="shared" si="20"/>
        <v>0</v>
      </c>
      <c r="S35" s="61">
        <f t="shared" si="20"/>
        <v>0</v>
      </c>
      <c r="T35" s="62">
        <f t="shared" si="20"/>
        <v>0</v>
      </c>
      <c r="U35" s="63">
        <f t="shared" si="20"/>
        <v>0</v>
      </c>
      <c r="V35" s="61">
        <f t="shared" si="20"/>
        <v>0</v>
      </c>
      <c r="W35" s="62">
        <f t="shared" si="20"/>
        <v>0</v>
      </c>
      <c r="X35" s="63">
        <f t="shared" si="20"/>
        <v>0</v>
      </c>
      <c r="Y35" s="61">
        <f t="shared" si="20"/>
        <v>0</v>
      </c>
      <c r="Z35" s="62">
        <f t="shared" si="20"/>
        <v>0</v>
      </c>
      <c r="AA35" s="63">
        <f t="shared" si="20"/>
        <v>0</v>
      </c>
      <c r="AB35" s="61">
        <f t="shared" si="20"/>
        <v>0</v>
      </c>
      <c r="AC35" s="62">
        <f t="shared" si="20"/>
        <v>0</v>
      </c>
      <c r="AD35" s="63">
        <f t="shared" si="20"/>
        <v>0</v>
      </c>
      <c r="AE35" s="61">
        <f t="shared" si="20"/>
        <v>0</v>
      </c>
      <c r="AF35" s="62">
        <f t="shared" si="20"/>
        <v>0</v>
      </c>
      <c r="AG35" s="63">
        <f t="shared" si="20"/>
        <v>0</v>
      </c>
      <c r="AH35" s="61">
        <f t="shared" si="20"/>
        <v>0</v>
      </c>
      <c r="AI35" s="62">
        <f t="shared" si="20"/>
        <v>0</v>
      </c>
      <c r="AJ35" s="63">
        <f t="shared" si="20"/>
        <v>0</v>
      </c>
      <c r="AK35" s="61">
        <f t="shared" si="20"/>
        <v>0</v>
      </c>
      <c r="AL35" s="62">
        <f t="shared" si="20"/>
        <v>0</v>
      </c>
      <c r="AM35" s="63">
        <f t="shared" si="20"/>
        <v>0</v>
      </c>
      <c r="AN35" s="61">
        <f t="shared" si="20"/>
        <v>0</v>
      </c>
      <c r="AO35" s="62">
        <f t="shared" si="20"/>
        <v>0</v>
      </c>
      <c r="AP35" s="63">
        <f t="shared" si="20"/>
        <v>0</v>
      </c>
      <c r="AQ35" s="61">
        <f t="shared" si="20"/>
        <v>0</v>
      </c>
      <c r="AR35" s="62">
        <f t="shared" si="20"/>
        <v>0</v>
      </c>
      <c r="AS35" s="63">
        <f t="shared" si="20"/>
        <v>0</v>
      </c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</row>
    <row r="36" ht="12.0" hidden="1" customHeight="1" outlineLevel="1">
      <c r="A36" s="4"/>
      <c r="B36" s="8"/>
      <c r="C36" s="271" t="str">
        <f>Macro!B74</f>
        <v>Creative</v>
      </c>
      <c r="D36" s="64"/>
      <c r="E36" s="62">
        <f t="shared" ref="E36:AS36" si="21">E135-D135</f>
        <v>0</v>
      </c>
      <c r="F36" s="62">
        <f t="shared" si="21"/>
        <v>0</v>
      </c>
      <c r="G36" s="61">
        <f t="shared" si="21"/>
        <v>0</v>
      </c>
      <c r="H36" s="62">
        <f t="shared" si="21"/>
        <v>0</v>
      </c>
      <c r="I36" s="63">
        <f t="shared" si="21"/>
        <v>0</v>
      </c>
      <c r="J36" s="61">
        <f t="shared" si="21"/>
        <v>0</v>
      </c>
      <c r="K36" s="62">
        <f t="shared" si="21"/>
        <v>0</v>
      </c>
      <c r="L36" s="63">
        <f t="shared" si="21"/>
        <v>0</v>
      </c>
      <c r="M36" s="61">
        <f t="shared" si="21"/>
        <v>0</v>
      </c>
      <c r="N36" s="62">
        <f t="shared" si="21"/>
        <v>0</v>
      </c>
      <c r="O36" s="63">
        <f t="shared" si="21"/>
        <v>1</v>
      </c>
      <c r="P36" s="61">
        <f t="shared" si="21"/>
        <v>0</v>
      </c>
      <c r="Q36" s="62">
        <f t="shared" si="21"/>
        <v>0</v>
      </c>
      <c r="R36" s="63">
        <f t="shared" si="21"/>
        <v>0</v>
      </c>
      <c r="S36" s="61">
        <f t="shared" si="21"/>
        <v>0</v>
      </c>
      <c r="T36" s="62">
        <f t="shared" si="21"/>
        <v>0</v>
      </c>
      <c r="U36" s="63">
        <f t="shared" si="21"/>
        <v>0</v>
      </c>
      <c r="V36" s="61">
        <f t="shared" si="21"/>
        <v>0</v>
      </c>
      <c r="W36" s="62">
        <f t="shared" si="21"/>
        <v>0</v>
      </c>
      <c r="X36" s="63">
        <f t="shared" si="21"/>
        <v>0</v>
      </c>
      <c r="Y36" s="61">
        <f t="shared" si="21"/>
        <v>0</v>
      </c>
      <c r="Z36" s="62">
        <f t="shared" si="21"/>
        <v>0</v>
      </c>
      <c r="AA36" s="63">
        <f t="shared" si="21"/>
        <v>0</v>
      </c>
      <c r="AB36" s="61">
        <f t="shared" si="21"/>
        <v>0</v>
      </c>
      <c r="AC36" s="62">
        <f t="shared" si="21"/>
        <v>0</v>
      </c>
      <c r="AD36" s="63">
        <f t="shared" si="21"/>
        <v>0</v>
      </c>
      <c r="AE36" s="61">
        <f t="shared" si="21"/>
        <v>0</v>
      </c>
      <c r="AF36" s="62">
        <f t="shared" si="21"/>
        <v>0</v>
      </c>
      <c r="AG36" s="63">
        <f t="shared" si="21"/>
        <v>0</v>
      </c>
      <c r="AH36" s="61">
        <f t="shared" si="21"/>
        <v>0</v>
      </c>
      <c r="AI36" s="62">
        <f t="shared" si="21"/>
        <v>0</v>
      </c>
      <c r="AJ36" s="63">
        <f t="shared" si="21"/>
        <v>0</v>
      </c>
      <c r="AK36" s="61">
        <f t="shared" si="21"/>
        <v>0</v>
      </c>
      <c r="AL36" s="62">
        <f t="shared" si="21"/>
        <v>0</v>
      </c>
      <c r="AM36" s="63">
        <f t="shared" si="21"/>
        <v>0</v>
      </c>
      <c r="AN36" s="61">
        <f t="shared" si="21"/>
        <v>0</v>
      </c>
      <c r="AO36" s="62">
        <f t="shared" si="21"/>
        <v>0</v>
      </c>
      <c r="AP36" s="63">
        <f t="shared" si="21"/>
        <v>0</v>
      </c>
      <c r="AQ36" s="61">
        <f t="shared" si="21"/>
        <v>0</v>
      </c>
      <c r="AR36" s="62">
        <f t="shared" si="21"/>
        <v>0</v>
      </c>
      <c r="AS36" s="63">
        <f t="shared" si="21"/>
        <v>0</v>
      </c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</row>
    <row r="37" ht="12.0" hidden="1" customHeight="1" outlineLevel="1">
      <c r="A37" s="4"/>
      <c r="B37" s="8"/>
      <c r="C37" s="271" t="str">
        <f>Macro!B75</f>
        <v>PMM / VP Marketing</v>
      </c>
      <c r="D37" s="64"/>
      <c r="E37" s="62">
        <f t="shared" ref="E37:AS37" si="22">E136-D136</f>
        <v>0</v>
      </c>
      <c r="F37" s="62">
        <f t="shared" si="22"/>
        <v>0</v>
      </c>
      <c r="G37" s="61">
        <f t="shared" si="22"/>
        <v>0</v>
      </c>
      <c r="H37" s="62">
        <f t="shared" si="22"/>
        <v>0</v>
      </c>
      <c r="I37" s="63">
        <f t="shared" si="22"/>
        <v>0</v>
      </c>
      <c r="J37" s="61">
        <f t="shared" si="22"/>
        <v>0</v>
      </c>
      <c r="K37" s="62">
        <f t="shared" si="22"/>
        <v>0</v>
      </c>
      <c r="L37" s="63">
        <f t="shared" si="22"/>
        <v>1</v>
      </c>
      <c r="M37" s="61">
        <f t="shared" si="22"/>
        <v>0</v>
      </c>
      <c r="N37" s="62">
        <f t="shared" si="22"/>
        <v>0</v>
      </c>
      <c r="O37" s="63">
        <f t="shared" si="22"/>
        <v>0</v>
      </c>
      <c r="P37" s="61">
        <f t="shared" si="22"/>
        <v>0</v>
      </c>
      <c r="Q37" s="62">
        <f t="shared" si="22"/>
        <v>0</v>
      </c>
      <c r="R37" s="63">
        <f t="shared" si="22"/>
        <v>0</v>
      </c>
      <c r="S37" s="61">
        <f t="shared" si="22"/>
        <v>0</v>
      </c>
      <c r="T37" s="62">
        <f t="shared" si="22"/>
        <v>0</v>
      </c>
      <c r="U37" s="63">
        <f t="shared" si="22"/>
        <v>0</v>
      </c>
      <c r="V37" s="61">
        <f t="shared" si="22"/>
        <v>0</v>
      </c>
      <c r="W37" s="62">
        <f t="shared" si="22"/>
        <v>0</v>
      </c>
      <c r="X37" s="63">
        <f t="shared" si="22"/>
        <v>0</v>
      </c>
      <c r="Y37" s="61">
        <f t="shared" si="22"/>
        <v>0</v>
      </c>
      <c r="Z37" s="62">
        <f t="shared" si="22"/>
        <v>0</v>
      </c>
      <c r="AA37" s="63">
        <f t="shared" si="22"/>
        <v>0</v>
      </c>
      <c r="AB37" s="61">
        <f t="shared" si="22"/>
        <v>0</v>
      </c>
      <c r="AC37" s="62">
        <f t="shared" si="22"/>
        <v>0</v>
      </c>
      <c r="AD37" s="63">
        <f t="shared" si="22"/>
        <v>0</v>
      </c>
      <c r="AE37" s="61">
        <f t="shared" si="22"/>
        <v>0</v>
      </c>
      <c r="AF37" s="62">
        <f t="shared" si="22"/>
        <v>0</v>
      </c>
      <c r="AG37" s="63">
        <f t="shared" si="22"/>
        <v>0</v>
      </c>
      <c r="AH37" s="61">
        <f t="shared" si="22"/>
        <v>0</v>
      </c>
      <c r="AI37" s="62">
        <f t="shared" si="22"/>
        <v>0</v>
      </c>
      <c r="AJ37" s="63">
        <f t="shared" si="22"/>
        <v>0</v>
      </c>
      <c r="AK37" s="61">
        <f t="shared" si="22"/>
        <v>0</v>
      </c>
      <c r="AL37" s="62">
        <f t="shared" si="22"/>
        <v>0</v>
      </c>
      <c r="AM37" s="63">
        <f t="shared" si="22"/>
        <v>0</v>
      </c>
      <c r="AN37" s="61">
        <f t="shared" si="22"/>
        <v>0</v>
      </c>
      <c r="AO37" s="62">
        <f t="shared" si="22"/>
        <v>0</v>
      </c>
      <c r="AP37" s="63">
        <f t="shared" si="22"/>
        <v>0</v>
      </c>
      <c r="AQ37" s="61">
        <f t="shared" si="22"/>
        <v>0</v>
      </c>
      <c r="AR37" s="62">
        <f t="shared" si="22"/>
        <v>0</v>
      </c>
      <c r="AS37" s="63">
        <f t="shared" si="22"/>
        <v>0</v>
      </c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</row>
    <row r="38" ht="12.0" hidden="1" customHeight="1" outlineLevel="1">
      <c r="A38" s="4"/>
      <c r="B38" s="8"/>
      <c r="C38" s="271" t="str">
        <f>Macro!B76</f>
        <v>Field</v>
      </c>
      <c r="D38" s="64"/>
      <c r="E38" s="62">
        <f t="shared" ref="E38:AS38" si="23">E137-D137</f>
        <v>0</v>
      </c>
      <c r="F38" s="62">
        <f t="shared" si="23"/>
        <v>0</v>
      </c>
      <c r="G38" s="61">
        <f t="shared" si="23"/>
        <v>0</v>
      </c>
      <c r="H38" s="62">
        <f t="shared" si="23"/>
        <v>0</v>
      </c>
      <c r="I38" s="63">
        <f t="shared" si="23"/>
        <v>0</v>
      </c>
      <c r="J38" s="61">
        <f t="shared" si="23"/>
        <v>0</v>
      </c>
      <c r="K38" s="62">
        <f t="shared" si="23"/>
        <v>0</v>
      </c>
      <c r="L38" s="63">
        <f t="shared" si="23"/>
        <v>0</v>
      </c>
      <c r="M38" s="61">
        <f t="shared" si="23"/>
        <v>0</v>
      </c>
      <c r="N38" s="62">
        <f t="shared" si="23"/>
        <v>0</v>
      </c>
      <c r="O38" s="63">
        <f t="shared" si="23"/>
        <v>0</v>
      </c>
      <c r="P38" s="61">
        <f t="shared" si="23"/>
        <v>0</v>
      </c>
      <c r="Q38" s="62">
        <f t="shared" si="23"/>
        <v>0</v>
      </c>
      <c r="R38" s="63">
        <f t="shared" si="23"/>
        <v>0</v>
      </c>
      <c r="S38" s="61">
        <f t="shared" si="23"/>
        <v>0</v>
      </c>
      <c r="T38" s="62">
        <f t="shared" si="23"/>
        <v>0</v>
      </c>
      <c r="U38" s="63">
        <f t="shared" si="23"/>
        <v>0</v>
      </c>
      <c r="V38" s="61">
        <f t="shared" si="23"/>
        <v>0</v>
      </c>
      <c r="W38" s="62">
        <f t="shared" si="23"/>
        <v>0</v>
      </c>
      <c r="X38" s="63">
        <f t="shared" si="23"/>
        <v>0</v>
      </c>
      <c r="Y38" s="61">
        <f t="shared" si="23"/>
        <v>0</v>
      </c>
      <c r="Z38" s="62">
        <f t="shared" si="23"/>
        <v>1</v>
      </c>
      <c r="AA38" s="63">
        <f t="shared" si="23"/>
        <v>0</v>
      </c>
      <c r="AB38" s="61">
        <f t="shared" si="23"/>
        <v>0</v>
      </c>
      <c r="AC38" s="62">
        <f t="shared" si="23"/>
        <v>0</v>
      </c>
      <c r="AD38" s="63">
        <f t="shared" si="23"/>
        <v>0</v>
      </c>
      <c r="AE38" s="61">
        <f t="shared" si="23"/>
        <v>0</v>
      </c>
      <c r="AF38" s="62">
        <f t="shared" si="23"/>
        <v>0</v>
      </c>
      <c r="AG38" s="63">
        <f t="shared" si="23"/>
        <v>0</v>
      </c>
      <c r="AH38" s="61">
        <f t="shared" si="23"/>
        <v>0</v>
      </c>
      <c r="AI38" s="62">
        <f t="shared" si="23"/>
        <v>0</v>
      </c>
      <c r="AJ38" s="63">
        <f t="shared" si="23"/>
        <v>0</v>
      </c>
      <c r="AK38" s="61">
        <f t="shared" si="23"/>
        <v>0</v>
      </c>
      <c r="AL38" s="62">
        <f t="shared" si="23"/>
        <v>0</v>
      </c>
      <c r="AM38" s="63">
        <f t="shared" si="23"/>
        <v>0</v>
      </c>
      <c r="AN38" s="61">
        <f t="shared" si="23"/>
        <v>0</v>
      </c>
      <c r="AO38" s="62">
        <f t="shared" si="23"/>
        <v>0</v>
      </c>
      <c r="AP38" s="63">
        <f t="shared" si="23"/>
        <v>0</v>
      </c>
      <c r="AQ38" s="61">
        <f t="shared" si="23"/>
        <v>0</v>
      </c>
      <c r="AR38" s="62">
        <f t="shared" si="23"/>
        <v>0</v>
      </c>
      <c r="AS38" s="63">
        <f t="shared" si="23"/>
        <v>0</v>
      </c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</row>
    <row r="39" ht="12.0" hidden="1" customHeight="1" outlineLevel="1">
      <c r="A39" s="4"/>
      <c r="B39" s="8"/>
      <c r="C39" s="271" t="str">
        <f>Macro!B77</f>
        <v>[XX]</v>
      </c>
      <c r="D39" s="64"/>
      <c r="E39" s="62">
        <f t="shared" ref="E39:AS39" si="24">E138-D138</f>
        <v>0</v>
      </c>
      <c r="F39" s="62">
        <f t="shared" si="24"/>
        <v>0</v>
      </c>
      <c r="G39" s="61">
        <f t="shared" si="24"/>
        <v>0</v>
      </c>
      <c r="H39" s="62">
        <f t="shared" si="24"/>
        <v>0</v>
      </c>
      <c r="I39" s="63">
        <f t="shared" si="24"/>
        <v>0</v>
      </c>
      <c r="J39" s="61">
        <f t="shared" si="24"/>
        <v>0</v>
      </c>
      <c r="K39" s="62">
        <f t="shared" si="24"/>
        <v>0</v>
      </c>
      <c r="L39" s="63">
        <f t="shared" si="24"/>
        <v>0</v>
      </c>
      <c r="M39" s="61">
        <f t="shared" si="24"/>
        <v>0</v>
      </c>
      <c r="N39" s="62">
        <f t="shared" si="24"/>
        <v>0</v>
      </c>
      <c r="O39" s="63">
        <f t="shared" si="24"/>
        <v>0</v>
      </c>
      <c r="P39" s="61">
        <f t="shared" si="24"/>
        <v>0</v>
      </c>
      <c r="Q39" s="62">
        <f t="shared" si="24"/>
        <v>0</v>
      </c>
      <c r="R39" s="63">
        <f t="shared" si="24"/>
        <v>0</v>
      </c>
      <c r="S39" s="61">
        <f t="shared" si="24"/>
        <v>0</v>
      </c>
      <c r="T39" s="62">
        <f t="shared" si="24"/>
        <v>0</v>
      </c>
      <c r="U39" s="63">
        <f t="shared" si="24"/>
        <v>0</v>
      </c>
      <c r="V39" s="61">
        <f t="shared" si="24"/>
        <v>0</v>
      </c>
      <c r="W39" s="62">
        <f t="shared" si="24"/>
        <v>0</v>
      </c>
      <c r="X39" s="63">
        <f t="shared" si="24"/>
        <v>0</v>
      </c>
      <c r="Y39" s="61">
        <f t="shared" si="24"/>
        <v>0</v>
      </c>
      <c r="Z39" s="62">
        <f t="shared" si="24"/>
        <v>0</v>
      </c>
      <c r="AA39" s="63">
        <f t="shared" si="24"/>
        <v>0</v>
      </c>
      <c r="AB39" s="61">
        <f t="shared" si="24"/>
        <v>0</v>
      </c>
      <c r="AC39" s="62">
        <f t="shared" si="24"/>
        <v>0</v>
      </c>
      <c r="AD39" s="63">
        <f t="shared" si="24"/>
        <v>0</v>
      </c>
      <c r="AE39" s="61">
        <f t="shared" si="24"/>
        <v>0</v>
      </c>
      <c r="AF39" s="62">
        <f t="shared" si="24"/>
        <v>0</v>
      </c>
      <c r="AG39" s="63">
        <f t="shared" si="24"/>
        <v>0</v>
      </c>
      <c r="AH39" s="61">
        <f t="shared" si="24"/>
        <v>0</v>
      </c>
      <c r="AI39" s="62">
        <f t="shared" si="24"/>
        <v>0</v>
      </c>
      <c r="AJ39" s="63">
        <f t="shared" si="24"/>
        <v>0</v>
      </c>
      <c r="AK39" s="61">
        <f t="shared" si="24"/>
        <v>0</v>
      </c>
      <c r="AL39" s="62">
        <f t="shared" si="24"/>
        <v>0</v>
      </c>
      <c r="AM39" s="63">
        <f t="shared" si="24"/>
        <v>0</v>
      </c>
      <c r="AN39" s="61">
        <f t="shared" si="24"/>
        <v>0</v>
      </c>
      <c r="AO39" s="62">
        <f t="shared" si="24"/>
        <v>0</v>
      </c>
      <c r="AP39" s="63">
        <f t="shared" si="24"/>
        <v>0</v>
      </c>
      <c r="AQ39" s="61">
        <f t="shared" si="24"/>
        <v>0</v>
      </c>
      <c r="AR39" s="62">
        <f t="shared" si="24"/>
        <v>0</v>
      </c>
      <c r="AS39" s="63">
        <f t="shared" si="24"/>
        <v>0</v>
      </c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</row>
    <row r="40" ht="12.0" hidden="1" customHeight="1" outlineLevel="1">
      <c r="A40" s="4"/>
      <c r="B40" s="8"/>
      <c r="C40" s="271" t="str">
        <f>Macro!B78</f>
        <v>[XX]</v>
      </c>
      <c r="D40" s="64"/>
      <c r="E40" s="62">
        <f t="shared" ref="E40:AS40" si="25">E139-D139</f>
        <v>0</v>
      </c>
      <c r="F40" s="62">
        <f t="shared" si="25"/>
        <v>0</v>
      </c>
      <c r="G40" s="61">
        <f t="shared" si="25"/>
        <v>0</v>
      </c>
      <c r="H40" s="62">
        <f t="shared" si="25"/>
        <v>0</v>
      </c>
      <c r="I40" s="63">
        <f t="shared" si="25"/>
        <v>0</v>
      </c>
      <c r="J40" s="61">
        <f t="shared" si="25"/>
        <v>0</v>
      </c>
      <c r="K40" s="62">
        <f t="shared" si="25"/>
        <v>0</v>
      </c>
      <c r="L40" s="63">
        <f t="shared" si="25"/>
        <v>0</v>
      </c>
      <c r="M40" s="61">
        <f t="shared" si="25"/>
        <v>0</v>
      </c>
      <c r="N40" s="62">
        <f t="shared" si="25"/>
        <v>0</v>
      </c>
      <c r="O40" s="63">
        <f t="shared" si="25"/>
        <v>0</v>
      </c>
      <c r="P40" s="61">
        <f t="shared" si="25"/>
        <v>0</v>
      </c>
      <c r="Q40" s="62">
        <f t="shared" si="25"/>
        <v>0</v>
      </c>
      <c r="R40" s="63">
        <f t="shared" si="25"/>
        <v>0</v>
      </c>
      <c r="S40" s="61">
        <f t="shared" si="25"/>
        <v>0</v>
      </c>
      <c r="T40" s="62">
        <f t="shared" si="25"/>
        <v>0</v>
      </c>
      <c r="U40" s="63">
        <f t="shared" si="25"/>
        <v>0</v>
      </c>
      <c r="V40" s="61">
        <f t="shared" si="25"/>
        <v>0</v>
      </c>
      <c r="W40" s="62">
        <f t="shared" si="25"/>
        <v>0</v>
      </c>
      <c r="X40" s="63">
        <f t="shared" si="25"/>
        <v>0</v>
      </c>
      <c r="Y40" s="61">
        <f t="shared" si="25"/>
        <v>0</v>
      </c>
      <c r="Z40" s="62">
        <f t="shared" si="25"/>
        <v>0</v>
      </c>
      <c r="AA40" s="63">
        <f t="shared" si="25"/>
        <v>0</v>
      </c>
      <c r="AB40" s="61">
        <f t="shared" si="25"/>
        <v>0</v>
      </c>
      <c r="AC40" s="62">
        <f t="shared" si="25"/>
        <v>0</v>
      </c>
      <c r="AD40" s="63">
        <f t="shared" si="25"/>
        <v>0</v>
      </c>
      <c r="AE40" s="61">
        <f t="shared" si="25"/>
        <v>0</v>
      </c>
      <c r="AF40" s="62">
        <f t="shared" si="25"/>
        <v>0</v>
      </c>
      <c r="AG40" s="63">
        <f t="shared" si="25"/>
        <v>0</v>
      </c>
      <c r="AH40" s="61">
        <f t="shared" si="25"/>
        <v>0</v>
      </c>
      <c r="AI40" s="62">
        <f t="shared" si="25"/>
        <v>0</v>
      </c>
      <c r="AJ40" s="63">
        <f t="shared" si="25"/>
        <v>0</v>
      </c>
      <c r="AK40" s="61">
        <f t="shared" si="25"/>
        <v>0</v>
      </c>
      <c r="AL40" s="62">
        <f t="shared" si="25"/>
        <v>0</v>
      </c>
      <c r="AM40" s="63">
        <f t="shared" si="25"/>
        <v>0</v>
      </c>
      <c r="AN40" s="61">
        <f t="shared" si="25"/>
        <v>0</v>
      </c>
      <c r="AO40" s="62">
        <f t="shared" si="25"/>
        <v>0</v>
      </c>
      <c r="AP40" s="63">
        <f t="shared" si="25"/>
        <v>0</v>
      </c>
      <c r="AQ40" s="61">
        <f t="shared" si="25"/>
        <v>0</v>
      </c>
      <c r="AR40" s="62">
        <f t="shared" si="25"/>
        <v>0</v>
      </c>
      <c r="AS40" s="63">
        <f t="shared" si="25"/>
        <v>0</v>
      </c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</row>
    <row r="41" ht="12.0" hidden="1" customHeight="1" outlineLevel="1">
      <c r="A41" s="4"/>
      <c r="B41" s="8"/>
      <c r="C41" s="271" t="str">
        <f>Macro!B79</f>
        <v>[XX]</v>
      </c>
      <c r="D41" s="64"/>
      <c r="E41" s="62">
        <f t="shared" ref="E41:AS41" si="26">E140-D140</f>
        <v>0</v>
      </c>
      <c r="F41" s="62">
        <f t="shared" si="26"/>
        <v>0</v>
      </c>
      <c r="G41" s="61">
        <f t="shared" si="26"/>
        <v>0</v>
      </c>
      <c r="H41" s="62">
        <f t="shared" si="26"/>
        <v>0</v>
      </c>
      <c r="I41" s="63">
        <f t="shared" si="26"/>
        <v>0</v>
      </c>
      <c r="J41" s="61">
        <f t="shared" si="26"/>
        <v>0</v>
      </c>
      <c r="K41" s="62">
        <f t="shared" si="26"/>
        <v>0</v>
      </c>
      <c r="L41" s="63">
        <f t="shared" si="26"/>
        <v>0</v>
      </c>
      <c r="M41" s="61">
        <f t="shared" si="26"/>
        <v>0</v>
      </c>
      <c r="N41" s="62">
        <f t="shared" si="26"/>
        <v>0</v>
      </c>
      <c r="O41" s="63">
        <f t="shared" si="26"/>
        <v>0</v>
      </c>
      <c r="P41" s="61">
        <f t="shared" si="26"/>
        <v>0</v>
      </c>
      <c r="Q41" s="62">
        <f t="shared" si="26"/>
        <v>0</v>
      </c>
      <c r="R41" s="63">
        <f t="shared" si="26"/>
        <v>0</v>
      </c>
      <c r="S41" s="61">
        <f t="shared" si="26"/>
        <v>0</v>
      </c>
      <c r="T41" s="62">
        <f t="shared" si="26"/>
        <v>0</v>
      </c>
      <c r="U41" s="63">
        <f t="shared" si="26"/>
        <v>0</v>
      </c>
      <c r="V41" s="61">
        <f t="shared" si="26"/>
        <v>0</v>
      </c>
      <c r="W41" s="62">
        <f t="shared" si="26"/>
        <v>0</v>
      </c>
      <c r="X41" s="63">
        <f t="shared" si="26"/>
        <v>0</v>
      </c>
      <c r="Y41" s="61">
        <f t="shared" si="26"/>
        <v>0</v>
      </c>
      <c r="Z41" s="62">
        <f t="shared" si="26"/>
        <v>0</v>
      </c>
      <c r="AA41" s="63">
        <f t="shared" si="26"/>
        <v>0</v>
      </c>
      <c r="AB41" s="61">
        <f t="shared" si="26"/>
        <v>0</v>
      </c>
      <c r="AC41" s="62">
        <f t="shared" si="26"/>
        <v>0</v>
      </c>
      <c r="AD41" s="63">
        <f t="shared" si="26"/>
        <v>0</v>
      </c>
      <c r="AE41" s="61">
        <f t="shared" si="26"/>
        <v>0</v>
      </c>
      <c r="AF41" s="62">
        <f t="shared" si="26"/>
        <v>0</v>
      </c>
      <c r="AG41" s="63">
        <f t="shared" si="26"/>
        <v>0</v>
      </c>
      <c r="AH41" s="61">
        <f t="shared" si="26"/>
        <v>0</v>
      </c>
      <c r="AI41" s="62">
        <f t="shared" si="26"/>
        <v>0</v>
      </c>
      <c r="AJ41" s="63">
        <f t="shared" si="26"/>
        <v>0</v>
      </c>
      <c r="AK41" s="61">
        <f t="shared" si="26"/>
        <v>0</v>
      </c>
      <c r="AL41" s="62">
        <f t="shared" si="26"/>
        <v>0</v>
      </c>
      <c r="AM41" s="63">
        <f t="shared" si="26"/>
        <v>0</v>
      </c>
      <c r="AN41" s="61">
        <f t="shared" si="26"/>
        <v>0</v>
      </c>
      <c r="AO41" s="62">
        <f t="shared" si="26"/>
        <v>0</v>
      </c>
      <c r="AP41" s="63">
        <f t="shared" si="26"/>
        <v>0</v>
      </c>
      <c r="AQ41" s="61">
        <f t="shared" si="26"/>
        <v>0</v>
      </c>
      <c r="AR41" s="62">
        <f t="shared" si="26"/>
        <v>0</v>
      </c>
      <c r="AS41" s="63">
        <f t="shared" si="26"/>
        <v>0</v>
      </c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</row>
    <row r="42" ht="12.0" hidden="1" customHeight="1" outlineLevel="1">
      <c r="A42" s="4"/>
      <c r="B42" s="8"/>
      <c r="C42" s="271" t="str">
        <f>Macro!B80</f>
        <v>[XX]</v>
      </c>
      <c r="D42" s="64"/>
      <c r="E42" s="62">
        <f t="shared" ref="E42:AS42" si="27">E141-D141</f>
        <v>0</v>
      </c>
      <c r="F42" s="62">
        <f t="shared" si="27"/>
        <v>0</v>
      </c>
      <c r="G42" s="61">
        <f t="shared" si="27"/>
        <v>0</v>
      </c>
      <c r="H42" s="62">
        <f t="shared" si="27"/>
        <v>0</v>
      </c>
      <c r="I42" s="63">
        <f t="shared" si="27"/>
        <v>0</v>
      </c>
      <c r="J42" s="61">
        <f t="shared" si="27"/>
        <v>0</v>
      </c>
      <c r="K42" s="62">
        <f t="shared" si="27"/>
        <v>0</v>
      </c>
      <c r="L42" s="63">
        <f t="shared" si="27"/>
        <v>0</v>
      </c>
      <c r="M42" s="61">
        <f t="shared" si="27"/>
        <v>0</v>
      </c>
      <c r="N42" s="62">
        <f t="shared" si="27"/>
        <v>0</v>
      </c>
      <c r="O42" s="63">
        <f t="shared" si="27"/>
        <v>0</v>
      </c>
      <c r="P42" s="61">
        <f t="shared" si="27"/>
        <v>0</v>
      </c>
      <c r="Q42" s="62">
        <f t="shared" si="27"/>
        <v>0</v>
      </c>
      <c r="R42" s="63">
        <f t="shared" si="27"/>
        <v>0</v>
      </c>
      <c r="S42" s="61">
        <f t="shared" si="27"/>
        <v>0</v>
      </c>
      <c r="T42" s="62">
        <f t="shared" si="27"/>
        <v>0</v>
      </c>
      <c r="U42" s="63">
        <f t="shared" si="27"/>
        <v>0</v>
      </c>
      <c r="V42" s="61">
        <f t="shared" si="27"/>
        <v>0</v>
      </c>
      <c r="W42" s="62">
        <f t="shared" si="27"/>
        <v>0</v>
      </c>
      <c r="X42" s="63">
        <f t="shared" si="27"/>
        <v>0</v>
      </c>
      <c r="Y42" s="61">
        <f t="shared" si="27"/>
        <v>0</v>
      </c>
      <c r="Z42" s="62">
        <f t="shared" si="27"/>
        <v>0</v>
      </c>
      <c r="AA42" s="63">
        <f t="shared" si="27"/>
        <v>0</v>
      </c>
      <c r="AB42" s="61">
        <f t="shared" si="27"/>
        <v>0</v>
      </c>
      <c r="AC42" s="62">
        <f t="shared" si="27"/>
        <v>0</v>
      </c>
      <c r="AD42" s="63">
        <f t="shared" si="27"/>
        <v>0</v>
      </c>
      <c r="AE42" s="61">
        <f t="shared" si="27"/>
        <v>0</v>
      </c>
      <c r="AF42" s="62">
        <f t="shared" si="27"/>
        <v>0</v>
      </c>
      <c r="AG42" s="63">
        <f t="shared" si="27"/>
        <v>0</v>
      </c>
      <c r="AH42" s="61">
        <f t="shared" si="27"/>
        <v>0</v>
      </c>
      <c r="AI42" s="62">
        <f t="shared" si="27"/>
        <v>0</v>
      </c>
      <c r="AJ42" s="63">
        <f t="shared" si="27"/>
        <v>0</v>
      </c>
      <c r="AK42" s="61">
        <f t="shared" si="27"/>
        <v>0</v>
      </c>
      <c r="AL42" s="62">
        <f t="shared" si="27"/>
        <v>0</v>
      </c>
      <c r="AM42" s="63">
        <f t="shared" si="27"/>
        <v>0</v>
      </c>
      <c r="AN42" s="61">
        <f t="shared" si="27"/>
        <v>0</v>
      </c>
      <c r="AO42" s="62">
        <f t="shared" si="27"/>
        <v>0</v>
      </c>
      <c r="AP42" s="63">
        <f t="shared" si="27"/>
        <v>0</v>
      </c>
      <c r="AQ42" s="61">
        <f t="shared" si="27"/>
        <v>0</v>
      </c>
      <c r="AR42" s="62">
        <f t="shared" si="27"/>
        <v>0</v>
      </c>
      <c r="AS42" s="63">
        <f t="shared" si="27"/>
        <v>0</v>
      </c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</row>
    <row r="43" ht="12.0" hidden="1" customHeight="1" outlineLevel="1">
      <c r="A43" s="4"/>
      <c r="B43" s="8"/>
      <c r="C43" s="271" t="str">
        <f>Macro!B81</f>
        <v>[XX]</v>
      </c>
      <c r="D43" s="64"/>
      <c r="E43" s="62">
        <f t="shared" ref="E43:AS43" si="28">E142-D142</f>
        <v>0</v>
      </c>
      <c r="F43" s="62">
        <f t="shared" si="28"/>
        <v>0</v>
      </c>
      <c r="G43" s="61">
        <f t="shared" si="28"/>
        <v>0</v>
      </c>
      <c r="H43" s="62">
        <f t="shared" si="28"/>
        <v>0</v>
      </c>
      <c r="I43" s="63">
        <f t="shared" si="28"/>
        <v>0</v>
      </c>
      <c r="J43" s="61">
        <f t="shared" si="28"/>
        <v>0</v>
      </c>
      <c r="K43" s="62">
        <f t="shared" si="28"/>
        <v>0</v>
      </c>
      <c r="L43" s="63">
        <f t="shared" si="28"/>
        <v>0</v>
      </c>
      <c r="M43" s="61">
        <f t="shared" si="28"/>
        <v>0</v>
      </c>
      <c r="N43" s="62">
        <f t="shared" si="28"/>
        <v>0</v>
      </c>
      <c r="O43" s="63">
        <f t="shared" si="28"/>
        <v>0</v>
      </c>
      <c r="P43" s="61">
        <f t="shared" si="28"/>
        <v>0</v>
      </c>
      <c r="Q43" s="62">
        <f t="shared" si="28"/>
        <v>0</v>
      </c>
      <c r="R43" s="63">
        <f t="shared" si="28"/>
        <v>0</v>
      </c>
      <c r="S43" s="61">
        <f t="shared" si="28"/>
        <v>0</v>
      </c>
      <c r="T43" s="62">
        <f t="shared" si="28"/>
        <v>0</v>
      </c>
      <c r="U43" s="63">
        <f t="shared" si="28"/>
        <v>0</v>
      </c>
      <c r="V43" s="61">
        <f t="shared" si="28"/>
        <v>0</v>
      </c>
      <c r="W43" s="62">
        <f t="shared" si="28"/>
        <v>0</v>
      </c>
      <c r="X43" s="63">
        <f t="shared" si="28"/>
        <v>0</v>
      </c>
      <c r="Y43" s="61">
        <f t="shared" si="28"/>
        <v>0</v>
      </c>
      <c r="Z43" s="62">
        <f t="shared" si="28"/>
        <v>0</v>
      </c>
      <c r="AA43" s="63">
        <f t="shared" si="28"/>
        <v>0</v>
      </c>
      <c r="AB43" s="61">
        <f t="shared" si="28"/>
        <v>0</v>
      </c>
      <c r="AC43" s="62">
        <f t="shared" si="28"/>
        <v>0</v>
      </c>
      <c r="AD43" s="63">
        <f t="shared" si="28"/>
        <v>0</v>
      </c>
      <c r="AE43" s="61">
        <f t="shared" si="28"/>
        <v>0</v>
      </c>
      <c r="AF43" s="62">
        <f t="shared" si="28"/>
        <v>0</v>
      </c>
      <c r="AG43" s="63">
        <f t="shared" si="28"/>
        <v>0</v>
      </c>
      <c r="AH43" s="61">
        <f t="shared" si="28"/>
        <v>0</v>
      </c>
      <c r="AI43" s="62">
        <f t="shared" si="28"/>
        <v>0</v>
      </c>
      <c r="AJ43" s="63">
        <f t="shared" si="28"/>
        <v>0</v>
      </c>
      <c r="AK43" s="61">
        <f t="shared" si="28"/>
        <v>0</v>
      </c>
      <c r="AL43" s="62">
        <f t="shared" si="28"/>
        <v>0</v>
      </c>
      <c r="AM43" s="63">
        <f t="shared" si="28"/>
        <v>0</v>
      </c>
      <c r="AN43" s="61">
        <f t="shared" si="28"/>
        <v>0</v>
      </c>
      <c r="AO43" s="62">
        <f t="shared" si="28"/>
        <v>0</v>
      </c>
      <c r="AP43" s="63">
        <f t="shared" si="28"/>
        <v>0</v>
      </c>
      <c r="AQ43" s="61">
        <f t="shared" si="28"/>
        <v>0</v>
      </c>
      <c r="AR43" s="62">
        <f t="shared" si="28"/>
        <v>0</v>
      </c>
      <c r="AS43" s="63">
        <f t="shared" si="28"/>
        <v>0</v>
      </c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</row>
    <row r="44" ht="12.0" hidden="1" customHeight="1" outlineLevel="1">
      <c r="A44" s="4"/>
      <c r="B44" s="4"/>
      <c r="C44" s="272" t="str">
        <f>Macro!B82</f>
        <v>[XX]</v>
      </c>
      <c r="D44" s="239"/>
      <c r="E44" s="254">
        <f t="shared" ref="E44:AS44" si="29">E143-D143</f>
        <v>0</v>
      </c>
      <c r="F44" s="254">
        <f t="shared" si="29"/>
        <v>0</v>
      </c>
      <c r="G44" s="230">
        <f t="shared" si="29"/>
        <v>0</v>
      </c>
      <c r="H44" s="254">
        <f t="shared" si="29"/>
        <v>0</v>
      </c>
      <c r="I44" s="255">
        <f t="shared" si="29"/>
        <v>0</v>
      </c>
      <c r="J44" s="230">
        <f t="shared" si="29"/>
        <v>0</v>
      </c>
      <c r="K44" s="254">
        <f t="shared" si="29"/>
        <v>0</v>
      </c>
      <c r="L44" s="255">
        <f t="shared" si="29"/>
        <v>0</v>
      </c>
      <c r="M44" s="230">
        <f t="shared" si="29"/>
        <v>0</v>
      </c>
      <c r="N44" s="254">
        <f t="shared" si="29"/>
        <v>0</v>
      </c>
      <c r="O44" s="255">
        <f t="shared" si="29"/>
        <v>0</v>
      </c>
      <c r="P44" s="230">
        <f t="shared" si="29"/>
        <v>0</v>
      </c>
      <c r="Q44" s="254">
        <f t="shared" si="29"/>
        <v>0</v>
      </c>
      <c r="R44" s="255">
        <f t="shared" si="29"/>
        <v>0</v>
      </c>
      <c r="S44" s="230">
        <f t="shared" si="29"/>
        <v>0</v>
      </c>
      <c r="T44" s="254">
        <f t="shared" si="29"/>
        <v>0</v>
      </c>
      <c r="U44" s="255">
        <f t="shared" si="29"/>
        <v>0</v>
      </c>
      <c r="V44" s="230">
        <f t="shared" si="29"/>
        <v>0</v>
      </c>
      <c r="W44" s="254">
        <f t="shared" si="29"/>
        <v>0</v>
      </c>
      <c r="X44" s="255">
        <f t="shared" si="29"/>
        <v>0</v>
      </c>
      <c r="Y44" s="230">
        <f t="shared" si="29"/>
        <v>0</v>
      </c>
      <c r="Z44" s="254">
        <f t="shared" si="29"/>
        <v>0</v>
      </c>
      <c r="AA44" s="255">
        <f t="shared" si="29"/>
        <v>0</v>
      </c>
      <c r="AB44" s="230">
        <f t="shared" si="29"/>
        <v>0</v>
      </c>
      <c r="AC44" s="254">
        <f t="shared" si="29"/>
        <v>0</v>
      </c>
      <c r="AD44" s="255">
        <f t="shared" si="29"/>
        <v>0</v>
      </c>
      <c r="AE44" s="230">
        <f t="shared" si="29"/>
        <v>0</v>
      </c>
      <c r="AF44" s="254">
        <f t="shared" si="29"/>
        <v>0</v>
      </c>
      <c r="AG44" s="255">
        <f t="shared" si="29"/>
        <v>0</v>
      </c>
      <c r="AH44" s="230">
        <f t="shared" si="29"/>
        <v>0</v>
      </c>
      <c r="AI44" s="254">
        <f t="shared" si="29"/>
        <v>0</v>
      </c>
      <c r="AJ44" s="255">
        <f t="shared" si="29"/>
        <v>0</v>
      </c>
      <c r="AK44" s="230">
        <f t="shared" si="29"/>
        <v>0</v>
      </c>
      <c r="AL44" s="254">
        <f t="shared" si="29"/>
        <v>0</v>
      </c>
      <c r="AM44" s="255">
        <f t="shared" si="29"/>
        <v>0</v>
      </c>
      <c r="AN44" s="230">
        <f t="shared" si="29"/>
        <v>0</v>
      </c>
      <c r="AO44" s="254">
        <f t="shared" si="29"/>
        <v>0</v>
      </c>
      <c r="AP44" s="255">
        <f t="shared" si="29"/>
        <v>0</v>
      </c>
      <c r="AQ44" s="230">
        <f t="shared" si="29"/>
        <v>0</v>
      </c>
      <c r="AR44" s="254">
        <f t="shared" si="29"/>
        <v>0</v>
      </c>
      <c r="AS44" s="255">
        <f t="shared" si="29"/>
        <v>0</v>
      </c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</row>
    <row r="45" ht="12.0" hidden="1" customHeight="1" outlineLevel="1">
      <c r="A45" s="8"/>
      <c r="B45" s="8"/>
      <c r="C45" s="270" t="s">
        <v>73</v>
      </c>
      <c r="D45" s="51"/>
      <c r="E45" s="52">
        <f t="shared" ref="E45:AS45" si="30">SUM(E33:E44)</f>
        <v>0</v>
      </c>
      <c r="F45" s="52">
        <f t="shared" si="30"/>
        <v>0</v>
      </c>
      <c r="G45" s="51">
        <f t="shared" si="30"/>
        <v>0</v>
      </c>
      <c r="H45" s="52">
        <f t="shared" si="30"/>
        <v>0</v>
      </c>
      <c r="I45" s="53">
        <f t="shared" si="30"/>
        <v>0</v>
      </c>
      <c r="J45" s="51">
        <f t="shared" si="30"/>
        <v>0</v>
      </c>
      <c r="K45" s="52">
        <f t="shared" si="30"/>
        <v>0</v>
      </c>
      <c r="L45" s="53">
        <f t="shared" si="30"/>
        <v>1</v>
      </c>
      <c r="M45" s="51">
        <f t="shared" si="30"/>
        <v>-1</v>
      </c>
      <c r="N45" s="52">
        <f t="shared" si="30"/>
        <v>0</v>
      </c>
      <c r="O45" s="53">
        <f t="shared" si="30"/>
        <v>1</v>
      </c>
      <c r="P45" s="51">
        <f t="shared" si="30"/>
        <v>0</v>
      </c>
      <c r="Q45" s="52">
        <f t="shared" si="30"/>
        <v>0</v>
      </c>
      <c r="R45" s="53">
        <f t="shared" si="30"/>
        <v>0</v>
      </c>
      <c r="S45" s="51">
        <f t="shared" si="30"/>
        <v>0</v>
      </c>
      <c r="T45" s="52">
        <f t="shared" si="30"/>
        <v>0</v>
      </c>
      <c r="U45" s="53">
        <f t="shared" si="30"/>
        <v>0</v>
      </c>
      <c r="V45" s="51">
        <f t="shared" si="30"/>
        <v>0</v>
      </c>
      <c r="W45" s="52">
        <f t="shared" si="30"/>
        <v>0</v>
      </c>
      <c r="X45" s="53">
        <f t="shared" si="30"/>
        <v>0</v>
      </c>
      <c r="Y45" s="51">
        <f t="shared" si="30"/>
        <v>0</v>
      </c>
      <c r="Z45" s="52">
        <f t="shared" si="30"/>
        <v>1</v>
      </c>
      <c r="AA45" s="53">
        <f t="shared" si="30"/>
        <v>0</v>
      </c>
      <c r="AB45" s="51">
        <f t="shared" si="30"/>
        <v>0</v>
      </c>
      <c r="AC45" s="52">
        <f t="shared" si="30"/>
        <v>0</v>
      </c>
      <c r="AD45" s="53">
        <f t="shared" si="30"/>
        <v>0</v>
      </c>
      <c r="AE45" s="51">
        <f t="shared" si="30"/>
        <v>0</v>
      </c>
      <c r="AF45" s="52">
        <f t="shared" si="30"/>
        <v>0</v>
      </c>
      <c r="AG45" s="53">
        <f t="shared" si="30"/>
        <v>0</v>
      </c>
      <c r="AH45" s="51">
        <f t="shared" si="30"/>
        <v>1</v>
      </c>
      <c r="AI45" s="52">
        <f t="shared" si="30"/>
        <v>0</v>
      </c>
      <c r="AJ45" s="53">
        <f t="shared" si="30"/>
        <v>0</v>
      </c>
      <c r="AK45" s="51">
        <f t="shared" si="30"/>
        <v>0</v>
      </c>
      <c r="AL45" s="52">
        <f t="shared" si="30"/>
        <v>0</v>
      </c>
      <c r="AM45" s="53">
        <f t="shared" si="30"/>
        <v>0</v>
      </c>
      <c r="AN45" s="51">
        <f t="shared" si="30"/>
        <v>0</v>
      </c>
      <c r="AO45" s="52">
        <f t="shared" si="30"/>
        <v>0</v>
      </c>
      <c r="AP45" s="53">
        <f t="shared" si="30"/>
        <v>0</v>
      </c>
      <c r="AQ45" s="51">
        <f t="shared" si="30"/>
        <v>0</v>
      </c>
      <c r="AR45" s="52">
        <f t="shared" si="30"/>
        <v>0</v>
      </c>
      <c r="AS45" s="53">
        <f t="shared" si="30"/>
        <v>0</v>
      </c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</row>
    <row r="46" ht="12.0" hidden="1" customHeight="1" outlineLevel="1">
      <c r="A46" s="8"/>
      <c r="B46" s="8"/>
      <c r="C46" s="8"/>
      <c r="D46" s="51"/>
      <c r="E46" s="52"/>
      <c r="F46" s="52"/>
      <c r="G46" s="51"/>
      <c r="H46" s="52"/>
      <c r="I46" s="53"/>
      <c r="J46" s="51"/>
      <c r="K46" s="52"/>
      <c r="L46" s="53"/>
      <c r="M46" s="51"/>
      <c r="N46" s="52"/>
      <c r="O46" s="53"/>
      <c r="P46" s="51"/>
      <c r="Q46" s="52"/>
      <c r="R46" s="53"/>
      <c r="S46" s="51"/>
      <c r="T46" s="52"/>
      <c r="U46" s="53"/>
      <c r="V46" s="51"/>
      <c r="W46" s="52"/>
      <c r="X46" s="53"/>
      <c r="Y46" s="51"/>
      <c r="Z46" s="52"/>
      <c r="AA46" s="53"/>
      <c r="AB46" s="51"/>
      <c r="AC46" s="52"/>
      <c r="AD46" s="53"/>
      <c r="AE46" s="51"/>
      <c r="AF46" s="52"/>
      <c r="AG46" s="53"/>
      <c r="AH46" s="51"/>
      <c r="AI46" s="52"/>
      <c r="AJ46" s="53"/>
      <c r="AK46" s="51"/>
      <c r="AL46" s="52"/>
      <c r="AM46" s="53"/>
      <c r="AN46" s="51"/>
      <c r="AO46" s="52"/>
      <c r="AP46" s="53"/>
      <c r="AQ46" s="51"/>
      <c r="AR46" s="52"/>
      <c r="AS46" s="53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</row>
    <row r="47" ht="12.0" hidden="1" customHeight="1" outlineLevel="1">
      <c r="A47" s="8"/>
      <c r="B47" s="270" t="s">
        <v>221</v>
      </c>
      <c r="C47" s="8"/>
      <c r="D47" s="51"/>
      <c r="E47" s="52"/>
      <c r="F47" s="52"/>
      <c r="G47" s="51"/>
      <c r="H47" s="52"/>
      <c r="I47" s="53"/>
      <c r="J47" s="51"/>
      <c r="K47" s="52"/>
      <c r="L47" s="53"/>
      <c r="M47" s="51"/>
      <c r="N47" s="52"/>
      <c r="O47" s="53"/>
      <c r="P47" s="51"/>
      <c r="Q47" s="52"/>
      <c r="R47" s="53"/>
      <c r="S47" s="51"/>
      <c r="T47" s="52"/>
      <c r="U47" s="53"/>
      <c r="V47" s="51"/>
      <c r="W47" s="52"/>
      <c r="X47" s="53"/>
      <c r="Y47" s="51"/>
      <c r="Z47" s="52"/>
      <c r="AA47" s="53"/>
      <c r="AB47" s="51"/>
      <c r="AC47" s="52"/>
      <c r="AD47" s="53"/>
      <c r="AE47" s="51"/>
      <c r="AF47" s="52"/>
      <c r="AG47" s="53"/>
      <c r="AH47" s="51"/>
      <c r="AI47" s="52"/>
      <c r="AJ47" s="53"/>
      <c r="AK47" s="51"/>
      <c r="AL47" s="52"/>
      <c r="AM47" s="53"/>
      <c r="AN47" s="51"/>
      <c r="AO47" s="52"/>
      <c r="AP47" s="53"/>
      <c r="AQ47" s="51"/>
      <c r="AR47" s="52"/>
      <c r="AS47" s="53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</row>
    <row r="48" ht="12.0" hidden="1" customHeight="1" outlineLevel="1">
      <c r="A48" s="8"/>
      <c r="B48" s="8"/>
      <c r="C48" s="271" t="str">
        <f>Macro!B85</f>
        <v>Chief Architect</v>
      </c>
      <c r="D48" s="51"/>
      <c r="E48" s="62">
        <f t="shared" ref="E48:AS48" si="31">E147-D147</f>
        <v>0</v>
      </c>
      <c r="F48" s="62">
        <f t="shared" si="31"/>
        <v>0</v>
      </c>
      <c r="G48" s="61">
        <f t="shared" si="31"/>
        <v>0</v>
      </c>
      <c r="H48" s="62">
        <f t="shared" si="31"/>
        <v>0</v>
      </c>
      <c r="I48" s="63">
        <f t="shared" si="31"/>
        <v>0</v>
      </c>
      <c r="J48" s="61">
        <f t="shared" si="31"/>
        <v>0</v>
      </c>
      <c r="K48" s="62">
        <f t="shared" si="31"/>
        <v>0</v>
      </c>
      <c r="L48" s="63">
        <f t="shared" si="31"/>
        <v>0</v>
      </c>
      <c r="M48" s="61">
        <f t="shared" si="31"/>
        <v>0</v>
      </c>
      <c r="N48" s="62">
        <f t="shared" si="31"/>
        <v>0</v>
      </c>
      <c r="O48" s="63">
        <f t="shared" si="31"/>
        <v>0</v>
      </c>
      <c r="P48" s="61">
        <f t="shared" si="31"/>
        <v>0</v>
      </c>
      <c r="Q48" s="62">
        <f t="shared" si="31"/>
        <v>0</v>
      </c>
      <c r="R48" s="63">
        <f t="shared" si="31"/>
        <v>0</v>
      </c>
      <c r="S48" s="61">
        <f t="shared" si="31"/>
        <v>0</v>
      </c>
      <c r="T48" s="62">
        <f t="shared" si="31"/>
        <v>0</v>
      </c>
      <c r="U48" s="63">
        <f t="shared" si="31"/>
        <v>0</v>
      </c>
      <c r="V48" s="61">
        <f t="shared" si="31"/>
        <v>0</v>
      </c>
      <c r="W48" s="62">
        <f t="shared" si="31"/>
        <v>0</v>
      </c>
      <c r="X48" s="63">
        <f t="shared" si="31"/>
        <v>0</v>
      </c>
      <c r="Y48" s="61">
        <f t="shared" si="31"/>
        <v>0</v>
      </c>
      <c r="Z48" s="62">
        <f t="shared" si="31"/>
        <v>0</v>
      </c>
      <c r="AA48" s="63">
        <f t="shared" si="31"/>
        <v>0</v>
      </c>
      <c r="AB48" s="61">
        <f t="shared" si="31"/>
        <v>0</v>
      </c>
      <c r="AC48" s="62">
        <f t="shared" si="31"/>
        <v>0</v>
      </c>
      <c r="AD48" s="63">
        <f t="shared" si="31"/>
        <v>0</v>
      </c>
      <c r="AE48" s="61">
        <f t="shared" si="31"/>
        <v>0</v>
      </c>
      <c r="AF48" s="62">
        <f t="shared" si="31"/>
        <v>0</v>
      </c>
      <c r="AG48" s="63">
        <f t="shared" si="31"/>
        <v>0</v>
      </c>
      <c r="AH48" s="61">
        <f t="shared" si="31"/>
        <v>0</v>
      </c>
      <c r="AI48" s="62">
        <f t="shared" si="31"/>
        <v>0</v>
      </c>
      <c r="AJ48" s="63">
        <f t="shared" si="31"/>
        <v>0</v>
      </c>
      <c r="AK48" s="61">
        <f t="shared" si="31"/>
        <v>0</v>
      </c>
      <c r="AL48" s="62">
        <f t="shared" si="31"/>
        <v>0</v>
      </c>
      <c r="AM48" s="63">
        <f t="shared" si="31"/>
        <v>0</v>
      </c>
      <c r="AN48" s="61">
        <f t="shared" si="31"/>
        <v>0</v>
      </c>
      <c r="AO48" s="62">
        <f t="shared" si="31"/>
        <v>0</v>
      </c>
      <c r="AP48" s="63">
        <f t="shared" si="31"/>
        <v>0</v>
      </c>
      <c r="AQ48" s="61">
        <f t="shared" si="31"/>
        <v>0</v>
      </c>
      <c r="AR48" s="62">
        <f t="shared" si="31"/>
        <v>0</v>
      </c>
      <c r="AS48" s="63">
        <f t="shared" si="31"/>
        <v>0</v>
      </c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</row>
    <row r="49" ht="12.0" hidden="1" customHeight="1" outlineLevel="1">
      <c r="A49" s="8"/>
      <c r="B49" s="8"/>
      <c r="C49" s="271" t="str">
        <f>Macro!B86</f>
        <v>VP Engineering</v>
      </c>
      <c r="D49" s="51"/>
      <c r="E49" s="62">
        <f t="shared" ref="E49:AS49" si="32">E148-D148</f>
        <v>0</v>
      </c>
      <c r="F49" s="62">
        <f t="shared" si="32"/>
        <v>0</v>
      </c>
      <c r="G49" s="61">
        <f t="shared" si="32"/>
        <v>0</v>
      </c>
      <c r="H49" s="62">
        <f t="shared" si="32"/>
        <v>0</v>
      </c>
      <c r="I49" s="63">
        <f t="shared" si="32"/>
        <v>0</v>
      </c>
      <c r="J49" s="61">
        <f t="shared" si="32"/>
        <v>0</v>
      </c>
      <c r="K49" s="62">
        <f t="shared" si="32"/>
        <v>0</v>
      </c>
      <c r="L49" s="63">
        <f t="shared" si="32"/>
        <v>0</v>
      </c>
      <c r="M49" s="61">
        <f t="shared" si="32"/>
        <v>0</v>
      </c>
      <c r="N49" s="62">
        <f t="shared" si="32"/>
        <v>0</v>
      </c>
      <c r="O49" s="63">
        <f t="shared" si="32"/>
        <v>0</v>
      </c>
      <c r="P49" s="61">
        <f t="shared" si="32"/>
        <v>0</v>
      </c>
      <c r="Q49" s="62">
        <f t="shared" si="32"/>
        <v>0</v>
      </c>
      <c r="R49" s="63">
        <f t="shared" si="32"/>
        <v>0</v>
      </c>
      <c r="S49" s="61">
        <f t="shared" si="32"/>
        <v>0</v>
      </c>
      <c r="T49" s="62">
        <f t="shared" si="32"/>
        <v>0</v>
      </c>
      <c r="U49" s="63">
        <f t="shared" si="32"/>
        <v>0</v>
      </c>
      <c r="V49" s="61">
        <f t="shared" si="32"/>
        <v>0</v>
      </c>
      <c r="W49" s="62">
        <f t="shared" si="32"/>
        <v>0</v>
      </c>
      <c r="X49" s="63">
        <f t="shared" si="32"/>
        <v>0</v>
      </c>
      <c r="Y49" s="61">
        <f t="shared" si="32"/>
        <v>0</v>
      </c>
      <c r="Z49" s="62">
        <f t="shared" si="32"/>
        <v>0</v>
      </c>
      <c r="AA49" s="63">
        <f t="shared" si="32"/>
        <v>0</v>
      </c>
      <c r="AB49" s="61">
        <f t="shared" si="32"/>
        <v>0</v>
      </c>
      <c r="AC49" s="62">
        <f t="shared" si="32"/>
        <v>0</v>
      </c>
      <c r="AD49" s="63">
        <f t="shared" si="32"/>
        <v>0</v>
      </c>
      <c r="AE49" s="61">
        <f t="shared" si="32"/>
        <v>0</v>
      </c>
      <c r="AF49" s="62">
        <f t="shared" si="32"/>
        <v>0</v>
      </c>
      <c r="AG49" s="63">
        <f t="shared" si="32"/>
        <v>0</v>
      </c>
      <c r="AH49" s="61">
        <f t="shared" si="32"/>
        <v>0</v>
      </c>
      <c r="AI49" s="62">
        <f t="shared" si="32"/>
        <v>0</v>
      </c>
      <c r="AJ49" s="63">
        <f t="shared" si="32"/>
        <v>0</v>
      </c>
      <c r="AK49" s="61">
        <f t="shared" si="32"/>
        <v>0</v>
      </c>
      <c r="AL49" s="62">
        <f t="shared" si="32"/>
        <v>0</v>
      </c>
      <c r="AM49" s="63">
        <f t="shared" si="32"/>
        <v>0</v>
      </c>
      <c r="AN49" s="61">
        <f t="shared" si="32"/>
        <v>0</v>
      </c>
      <c r="AO49" s="62">
        <f t="shared" si="32"/>
        <v>0</v>
      </c>
      <c r="AP49" s="63">
        <f t="shared" si="32"/>
        <v>0</v>
      </c>
      <c r="AQ49" s="61">
        <f t="shared" si="32"/>
        <v>0</v>
      </c>
      <c r="AR49" s="62">
        <f t="shared" si="32"/>
        <v>0</v>
      </c>
      <c r="AS49" s="63">
        <f t="shared" si="32"/>
        <v>0</v>
      </c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</row>
    <row r="50" ht="12.0" hidden="1" customHeight="1" outlineLevel="1">
      <c r="A50" s="8"/>
      <c r="B50" s="8"/>
      <c r="C50" s="271" t="str">
        <f>Macro!B87</f>
        <v>Founding Frontend Engineer</v>
      </c>
      <c r="D50" s="51"/>
      <c r="E50" s="62">
        <f t="shared" ref="E50:AS50" si="33">E149-D149</f>
        <v>0</v>
      </c>
      <c r="F50" s="62">
        <f t="shared" si="33"/>
        <v>0</v>
      </c>
      <c r="G50" s="61">
        <f t="shared" si="33"/>
        <v>0</v>
      </c>
      <c r="H50" s="62">
        <f t="shared" si="33"/>
        <v>0</v>
      </c>
      <c r="I50" s="63">
        <f t="shared" si="33"/>
        <v>0</v>
      </c>
      <c r="J50" s="61">
        <f t="shared" si="33"/>
        <v>0</v>
      </c>
      <c r="K50" s="62">
        <f t="shared" si="33"/>
        <v>0</v>
      </c>
      <c r="L50" s="63">
        <f t="shared" si="33"/>
        <v>0</v>
      </c>
      <c r="M50" s="61">
        <f t="shared" si="33"/>
        <v>0</v>
      </c>
      <c r="N50" s="62">
        <f t="shared" si="33"/>
        <v>0</v>
      </c>
      <c r="O50" s="63">
        <f t="shared" si="33"/>
        <v>0</v>
      </c>
      <c r="P50" s="61">
        <f t="shared" si="33"/>
        <v>0</v>
      </c>
      <c r="Q50" s="62">
        <f t="shared" si="33"/>
        <v>0</v>
      </c>
      <c r="R50" s="63">
        <f t="shared" si="33"/>
        <v>0</v>
      </c>
      <c r="S50" s="61">
        <f t="shared" si="33"/>
        <v>0</v>
      </c>
      <c r="T50" s="62">
        <f t="shared" si="33"/>
        <v>0</v>
      </c>
      <c r="U50" s="63">
        <f t="shared" si="33"/>
        <v>0</v>
      </c>
      <c r="V50" s="61">
        <f t="shared" si="33"/>
        <v>0</v>
      </c>
      <c r="W50" s="62">
        <f t="shared" si="33"/>
        <v>0</v>
      </c>
      <c r="X50" s="63">
        <f t="shared" si="33"/>
        <v>0</v>
      </c>
      <c r="Y50" s="61">
        <f t="shared" si="33"/>
        <v>0</v>
      </c>
      <c r="Z50" s="62">
        <f t="shared" si="33"/>
        <v>0</v>
      </c>
      <c r="AA50" s="63">
        <f t="shared" si="33"/>
        <v>0</v>
      </c>
      <c r="AB50" s="61">
        <f t="shared" si="33"/>
        <v>0</v>
      </c>
      <c r="AC50" s="62">
        <f t="shared" si="33"/>
        <v>0</v>
      </c>
      <c r="AD50" s="63">
        <f t="shared" si="33"/>
        <v>0</v>
      </c>
      <c r="AE50" s="61">
        <f t="shared" si="33"/>
        <v>0</v>
      </c>
      <c r="AF50" s="62">
        <f t="shared" si="33"/>
        <v>0</v>
      </c>
      <c r="AG50" s="63">
        <f t="shared" si="33"/>
        <v>0</v>
      </c>
      <c r="AH50" s="61">
        <f t="shared" si="33"/>
        <v>0</v>
      </c>
      <c r="AI50" s="62">
        <f t="shared" si="33"/>
        <v>0</v>
      </c>
      <c r="AJ50" s="63">
        <f t="shared" si="33"/>
        <v>0</v>
      </c>
      <c r="AK50" s="61">
        <f t="shared" si="33"/>
        <v>0</v>
      </c>
      <c r="AL50" s="62">
        <f t="shared" si="33"/>
        <v>0</v>
      </c>
      <c r="AM50" s="63">
        <f t="shared" si="33"/>
        <v>0</v>
      </c>
      <c r="AN50" s="61">
        <f t="shared" si="33"/>
        <v>0</v>
      </c>
      <c r="AO50" s="62">
        <f t="shared" si="33"/>
        <v>0</v>
      </c>
      <c r="AP50" s="63">
        <f t="shared" si="33"/>
        <v>0</v>
      </c>
      <c r="AQ50" s="61">
        <f t="shared" si="33"/>
        <v>0</v>
      </c>
      <c r="AR50" s="62">
        <f t="shared" si="33"/>
        <v>0</v>
      </c>
      <c r="AS50" s="63">
        <f t="shared" si="33"/>
        <v>0</v>
      </c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</row>
    <row r="51" ht="12.0" hidden="1" customHeight="1" outlineLevel="1">
      <c r="A51" s="8"/>
      <c r="B51" s="8"/>
      <c r="C51" s="271" t="str">
        <f>Macro!B88</f>
        <v>Founding Backend Engineer</v>
      </c>
      <c r="D51" s="51"/>
      <c r="E51" s="62">
        <f t="shared" ref="E51:AS51" si="34">E150-D150</f>
        <v>0</v>
      </c>
      <c r="F51" s="62">
        <f t="shared" si="34"/>
        <v>0</v>
      </c>
      <c r="G51" s="61">
        <f t="shared" si="34"/>
        <v>0</v>
      </c>
      <c r="H51" s="62">
        <f t="shared" si="34"/>
        <v>0</v>
      </c>
      <c r="I51" s="63">
        <f t="shared" si="34"/>
        <v>0</v>
      </c>
      <c r="J51" s="61">
        <f t="shared" si="34"/>
        <v>0</v>
      </c>
      <c r="K51" s="62">
        <f t="shared" si="34"/>
        <v>0</v>
      </c>
      <c r="L51" s="63">
        <f t="shared" si="34"/>
        <v>0</v>
      </c>
      <c r="M51" s="61">
        <f t="shared" si="34"/>
        <v>0</v>
      </c>
      <c r="N51" s="62">
        <f t="shared" si="34"/>
        <v>0</v>
      </c>
      <c r="O51" s="63">
        <f t="shared" si="34"/>
        <v>0</v>
      </c>
      <c r="P51" s="61">
        <f t="shared" si="34"/>
        <v>0</v>
      </c>
      <c r="Q51" s="62">
        <f t="shared" si="34"/>
        <v>0</v>
      </c>
      <c r="R51" s="63">
        <f t="shared" si="34"/>
        <v>0</v>
      </c>
      <c r="S51" s="61">
        <f t="shared" si="34"/>
        <v>0</v>
      </c>
      <c r="T51" s="62">
        <f t="shared" si="34"/>
        <v>0</v>
      </c>
      <c r="U51" s="63">
        <f t="shared" si="34"/>
        <v>0</v>
      </c>
      <c r="V51" s="61">
        <f t="shared" si="34"/>
        <v>0</v>
      </c>
      <c r="W51" s="62">
        <f t="shared" si="34"/>
        <v>0</v>
      </c>
      <c r="X51" s="63">
        <f t="shared" si="34"/>
        <v>0</v>
      </c>
      <c r="Y51" s="61">
        <f t="shared" si="34"/>
        <v>0</v>
      </c>
      <c r="Z51" s="62">
        <f t="shared" si="34"/>
        <v>0</v>
      </c>
      <c r="AA51" s="63">
        <f t="shared" si="34"/>
        <v>0</v>
      </c>
      <c r="AB51" s="61">
        <f t="shared" si="34"/>
        <v>0</v>
      </c>
      <c r="AC51" s="62">
        <f t="shared" si="34"/>
        <v>0</v>
      </c>
      <c r="AD51" s="63">
        <f t="shared" si="34"/>
        <v>0</v>
      </c>
      <c r="AE51" s="61">
        <f t="shared" si="34"/>
        <v>0</v>
      </c>
      <c r="AF51" s="62">
        <f t="shared" si="34"/>
        <v>0</v>
      </c>
      <c r="AG51" s="63">
        <f t="shared" si="34"/>
        <v>0</v>
      </c>
      <c r="AH51" s="61">
        <f t="shared" si="34"/>
        <v>0</v>
      </c>
      <c r="AI51" s="62">
        <f t="shared" si="34"/>
        <v>0</v>
      </c>
      <c r="AJ51" s="63">
        <f t="shared" si="34"/>
        <v>0</v>
      </c>
      <c r="AK51" s="61">
        <f t="shared" si="34"/>
        <v>0</v>
      </c>
      <c r="AL51" s="62">
        <f t="shared" si="34"/>
        <v>0</v>
      </c>
      <c r="AM51" s="63">
        <f t="shared" si="34"/>
        <v>0</v>
      </c>
      <c r="AN51" s="61">
        <f t="shared" si="34"/>
        <v>0</v>
      </c>
      <c r="AO51" s="62">
        <f t="shared" si="34"/>
        <v>0</v>
      </c>
      <c r="AP51" s="63">
        <f t="shared" si="34"/>
        <v>0</v>
      </c>
      <c r="AQ51" s="61">
        <f t="shared" si="34"/>
        <v>0</v>
      </c>
      <c r="AR51" s="62">
        <f t="shared" si="34"/>
        <v>0</v>
      </c>
      <c r="AS51" s="63">
        <f t="shared" si="34"/>
        <v>0</v>
      </c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</row>
    <row r="52" ht="12.0" hidden="1" customHeight="1" outlineLevel="1">
      <c r="A52" s="8"/>
      <c r="B52" s="8"/>
      <c r="C52" s="271" t="str">
        <f>Macro!B89</f>
        <v>Founding API Engineer</v>
      </c>
      <c r="D52" s="51"/>
      <c r="E52" s="62">
        <f t="shared" ref="E52:AS52" si="35">E151-D151</f>
        <v>0</v>
      </c>
      <c r="F52" s="62">
        <f t="shared" si="35"/>
        <v>0</v>
      </c>
      <c r="G52" s="61">
        <f t="shared" si="35"/>
        <v>0</v>
      </c>
      <c r="H52" s="62">
        <f t="shared" si="35"/>
        <v>0</v>
      </c>
      <c r="I52" s="63">
        <f t="shared" si="35"/>
        <v>0</v>
      </c>
      <c r="J52" s="61">
        <f t="shared" si="35"/>
        <v>0</v>
      </c>
      <c r="K52" s="62">
        <f t="shared" si="35"/>
        <v>0</v>
      </c>
      <c r="L52" s="63">
        <f t="shared" si="35"/>
        <v>0</v>
      </c>
      <c r="M52" s="61">
        <f t="shared" si="35"/>
        <v>0</v>
      </c>
      <c r="N52" s="62">
        <f t="shared" si="35"/>
        <v>0</v>
      </c>
      <c r="O52" s="63">
        <f t="shared" si="35"/>
        <v>0</v>
      </c>
      <c r="P52" s="61">
        <f t="shared" si="35"/>
        <v>0</v>
      </c>
      <c r="Q52" s="62">
        <f t="shared" si="35"/>
        <v>0</v>
      </c>
      <c r="R52" s="63">
        <f t="shared" si="35"/>
        <v>0</v>
      </c>
      <c r="S52" s="61">
        <f t="shared" si="35"/>
        <v>0</v>
      </c>
      <c r="T52" s="62">
        <f t="shared" si="35"/>
        <v>0</v>
      </c>
      <c r="U52" s="63">
        <f t="shared" si="35"/>
        <v>0</v>
      </c>
      <c r="V52" s="61">
        <f t="shared" si="35"/>
        <v>0</v>
      </c>
      <c r="W52" s="62">
        <f t="shared" si="35"/>
        <v>0</v>
      </c>
      <c r="X52" s="63">
        <f t="shared" si="35"/>
        <v>0</v>
      </c>
      <c r="Y52" s="61">
        <f t="shared" si="35"/>
        <v>0</v>
      </c>
      <c r="Z52" s="62">
        <f t="shared" si="35"/>
        <v>0</v>
      </c>
      <c r="AA52" s="63">
        <f t="shared" si="35"/>
        <v>0</v>
      </c>
      <c r="AB52" s="61">
        <f t="shared" si="35"/>
        <v>0</v>
      </c>
      <c r="AC52" s="62">
        <f t="shared" si="35"/>
        <v>0</v>
      </c>
      <c r="AD52" s="63">
        <f t="shared" si="35"/>
        <v>0</v>
      </c>
      <c r="AE52" s="61">
        <f t="shared" si="35"/>
        <v>0</v>
      </c>
      <c r="AF52" s="62">
        <f t="shared" si="35"/>
        <v>0</v>
      </c>
      <c r="AG52" s="63">
        <f t="shared" si="35"/>
        <v>0</v>
      </c>
      <c r="AH52" s="61">
        <f t="shared" si="35"/>
        <v>0</v>
      </c>
      <c r="AI52" s="62">
        <f t="shared" si="35"/>
        <v>0</v>
      </c>
      <c r="AJ52" s="63">
        <f t="shared" si="35"/>
        <v>0</v>
      </c>
      <c r="AK52" s="61">
        <f t="shared" si="35"/>
        <v>0</v>
      </c>
      <c r="AL52" s="62">
        <f t="shared" si="35"/>
        <v>0</v>
      </c>
      <c r="AM52" s="63">
        <f t="shared" si="35"/>
        <v>0</v>
      </c>
      <c r="AN52" s="61">
        <f t="shared" si="35"/>
        <v>0</v>
      </c>
      <c r="AO52" s="62">
        <f t="shared" si="35"/>
        <v>0</v>
      </c>
      <c r="AP52" s="63">
        <f t="shared" si="35"/>
        <v>0</v>
      </c>
      <c r="AQ52" s="61">
        <f t="shared" si="35"/>
        <v>0</v>
      </c>
      <c r="AR52" s="62">
        <f t="shared" si="35"/>
        <v>0</v>
      </c>
      <c r="AS52" s="63">
        <f t="shared" si="35"/>
        <v>0</v>
      </c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</row>
    <row r="53" ht="12.0" hidden="1" customHeight="1" outlineLevel="1">
      <c r="A53" s="8"/>
      <c r="B53" s="8"/>
      <c r="C53" s="271" t="str">
        <f>Macro!B90</f>
        <v>Platform Engineer</v>
      </c>
      <c r="D53" s="51"/>
      <c r="E53" s="62">
        <f t="shared" ref="E53:AS53" si="36">E152-D152</f>
        <v>0</v>
      </c>
      <c r="F53" s="62">
        <f t="shared" si="36"/>
        <v>0</v>
      </c>
      <c r="G53" s="61">
        <f t="shared" si="36"/>
        <v>0</v>
      </c>
      <c r="H53" s="62">
        <f t="shared" si="36"/>
        <v>0</v>
      </c>
      <c r="I53" s="63">
        <f t="shared" si="36"/>
        <v>0</v>
      </c>
      <c r="J53" s="61">
        <f t="shared" si="36"/>
        <v>0</v>
      </c>
      <c r="K53" s="62">
        <f t="shared" si="36"/>
        <v>0</v>
      </c>
      <c r="L53" s="63">
        <f t="shared" si="36"/>
        <v>0</v>
      </c>
      <c r="M53" s="61">
        <f t="shared" si="36"/>
        <v>0</v>
      </c>
      <c r="N53" s="62">
        <f t="shared" si="36"/>
        <v>0</v>
      </c>
      <c r="O53" s="63">
        <f t="shared" si="36"/>
        <v>0</v>
      </c>
      <c r="P53" s="61">
        <f t="shared" si="36"/>
        <v>0</v>
      </c>
      <c r="Q53" s="62">
        <f t="shared" si="36"/>
        <v>0</v>
      </c>
      <c r="R53" s="63">
        <f t="shared" si="36"/>
        <v>0</v>
      </c>
      <c r="S53" s="61">
        <f t="shared" si="36"/>
        <v>0</v>
      </c>
      <c r="T53" s="62">
        <f t="shared" si="36"/>
        <v>0</v>
      </c>
      <c r="U53" s="63">
        <f t="shared" si="36"/>
        <v>0</v>
      </c>
      <c r="V53" s="61">
        <f t="shared" si="36"/>
        <v>0</v>
      </c>
      <c r="W53" s="62">
        <f t="shared" si="36"/>
        <v>0</v>
      </c>
      <c r="X53" s="63">
        <f t="shared" si="36"/>
        <v>0</v>
      </c>
      <c r="Y53" s="61">
        <f t="shared" si="36"/>
        <v>0</v>
      </c>
      <c r="Z53" s="62">
        <f t="shared" si="36"/>
        <v>0</v>
      </c>
      <c r="AA53" s="63">
        <f t="shared" si="36"/>
        <v>0</v>
      </c>
      <c r="AB53" s="61">
        <f t="shared" si="36"/>
        <v>0</v>
      </c>
      <c r="AC53" s="62">
        <f t="shared" si="36"/>
        <v>0</v>
      </c>
      <c r="AD53" s="63">
        <f t="shared" si="36"/>
        <v>0</v>
      </c>
      <c r="AE53" s="61">
        <f t="shared" si="36"/>
        <v>0</v>
      </c>
      <c r="AF53" s="62">
        <f t="shared" si="36"/>
        <v>0</v>
      </c>
      <c r="AG53" s="63">
        <f t="shared" si="36"/>
        <v>0</v>
      </c>
      <c r="AH53" s="61">
        <f t="shared" si="36"/>
        <v>0</v>
      </c>
      <c r="AI53" s="62">
        <f t="shared" si="36"/>
        <v>0</v>
      </c>
      <c r="AJ53" s="63">
        <f t="shared" si="36"/>
        <v>0</v>
      </c>
      <c r="AK53" s="61">
        <f t="shared" si="36"/>
        <v>0</v>
      </c>
      <c r="AL53" s="62">
        <f t="shared" si="36"/>
        <v>0</v>
      </c>
      <c r="AM53" s="63">
        <f t="shared" si="36"/>
        <v>0</v>
      </c>
      <c r="AN53" s="61">
        <f t="shared" si="36"/>
        <v>0</v>
      </c>
      <c r="AO53" s="62">
        <f t="shared" si="36"/>
        <v>0</v>
      </c>
      <c r="AP53" s="63">
        <f t="shared" si="36"/>
        <v>0</v>
      </c>
      <c r="AQ53" s="61">
        <f t="shared" si="36"/>
        <v>0</v>
      </c>
      <c r="AR53" s="62">
        <f t="shared" si="36"/>
        <v>0</v>
      </c>
      <c r="AS53" s="63">
        <f t="shared" si="36"/>
        <v>0</v>
      </c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</row>
    <row r="54" ht="12.0" hidden="1" customHeight="1" outlineLevel="1">
      <c r="A54" s="8"/>
      <c r="B54" s="8"/>
      <c r="C54" s="271" t="str">
        <f>Macro!B91</f>
        <v>Head of Analytics</v>
      </c>
      <c r="D54" s="51"/>
      <c r="E54" s="62">
        <f t="shared" ref="E54:AS54" si="37">E153-D153</f>
        <v>0</v>
      </c>
      <c r="F54" s="62">
        <f t="shared" si="37"/>
        <v>0</v>
      </c>
      <c r="G54" s="61">
        <f t="shared" si="37"/>
        <v>0</v>
      </c>
      <c r="H54" s="62">
        <f t="shared" si="37"/>
        <v>0</v>
      </c>
      <c r="I54" s="63">
        <f t="shared" si="37"/>
        <v>0</v>
      </c>
      <c r="J54" s="61">
        <f t="shared" si="37"/>
        <v>0</v>
      </c>
      <c r="K54" s="62">
        <f t="shared" si="37"/>
        <v>0</v>
      </c>
      <c r="L54" s="63">
        <f t="shared" si="37"/>
        <v>0</v>
      </c>
      <c r="M54" s="61">
        <f t="shared" si="37"/>
        <v>0</v>
      </c>
      <c r="N54" s="62">
        <f t="shared" si="37"/>
        <v>0</v>
      </c>
      <c r="O54" s="63">
        <f t="shared" si="37"/>
        <v>0</v>
      </c>
      <c r="P54" s="61">
        <f t="shared" si="37"/>
        <v>0</v>
      </c>
      <c r="Q54" s="62">
        <f t="shared" si="37"/>
        <v>0</v>
      </c>
      <c r="R54" s="63">
        <f t="shared" si="37"/>
        <v>0</v>
      </c>
      <c r="S54" s="61">
        <f t="shared" si="37"/>
        <v>0</v>
      </c>
      <c r="T54" s="62">
        <f t="shared" si="37"/>
        <v>0</v>
      </c>
      <c r="U54" s="63">
        <f t="shared" si="37"/>
        <v>0</v>
      </c>
      <c r="V54" s="61">
        <f t="shared" si="37"/>
        <v>0</v>
      </c>
      <c r="W54" s="62">
        <f t="shared" si="37"/>
        <v>0</v>
      </c>
      <c r="X54" s="63">
        <f t="shared" si="37"/>
        <v>0</v>
      </c>
      <c r="Y54" s="61">
        <f t="shared" si="37"/>
        <v>0</v>
      </c>
      <c r="Z54" s="62">
        <f t="shared" si="37"/>
        <v>0</v>
      </c>
      <c r="AA54" s="63">
        <f t="shared" si="37"/>
        <v>0</v>
      </c>
      <c r="AB54" s="61">
        <f t="shared" si="37"/>
        <v>0</v>
      </c>
      <c r="AC54" s="62">
        <f t="shared" si="37"/>
        <v>0</v>
      </c>
      <c r="AD54" s="63">
        <f t="shared" si="37"/>
        <v>0</v>
      </c>
      <c r="AE54" s="61">
        <f t="shared" si="37"/>
        <v>0</v>
      </c>
      <c r="AF54" s="62">
        <f t="shared" si="37"/>
        <v>0</v>
      </c>
      <c r="AG54" s="63">
        <f t="shared" si="37"/>
        <v>0</v>
      </c>
      <c r="AH54" s="61">
        <f t="shared" si="37"/>
        <v>0</v>
      </c>
      <c r="AI54" s="62">
        <f t="shared" si="37"/>
        <v>0</v>
      </c>
      <c r="AJ54" s="63">
        <f t="shared" si="37"/>
        <v>0</v>
      </c>
      <c r="AK54" s="61">
        <f t="shared" si="37"/>
        <v>0</v>
      </c>
      <c r="AL54" s="62">
        <f t="shared" si="37"/>
        <v>0</v>
      </c>
      <c r="AM54" s="63">
        <f t="shared" si="37"/>
        <v>0</v>
      </c>
      <c r="AN54" s="61">
        <f t="shared" si="37"/>
        <v>0</v>
      </c>
      <c r="AO54" s="62">
        <f t="shared" si="37"/>
        <v>0</v>
      </c>
      <c r="AP54" s="63">
        <f t="shared" si="37"/>
        <v>0</v>
      </c>
      <c r="AQ54" s="61">
        <f t="shared" si="37"/>
        <v>0</v>
      </c>
      <c r="AR54" s="62">
        <f t="shared" si="37"/>
        <v>0</v>
      </c>
      <c r="AS54" s="63">
        <f t="shared" si="37"/>
        <v>0</v>
      </c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</row>
    <row r="55" ht="12.0" hidden="1" customHeight="1" outlineLevel="1">
      <c r="A55" s="8"/>
      <c r="B55" s="8"/>
      <c r="C55" s="271" t="str">
        <f>Macro!B92</f>
        <v>Quality Assurance Lead</v>
      </c>
      <c r="D55" s="51"/>
      <c r="E55" s="62">
        <f t="shared" ref="E55:AS55" si="38">E154-D154</f>
        <v>0</v>
      </c>
      <c r="F55" s="62">
        <f t="shared" si="38"/>
        <v>0</v>
      </c>
      <c r="G55" s="61">
        <f t="shared" si="38"/>
        <v>0</v>
      </c>
      <c r="H55" s="62">
        <f t="shared" si="38"/>
        <v>0</v>
      </c>
      <c r="I55" s="63">
        <f t="shared" si="38"/>
        <v>0</v>
      </c>
      <c r="J55" s="61">
        <f t="shared" si="38"/>
        <v>0</v>
      </c>
      <c r="K55" s="62">
        <f t="shared" si="38"/>
        <v>0</v>
      </c>
      <c r="L55" s="63">
        <f t="shared" si="38"/>
        <v>0</v>
      </c>
      <c r="M55" s="61">
        <f t="shared" si="38"/>
        <v>0</v>
      </c>
      <c r="N55" s="62">
        <f t="shared" si="38"/>
        <v>0</v>
      </c>
      <c r="O55" s="63">
        <f t="shared" si="38"/>
        <v>0</v>
      </c>
      <c r="P55" s="61">
        <f t="shared" si="38"/>
        <v>0</v>
      </c>
      <c r="Q55" s="62">
        <f t="shared" si="38"/>
        <v>0</v>
      </c>
      <c r="R55" s="63">
        <f t="shared" si="38"/>
        <v>0</v>
      </c>
      <c r="S55" s="61">
        <f t="shared" si="38"/>
        <v>0</v>
      </c>
      <c r="T55" s="62">
        <f t="shared" si="38"/>
        <v>0</v>
      </c>
      <c r="U55" s="63">
        <f t="shared" si="38"/>
        <v>0</v>
      </c>
      <c r="V55" s="61">
        <f t="shared" si="38"/>
        <v>0</v>
      </c>
      <c r="W55" s="62">
        <f t="shared" si="38"/>
        <v>0</v>
      </c>
      <c r="X55" s="63">
        <f t="shared" si="38"/>
        <v>0</v>
      </c>
      <c r="Y55" s="61">
        <f t="shared" si="38"/>
        <v>0</v>
      </c>
      <c r="Z55" s="62">
        <f t="shared" si="38"/>
        <v>0</v>
      </c>
      <c r="AA55" s="63">
        <f t="shared" si="38"/>
        <v>0</v>
      </c>
      <c r="AB55" s="61">
        <f t="shared" si="38"/>
        <v>0</v>
      </c>
      <c r="AC55" s="62">
        <f t="shared" si="38"/>
        <v>0</v>
      </c>
      <c r="AD55" s="63">
        <f t="shared" si="38"/>
        <v>0</v>
      </c>
      <c r="AE55" s="61">
        <f t="shared" si="38"/>
        <v>0</v>
      </c>
      <c r="AF55" s="62">
        <f t="shared" si="38"/>
        <v>0</v>
      </c>
      <c r="AG55" s="63">
        <f t="shared" si="38"/>
        <v>0</v>
      </c>
      <c r="AH55" s="61">
        <f t="shared" si="38"/>
        <v>0</v>
      </c>
      <c r="AI55" s="62">
        <f t="shared" si="38"/>
        <v>0</v>
      </c>
      <c r="AJ55" s="63">
        <f t="shared" si="38"/>
        <v>0</v>
      </c>
      <c r="AK55" s="61">
        <f t="shared" si="38"/>
        <v>0</v>
      </c>
      <c r="AL55" s="62">
        <f t="shared" si="38"/>
        <v>0</v>
      </c>
      <c r="AM55" s="63">
        <f t="shared" si="38"/>
        <v>0</v>
      </c>
      <c r="AN55" s="61">
        <f t="shared" si="38"/>
        <v>0</v>
      </c>
      <c r="AO55" s="62">
        <f t="shared" si="38"/>
        <v>0</v>
      </c>
      <c r="AP55" s="63">
        <f t="shared" si="38"/>
        <v>0</v>
      </c>
      <c r="AQ55" s="61">
        <f t="shared" si="38"/>
        <v>0</v>
      </c>
      <c r="AR55" s="62">
        <f t="shared" si="38"/>
        <v>0</v>
      </c>
      <c r="AS55" s="63">
        <f t="shared" si="38"/>
        <v>0</v>
      </c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</row>
    <row r="56" ht="12.0" hidden="1" customHeight="1" outlineLevel="1">
      <c r="A56" s="8"/>
      <c r="B56" s="8"/>
      <c r="C56" s="271" t="str">
        <f>Macro!B93</f>
        <v>Frontend Engr</v>
      </c>
      <c r="D56" s="51"/>
      <c r="E56" s="62">
        <f t="shared" ref="E56:AS56" si="39">E155-D155</f>
        <v>0</v>
      </c>
      <c r="F56" s="62">
        <f t="shared" si="39"/>
        <v>0</v>
      </c>
      <c r="G56" s="61">
        <f t="shared" si="39"/>
        <v>0</v>
      </c>
      <c r="H56" s="62">
        <f t="shared" si="39"/>
        <v>0</v>
      </c>
      <c r="I56" s="63">
        <f t="shared" si="39"/>
        <v>0</v>
      </c>
      <c r="J56" s="61">
        <f t="shared" si="39"/>
        <v>0</v>
      </c>
      <c r="K56" s="62">
        <f t="shared" si="39"/>
        <v>0</v>
      </c>
      <c r="L56" s="63">
        <f t="shared" si="39"/>
        <v>0</v>
      </c>
      <c r="M56" s="61">
        <f t="shared" si="39"/>
        <v>0</v>
      </c>
      <c r="N56" s="62">
        <f t="shared" si="39"/>
        <v>0</v>
      </c>
      <c r="O56" s="63">
        <f t="shared" si="39"/>
        <v>0</v>
      </c>
      <c r="P56" s="61">
        <f t="shared" si="39"/>
        <v>0</v>
      </c>
      <c r="Q56" s="62">
        <f t="shared" si="39"/>
        <v>0</v>
      </c>
      <c r="R56" s="63">
        <f t="shared" si="39"/>
        <v>0</v>
      </c>
      <c r="S56" s="61">
        <f t="shared" si="39"/>
        <v>0</v>
      </c>
      <c r="T56" s="62">
        <f t="shared" si="39"/>
        <v>0</v>
      </c>
      <c r="U56" s="63">
        <f t="shared" si="39"/>
        <v>0</v>
      </c>
      <c r="V56" s="61">
        <f t="shared" si="39"/>
        <v>0</v>
      </c>
      <c r="W56" s="62">
        <f t="shared" si="39"/>
        <v>0</v>
      </c>
      <c r="X56" s="63">
        <f t="shared" si="39"/>
        <v>0</v>
      </c>
      <c r="Y56" s="61">
        <f t="shared" si="39"/>
        <v>0</v>
      </c>
      <c r="Z56" s="62">
        <f t="shared" si="39"/>
        <v>0</v>
      </c>
      <c r="AA56" s="63">
        <f t="shared" si="39"/>
        <v>0</v>
      </c>
      <c r="AB56" s="61">
        <f t="shared" si="39"/>
        <v>0</v>
      </c>
      <c r="AC56" s="62">
        <f t="shared" si="39"/>
        <v>0</v>
      </c>
      <c r="AD56" s="63">
        <f t="shared" si="39"/>
        <v>0</v>
      </c>
      <c r="AE56" s="61">
        <f t="shared" si="39"/>
        <v>0</v>
      </c>
      <c r="AF56" s="62">
        <f t="shared" si="39"/>
        <v>0</v>
      </c>
      <c r="AG56" s="63">
        <f t="shared" si="39"/>
        <v>0</v>
      </c>
      <c r="AH56" s="61">
        <f t="shared" si="39"/>
        <v>0</v>
      </c>
      <c r="AI56" s="62">
        <f t="shared" si="39"/>
        <v>0</v>
      </c>
      <c r="AJ56" s="63">
        <f t="shared" si="39"/>
        <v>0</v>
      </c>
      <c r="AK56" s="61">
        <f t="shared" si="39"/>
        <v>0</v>
      </c>
      <c r="AL56" s="62">
        <f t="shared" si="39"/>
        <v>0</v>
      </c>
      <c r="AM56" s="63">
        <f t="shared" si="39"/>
        <v>0</v>
      </c>
      <c r="AN56" s="61">
        <f t="shared" si="39"/>
        <v>0</v>
      </c>
      <c r="AO56" s="62">
        <f t="shared" si="39"/>
        <v>0</v>
      </c>
      <c r="AP56" s="63">
        <f t="shared" si="39"/>
        <v>0</v>
      </c>
      <c r="AQ56" s="61">
        <f t="shared" si="39"/>
        <v>0</v>
      </c>
      <c r="AR56" s="62">
        <f t="shared" si="39"/>
        <v>0</v>
      </c>
      <c r="AS56" s="63">
        <f t="shared" si="39"/>
        <v>0</v>
      </c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</row>
    <row r="57" ht="12.0" hidden="1" customHeight="1" outlineLevel="1">
      <c r="A57" s="8"/>
      <c r="B57" s="8"/>
      <c r="C57" s="271" t="str">
        <f>Macro!B94</f>
        <v>DevOps Engineer</v>
      </c>
      <c r="D57" s="51"/>
      <c r="E57" s="62">
        <f t="shared" ref="E57:AS57" si="40">E156-D156</f>
        <v>0</v>
      </c>
      <c r="F57" s="62">
        <f t="shared" si="40"/>
        <v>0</v>
      </c>
      <c r="G57" s="61">
        <f t="shared" si="40"/>
        <v>0</v>
      </c>
      <c r="H57" s="62">
        <f t="shared" si="40"/>
        <v>0</v>
      </c>
      <c r="I57" s="63">
        <f t="shared" si="40"/>
        <v>0</v>
      </c>
      <c r="J57" s="61">
        <f t="shared" si="40"/>
        <v>0</v>
      </c>
      <c r="K57" s="62">
        <f t="shared" si="40"/>
        <v>0</v>
      </c>
      <c r="L57" s="63">
        <f t="shared" si="40"/>
        <v>0</v>
      </c>
      <c r="M57" s="61">
        <f t="shared" si="40"/>
        <v>0</v>
      </c>
      <c r="N57" s="62">
        <f t="shared" si="40"/>
        <v>0</v>
      </c>
      <c r="O57" s="63">
        <f t="shared" si="40"/>
        <v>0</v>
      </c>
      <c r="P57" s="61">
        <f t="shared" si="40"/>
        <v>0</v>
      </c>
      <c r="Q57" s="62">
        <f t="shared" si="40"/>
        <v>0</v>
      </c>
      <c r="R57" s="63">
        <f t="shared" si="40"/>
        <v>0</v>
      </c>
      <c r="S57" s="61">
        <f t="shared" si="40"/>
        <v>0</v>
      </c>
      <c r="T57" s="62">
        <f t="shared" si="40"/>
        <v>0</v>
      </c>
      <c r="U57" s="63">
        <f t="shared" si="40"/>
        <v>0</v>
      </c>
      <c r="V57" s="61">
        <f t="shared" si="40"/>
        <v>0</v>
      </c>
      <c r="W57" s="62">
        <f t="shared" si="40"/>
        <v>0</v>
      </c>
      <c r="X57" s="63">
        <f t="shared" si="40"/>
        <v>0</v>
      </c>
      <c r="Y57" s="61">
        <f t="shared" si="40"/>
        <v>0</v>
      </c>
      <c r="Z57" s="62">
        <f t="shared" si="40"/>
        <v>0</v>
      </c>
      <c r="AA57" s="63">
        <f t="shared" si="40"/>
        <v>0</v>
      </c>
      <c r="AB57" s="61">
        <f t="shared" si="40"/>
        <v>0</v>
      </c>
      <c r="AC57" s="62">
        <f t="shared" si="40"/>
        <v>0</v>
      </c>
      <c r="AD57" s="63">
        <f t="shared" si="40"/>
        <v>0</v>
      </c>
      <c r="AE57" s="61">
        <f t="shared" si="40"/>
        <v>0</v>
      </c>
      <c r="AF57" s="62">
        <f t="shared" si="40"/>
        <v>0</v>
      </c>
      <c r="AG57" s="63">
        <f t="shared" si="40"/>
        <v>0</v>
      </c>
      <c r="AH57" s="61">
        <f t="shared" si="40"/>
        <v>0</v>
      </c>
      <c r="AI57" s="62">
        <f t="shared" si="40"/>
        <v>0</v>
      </c>
      <c r="AJ57" s="63">
        <f t="shared" si="40"/>
        <v>0</v>
      </c>
      <c r="AK57" s="61">
        <f t="shared" si="40"/>
        <v>0</v>
      </c>
      <c r="AL57" s="62">
        <f t="shared" si="40"/>
        <v>0</v>
      </c>
      <c r="AM57" s="63">
        <f t="shared" si="40"/>
        <v>0</v>
      </c>
      <c r="AN57" s="61">
        <f t="shared" si="40"/>
        <v>0</v>
      </c>
      <c r="AO57" s="62">
        <f t="shared" si="40"/>
        <v>0</v>
      </c>
      <c r="AP57" s="63">
        <f t="shared" si="40"/>
        <v>0</v>
      </c>
      <c r="AQ57" s="61">
        <f t="shared" si="40"/>
        <v>0</v>
      </c>
      <c r="AR57" s="62">
        <f t="shared" si="40"/>
        <v>0</v>
      </c>
      <c r="AS57" s="63">
        <f t="shared" si="40"/>
        <v>0</v>
      </c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</row>
    <row r="58" ht="12.0" hidden="1" customHeight="1" outlineLevel="1">
      <c r="A58" s="8"/>
      <c r="B58" s="8"/>
      <c r="C58" s="271" t="str">
        <f>Macro!B95</f>
        <v>MobileApps Engineer</v>
      </c>
      <c r="D58" s="51"/>
      <c r="E58" s="62">
        <f t="shared" ref="E58:AS58" si="41">E157-D157</f>
        <v>0</v>
      </c>
      <c r="F58" s="62">
        <f t="shared" si="41"/>
        <v>0</v>
      </c>
      <c r="G58" s="61">
        <f t="shared" si="41"/>
        <v>0</v>
      </c>
      <c r="H58" s="62">
        <f t="shared" si="41"/>
        <v>0</v>
      </c>
      <c r="I58" s="63">
        <f t="shared" si="41"/>
        <v>0</v>
      </c>
      <c r="J58" s="61">
        <f t="shared" si="41"/>
        <v>0</v>
      </c>
      <c r="K58" s="62">
        <f t="shared" si="41"/>
        <v>0</v>
      </c>
      <c r="L58" s="63">
        <f t="shared" si="41"/>
        <v>0</v>
      </c>
      <c r="M58" s="61">
        <f t="shared" si="41"/>
        <v>0</v>
      </c>
      <c r="N58" s="62">
        <f t="shared" si="41"/>
        <v>0</v>
      </c>
      <c r="O58" s="63">
        <f t="shared" si="41"/>
        <v>1</v>
      </c>
      <c r="P58" s="61">
        <f t="shared" si="41"/>
        <v>0</v>
      </c>
      <c r="Q58" s="62">
        <f t="shared" si="41"/>
        <v>0</v>
      </c>
      <c r="R58" s="63">
        <f t="shared" si="41"/>
        <v>0</v>
      </c>
      <c r="S58" s="61">
        <f t="shared" si="41"/>
        <v>0</v>
      </c>
      <c r="T58" s="62">
        <f t="shared" si="41"/>
        <v>0</v>
      </c>
      <c r="U58" s="63">
        <f t="shared" si="41"/>
        <v>0</v>
      </c>
      <c r="V58" s="61">
        <f t="shared" si="41"/>
        <v>0</v>
      </c>
      <c r="W58" s="62">
        <f t="shared" si="41"/>
        <v>0</v>
      </c>
      <c r="X58" s="63">
        <f t="shared" si="41"/>
        <v>0</v>
      </c>
      <c r="Y58" s="61">
        <f t="shared" si="41"/>
        <v>0</v>
      </c>
      <c r="Z58" s="62">
        <f t="shared" si="41"/>
        <v>0</v>
      </c>
      <c r="AA58" s="63">
        <f t="shared" si="41"/>
        <v>0</v>
      </c>
      <c r="AB58" s="61">
        <f t="shared" si="41"/>
        <v>0</v>
      </c>
      <c r="AC58" s="62">
        <f t="shared" si="41"/>
        <v>0</v>
      </c>
      <c r="AD58" s="63">
        <f t="shared" si="41"/>
        <v>0</v>
      </c>
      <c r="AE58" s="61">
        <f t="shared" si="41"/>
        <v>0</v>
      </c>
      <c r="AF58" s="62">
        <f t="shared" si="41"/>
        <v>0</v>
      </c>
      <c r="AG58" s="63">
        <f t="shared" si="41"/>
        <v>0</v>
      </c>
      <c r="AH58" s="61">
        <f t="shared" si="41"/>
        <v>0</v>
      </c>
      <c r="AI58" s="62">
        <f t="shared" si="41"/>
        <v>0</v>
      </c>
      <c r="AJ58" s="63">
        <f t="shared" si="41"/>
        <v>0</v>
      </c>
      <c r="AK58" s="61">
        <f t="shared" si="41"/>
        <v>0</v>
      </c>
      <c r="AL58" s="62">
        <f t="shared" si="41"/>
        <v>0</v>
      </c>
      <c r="AM58" s="63">
        <f t="shared" si="41"/>
        <v>0</v>
      </c>
      <c r="AN58" s="61">
        <f t="shared" si="41"/>
        <v>0</v>
      </c>
      <c r="AO58" s="62">
        <f t="shared" si="41"/>
        <v>0</v>
      </c>
      <c r="AP58" s="63">
        <f t="shared" si="41"/>
        <v>0</v>
      </c>
      <c r="AQ58" s="61">
        <f t="shared" si="41"/>
        <v>0</v>
      </c>
      <c r="AR58" s="62">
        <f t="shared" si="41"/>
        <v>0</v>
      </c>
      <c r="AS58" s="63">
        <f t="shared" si="41"/>
        <v>0</v>
      </c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</row>
    <row r="59" ht="12.0" hidden="1" customHeight="1" outlineLevel="1">
      <c r="A59" s="8"/>
      <c r="B59" s="8"/>
      <c r="C59" s="271" t="str">
        <f>Macro!B96</f>
        <v>API Engineer</v>
      </c>
      <c r="D59" s="51"/>
      <c r="E59" s="62">
        <f t="shared" ref="E59:AS59" si="42">E158-D158</f>
        <v>0</v>
      </c>
      <c r="F59" s="62">
        <f t="shared" si="42"/>
        <v>0</v>
      </c>
      <c r="G59" s="61">
        <f t="shared" si="42"/>
        <v>0</v>
      </c>
      <c r="H59" s="62">
        <f t="shared" si="42"/>
        <v>0</v>
      </c>
      <c r="I59" s="63">
        <f t="shared" si="42"/>
        <v>0</v>
      </c>
      <c r="J59" s="61">
        <f t="shared" si="42"/>
        <v>0</v>
      </c>
      <c r="K59" s="62">
        <f t="shared" si="42"/>
        <v>0</v>
      </c>
      <c r="L59" s="63">
        <f t="shared" si="42"/>
        <v>1</v>
      </c>
      <c r="M59" s="61">
        <f t="shared" si="42"/>
        <v>0</v>
      </c>
      <c r="N59" s="62">
        <f t="shared" si="42"/>
        <v>0</v>
      </c>
      <c r="O59" s="63">
        <f t="shared" si="42"/>
        <v>0</v>
      </c>
      <c r="P59" s="61">
        <f t="shared" si="42"/>
        <v>0</v>
      </c>
      <c r="Q59" s="62">
        <f t="shared" si="42"/>
        <v>0</v>
      </c>
      <c r="R59" s="63">
        <f t="shared" si="42"/>
        <v>0</v>
      </c>
      <c r="S59" s="61">
        <f t="shared" si="42"/>
        <v>0</v>
      </c>
      <c r="T59" s="62">
        <f t="shared" si="42"/>
        <v>0</v>
      </c>
      <c r="U59" s="63">
        <f t="shared" si="42"/>
        <v>0</v>
      </c>
      <c r="V59" s="61">
        <f t="shared" si="42"/>
        <v>0</v>
      </c>
      <c r="W59" s="62">
        <f t="shared" si="42"/>
        <v>0</v>
      </c>
      <c r="X59" s="63">
        <f t="shared" si="42"/>
        <v>0</v>
      </c>
      <c r="Y59" s="61">
        <f t="shared" si="42"/>
        <v>0</v>
      </c>
      <c r="Z59" s="62">
        <f t="shared" si="42"/>
        <v>0</v>
      </c>
      <c r="AA59" s="63">
        <f t="shared" si="42"/>
        <v>0</v>
      </c>
      <c r="AB59" s="61">
        <f t="shared" si="42"/>
        <v>0</v>
      </c>
      <c r="AC59" s="62">
        <f t="shared" si="42"/>
        <v>0</v>
      </c>
      <c r="AD59" s="63">
        <f t="shared" si="42"/>
        <v>0</v>
      </c>
      <c r="AE59" s="61">
        <f t="shared" si="42"/>
        <v>0</v>
      </c>
      <c r="AF59" s="62">
        <f t="shared" si="42"/>
        <v>0</v>
      </c>
      <c r="AG59" s="63">
        <f t="shared" si="42"/>
        <v>0</v>
      </c>
      <c r="AH59" s="61">
        <f t="shared" si="42"/>
        <v>0</v>
      </c>
      <c r="AI59" s="62">
        <f t="shared" si="42"/>
        <v>0</v>
      </c>
      <c r="AJ59" s="63">
        <f t="shared" si="42"/>
        <v>0</v>
      </c>
      <c r="AK59" s="61">
        <f t="shared" si="42"/>
        <v>0</v>
      </c>
      <c r="AL59" s="62">
        <f t="shared" si="42"/>
        <v>0</v>
      </c>
      <c r="AM59" s="63">
        <f t="shared" si="42"/>
        <v>0</v>
      </c>
      <c r="AN59" s="61">
        <f t="shared" si="42"/>
        <v>0</v>
      </c>
      <c r="AO59" s="62">
        <f t="shared" si="42"/>
        <v>0</v>
      </c>
      <c r="AP59" s="63">
        <f t="shared" si="42"/>
        <v>0</v>
      </c>
      <c r="AQ59" s="61">
        <f t="shared" si="42"/>
        <v>0</v>
      </c>
      <c r="AR59" s="62">
        <f t="shared" si="42"/>
        <v>0</v>
      </c>
      <c r="AS59" s="63">
        <f t="shared" si="42"/>
        <v>0</v>
      </c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</row>
    <row r="60" ht="12.0" hidden="1" customHeight="1" outlineLevel="1">
      <c r="A60" s="8"/>
      <c r="B60" s="8"/>
      <c r="C60" s="271" t="str">
        <f>Macro!B97</f>
        <v>Jr. API Egineer</v>
      </c>
      <c r="D60" s="51"/>
      <c r="E60" s="62">
        <f t="shared" ref="E60:AS60" si="43">E159-D159</f>
        <v>0</v>
      </c>
      <c r="F60" s="62">
        <f t="shared" si="43"/>
        <v>0</v>
      </c>
      <c r="G60" s="61">
        <f t="shared" si="43"/>
        <v>0</v>
      </c>
      <c r="H60" s="62">
        <f t="shared" si="43"/>
        <v>0</v>
      </c>
      <c r="I60" s="63">
        <f t="shared" si="43"/>
        <v>0</v>
      </c>
      <c r="J60" s="61">
        <f t="shared" si="43"/>
        <v>0</v>
      </c>
      <c r="K60" s="62">
        <f t="shared" si="43"/>
        <v>0</v>
      </c>
      <c r="L60" s="63">
        <f t="shared" si="43"/>
        <v>1</v>
      </c>
      <c r="M60" s="61">
        <f t="shared" si="43"/>
        <v>0</v>
      </c>
      <c r="N60" s="62">
        <f t="shared" si="43"/>
        <v>0</v>
      </c>
      <c r="O60" s="63">
        <f t="shared" si="43"/>
        <v>0</v>
      </c>
      <c r="P60" s="61">
        <f t="shared" si="43"/>
        <v>0</v>
      </c>
      <c r="Q60" s="62">
        <f t="shared" si="43"/>
        <v>0</v>
      </c>
      <c r="R60" s="63">
        <f t="shared" si="43"/>
        <v>0</v>
      </c>
      <c r="S60" s="61">
        <f t="shared" si="43"/>
        <v>0</v>
      </c>
      <c r="T60" s="62">
        <f t="shared" si="43"/>
        <v>0</v>
      </c>
      <c r="U60" s="63">
        <f t="shared" si="43"/>
        <v>0</v>
      </c>
      <c r="V60" s="61">
        <f t="shared" si="43"/>
        <v>0</v>
      </c>
      <c r="W60" s="62">
        <f t="shared" si="43"/>
        <v>0</v>
      </c>
      <c r="X60" s="63">
        <f t="shared" si="43"/>
        <v>0</v>
      </c>
      <c r="Y60" s="61">
        <f t="shared" si="43"/>
        <v>0</v>
      </c>
      <c r="Z60" s="62">
        <f t="shared" si="43"/>
        <v>0</v>
      </c>
      <c r="AA60" s="63">
        <f t="shared" si="43"/>
        <v>0</v>
      </c>
      <c r="AB60" s="61">
        <f t="shared" si="43"/>
        <v>0</v>
      </c>
      <c r="AC60" s="62">
        <f t="shared" si="43"/>
        <v>0</v>
      </c>
      <c r="AD60" s="63">
        <f t="shared" si="43"/>
        <v>0</v>
      </c>
      <c r="AE60" s="61">
        <f t="shared" si="43"/>
        <v>0</v>
      </c>
      <c r="AF60" s="62">
        <f t="shared" si="43"/>
        <v>0</v>
      </c>
      <c r="AG60" s="63">
        <f t="shared" si="43"/>
        <v>0</v>
      </c>
      <c r="AH60" s="61">
        <f t="shared" si="43"/>
        <v>0</v>
      </c>
      <c r="AI60" s="62">
        <f t="shared" si="43"/>
        <v>0</v>
      </c>
      <c r="AJ60" s="63">
        <f t="shared" si="43"/>
        <v>0</v>
      </c>
      <c r="AK60" s="61">
        <f t="shared" si="43"/>
        <v>0</v>
      </c>
      <c r="AL60" s="62">
        <f t="shared" si="43"/>
        <v>0</v>
      </c>
      <c r="AM60" s="63">
        <f t="shared" si="43"/>
        <v>0</v>
      </c>
      <c r="AN60" s="61">
        <f t="shared" si="43"/>
        <v>0</v>
      </c>
      <c r="AO60" s="62">
        <f t="shared" si="43"/>
        <v>0</v>
      </c>
      <c r="AP60" s="63">
        <f t="shared" si="43"/>
        <v>0</v>
      </c>
      <c r="AQ60" s="61">
        <f t="shared" si="43"/>
        <v>0</v>
      </c>
      <c r="AR60" s="62">
        <f t="shared" si="43"/>
        <v>0</v>
      </c>
      <c r="AS60" s="63">
        <f t="shared" si="43"/>
        <v>0</v>
      </c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</row>
    <row r="61" ht="12.0" hidden="1" customHeight="1" outlineLevel="1">
      <c r="A61" s="8"/>
      <c r="B61" s="8"/>
      <c r="C61" s="271" t="str">
        <f>Macro!B98</f>
        <v>QA Engineer</v>
      </c>
      <c r="D61" s="51"/>
      <c r="E61" s="62">
        <f t="shared" ref="E61:AS61" si="44">E160-D160</f>
        <v>0</v>
      </c>
      <c r="F61" s="62">
        <f t="shared" si="44"/>
        <v>0</v>
      </c>
      <c r="G61" s="61">
        <f t="shared" si="44"/>
        <v>0</v>
      </c>
      <c r="H61" s="62">
        <f t="shared" si="44"/>
        <v>0</v>
      </c>
      <c r="I61" s="63">
        <f t="shared" si="44"/>
        <v>0</v>
      </c>
      <c r="J61" s="61">
        <f t="shared" si="44"/>
        <v>0</v>
      </c>
      <c r="K61" s="62">
        <f t="shared" si="44"/>
        <v>0</v>
      </c>
      <c r="L61" s="63">
        <f t="shared" si="44"/>
        <v>1</v>
      </c>
      <c r="M61" s="61">
        <f t="shared" si="44"/>
        <v>0</v>
      </c>
      <c r="N61" s="62">
        <f t="shared" si="44"/>
        <v>0</v>
      </c>
      <c r="O61" s="63">
        <f t="shared" si="44"/>
        <v>0</v>
      </c>
      <c r="P61" s="61">
        <f t="shared" si="44"/>
        <v>0</v>
      </c>
      <c r="Q61" s="62">
        <f t="shared" si="44"/>
        <v>0</v>
      </c>
      <c r="R61" s="63">
        <f t="shared" si="44"/>
        <v>0</v>
      </c>
      <c r="S61" s="61">
        <f t="shared" si="44"/>
        <v>0</v>
      </c>
      <c r="T61" s="62">
        <f t="shared" si="44"/>
        <v>0</v>
      </c>
      <c r="U61" s="63">
        <f t="shared" si="44"/>
        <v>0</v>
      </c>
      <c r="V61" s="61">
        <f t="shared" si="44"/>
        <v>0</v>
      </c>
      <c r="W61" s="62">
        <f t="shared" si="44"/>
        <v>0</v>
      </c>
      <c r="X61" s="63">
        <f t="shared" si="44"/>
        <v>0</v>
      </c>
      <c r="Y61" s="61">
        <f t="shared" si="44"/>
        <v>0</v>
      </c>
      <c r="Z61" s="62">
        <f t="shared" si="44"/>
        <v>0</v>
      </c>
      <c r="AA61" s="63">
        <f t="shared" si="44"/>
        <v>0</v>
      </c>
      <c r="AB61" s="61">
        <f t="shared" si="44"/>
        <v>0</v>
      </c>
      <c r="AC61" s="62">
        <f t="shared" si="44"/>
        <v>0</v>
      </c>
      <c r="AD61" s="63">
        <f t="shared" si="44"/>
        <v>0</v>
      </c>
      <c r="AE61" s="61">
        <f t="shared" si="44"/>
        <v>0</v>
      </c>
      <c r="AF61" s="62">
        <f t="shared" si="44"/>
        <v>0</v>
      </c>
      <c r="AG61" s="63">
        <f t="shared" si="44"/>
        <v>0</v>
      </c>
      <c r="AH61" s="61">
        <f t="shared" si="44"/>
        <v>0</v>
      </c>
      <c r="AI61" s="62">
        <f t="shared" si="44"/>
        <v>0</v>
      </c>
      <c r="AJ61" s="63">
        <f t="shared" si="44"/>
        <v>0</v>
      </c>
      <c r="AK61" s="61">
        <f t="shared" si="44"/>
        <v>0</v>
      </c>
      <c r="AL61" s="62">
        <f t="shared" si="44"/>
        <v>0</v>
      </c>
      <c r="AM61" s="63">
        <f t="shared" si="44"/>
        <v>0</v>
      </c>
      <c r="AN61" s="61">
        <f t="shared" si="44"/>
        <v>0</v>
      </c>
      <c r="AO61" s="62">
        <f t="shared" si="44"/>
        <v>0</v>
      </c>
      <c r="AP61" s="63">
        <f t="shared" si="44"/>
        <v>0</v>
      </c>
      <c r="AQ61" s="61">
        <f t="shared" si="44"/>
        <v>0</v>
      </c>
      <c r="AR61" s="62">
        <f t="shared" si="44"/>
        <v>0</v>
      </c>
      <c r="AS61" s="63">
        <f t="shared" si="44"/>
        <v>0</v>
      </c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</row>
    <row r="62" ht="12.0" hidden="1" customHeight="1" outlineLevel="1">
      <c r="A62" s="8"/>
      <c r="B62" s="8"/>
      <c r="C62" s="271" t="str">
        <f>Macro!B99</f>
        <v>Jr. QA engineer</v>
      </c>
      <c r="D62" s="51"/>
      <c r="E62" s="62">
        <f t="shared" ref="E62:AS62" si="45">E161-D161</f>
        <v>0</v>
      </c>
      <c r="F62" s="62">
        <f t="shared" si="45"/>
        <v>0</v>
      </c>
      <c r="G62" s="61">
        <f t="shared" si="45"/>
        <v>0</v>
      </c>
      <c r="H62" s="62">
        <f t="shared" si="45"/>
        <v>0</v>
      </c>
      <c r="I62" s="63">
        <f t="shared" si="45"/>
        <v>0</v>
      </c>
      <c r="J62" s="61">
        <f t="shared" si="45"/>
        <v>0</v>
      </c>
      <c r="K62" s="62">
        <f t="shared" si="45"/>
        <v>0</v>
      </c>
      <c r="L62" s="63">
        <f t="shared" si="45"/>
        <v>1</v>
      </c>
      <c r="M62" s="61">
        <f t="shared" si="45"/>
        <v>0</v>
      </c>
      <c r="N62" s="62">
        <f t="shared" si="45"/>
        <v>0</v>
      </c>
      <c r="O62" s="63">
        <f t="shared" si="45"/>
        <v>0</v>
      </c>
      <c r="P62" s="61">
        <f t="shared" si="45"/>
        <v>0</v>
      </c>
      <c r="Q62" s="62">
        <f t="shared" si="45"/>
        <v>0</v>
      </c>
      <c r="R62" s="63">
        <f t="shared" si="45"/>
        <v>0</v>
      </c>
      <c r="S62" s="61">
        <f t="shared" si="45"/>
        <v>0</v>
      </c>
      <c r="T62" s="62">
        <f t="shared" si="45"/>
        <v>0</v>
      </c>
      <c r="U62" s="63">
        <f t="shared" si="45"/>
        <v>0</v>
      </c>
      <c r="V62" s="61">
        <f t="shared" si="45"/>
        <v>0</v>
      </c>
      <c r="W62" s="62">
        <f t="shared" si="45"/>
        <v>0</v>
      </c>
      <c r="X62" s="63">
        <f t="shared" si="45"/>
        <v>0</v>
      </c>
      <c r="Y62" s="61">
        <f t="shared" si="45"/>
        <v>0</v>
      </c>
      <c r="Z62" s="62">
        <f t="shared" si="45"/>
        <v>0</v>
      </c>
      <c r="AA62" s="63">
        <f t="shared" si="45"/>
        <v>0</v>
      </c>
      <c r="AB62" s="61">
        <f t="shared" si="45"/>
        <v>0</v>
      </c>
      <c r="AC62" s="62">
        <f t="shared" si="45"/>
        <v>0</v>
      </c>
      <c r="AD62" s="63">
        <f t="shared" si="45"/>
        <v>0</v>
      </c>
      <c r="AE62" s="61">
        <f t="shared" si="45"/>
        <v>0</v>
      </c>
      <c r="AF62" s="62">
        <f t="shared" si="45"/>
        <v>0</v>
      </c>
      <c r="AG62" s="63">
        <f t="shared" si="45"/>
        <v>0</v>
      </c>
      <c r="AH62" s="61">
        <f t="shared" si="45"/>
        <v>0</v>
      </c>
      <c r="AI62" s="62">
        <f t="shared" si="45"/>
        <v>0</v>
      </c>
      <c r="AJ62" s="63">
        <f t="shared" si="45"/>
        <v>0</v>
      </c>
      <c r="AK62" s="61">
        <f t="shared" si="45"/>
        <v>0</v>
      </c>
      <c r="AL62" s="62">
        <f t="shared" si="45"/>
        <v>0</v>
      </c>
      <c r="AM62" s="63">
        <f t="shared" si="45"/>
        <v>0</v>
      </c>
      <c r="AN62" s="61">
        <f t="shared" si="45"/>
        <v>0</v>
      </c>
      <c r="AO62" s="62">
        <f t="shared" si="45"/>
        <v>0</v>
      </c>
      <c r="AP62" s="63">
        <f t="shared" si="45"/>
        <v>0</v>
      </c>
      <c r="AQ62" s="61">
        <f t="shared" si="45"/>
        <v>0</v>
      </c>
      <c r="AR62" s="62">
        <f t="shared" si="45"/>
        <v>0</v>
      </c>
      <c r="AS62" s="63">
        <f t="shared" si="45"/>
        <v>0</v>
      </c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</row>
    <row r="63" ht="12.0" hidden="1" customHeight="1" outlineLevel="1">
      <c r="A63" s="8"/>
      <c r="B63" s="8"/>
      <c r="C63" s="271" t="str">
        <f>Macro!B100</f>
        <v>IAM Lead</v>
      </c>
      <c r="D63" s="51"/>
      <c r="E63" s="62">
        <f t="shared" ref="E63:AS63" si="46">E162-D162</f>
        <v>0</v>
      </c>
      <c r="F63" s="62">
        <f t="shared" si="46"/>
        <v>0</v>
      </c>
      <c r="G63" s="61">
        <f t="shared" si="46"/>
        <v>0</v>
      </c>
      <c r="H63" s="62">
        <f t="shared" si="46"/>
        <v>0</v>
      </c>
      <c r="I63" s="63">
        <f t="shared" si="46"/>
        <v>0</v>
      </c>
      <c r="J63" s="61">
        <f t="shared" si="46"/>
        <v>0</v>
      </c>
      <c r="K63" s="62">
        <f t="shared" si="46"/>
        <v>0</v>
      </c>
      <c r="L63" s="63">
        <f t="shared" si="46"/>
        <v>0</v>
      </c>
      <c r="M63" s="61">
        <f t="shared" si="46"/>
        <v>1</v>
      </c>
      <c r="N63" s="62">
        <f t="shared" si="46"/>
        <v>0</v>
      </c>
      <c r="O63" s="63">
        <f t="shared" si="46"/>
        <v>0</v>
      </c>
      <c r="P63" s="61">
        <f t="shared" si="46"/>
        <v>0</v>
      </c>
      <c r="Q63" s="62">
        <f t="shared" si="46"/>
        <v>0</v>
      </c>
      <c r="R63" s="63">
        <f t="shared" si="46"/>
        <v>0</v>
      </c>
      <c r="S63" s="61">
        <f t="shared" si="46"/>
        <v>0</v>
      </c>
      <c r="T63" s="62">
        <f t="shared" si="46"/>
        <v>0</v>
      </c>
      <c r="U63" s="63">
        <f t="shared" si="46"/>
        <v>0</v>
      </c>
      <c r="V63" s="61">
        <f t="shared" si="46"/>
        <v>0</v>
      </c>
      <c r="W63" s="62">
        <f t="shared" si="46"/>
        <v>0</v>
      </c>
      <c r="X63" s="63">
        <f t="shared" si="46"/>
        <v>0</v>
      </c>
      <c r="Y63" s="61">
        <f t="shared" si="46"/>
        <v>0</v>
      </c>
      <c r="Z63" s="62">
        <f t="shared" si="46"/>
        <v>0</v>
      </c>
      <c r="AA63" s="63">
        <f t="shared" si="46"/>
        <v>0</v>
      </c>
      <c r="AB63" s="61">
        <f t="shared" si="46"/>
        <v>0</v>
      </c>
      <c r="AC63" s="62">
        <f t="shared" si="46"/>
        <v>0</v>
      </c>
      <c r="AD63" s="63">
        <f t="shared" si="46"/>
        <v>0</v>
      </c>
      <c r="AE63" s="61">
        <f t="shared" si="46"/>
        <v>0</v>
      </c>
      <c r="AF63" s="62">
        <f t="shared" si="46"/>
        <v>0</v>
      </c>
      <c r="AG63" s="63">
        <f t="shared" si="46"/>
        <v>0</v>
      </c>
      <c r="AH63" s="61">
        <f t="shared" si="46"/>
        <v>0</v>
      </c>
      <c r="AI63" s="62">
        <f t="shared" si="46"/>
        <v>0</v>
      </c>
      <c r="AJ63" s="63">
        <f t="shared" si="46"/>
        <v>0</v>
      </c>
      <c r="AK63" s="61">
        <f t="shared" si="46"/>
        <v>0</v>
      </c>
      <c r="AL63" s="62">
        <f t="shared" si="46"/>
        <v>0</v>
      </c>
      <c r="AM63" s="63">
        <f t="shared" si="46"/>
        <v>0</v>
      </c>
      <c r="AN63" s="61">
        <f t="shared" si="46"/>
        <v>0</v>
      </c>
      <c r="AO63" s="62">
        <f t="shared" si="46"/>
        <v>0</v>
      </c>
      <c r="AP63" s="63">
        <f t="shared" si="46"/>
        <v>0</v>
      </c>
      <c r="AQ63" s="61">
        <f t="shared" si="46"/>
        <v>0</v>
      </c>
      <c r="AR63" s="62">
        <f t="shared" si="46"/>
        <v>0</v>
      </c>
      <c r="AS63" s="63">
        <f t="shared" si="46"/>
        <v>0</v>
      </c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</row>
    <row r="64" ht="12.0" hidden="1" customHeight="1" outlineLevel="1">
      <c r="A64" s="8"/>
      <c r="B64" s="8"/>
      <c r="C64" s="271" t="str">
        <f>Macro!B101</f>
        <v>Platform/Agent Lead</v>
      </c>
      <c r="D64" s="51"/>
      <c r="E64" s="62">
        <f t="shared" ref="E64:AS64" si="47">E163-D163</f>
        <v>0</v>
      </c>
      <c r="F64" s="62">
        <f t="shared" si="47"/>
        <v>0</v>
      </c>
      <c r="G64" s="61">
        <f t="shared" si="47"/>
        <v>0</v>
      </c>
      <c r="H64" s="62">
        <f t="shared" si="47"/>
        <v>0</v>
      </c>
      <c r="I64" s="63">
        <f t="shared" si="47"/>
        <v>0</v>
      </c>
      <c r="J64" s="61">
        <f t="shared" si="47"/>
        <v>0</v>
      </c>
      <c r="K64" s="62">
        <f t="shared" si="47"/>
        <v>0</v>
      </c>
      <c r="L64" s="63">
        <f t="shared" si="47"/>
        <v>0</v>
      </c>
      <c r="M64" s="61">
        <f t="shared" si="47"/>
        <v>0</v>
      </c>
      <c r="N64" s="62">
        <f t="shared" si="47"/>
        <v>0</v>
      </c>
      <c r="O64" s="63">
        <f t="shared" si="47"/>
        <v>0</v>
      </c>
      <c r="P64" s="61">
        <f t="shared" si="47"/>
        <v>0</v>
      </c>
      <c r="Q64" s="62">
        <f t="shared" si="47"/>
        <v>0</v>
      </c>
      <c r="R64" s="63">
        <f t="shared" si="47"/>
        <v>0</v>
      </c>
      <c r="S64" s="61">
        <f t="shared" si="47"/>
        <v>0</v>
      </c>
      <c r="T64" s="62">
        <f t="shared" si="47"/>
        <v>0</v>
      </c>
      <c r="U64" s="63">
        <f t="shared" si="47"/>
        <v>0</v>
      </c>
      <c r="V64" s="61">
        <f t="shared" si="47"/>
        <v>0</v>
      </c>
      <c r="W64" s="62">
        <f t="shared" si="47"/>
        <v>0</v>
      </c>
      <c r="X64" s="63">
        <f t="shared" si="47"/>
        <v>0</v>
      </c>
      <c r="Y64" s="61">
        <f t="shared" si="47"/>
        <v>0</v>
      </c>
      <c r="Z64" s="62">
        <f t="shared" si="47"/>
        <v>0</v>
      </c>
      <c r="AA64" s="63">
        <f t="shared" si="47"/>
        <v>0</v>
      </c>
      <c r="AB64" s="61">
        <f t="shared" si="47"/>
        <v>0</v>
      </c>
      <c r="AC64" s="62">
        <f t="shared" si="47"/>
        <v>0</v>
      </c>
      <c r="AD64" s="63">
        <f t="shared" si="47"/>
        <v>0</v>
      </c>
      <c r="AE64" s="61">
        <f t="shared" si="47"/>
        <v>0</v>
      </c>
      <c r="AF64" s="62">
        <f t="shared" si="47"/>
        <v>0</v>
      </c>
      <c r="AG64" s="63">
        <f t="shared" si="47"/>
        <v>0</v>
      </c>
      <c r="AH64" s="61">
        <f t="shared" si="47"/>
        <v>0</v>
      </c>
      <c r="AI64" s="62">
        <f t="shared" si="47"/>
        <v>0</v>
      </c>
      <c r="AJ64" s="63">
        <f t="shared" si="47"/>
        <v>0</v>
      </c>
      <c r="AK64" s="61">
        <f t="shared" si="47"/>
        <v>0</v>
      </c>
      <c r="AL64" s="62">
        <f t="shared" si="47"/>
        <v>0</v>
      </c>
      <c r="AM64" s="63">
        <f t="shared" si="47"/>
        <v>0</v>
      </c>
      <c r="AN64" s="61">
        <f t="shared" si="47"/>
        <v>0</v>
      </c>
      <c r="AO64" s="62">
        <f t="shared" si="47"/>
        <v>0</v>
      </c>
      <c r="AP64" s="63">
        <f t="shared" si="47"/>
        <v>0</v>
      </c>
      <c r="AQ64" s="61">
        <f t="shared" si="47"/>
        <v>0</v>
      </c>
      <c r="AR64" s="62">
        <f t="shared" si="47"/>
        <v>0</v>
      </c>
      <c r="AS64" s="63">
        <f t="shared" si="47"/>
        <v>0</v>
      </c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</row>
    <row r="65" ht="12.0" hidden="1" customHeight="1" outlineLevel="1">
      <c r="A65" s="8"/>
      <c r="B65" s="8"/>
      <c r="C65" s="271" t="str">
        <f>Macro!B102</f>
        <v>Security Engineer</v>
      </c>
      <c r="D65" s="51"/>
      <c r="E65" s="62">
        <f t="shared" ref="E65:AS65" si="48">E164-D164</f>
        <v>0</v>
      </c>
      <c r="F65" s="62">
        <f t="shared" si="48"/>
        <v>0</v>
      </c>
      <c r="G65" s="61">
        <f t="shared" si="48"/>
        <v>0</v>
      </c>
      <c r="H65" s="62">
        <f t="shared" si="48"/>
        <v>0</v>
      </c>
      <c r="I65" s="63">
        <f t="shared" si="48"/>
        <v>0</v>
      </c>
      <c r="J65" s="61">
        <f t="shared" si="48"/>
        <v>0</v>
      </c>
      <c r="K65" s="62">
        <f t="shared" si="48"/>
        <v>0</v>
      </c>
      <c r="L65" s="63">
        <f t="shared" si="48"/>
        <v>1</v>
      </c>
      <c r="M65" s="61">
        <f t="shared" si="48"/>
        <v>0</v>
      </c>
      <c r="N65" s="62">
        <f t="shared" si="48"/>
        <v>0</v>
      </c>
      <c r="O65" s="63">
        <f t="shared" si="48"/>
        <v>0</v>
      </c>
      <c r="P65" s="61">
        <f t="shared" si="48"/>
        <v>0</v>
      </c>
      <c r="Q65" s="62">
        <f t="shared" si="48"/>
        <v>0</v>
      </c>
      <c r="R65" s="63">
        <f t="shared" si="48"/>
        <v>0</v>
      </c>
      <c r="S65" s="61">
        <f t="shared" si="48"/>
        <v>0</v>
      </c>
      <c r="T65" s="62">
        <f t="shared" si="48"/>
        <v>0</v>
      </c>
      <c r="U65" s="63">
        <f t="shared" si="48"/>
        <v>0</v>
      </c>
      <c r="V65" s="61">
        <f t="shared" si="48"/>
        <v>0</v>
      </c>
      <c r="W65" s="62">
        <f t="shared" si="48"/>
        <v>0</v>
      </c>
      <c r="X65" s="63">
        <f t="shared" si="48"/>
        <v>0</v>
      </c>
      <c r="Y65" s="61">
        <f t="shared" si="48"/>
        <v>0</v>
      </c>
      <c r="Z65" s="62">
        <f t="shared" si="48"/>
        <v>0</v>
      </c>
      <c r="AA65" s="63">
        <f t="shared" si="48"/>
        <v>0</v>
      </c>
      <c r="AB65" s="61">
        <f t="shared" si="48"/>
        <v>0</v>
      </c>
      <c r="AC65" s="62">
        <f t="shared" si="48"/>
        <v>0</v>
      </c>
      <c r="AD65" s="63">
        <f t="shared" si="48"/>
        <v>0</v>
      </c>
      <c r="AE65" s="61">
        <f t="shared" si="48"/>
        <v>0</v>
      </c>
      <c r="AF65" s="62">
        <f t="shared" si="48"/>
        <v>0</v>
      </c>
      <c r="AG65" s="63">
        <f t="shared" si="48"/>
        <v>0</v>
      </c>
      <c r="AH65" s="61">
        <f t="shared" si="48"/>
        <v>0</v>
      </c>
      <c r="AI65" s="62">
        <f t="shared" si="48"/>
        <v>0</v>
      </c>
      <c r="AJ65" s="63">
        <f t="shared" si="48"/>
        <v>0</v>
      </c>
      <c r="AK65" s="61">
        <f t="shared" si="48"/>
        <v>0</v>
      </c>
      <c r="AL65" s="62">
        <f t="shared" si="48"/>
        <v>0</v>
      </c>
      <c r="AM65" s="63">
        <f t="shared" si="48"/>
        <v>0</v>
      </c>
      <c r="AN65" s="61">
        <f t="shared" si="48"/>
        <v>0</v>
      </c>
      <c r="AO65" s="62">
        <f t="shared" si="48"/>
        <v>0</v>
      </c>
      <c r="AP65" s="63">
        <f t="shared" si="48"/>
        <v>0</v>
      </c>
      <c r="AQ65" s="61">
        <f t="shared" si="48"/>
        <v>0</v>
      </c>
      <c r="AR65" s="62">
        <f t="shared" si="48"/>
        <v>0</v>
      </c>
      <c r="AS65" s="63">
        <f t="shared" si="48"/>
        <v>0</v>
      </c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</row>
    <row r="66" ht="12.0" hidden="1" customHeight="1" outlineLevel="1">
      <c r="A66" s="8"/>
      <c r="B66" s="8"/>
      <c r="C66" s="271" t="str">
        <f>Macro!B103</f>
        <v>Engr Manager</v>
      </c>
      <c r="D66" s="51"/>
      <c r="E66" s="62">
        <f t="shared" ref="E66:AS66" si="49">E165-D165</f>
        <v>0</v>
      </c>
      <c r="F66" s="62">
        <f t="shared" si="49"/>
        <v>0</v>
      </c>
      <c r="G66" s="61">
        <f t="shared" si="49"/>
        <v>0</v>
      </c>
      <c r="H66" s="62">
        <f t="shared" si="49"/>
        <v>0</v>
      </c>
      <c r="I66" s="63">
        <f t="shared" si="49"/>
        <v>0</v>
      </c>
      <c r="J66" s="61">
        <f t="shared" si="49"/>
        <v>0</v>
      </c>
      <c r="K66" s="62">
        <f t="shared" si="49"/>
        <v>0</v>
      </c>
      <c r="L66" s="63">
        <f t="shared" si="49"/>
        <v>0</v>
      </c>
      <c r="M66" s="61">
        <f t="shared" si="49"/>
        <v>0</v>
      </c>
      <c r="N66" s="62">
        <f t="shared" si="49"/>
        <v>0</v>
      </c>
      <c r="O66" s="63">
        <f t="shared" si="49"/>
        <v>0</v>
      </c>
      <c r="P66" s="61">
        <f t="shared" si="49"/>
        <v>0</v>
      </c>
      <c r="Q66" s="62">
        <f t="shared" si="49"/>
        <v>0</v>
      </c>
      <c r="R66" s="63">
        <f t="shared" si="49"/>
        <v>1</v>
      </c>
      <c r="S66" s="61">
        <f t="shared" si="49"/>
        <v>0</v>
      </c>
      <c r="T66" s="62">
        <f t="shared" si="49"/>
        <v>0</v>
      </c>
      <c r="U66" s="63">
        <f t="shared" si="49"/>
        <v>0</v>
      </c>
      <c r="V66" s="61">
        <f t="shared" si="49"/>
        <v>0</v>
      </c>
      <c r="W66" s="62">
        <f t="shared" si="49"/>
        <v>0</v>
      </c>
      <c r="X66" s="63">
        <f t="shared" si="49"/>
        <v>0</v>
      </c>
      <c r="Y66" s="61">
        <f t="shared" si="49"/>
        <v>0</v>
      </c>
      <c r="Z66" s="62">
        <f t="shared" si="49"/>
        <v>0</v>
      </c>
      <c r="AA66" s="63">
        <f t="shared" si="49"/>
        <v>0</v>
      </c>
      <c r="AB66" s="61">
        <f t="shared" si="49"/>
        <v>0</v>
      </c>
      <c r="AC66" s="62">
        <f t="shared" si="49"/>
        <v>0</v>
      </c>
      <c r="AD66" s="63">
        <f t="shared" si="49"/>
        <v>0</v>
      </c>
      <c r="AE66" s="61">
        <f t="shared" si="49"/>
        <v>0</v>
      </c>
      <c r="AF66" s="62">
        <f t="shared" si="49"/>
        <v>0</v>
      </c>
      <c r="AG66" s="63">
        <f t="shared" si="49"/>
        <v>0</v>
      </c>
      <c r="AH66" s="61">
        <f t="shared" si="49"/>
        <v>0</v>
      </c>
      <c r="AI66" s="62">
        <f t="shared" si="49"/>
        <v>0</v>
      </c>
      <c r="AJ66" s="63">
        <f t="shared" si="49"/>
        <v>0</v>
      </c>
      <c r="AK66" s="61">
        <f t="shared" si="49"/>
        <v>0</v>
      </c>
      <c r="AL66" s="62">
        <f t="shared" si="49"/>
        <v>0</v>
      </c>
      <c r="AM66" s="63">
        <f t="shared" si="49"/>
        <v>0</v>
      </c>
      <c r="AN66" s="61">
        <f t="shared" si="49"/>
        <v>0</v>
      </c>
      <c r="AO66" s="62">
        <f t="shared" si="49"/>
        <v>0</v>
      </c>
      <c r="AP66" s="63">
        <f t="shared" si="49"/>
        <v>0</v>
      </c>
      <c r="AQ66" s="61">
        <f t="shared" si="49"/>
        <v>0</v>
      </c>
      <c r="AR66" s="62">
        <f t="shared" si="49"/>
        <v>0</v>
      </c>
      <c r="AS66" s="63">
        <f t="shared" si="49"/>
        <v>0</v>
      </c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</row>
    <row r="67" ht="12.0" hidden="1" customHeight="1" outlineLevel="1">
      <c r="A67" s="8"/>
      <c r="B67" s="8"/>
      <c r="C67" s="271" t="str">
        <f>Macro!B104</f>
        <v>[XX]</v>
      </c>
      <c r="D67" s="51"/>
      <c r="E67" s="62">
        <f t="shared" ref="E67:AS67" si="50">E166-D166</f>
        <v>0</v>
      </c>
      <c r="F67" s="62">
        <f t="shared" si="50"/>
        <v>0</v>
      </c>
      <c r="G67" s="61">
        <f t="shared" si="50"/>
        <v>0</v>
      </c>
      <c r="H67" s="62">
        <f t="shared" si="50"/>
        <v>0</v>
      </c>
      <c r="I67" s="63">
        <f t="shared" si="50"/>
        <v>0</v>
      </c>
      <c r="J67" s="61">
        <f t="shared" si="50"/>
        <v>0</v>
      </c>
      <c r="K67" s="62">
        <f t="shared" si="50"/>
        <v>0</v>
      </c>
      <c r="L67" s="63">
        <f t="shared" si="50"/>
        <v>0</v>
      </c>
      <c r="M67" s="61">
        <f t="shared" si="50"/>
        <v>0</v>
      </c>
      <c r="N67" s="62">
        <f t="shared" si="50"/>
        <v>0</v>
      </c>
      <c r="O67" s="63">
        <f t="shared" si="50"/>
        <v>0</v>
      </c>
      <c r="P67" s="61">
        <f t="shared" si="50"/>
        <v>0</v>
      </c>
      <c r="Q67" s="62">
        <f t="shared" si="50"/>
        <v>0</v>
      </c>
      <c r="R67" s="63">
        <f t="shared" si="50"/>
        <v>0</v>
      </c>
      <c r="S67" s="61">
        <f t="shared" si="50"/>
        <v>0</v>
      </c>
      <c r="T67" s="62">
        <f t="shared" si="50"/>
        <v>0</v>
      </c>
      <c r="U67" s="63">
        <f t="shared" si="50"/>
        <v>0</v>
      </c>
      <c r="V67" s="61">
        <f t="shared" si="50"/>
        <v>0</v>
      </c>
      <c r="W67" s="62">
        <f t="shared" si="50"/>
        <v>0</v>
      </c>
      <c r="X67" s="63">
        <f t="shared" si="50"/>
        <v>0</v>
      </c>
      <c r="Y67" s="61">
        <f t="shared" si="50"/>
        <v>0</v>
      </c>
      <c r="Z67" s="62">
        <f t="shared" si="50"/>
        <v>0</v>
      </c>
      <c r="AA67" s="63">
        <f t="shared" si="50"/>
        <v>0</v>
      </c>
      <c r="AB67" s="61">
        <f t="shared" si="50"/>
        <v>0</v>
      </c>
      <c r="AC67" s="62">
        <f t="shared" si="50"/>
        <v>0</v>
      </c>
      <c r="AD67" s="63">
        <f t="shared" si="50"/>
        <v>0</v>
      </c>
      <c r="AE67" s="61">
        <f t="shared" si="50"/>
        <v>0</v>
      </c>
      <c r="AF67" s="62">
        <f t="shared" si="50"/>
        <v>0</v>
      </c>
      <c r="AG67" s="63">
        <f t="shared" si="50"/>
        <v>0</v>
      </c>
      <c r="AH67" s="61">
        <f t="shared" si="50"/>
        <v>0</v>
      </c>
      <c r="AI67" s="62">
        <f t="shared" si="50"/>
        <v>0</v>
      </c>
      <c r="AJ67" s="63">
        <f t="shared" si="50"/>
        <v>0</v>
      </c>
      <c r="AK67" s="61">
        <f t="shared" si="50"/>
        <v>0</v>
      </c>
      <c r="AL67" s="62">
        <f t="shared" si="50"/>
        <v>0</v>
      </c>
      <c r="AM67" s="63">
        <f t="shared" si="50"/>
        <v>0</v>
      </c>
      <c r="AN67" s="61">
        <f t="shared" si="50"/>
        <v>0</v>
      </c>
      <c r="AO67" s="62">
        <f t="shared" si="50"/>
        <v>0</v>
      </c>
      <c r="AP67" s="63">
        <f t="shared" si="50"/>
        <v>0</v>
      </c>
      <c r="AQ67" s="61">
        <f t="shared" si="50"/>
        <v>0</v>
      </c>
      <c r="AR67" s="62">
        <f t="shared" si="50"/>
        <v>0</v>
      </c>
      <c r="AS67" s="63">
        <f t="shared" si="50"/>
        <v>0</v>
      </c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</row>
    <row r="68" ht="12.0" hidden="1" customHeight="1" outlineLevel="1">
      <c r="A68" s="8"/>
      <c r="B68" s="8"/>
      <c r="C68" s="271" t="str">
        <f>Macro!B105</f>
        <v>[XX]</v>
      </c>
      <c r="D68" s="51"/>
      <c r="E68" s="62">
        <f t="shared" ref="E68:AS68" si="51">E167-D167</f>
        <v>0</v>
      </c>
      <c r="F68" s="62">
        <f t="shared" si="51"/>
        <v>0</v>
      </c>
      <c r="G68" s="61">
        <f t="shared" si="51"/>
        <v>0</v>
      </c>
      <c r="H68" s="62">
        <f t="shared" si="51"/>
        <v>0</v>
      </c>
      <c r="I68" s="63">
        <f t="shared" si="51"/>
        <v>0</v>
      </c>
      <c r="J68" s="61">
        <f t="shared" si="51"/>
        <v>0</v>
      </c>
      <c r="K68" s="62">
        <f t="shared" si="51"/>
        <v>0</v>
      </c>
      <c r="L68" s="63">
        <f t="shared" si="51"/>
        <v>0</v>
      </c>
      <c r="M68" s="61">
        <f t="shared" si="51"/>
        <v>0</v>
      </c>
      <c r="N68" s="62">
        <f t="shared" si="51"/>
        <v>0</v>
      </c>
      <c r="O68" s="63">
        <f t="shared" si="51"/>
        <v>0</v>
      </c>
      <c r="P68" s="61">
        <f t="shared" si="51"/>
        <v>0</v>
      </c>
      <c r="Q68" s="62">
        <f t="shared" si="51"/>
        <v>0</v>
      </c>
      <c r="R68" s="63">
        <f t="shared" si="51"/>
        <v>0</v>
      </c>
      <c r="S68" s="61">
        <f t="shared" si="51"/>
        <v>0</v>
      </c>
      <c r="T68" s="62">
        <f t="shared" si="51"/>
        <v>0</v>
      </c>
      <c r="U68" s="63">
        <f t="shared" si="51"/>
        <v>0</v>
      </c>
      <c r="V68" s="61">
        <f t="shared" si="51"/>
        <v>0</v>
      </c>
      <c r="W68" s="62">
        <f t="shared" si="51"/>
        <v>0</v>
      </c>
      <c r="X68" s="63">
        <f t="shared" si="51"/>
        <v>0</v>
      </c>
      <c r="Y68" s="61">
        <f t="shared" si="51"/>
        <v>0</v>
      </c>
      <c r="Z68" s="62">
        <f t="shared" si="51"/>
        <v>0</v>
      </c>
      <c r="AA68" s="63">
        <f t="shared" si="51"/>
        <v>0</v>
      </c>
      <c r="AB68" s="61">
        <f t="shared" si="51"/>
        <v>0</v>
      </c>
      <c r="AC68" s="62">
        <f t="shared" si="51"/>
        <v>0</v>
      </c>
      <c r="AD68" s="63">
        <f t="shared" si="51"/>
        <v>0</v>
      </c>
      <c r="AE68" s="61">
        <f t="shared" si="51"/>
        <v>0</v>
      </c>
      <c r="AF68" s="62">
        <f t="shared" si="51"/>
        <v>0</v>
      </c>
      <c r="AG68" s="63">
        <f t="shared" si="51"/>
        <v>0</v>
      </c>
      <c r="AH68" s="61">
        <f t="shared" si="51"/>
        <v>0</v>
      </c>
      <c r="AI68" s="62">
        <f t="shared" si="51"/>
        <v>0</v>
      </c>
      <c r="AJ68" s="63">
        <f t="shared" si="51"/>
        <v>0</v>
      </c>
      <c r="AK68" s="61">
        <f t="shared" si="51"/>
        <v>0</v>
      </c>
      <c r="AL68" s="62">
        <f t="shared" si="51"/>
        <v>0</v>
      </c>
      <c r="AM68" s="63">
        <f t="shared" si="51"/>
        <v>0</v>
      </c>
      <c r="AN68" s="61">
        <f t="shared" si="51"/>
        <v>0</v>
      </c>
      <c r="AO68" s="62">
        <f t="shared" si="51"/>
        <v>0</v>
      </c>
      <c r="AP68" s="63">
        <f t="shared" si="51"/>
        <v>0</v>
      </c>
      <c r="AQ68" s="61">
        <f t="shared" si="51"/>
        <v>0</v>
      </c>
      <c r="AR68" s="62">
        <f t="shared" si="51"/>
        <v>0</v>
      </c>
      <c r="AS68" s="63">
        <f t="shared" si="51"/>
        <v>0</v>
      </c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</row>
    <row r="69" ht="12.0" hidden="1" customHeight="1" outlineLevel="1">
      <c r="A69" s="8"/>
      <c r="B69" s="8"/>
      <c r="C69" s="271" t="str">
        <f>Macro!B106</f>
        <v>[XX]</v>
      </c>
      <c r="D69" s="51"/>
      <c r="E69" s="62">
        <f t="shared" ref="E69:AS69" si="52">E168-D168</f>
        <v>0</v>
      </c>
      <c r="F69" s="62">
        <f t="shared" si="52"/>
        <v>0</v>
      </c>
      <c r="G69" s="61">
        <f t="shared" si="52"/>
        <v>0</v>
      </c>
      <c r="H69" s="62">
        <f t="shared" si="52"/>
        <v>0</v>
      </c>
      <c r="I69" s="63">
        <f t="shared" si="52"/>
        <v>0</v>
      </c>
      <c r="J69" s="61">
        <f t="shared" si="52"/>
        <v>0</v>
      </c>
      <c r="K69" s="62">
        <f t="shared" si="52"/>
        <v>0</v>
      </c>
      <c r="L69" s="63">
        <f t="shared" si="52"/>
        <v>0</v>
      </c>
      <c r="M69" s="61">
        <f t="shared" si="52"/>
        <v>0</v>
      </c>
      <c r="N69" s="62">
        <f t="shared" si="52"/>
        <v>0</v>
      </c>
      <c r="O69" s="63">
        <f t="shared" si="52"/>
        <v>0</v>
      </c>
      <c r="P69" s="61">
        <f t="shared" si="52"/>
        <v>0</v>
      </c>
      <c r="Q69" s="62">
        <f t="shared" si="52"/>
        <v>0</v>
      </c>
      <c r="R69" s="63">
        <f t="shared" si="52"/>
        <v>0</v>
      </c>
      <c r="S69" s="61">
        <f t="shared" si="52"/>
        <v>0</v>
      </c>
      <c r="T69" s="62">
        <f t="shared" si="52"/>
        <v>0</v>
      </c>
      <c r="U69" s="63">
        <f t="shared" si="52"/>
        <v>0</v>
      </c>
      <c r="V69" s="61">
        <f t="shared" si="52"/>
        <v>0</v>
      </c>
      <c r="W69" s="62">
        <f t="shared" si="52"/>
        <v>0</v>
      </c>
      <c r="X69" s="63">
        <f t="shared" si="52"/>
        <v>0</v>
      </c>
      <c r="Y69" s="61">
        <f t="shared" si="52"/>
        <v>0</v>
      </c>
      <c r="Z69" s="62">
        <f t="shared" si="52"/>
        <v>0</v>
      </c>
      <c r="AA69" s="63">
        <f t="shared" si="52"/>
        <v>0</v>
      </c>
      <c r="AB69" s="61">
        <f t="shared" si="52"/>
        <v>0</v>
      </c>
      <c r="AC69" s="62">
        <f t="shared" si="52"/>
        <v>0</v>
      </c>
      <c r="AD69" s="63">
        <f t="shared" si="52"/>
        <v>0</v>
      </c>
      <c r="AE69" s="61">
        <f t="shared" si="52"/>
        <v>0</v>
      </c>
      <c r="AF69" s="62">
        <f t="shared" si="52"/>
        <v>0</v>
      </c>
      <c r="AG69" s="63">
        <f t="shared" si="52"/>
        <v>0</v>
      </c>
      <c r="AH69" s="61">
        <f t="shared" si="52"/>
        <v>0</v>
      </c>
      <c r="AI69" s="62">
        <f t="shared" si="52"/>
        <v>0</v>
      </c>
      <c r="AJ69" s="63">
        <f t="shared" si="52"/>
        <v>0</v>
      </c>
      <c r="AK69" s="61">
        <f t="shared" si="52"/>
        <v>0</v>
      </c>
      <c r="AL69" s="62">
        <f t="shared" si="52"/>
        <v>0</v>
      </c>
      <c r="AM69" s="63">
        <f t="shared" si="52"/>
        <v>0</v>
      </c>
      <c r="AN69" s="61">
        <f t="shared" si="52"/>
        <v>0</v>
      </c>
      <c r="AO69" s="62">
        <f t="shared" si="52"/>
        <v>0</v>
      </c>
      <c r="AP69" s="63">
        <f t="shared" si="52"/>
        <v>0</v>
      </c>
      <c r="AQ69" s="61">
        <f t="shared" si="52"/>
        <v>0</v>
      </c>
      <c r="AR69" s="62">
        <f t="shared" si="52"/>
        <v>0</v>
      </c>
      <c r="AS69" s="63">
        <f t="shared" si="52"/>
        <v>0</v>
      </c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</row>
    <row r="70" ht="12.0" hidden="1" customHeight="1" outlineLevel="1">
      <c r="A70" s="8"/>
      <c r="B70" s="8"/>
      <c r="C70" s="271" t="str">
        <f>Macro!B107</f>
        <v>[XX]</v>
      </c>
      <c r="D70" s="51"/>
      <c r="E70" s="62">
        <f t="shared" ref="E70:AS70" si="53">E169-D169</f>
        <v>0</v>
      </c>
      <c r="F70" s="62">
        <f t="shared" si="53"/>
        <v>0</v>
      </c>
      <c r="G70" s="61">
        <f t="shared" si="53"/>
        <v>0</v>
      </c>
      <c r="H70" s="62">
        <f t="shared" si="53"/>
        <v>0</v>
      </c>
      <c r="I70" s="63">
        <f t="shared" si="53"/>
        <v>0</v>
      </c>
      <c r="J70" s="61">
        <f t="shared" si="53"/>
        <v>0</v>
      </c>
      <c r="K70" s="62">
        <f t="shared" si="53"/>
        <v>0</v>
      </c>
      <c r="L70" s="63">
        <f t="shared" si="53"/>
        <v>0</v>
      </c>
      <c r="M70" s="61">
        <f t="shared" si="53"/>
        <v>0</v>
      </c>
      <c r="N70" s="62">
        <f t="shared" si="53"/>
        <v>0</v>
      </c>
      <c r="O70" s="63">
        <f t="shared" si="53"/>
        <v>0</v>
      </c>
      <c r="P70" s="61">
        <f t="shared" si="53"/>
        <v>0</v>
      </c>
      <c r="Q70" s="62">
        <f t="shared" si="53"/>
        <v>0</v>
      </c>
      <c r="R70" s="63">
        <f t="shared" si="53"/>
        <v>0</v>
      </c>
      <c r="S70" s="61">
        <f t="shared" si="53"/>
        <v>0</v>
      </c>
      <c r="T70" s="62">
        <f t="shared" si="53"/>
        <v>0</v>
      </c>
      <c r="U70" s="63">
        <f t="shared" si="53"/>
        <v>0</v>
      </c>
      <c r="V70" s="61">
        <f t="shared" si="53"/>
        <v>0</v>
      </c>
      <c r="W70" s="62">
        <f t="shared" si="53"/>
        <v>0</v>
      </c>
      <c r="X70" s="63">
        <f t="shared" si="53"/>
        <v>0</v>
      </c>
      <c r="Y70" s="61">
        <f t="shared" si="53"/>
        <v>0</v>
      </c>
      <c r="Z70" s="62">
        <f t="shared" si="53"/>
        <v>0</v>
      </c>
      <c r="AA70" s="63">
        <f t="shared" si="53"/>
        <v>0</v>
      </c>
      <c r="AB70" s="61">
        <f t="shared" si="53"/>
        <v>0</v>
      </c>
      <c r="AC70" s="62">
        <f t="shared" si="53"/>
        <v>0</v>
      </c>
      <c r="AD70" s="63">
        <f t="shared" si="53"/>
        <v>0</v>
      </c>
      <c r="AE70" s="61">
        <f t="shared" si="53"/>
        <v>0</v>
      </c>
      <c r="AF70" s="62">
        <f t="shared" si="53"/>
        <v>0</v>
      </c>
      <c r="AG70" s="63">
        <f t="shared" si="53"/>
        <v>0</v>
      </c>
      <c r="AH70" s="61">
        <f t="shared" si="53"/>
        <v>0</v>
      </c>
      <c r="AI70" s="62">
        <f t="shared" si="53"/>
        <v>0</v>
      </c>
      <c r="AJ70" s="63">
        <f t="shared" si="53"/>
        <v>0</v>
      </c>
      <c r="AK70" s="61">
        <f t="shared" si="53"/>
        <v>0</v>
      </c>
      <c r="AL70" s="62">
        <f t="shared" si="53"/>
        <v>0</v>
      </c>
      <c r="AM70" s="63">
        <f t="shared" si="53"/>
        <v>0</v>
      </c>
      <c r="AN70" s="61">
        <f t="shared" si="53"/>
        <v>0</v>
      </c>
      <c r="AO70" s="62">
        <f t="shared" si="53"/>
        <v>0</v>
      </c>
      <c r="AP70" s="63">
        <f t="shared" si="53"/>
        <v>0</v>
      </c>
      <c r="AQ70" s="61">
        <f t="shared" si="53"/>
        <v>0</v>
      </c>
      <c r="AR70" s="62">
        <f t="shared" si="53"/>
        <v>0</v>
      </c>
      <c r="AS70" s="63">
        <f t="shared" si="53"/>
        <v>0</v>
      </c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</row>
    <row r="71" ht="12.0" hidden="1" customHeight="1" outlineLevel="1">
      <c r="A71" s="8"/>
      <c r="B71" s="8"/>
      <c r="C71" s="271" t="str">
        <f>Macro!B108</f>
        <v>[XX]</v>
      </c>
      <c r="D71" s="51"/>
      <c r="E71" s="62">
        <f t="shared" ref="E71:AS71" si="54">E170-D170</f>
        <v>0</v>
      </c>
      <c r="F71" s="62">
        <f t="shared" si="54"/>
        <v>0</v>
      </c>
      <c r="G71" s="61">
        <f t="shared" si="54"/>
        <v>0</v>
      </c>
      <c r="H71" s="62">
        <f t="shared" si="54"/>
        <v>0</v>
      </c>
      <c r="I71" s="63">
        <f t="shared" si="54"/>
        <v>0</v>
      </c>
      <c r="J71" s="61">
        <f t="shared" si="54"/>
        <v>0</v>
      </c>
      <c r="K71" s="62">
        <f t="shared" si="54"/>
        <v>0</v>
      </c>
      <c r="L71" s="63">
        <f t="shared" si="54"/>
        <v>0</v>
      </c>
      <c r="M71" s="61">
        <f t="shared" si="54"/>
        <v>0</v>
      </c>
      <c r="N71" s="62">
        <f t="shared" si="54"/>
        <v>0</v>
      </c>
      <c r="O71" s="63">
        <f t="shared" si="54"/>
        <v>0</v>
      </c>
      <c r="P71" s="61">
        <f t="shared" si="54"/>
        <v>0</v>
      </c>
      <c r="Q71" s="62">
        <f t="shared" si="54"/>
        <v>0</v>
      </c>
      <c r="R71" s="63">
        <f t="shared" si="54"/>
        <v>0</v>
      </c>
      <c r="S71" s="61">
        <f t="shared" si="54"/>
        <v>0</v>
      </c>
      <c r="T71" s="62">
        <f t="shared" si="54"/>
        <v>0</v>
      </c>
      <c r="U71" s="63">
        <f t="shared" si="54"/>
        <v>0</v>
      </c>
      <c r="V71" s="61">
        <f t="shared" si="54"/>
        <v>0</v>
      </c>
      <c r="W71" s="62">
        <f t="shared" si="54"/>
        <v>0</v>
      </c>
      <c r="X71" s="63">
        <f t="shared" si="54"/>
        <v>0</v>
      </c>
      <c r="Y71" s="61">
        <f t="shared" si="54"/>
        <v>0</v>
      </c>
      <c r="Z71" s="62">
        <f t="shared" si="54"/>
        <v>0</v>
      </c>
      <c r="AA71" s="63">
        <f t="shared" si="54"/>
        <v>0</v>
      </c>
      <c r="AB71" s="61">
        <f t="shared" si="54"/>
        <v>0</v>
      </c>
      <c r="AC71" s="62">
        <f t="shared" si="54"/>
        <v>0</v>
      </c>
      <c r="AD71" s="63">
        <f t="shared" si="54"/>
        <v>0</v>
      </c>
      <c r="AE71" s="61">
        <f t="shared" si="54"/>
        <v>0</v>
      </c>
      <c r="AF71" s="62">
        <f t="shared" si="54"/>
        <v>0</v>
      </c>
      <c r="AG71" s="63">
        <f t="shared" si="54"/>
        <v>0</v>
      </c>
      <c r="AH71" s="61">
        <f t="shared" si="54"/>
        <v>0</v>
      </c>
      <c r="AI71" s="62">
        <f t="shared" si="54"/>
        <v>0</v>
      </c>
      <c r="AJ71" s="63">
        <f t="shared" si="54"/>
        <v>0</v>
      </c>
      <c r="AK71" s="61">
        <f t="shared" si="54"/>
        <v>0</v>
      </c>
      <c r="AL71" s="62">
        <f t="shared" si="54"/>
        <v>0</v>
      </c>
      <c r="AM71" s="63">
        <f t="shared" si="54"/>
        <v>0</v>
      </c>
      <c r="AN71" s="61">
        <f t="shared" si="54"/>
        <v>0</v>
      </c>
      <c r="AO71" s="62">
        <f t="shared" si="54"/>
        <v>0</v>
      </c>
      <c r="AP71" s="63">
        <f t="shared" si="54"/>
        <v>0</v>
      </c>
      <c r="AQ71" s="61">
        <f t="shared" si="54"/>
        <v>0</v>
      </c>
      <c r="AR71" s="62">
        <f t="shared" si="54"/>
        <v>0</v>
      </c>
      <c r="AS71" s="63">
        <f t="shared" si="54"/>
        <v>0</v>
      </c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</row>
    <row r="72" ht="12.0" hidden="1" customHeight="1" outlineLevel="1">
      <c r="A72" s="8"/>
      <c r="B72" s="8"/>
      <c r="C72" s="272" t="str">
        <f>Macro!B109</f>
        <v>[XX]</v>
      </c>
      <c r="D72" s="273"/>
      <c r="E72" s="254">
        <f t="shared" ref="E72:AS72" si="55">E171-D171</f>
        <v>0</v>
      </c>
      <c r="F72" s="254">
        <f t="shared" si="55"/>
        <v>0</v>
      </c>
      <c r="G72" s="230">
        <f t="shared" si="55"/>
        <v>0</v>
      </c>
      <c r="H72" s="254">
        <f t="shared" si="55"/>
        <v>0</v>
      </c>
      <c r="I72" s="255">
        <f t="shared" si="55"/>
        <v>0</v>
      </c>
      <c r="J72" s="230">
        <f t="shared" si="55"/>
        <v>0</v>
      </c>
      <c r="K72" s="254">
        <f t="shared" si="55"/>
        <v>0</v>
      </c>
      <c r="L72" s="255">
        <f t="shared" si="55"/>
        <v>0</v>
      </c>
      <c r="M72" s="230">
        <f t="shared" si="55"/>
        <v>0</v>
      </c>
      <c r="N72" s="254">
        <f t="shared" si="55"/>
        <v>0</v>
      </c>
      <c r="O72" s="255">
        <f t="shared" si="55"/>
        <v>0</v>
      </c>
      <c r="P72" s="230">
        <f t="shared" si="55"/>
        <v>0</v>
      </c>
      <c r="Q72" s="254">
        <f t="shared" si="55"/>
        <v>0</v>
      </c>
      <c r="R72" s="255">
        <f t="shared" si="55"/>
        <v>0</v>
      </c>
      <c r="S72" s="230">
        <f t="shared" si="55"/>
        <v>0</v>
      </c>
      <c r="T72" s="254">
        <f t="shared" si="55"/>
        <v>0</v>
      </c>
      <c r="U72" s="255">
        <f t="shared" si="55"/>
        <v>0</v>
      </c>
      <c r="V72" s="230">
        <f t="shared" si="55"/>
        <v>0</v>
      </c>
      <c r="W72" s="254">
        <f t="shared" si="55"/>
        <v>0</v>
      </c>
      <c r="X72" s="255">
        <f t="shared" si="55"/>
        <v>0</v>
      </c>
      <c r="Y72" s="230">
        <f t="shared" si="55"/>
        <v>0</v>
      </c>
      <c r="Z72" s="254">
        <f t="shared" si="55"/>
        <v>0</v>
      </c>
      <c r="AA72" s="255">
        <f t="shared" si="55"/>
        <v>0</v>
      </c>
      <c r="AB72" s="230">
        <f t="shared" si="55"/>
        <v>0</v>
      </c>
      <c r="AC72" s="254">
        <f t="shared" si="55"/>
        <v>0</v>
      </c>
      <c r="AD72" s="255">
        <f t="shared" si="55"/>
        <v>0</v>
      </c>
      <c r="AE72" s="230">
        <f t="shared" si="55"/>
        <v>0</v>
      </c>
      <c r="AF72" s="254">
        <f t="shared" si="55"/>
        <v>0</v>
      </c>
      <c r="AG72" s="255">
        <f t="shared" si="55"/>
        <v>0</v>
      </c>
      <c r="AH72" s="230">
        <f t="shared" si="55"/>
        <v>0</v>
      </c>
      <c r="AI72" s="254">
        <f t="shared" si="55"/>
        <v>0</v>
      </c>
      <c r="AJ72" s="255">
        <f t="shared" si="55"/>
        <v>0</v>
      </c>
      <c r="AK72" s="230">
        <f t="shared" si="55"/>
        <v>0</v>
      </c>
      <c r="AL72" s="254">
        <f t="shared" si="55"/>
        <v>0</v>
      </c>
      <c r="AM72" s="255">
        <f t="shared" si="55"/>
        <v>0</v>
      </c>
      <c r="AN72" s="230">
        <f t="shared" si="55"/>
        <v>0</v>
      </c>
      <c r="AO72" s="254">
        <f t="shared" si="55"/>
        <v>0</v>
      </c>
      <c r="AP72" s="255">
        <f t="shared" si="55"/>
        <v>0</v>
      </c>
      <c r="AQ72" s="230">
        <f t="shared" si="55"/>
        <v>0</v>
      </c>
      <c r="AR72" s="254">
        <f t="shared" si="55"/>
        <v>0</v>
      </c>
      <c r="AS72" s="255">
        <f t="shared" si="55"/>
        <v>0</v>
      </c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</row>
    <row r="73" ht="12.0" hidden="1" customHeight="1" outlineLevel="1">
      <c r="A73" s="8"/>
      <c r="B73" s="8"/>
      <c r="C73" s="270" t="s">
        <v>73</v>
      </c>
      <c r="D73" s="51"/>
      <c r="E73" s="52">
        <f t="shared" ref="E73:AS73" si="56">SUM(E48:E72)</f>
        <v>0</v>
      </c>
      <c r="F73" s="52">
        <f t="shared" si="56"/>
        <v>0</v>
      </c>
      <c r="G73" s="51">
        <f t="shared" si="56"/>
        <v>0</v>
      </c>
      <c r="H73" s="52">
        <f t="shared" si="56"/>
        <v>0</v>
      </c>
      <c r="I73" s="53">
        <f t="shared" si="56"/>
        <v>0</v>
      </c>
      <c r="J73" s="51">
        <f t="shared" si="56"/>
        <v>0</v>
      </c>
      <c r="K73" s="52">
        <f t="shared" si="56"/>
        <v>0</v>
      </c>
      <c r="L73" s="53">
        <f t="shared" si="56"/>
        <v>5</v>
      </c>
      <c r="M73" s="51">
        <f t="shared" si="56"/>
        <v>1</v>
      </c>
      <c r="N73" s="52">
        <f t="shared" si="56"/>
        <v>0</v>
      </c>
      <c r="O73" s="53">
        <f t="shared" si="56"/>
        <v>1</v>
      </c>
      <c r="P73" s="51">
        <f t="shared" si="56"/>
        <v>0</v>
      </c>
      <c r="Q73" s="52">
        <f t="shared" si="56"/>
        <v>0</v>
      </c>
      <c r="R73" s="53">
        <f t="shared" si="56"/>
        <v>1</v>
      </c>
      <c r="S73" s="51">
        <f t="shared" si="56"/>
        <v>0</v>
      </c>
      <c r="T73" s="52">
        <f t="shared" si="56"/>
        <v>0</v>
      </c>
      <c r="U73" s="53">
        <f t="shared" si="56"/>
        <v>0</v>
      </c>
      <c r="V73" s="51">
        <f t="shared" si="56"/>
        <v>0</v>
      </c>
      <c r="W73" s="52">
        <f t="shared" si="56"/>
        <v>0</v>
      </c>
      <c r="X73" s="53">
        <f t="shared" si="56"/>
        <v>0</v>
      </c>
      <c r="Y73" s="51">
        <f t="shared" si="56"/>
        <v>0</v>
      </c>
      <c r="Z73" s="52">
        <f t="shared" si="56"/>
        <v>0</v>
      </c>
      <c r="AA73" s="53">
        <f t="shared" si="56"/>
        <v>0</v>
      </c>
      <c r="AB73" s="51">
        <f t="shared" si="56"/>
        <v>0</v>
      </c>
      <c r="AC73" s="52">
        <f t="shared" si="56"/>
        <v>0</v>
      </c>
      <c r="AD73" s="53">
        <f t="shared" si="56"/>
        <v>0</v>
      </c>
      <c r="AE73" s="51">
        <f t="shared" si="56"/>
        <v>0</v>
      </c>
      <c r="AF73" s="52">
        <f t="shared" si="56"/>
        <v>0</v>
      </c>
      <c r="AG73" s="53">
        <f t="shared" si="56"/>
        <v>0</v>
      </c>
      <c r="AH73" s="51">
        <f t="shared" si="56"/>
        <v>0</v>
      </c>
      <c r="AI73" s="52">
        <f t="shared" si="56"/>
        <v>0</v>
      </c>
      <c r="AJ73" s="53">
        <f t="shared" si="56"/>
        <v>0</v>
      </c>
      <c r="AK73" s="51">
        <f t="shared" si="56"/>
        <v>0</v>
      </c>
      <c r="AL73" s="52">
        <f t="shared" si="56"/>
        <v>0</v>
      </c>
      <c r="AM73" s="53">
        <f t="shared" si="56"/>
        <v>0</v>
      </c>
      <c r="AN73" s="51">
        <f t="shared" si="56"/>
        <v>0</v>
      </c>
      <c r="AO73" s="52">
        <f t="shared" si="56"/>
        <v>0</v>
      </c>
      <c r="AP73" s="53">
        <f t="shared" si="56"/>
        <v>0</v>
      </c>
      <c r="AQ73" s="51">
        <f t="shared" si="56"/>
        <v>0</v>
      </c>
      <c r="AR73" s="52">
        <f t="shared" si="56"/>
        <v>0</v>
      </c>
      <c r="AS73" s="53">
        <f t="shared" si="56"/>
        <v>0</v>
      </c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</row>
    <row r="74" ht="12.0" hidden="1" customHeight="1" outlineLevel="1">
      <c r="A74" s="8"/>
      <c r="B74" s="8"/>
      <c r="C74" s="8"/>
      <c r="D74" s="51"/>
      <c r="E74" s="52"/>
      <c r="F74" s="52"/>
      <c r="G74" s="51"/>
      <c r="H74" s="52"/>
      <c r="I74" s="53"/>
      <c r="J74" s="51"/>
      <c r="K74" s="52"/>
      <c r="L74" s="53"/>
      <c r="M74" s="51"/>
      <c r="N74" s="52"/>
      <c r="O74" s="53"/>
      <c r="P74" s="51"/>
      <c r="Q74" s="52"/>
      <c r="R74" s="53"/>
      <c r="S74" s="51"/>
      <c r="T74" s="52"/>
      <c r="U74" s="53"/>
      <c r="V74" s="51"/>
      <c r="W74" s="52"/>
      <c r="X74" s="53"/>
      <c r="Y74" s="51"/>
      <c r="Z74" s="52"/>
      <c r="AA74" s="53"/>
      <c r="AB74" s="51"/>
      <c r="AC74" s="52"/>
      <c r="AD74" s="53"/>
      <c r="AE74" s="51"/>
      <c r="AF74" s="52"/>
      <c r="AG74" s="53"/>
      <c r="AH74" s="51"/>
      <c r="AI74" s="52"/>
      <c r="AJ74" s="53"/>
      <c r="AK74" s="51"/>
      <c r="AL74" s="52"/>
      <c r="AM74" s="53"/>
      <c r="AN74" s="51"/>
      <c r="AO74" s="52"/>
      <c r="AP74" s="53"/>
      <c r="AQ74" s="51"/>
      <c r="AR74" s="52"/>
      <c r="AS74" s="53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</row>
    <row r="75" ht="12.0" hidden="1" customHeight="1" outlineLevel="1">
      <c r="A75" s="8"/>
      <c r="B75" s="270" t="s">
        <v>125</v>
      </c>
      <c r="C75" s="8"/>
      <c r="D75" s="51"/>
      <c r="E75" s="52"/>
      <c r="F75" s="52"/>
      <c r="G75" s="51"/>
      <c r="H75" s="52"/>
      <c r="I75" s="53"/>
      <c r="J75" s="51"/>
      <c r="K75" s="52"/>
      <c r="L75" s="53"/>
      <c r="M75" s="51"/>
      <c r="N75" s="52"/>
      <c r="O75" s="53"/>
      <c r="P75" s="51"/>
      <c r="Q75" s="52"/>
      <c r="R75" s="53"/>
      <c r="S75" s="51"/>
      <c r="T75" s="52"/>
      <c r="U75" s="53"/>
      <c r="V75" s="51"/>
      <c r="W75" s="52"/>
      <c r="X75" s="53"/>
      <c r="Y75" s="51"/>
      <c r="Z75" s="52"/>
      <c r="AA75" s="53"/>
      <c r="AB75" s="51"/>
      <c r="AC75" s="52"/>
      <c r="AD75" s="53"/>
      <c r="AE75" s="51"/>
      <c r="AF75" s="52"/>
      <c r="AG75" s="53"/>
      <c r="AH75" s="51"/>
      <c r="AI75" s="52"/>
      <c r="AJ75" s="53"/>
      <c r="AK75" s="51"/>
      <c r="AL75" s="52"/>
      <c r="AM75" s="53"/>
      <c r="AN75" s="51"/>
      <c r="AO75" s="52"/>
      <c r="AP75" s="53"/>
      <c r="AQ75" s="51"/>
      <c r="AR75" s="52"/>
      <c r="AS75" s="53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</row>
    <row r="76" ht="12.75" hidden="1" customHeight="1" outlineLevel="1">
      <c r="A76" s="8"/>
      <c r="B76" s="8"/>
      <c r="C76" s="271" t="str">
        <f>Macro!B112</f>
        <v>Founding Product Designer</v>
      </c>
      <c r="D76" s="51"/>
      <c r="E76" s="62">
        <f t="shared" ref="E76:AS76" si="57">E175-D175</f>
        <v>0</v>
      </c>
      <c r="F76" s="62">
        <f t="shared" si="57"/>
        <v>0</v>
      </c>
      <c r="G76" s="61">
        <f t="shared" si="57"/>
        <v>0</v>
      </c>
      <c r="H76" s="62">
        <f t="shared" si="57"/>
        <v>0</v>
      </c>
      <c r="I76" s="63">
        <f t="shared" si="57"/>
        <v>0</v>
      </c>
      <c r="J76" s="61">
        <f t="shared" si="57"/>
        <v>0</v>
      </c>
      <c r="K76" s="62">
        <f t="shared" si="57"/>
        <v>0</v>
      </c>
      <c r="L76" s="63">
        <f t="shared" si="57"/>
        <v>0</v>
      </c>
      <c r="M76" s="62">
        <f t="shared" si="57"/>
        <v>0</v>
      </c>
      <c r="N76" s="62">
        <f t="shared" si="57"/>
        <v>0</v>
      </c>
      <c r="O76" s="63">
        <f t="shared" si="57"/>
        <v>0</v>
      </c>
      <c r="P76" s="61">
        <f t="shared" si="57"/>
        <v>0</v>
      </c>
      <c r="Q76" s="62">
        <f t="shared" si="57"/>
        <v>0</v>
      </c>
      <c r="R76" s="63">
        <f t="shared" si="57"/>
        <v>0</v>
      </c>
      <c r="S76" s="61">
        <f t="shared" si="57"/>
        <v>0</v>
      </c>
      <c r="T76" s="62">
        <f t="shared" si="57"/>
        <v>0</v>
      </c>
      <c r="U76" s="63">
        <f t="shared" si="57"/>
        <v>0</v>
      </c>
      <c r="V76" s="61">
        <f t="shared" si="57"/>
        <v>0</v>
      </c>
      <c r="W76" s="62">
        <f t="shared" si="57"/>
        <v>0</v>
      </c>
      <c r="X76" s="63">
        <f t="shared" si="57"/>
        <v>0</v>
      </c>
      <c r="Y76" s="61">
        <f t="shared" si="57"/>
        <v>0</v>
      </c>
      <c r="Z76" s="62">
        <f t="shared" si="57"/>
        <v>0</v>
      </c>
      <c r="AA76" s="63">
        <f t="shared" si="57"/>
        <v>0</v>
      </c>
      <c r="AB76" s="61">
        <f t="shared" si="57"/>
        <v>0</v>
      </c>
      <c r="AC76" s="62">
        <f t="shared" si="57"/>
        <v>0</v>
      </c>
      <c r="AD76" s="63">
        <f t="shared" si="57"/>
        <v>0</v>
      </c>
      <c r="AE76" s="61">
        <f t="shared" si="57"/>
        <v>0</v>
      </c>
      <c r="AF76" s="62">
        <f t="shared" si="57"/>
        <v>0</v>
      </c>
      <c r="AG76" s="63">
        <f t="shared" si="57"/>
        <v>0</v>
      </c>
      <c r="AH76" s="61">
        <f t="shared" si="57"/>
        <v>0</v>
      </c>
      <c r="AI76" s="62">
        <f t="shared" si="57"/>
        <v>0</v>
      </c>
      <c r="AJ76" s="63">
        <f t="shared" si="57"/>
        <v>0</v>
      </c>
      <c r="AK76" s="61">
        <f t="shared" si="57"/>
        <v>0</v>
      </c>
      <c r="AL76" s="62">
        <f t="shared" si="57"/>
        <v>0</v>
      </c>
      <c r="AM76" s="63">
        <f t="shared" si="57"/>
        <v>0</v>
      </c>
      <c r="AN76" s="61">
        <f t="shared" si="57"/>
        <v>0</v>
      </c>
      <c r="AO76" s="62">
        <f t="shared" si="57"/>
        <v>0</v>
      </c>
      <c r="AP76" s="63">
        <f t="shared" si="57"/>
        <v>0</v>
      </c>
      <c r="AQ76" s="61">
        <f t="shared" si="57"/>
        <v>0</v>
      </c>
      <c r="AR76" s="62">
        <f t="shared" si="57"/>
        <v>0</v>
      </c>
      <c r="AS76" s="63">
        <f t="shared" si="57"/>
        <v>0</v>
      </c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</row>
    <row r="77" ht="12.0" hidden="1" customHeight="1" outlineLevel="1">
      <c r="A77" s="8"/>
      <c r="B77" s="8"/>
      <c r="C77" s="271" t="str">
        <f>Macro!B113</f>
        <v>Product Manager</v>
      </c>
      <c r="D77" s="51"/>
      <c r="E77" s="62">
        <f t="shared" ref="E77:AS77" si="58">E176-D176</f>
        <v>0</v>
      </c>
      <c r="F77" s="62">
        <f t="shared" si="58"/>
        <v>0</v>
      </c>
      <c r="G77" s="61">
        <f t="shared" si="58"/>
        <v>0</v>
      </c>
      <c r="H77" s="62">
        <f t="shared" si="58"/>
        <v>0</v>
      </c>
      <c r="I77" s="63">
        <f t="shared" si="58"/>
        <v>0</v>
      </c>
      <c r="J77" s="61">
        <f t="shared" si="58"/>
        <v>0</v>
      </c>
      <c r="K77" s="62">
        <f t="shared" si="58"/>
        <v>0</v>
      </c>
      <c r="L77" s="63">
        <f t="shared" si="58"/>
        <v>0</v>
      </c>
      <c r="M77" s="61">
        <f t="shared" si="58"/>
        <v>0</v>
      </c>
      <c r="N77" s="62">
        <f t="shared" si="58"/>
        <v>0</v>
      </c>
      <c r="O77" s="63">
        <f t="shared" si="58"/>
        <v>0</v>
      </c>
      <c r="P77" s="61">
        <f t="shared" si="58"/>
        <v>0</v>
      </c>
      <c r="Q77" s="62">
        <f t="shared" si="58"/>
        <v>0</v>
      </c>
      <c r="R77" s="63">
        <f t="shared" si="58"/>
        <v>0</v>
      </c>
      <c r="S77" s="61">
        <f t="shared" si="58"/>
        <v>0</v>
      </c>
      <c r="T77" s="62">
        <f t="shared" si="58"/>
        <v>0</v>
      </c>
      <c r="U77" s="63">
        <f t="shared" si="58"/>
        <v>0</v>
      </c>
      <c r="V77" s="61">
        <f t="shared" si="58"/>
        <v>0</v>
      </c>
      <c r="W77" s="62">
        <f t="shared" si="58"/>
        <v>0</v>
      </c>
      <c r="X77" s="63">
        <f t="shared" si="58"/>
        <v>0</v>
      </c>
      <c r="Y77" s="61">
        <f t="shared" si="58"/>
        <v>0</v>
      </c>
      <c r="Z77" s="62">
        <f t="shared" si="58"/>
        <v>0</v>
      </c>
      <c r="AA77" s="63">
        <f t="shared" si="58"/>
        <v>0</v>
      </c>
      <c r="AB77" s="61">
        <f t="shared" si="58"/>
        <v>0</v>
      </c>
      <c r="AC77" s="62">
        <f t="shared" si="58"/>
        <v>0</v>
      </c>
      <c r="AD77" s="63">
        <f t="shared" si="58"/>
        <v>0</v>
      </c>
      <c r="AE77" s="61">
        <f t="shared" si="58"/>
        <v>0</v>
      </c>
      <c r="AF77" s="62">
        <f t="shared" si="58"/>
        <v>0</v>
      </c>
      <c r="AG77" s="63">
        <f t="shared" si="58"/>
        <v>0</v>
      </c>
      <c r="AH77" s="61">
        <f t="shared" si="58"/>
        <v>0</v>
      </c>
      <c r="AI77" s="62">
        <f t="shared" si="58"/>
        <v>0</v>
      </c>
      <c r="AJ77" s="63">
        <f t="shared" si="58"/>
        <v>0</v>
      </c>
      <c r="AK77" s="61">
        <f t="shared" si="58"/>
        <v>0</v>
      </c>
      <c r="AL77" s="62">
        <f t="shared" si="58"/>
        <v>0</v>
      </c>
      <c r="AM77" s="63">
        <f t="shared" si="58"/>
        <v>0</v>
      </c>
      <c r="AN77" s="61">
        <f t="shared" si="58"/>
        <v>0</v>
      </c>
      <c r="AO77" s="62">
        <f t="shared" si="58"/>
        <v>0</v>
      </c>
      <c r="AP77" s="63">
        <f t="shared" si="58"/>
        <v>0</v>
      </c>
      <c r="AQ77" s="61">
        <f t="shared" si="58"/>
        <v>0</v>
      </c>
      <c r="AR77" s="62">
        <f t="shared" si="58"/>
        <v>0</v>
      </c>
      <c r="AS77" s="63">
        <f t="shared" si="58"/>
        <v>0</v>
      </c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</row>
    <row r="78" ht="12.0" hidden="1" customHeight="1" outlineLevel="1">
      <c r="A78" s="8"/>
      <c r="B78" s="8"/>
      <c r="C78" s="271" t="str">
        <f>Macro!B114</f>
        <v>Tech Writer</v>
      </c>
      <c r="D78" s="51"/>
      <c r="E78" s="62">
        <f t="shared" ref="E78:AS78" si="59">E177-D177</f>
        <v>0</v>
      </c>
      <c r="F78" s="62">
        <f t="shared" si="59"/>
        <v>0</v>
      </c>
      <c r="G78" s="61">
        <f t="shared" si="59"/>
        <v>0</v>
      </c>
      <c r="H78" s="62">
        <f t="shared" si="59"/>
        <v>0</v>
      </c>
      <c r="I78" s="63">
        <f t="shared" si="59"/>
        <v>0</v>
      </c>
      <c r="J78" s="61">
        <f t="shared" si="59"/>
        <v>0</v>
      </c>
      <c r="K78" s="62">
        <f t="shared" si="59"/>
        <v>0</v>
      </c>
      <c r="L78" s="63">
        <f t="shared" si="59"/>
        <v>0</v>
      </c>
      <c r="M78" s="61">
        <f t="shared" si="59"/>
        <v>0</v>
      </c>
      <c r="N78" s="62">
        <f t="shared" si="59"/>
        <v>0</v>
      </c>
      <c r="O78" s="63">
        <f t="shared" si="59"/>
        <v>0</v>
      </c>
      <c r="P78" s="61">
        <f t="shared" si="59"/>
        <v>0</v>
      </c>
      <c r="Q78" s="62">
        <f t="shared" si="59"/>
        <v>0</v>
      </c>
      <c r="R78" s="63">
        <f t="shared" si="59"/>
        <v>0</v>
      </c>
      <c r="S78" s="61">
        <f t="shared" si="59"/>
        <v>0</v>
      </c>
      <c r="T78" s="62">
        <f t="shared" si="59"/>
        <v>0</v>
      </c>
      <c r="U78" s="63">
        <f t="shared" si="59"/>
        <v>0</v>
      </c>
      <c r="V78" s="61">
        <f t="shared" si="59"/>
        <v>0</v>
      </c>
      <c r="W78" s="62">
        <f t="shared" si="59"/>
        <v>0</v>
      </c>
      <c r="X78" s="63">
        <f t="shared" si="59"/>
        <v>0</v>
      </c>
      <c r="Y78" s="61">
        <f t="shared" si="59"/>
        <v>0</v>
      </c>
      <c r="Z78" s="62">
        <f t="shared" si="59"/>
        <v>0</v>
      </c>
      <c r="AA78" s="63">
        <f t="shared" si="59"/>
        <v>0</v>
      </c>
      <c r="AB78" s="61">
        <f t="shared" si="59"/>
        <v>0</v>
      </c>
      <c r="AC78" s="62">
        <f t="shared" si="59"/>
        <v>0</v>
      </c>
      <c r="AD78" s="63">
        <f t="shared" si="59"/>
        <v>0</v>
      </c>
      <c r="AE78" s="61">
        <f t="shared" si="59"/>
        <v>0</v>
      </c>
      <c r="AF78" s="62">
        <f t="shared" si="59"/>
        <v>0</v>
      </c>
      <c r="AG78" s="63">
        <f t="shared" si="59"/>
        <v>0</v>
      </c>
      <c r="AH78" s="61">
        <f t="shared" si="59"/>
        <v>0</v>
      </c>
      <c r="AI78" s="62">
        <f t="shared" si="59"/>
        <v>0</v>
      </c>
      <c r="AJ78" s="63">
        <f t="shared" si="59"/>
        <v>0</v>
      </c>
      <c r="AK78" s="61">
        <f t="shared" si="59"/>
        <v>0</v>
      </c>
      <c r="AL78" s="62">
        <f t="shared" si="59"/>
        <v>0</v>
      </c>
      <c r="AM78" s="63">
        <f t="shared" si="59"/>
        <v>0</v>
      </c>
      <c r="AN78" s="61">
        <f t="shared" si="59"/>
        <v>0</v>
      </c>
      <c r="AO78" s="62">
        <f t="shared" si="59"/>
        <v>0</v>
      </c>
      <c r="AP78" s="63">
        <f t="shared" si="59"/>
        <v>0</v>
      </c>
      <c r="AQ78" s="61">
        <f t="shared" si="59"/>
        <v>0</v>
      </c>
      <c r="AR78" s="62">
        <f t="shared" si="59"/>
        <v>0</v>
      </c>
      <c r="AS78" s="63">
        <f t="shared" si="59"/>
        <v>0</v>
      </c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</row>
    <row r="79" ht="12.0" hidden="1" customHeight="1" outlineLevel="1">
      <c r="A79" s="8"/>
      <c r="B79" s="8"/>
      <c r="C79" s="271" t="str">
        <f>Macro!B115</f>
        <v>[XX]</v>
      </c>
      <c r="D79" s="51"/>
      <c r="E79" s="62">
        <f t="shared" ref="E79:AS79" si="60">E178-D178</f>
        <v>0</v>
      </c>
      <c r="F79" s="62">
        <f t="shared" si="60"/>
        <v>0</v>
      </c>
      <c r="G79" s="61">
        <f t="shared" si="60"/>
        <v>0</v>
      </c>
      <c r="H79" s="62">
        <f t="shared" si="60"/>
        <v>0</v>
      </c>
      <c r="I79" s="63">
        <f t="shared" si="60"/>
        <v>0</v>
      </c>
      <c r="J79" s="61">
        <f t="shared" si="60"/>
        <v>0</v>
      </c>
      <c r="K79" s="62">
        <f t="shared" si="60"/>
        <v>0</v>
      </c>
      <c r="L79" s="63">
        <f t="shared" si="60"/>
        <v>0</v>
      </c>
      <c r="M79" s="61">
        <f t="shared" si="60"/>
        <v>0</v>
      </c>
      <c r="N79" s="62">
        <f t="shared" si="60"/>
        <v>0</v>
      </c>
      <c r="O79" s="63">
        <f t="shared" si="60"/>
        <v>0</v>
      </c>
      <c r="P79" s="61">
        <f t="shared" si="60"/>
        <v>0</v>
      </c>
      <c r="Q79" s="62">
        <f t="shared" si="60"/>
        <v>0</v>
      </c>
      <c r="R79" s="63">
        <f t="shared" si="60"/>
        <v>0</v>
      </c>
      <c r="S79" s="61">
        <f t="shared" si="60"/>
        <v>0</v>
      </c>
      <c r="T79" s="62">
        <f t="shared" si="60"/>
        <v>0</v>
      </c>
      <c r="U79" s="63">
        <f t="shared" si="60"/>
        <v>0</v>
      </c>
      <c r="V79" s="61">
        <f t="shared" si="60"/>
        <v>0</v>
      </c>
      <c r="W79" s="62">
        <f t="shared" si="60"/>
        <v>0</v>
      </c>
      <c r="X79" s="63">
        <f t="shared" si="60"/>
        <v>0</v>
      </c>
      <c r="Y79" s="61">
        <f t="shared" si="60"/>
        <v>0</v>
      </c>
      <c r="Z79" s="62">
        <f t="shared" si="60"/>
        <v>0</v>
      </c>
      <c r="AA79" s="63">
        <f t="shared" si="60"/>
        <v>0</v>
      </c>
      <c r="AB79" s="61">
        <f t="shared" si="60"/>
        <v>0</v>
      </c>
      <c r="AC79" s="62">
        <f t="shared" si="60"/>
        <v>0</v>
      </c>
      <c r="AD79" s="63">
        <f t="shared" si="60"/>
        <v>0</v>
      </c>
      <c r="AE79" s="61">
        <f t="shared" si="60"/>
        <v>0</v>
      </c>
      <c r="AF79" s="62">
        <f t="shared" si="60"/>
        <v>0</v>
      </c>
      <c r="AG79" s="63">
        <f t="shared" si="60"/>
        <v>0</v>
      </c>
      <c r="AH79" s="61">
        <f t="shared" si="60"/>
        <v>0</v>
      </c>
      <c r="AI79" s="62">
        <f t="shared" si="60"/>
        <v>0</v>
      </c>
      <c r="AJ79" s="63">
        <f t="shared" si="60"/>
        <v>0</v>
      </c>
      <c r="AK79" s="61">
        <f t="shared" si="60"/>
        <v>0</v>
      </c>
      <c r="AL79" s="62">
        <f t="shared" si="60"/>
        <v>0</v>
      </c>
      <c r="AM79" s="63">
        <f t="shared" si="60"/>
        <v>0</v>
      </c>
      <c r="AN79" s="61">
        <f t="shared" si="60"/>
        <v>0</v>
      </c>
      <c r="AO79" s="62">
        <f t="shared" si="60"/>
        <v>0</v>
      </c>
      <c r="AP79" s="63">
        <f t="shared" si="60"/>
        <v>0</v>
      </c>
      <c r="AQ79" s="61">
        <f t="shared" si="60"/>
        <v>0</v>
      </c>
      <c r="AR79" s="62">
        <f t="shared" si="60"/>
        <v>0</v>
      </c>
      <c r="AS79" s="63">
        <f t="shared" si="60"/>
        <v>0</v>
      </c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</row>
    <row r="80" ht="12.0" hidden="1" customHeight="1" outlineLevel="1">
      <c r="A80" s="8"/>
      <c r="B80" s="8"/>
      <c r="C80" s="271" t="str">
        <f>Macro!B116</f>
        <v>[XX]</v>
      </c>
      <c r="D80" s="51"/>
      <c r="E80" s="62">
        <f t="shared" ref="E80:AS80" si="61">E179-D179</f>
        <v>0</v>
      </c>
      <c r="F80" s="62">
        <f t="shared" si="61"/>
        <v>0</v>
      </c>
      <c r="G80" s="61">
        <f t="shared" si="61"/>
        <v>0</v>
      </c>
      <c r="H80" s="62">
        <f t="shared" si="61"/>
        <v>0</v>
      </c>
      <c r="I80" s="63">
        <f t="shared" si="61"/>
        <v>0</v>
      </c>
      <c r="J80" s="61">
        <f t="shared" si="61"/>
        <v>0</v>
      </c>
      <c r="K80" s="62">
        <f t="shared" si="61"/>
        <v>0</v>
      </c>
      <c r="L80" s="63">
        <f t="shared" si="61"/>
        <v>0</v>
      </c>
      <c r="M80" s="61">
        <f t="shared" si="61"/>
        <v>0</v>
      </c>
      <c r="N80" s="62">
        <f t="shared" si="61"/>
        <v>0</v>
      </c>
      <c r="O80" s="63">
        <f t="shared" si="61"/>
        <v>0</v>
      </c>
      <c r="P80" s="61">
        <f t="shared" si="61"/>
        <v>0</v>
      </c>
      <c r="Q80" s="62">
        <f t="shared" si="61"/>
        <v>0</v>
      </c>
      <c r="R80" s="63">
        <f t="shared" si="61"/>
        <v>0</v>
      </c>
      <c r="S80" s="61">
        <f t="shared" si="61"/>
        <v>0</v>
      </c>
      <c r="T80" s="62">
        <f t="shared" si="61"/>
        <v>0</v>
      </c>
      <c r="U80" s="63">
        <f t="shared" si="61"/>
        <v>0</v>
      </c>
      <c r="V80" s="61">
        <f t="shared" si="61"/>
        <v>0</v>
      </c>
      <c r="W80" s="62">
        <f t="shared" si="61"/>
        <v>0</v>
      </c>
      <c r="X80" s="63">
        <f t="shared" si="61"/>
        <v>0</v>
      </c>
      <c r="Y80" s="61">
        <f t="shared" si="61"/>
        <v>0</v>
      </c>
      <c r="Z80" s="62">
        <f t="shared" si="61"/>
        <v>0</v>
      </c>
      <c r="AA80" s="63">
        <f t="shared" si="61"/>
        <v>0</v>
      </c>
      <c r="AB80" s="61">
        <f t="shared" si="61"/>
        <v>0</v>
      </c>
      <c r="AC80" s="62">
        <f t="shared" si="61"/>
        <v>0</v>
      </c>
      <c r="AD80" s="63">
        <f t="shared" si="61"/>
        <v>0</v>
      </c>
      <c r="AE80" s="61">
        <f t="shared" si="61"/>
        <v>0</v>
      </c>
      <c r="AF80" s="62">
        <f t="shared" si="61"/>
        <v>0</v>
      </c>
      <c r="AG80" s="63">
        <f t="shared" si="61"/>
        <v>0</v>
      </c>
      <c r="AH80" s="61">
        <f t="shared" si="61"/>
        <v>0</v>
      </c>
      <c r="AI80" s="62">
        <f t="shared" si="61"/>
        <v>0</v>
      </c>
      <c r="AJ80" s="63">
        <f t="shared" si="61"/>
        <v>0</v>
      </c>
      <c r="AK80" s="61">
        <f t="shared" si="61"/>
        <v>0</v>
      </c>
      <c r="AL80" s="62">
        <f t="shared" si="61"/>
        <v>0</v>
      </c>
      <c r="AM80" s="63">
        <f t="shared" si="61"/>
        <v>0</v>
      </c>
      <c r="AN80" s="61">
        <f t="shared" si="61"/>
        <v>0</v>
      </c>
      <c r="AO80" s="62">
        <f t="shared" si="61"/>
        <v>0</v>
      </c>
      <c r="AP80" s="63">
        <f t="shared" si="61"/>
        <v>0</v>
      </c>
      <c r="AQ80" s="61">
        <f t="shared" si="61"/>
        <v>0</v>
      </c>
      <c r="AR80" s="62">
        <f t="shared" si="61"/>
        <v>0</v>
      </c>
      <c r="AS80" s="63">
        <f t="shared" si="61"/>
        <v>0</v>
      </c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</row>
    <row r="81" ht="12.0" hidden="1" customHeight="1" outlineLevel="1">
      <c r="A81" s="8"/>
      <c r="B81" s="8"/>
      <c r="C81" s="271" t="str">
        <f>Macro!B117</f>
        <v>[XX]</v>
      </c>
      <c r="D81" s="51"/>
      <c r="E81" s="62">
        <f t="shared" ref="E81:AS81" si="62">E180-D180</f>
        <v>0</v>
      </c>
      <c r="F81" s="62">
        <f t="shared" si="62"/>
        <v>0</v>
      </c>
      <c r="G81" s="61">
        <f t="shared" si="62"/>
        <v>0</v>
      </c>
      <c r="H81" s="62">
        <f t="shared" si="62"/>
        <v>0</v>
      </c>
      <c r="I81" s="63">
        <f t="shared" si="62"/>
        <v>0</v>
      </c>
      <c r="J81" s="61">
        <f t="shared" si="62"/>
        <v>0</v>
      </c>
      <c r="K81" s="62">
        <f t="shared" si="62"/>
        <v>0</v>
      </c>
      <c r="L81" s="63">
        <f t="shared" si="62"/>
        <v>0</v>
      </c>
      <c r="M81" s="61">
        <f t="shared" si="62"/>
        <v>0</v>
      </c>
      <c r="N81" s="62">
        <f t="shared" si="62"/>
        <v>0</v>
      </c>
      <c r="O81" s="63">
        <f t="shared" si="62"/>
        <v>0</v>
      </c>
      <c r="P81" s="61">
        <f t="shared" si="62"/>
        <v>0</v>
      </c>
      <c r="Q81" s="62">
        <f t="shared" si="62"/>
        <v>0</v>
      </c>
      <c r="R81" s="63">
        <f t="shared" si="62"/>
        <v>0</v>
      </c>
      <c r="S81" s="61">
        <f t="shared" si="62"/>
        <v>0</v>
      </c>
      <c r="T81" s="62">
        <f t="shared" si="62"/>
        <v>0</v>
      </c>
      <c r="U81" s="63">
        <f t="shared" si="62"/>
        <v>0</v>
      </c>
      <c r="V81" s="61">
        <f t="shared" si="62"/>
        <v>0</v>
      </c>
      <c r="W81" s="62">
        <f t="shared" si="62"/>
        <v>0</v>
      </c>
      <c r="X81" s="63">
        <f t="shared" si="62"/>
        <v>0</v>
      </c>
      <c r="Y81" s="61">
        <f t="shared" si="62"/>
        <v>0</v>
      </c>
      <c r="Z81" s="62">
        <f t="shared" si="62"/>
        <v>0</v>
      </c>
      <c r="AA81" s="63">
        <f t="shared" si="62"/>
        <v>0</v>
      </c>
      <c r="AB81" s="61">
        <f t="shared" si="62"/>
        <v>0</v>
      </c>
      <c r="AC81" s="62">
        <f t="shared" si="62"/>
        <v>0</v>
      </c>
      <c r="AD81" s="63">
        <f t="shared" si="62"/>
        <v>0</v>
      </c>
      <c r="AE81" s="61">
        <f t="shared" si="62"/>
        <v>0</v>
      </c>
      <c r="AF81" s="62">
        <f t="shared" si="62"/>
        <v>0</v>
      </c>
      <c r="AG81" s="63">
        <f t="shared" si="62"/>
        <v>0</v>
      </c>
      <c r="AH81" s="61">
        <f t="shared" si="62"/>
        <v>0</v>
      </c>
      <c r="AI81" s="62">
        <f t="shared" si="62"/>
        <v>0</v>
      </c>
      <c r="AJ81" s="63">
        <f t="shared" si="62"/>
        <v>0</v>
      </c>
      <c r="AK81" s="61">
        <f t="shared" si="62"/>
        <v>0</v>
      </c>
      <c r="AL81" s="62">
        <f t="shared" si="62"/>
        <v>0</v>
      </c>
      <c r="AM81" s="63">
        <f t="shared" si="62"/>
        <v>0</v>
      </c>
      <c r="AN81" s="61">
        <f t="shared" si="62"/>
        <v>0</v>
      </c>
      <c r="AO81" s="62">
        <f t="shared" si="62"/>
        <v>0</v>
      </c>
      <c r="AP81" s="63">
        <f t="shared" si="62"/>
        <v>0</v>
      </c>
      <c r="AQ81" s="61">
        <f t="shared" si="62"/>
        <v>0</v>
      </c>
      <c r="AR81" s="62">
        <f t="shared" si="62"/>
        <v>0</v>
      </c>
      <c r="AS81" s="63">
        <f t="shared" si="62"/>
        <v>0</v>
      </c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</row>
    <row r="82" ht="12.0" hidden="1" customHeight="1" outlineLevel="1">
      <c r="A82" s="8"/>
      <c r="B82" s="8"/>
      <c r="C82" s="271" t="str">
        <f>Macro!B118</f>
        <v>[XX]</v>
      </c>
      <c r="D82" s="51"/>
      <c r="E82" s="62">
        <f t="shared" ref="E82:AS82" si="63">E181-D181</f>
        <v>0</v>
      </c>
      <c r="F82" s="62">
        <f t="shared" si="63"/>
        <v>0</v>
      </c>
      <c r="G82" s="61">
        <f t="shared" si="63"/>
        <v>0</v>
      </c>
      <c r="H82" s="62">
        <f t="shared" si="63"/>
        <v>0</v>
      </c>
      <c r="I82" s="63">
        <f t="shared" si="63"/>
        <v>0</v>
      </c>
      <c r="J82" s="61">
        <f t="shared" si="63"/>
        <v>0</v>
      </c>
      <c r="K82" s="62">
        <f t="shared" si="63"/>
        <v>0</v>
      </c>
      <c r="L82" s="63">
        <f t="shared" si="63"/>
        <v>0</v>
      </c>
      <c r="M82" s="61">
        <f t="shared" si="63"/>
        <v>0</v>
      </c>
      <c r="N82" s="62">
        <f t="shared" si="63"/>
        <v>0</v>
      </c>
      <c r="O82" s="63">
        <f t="shared" si="63"/>
        <v>0</v>
      </c>
      <c r="P82" s="61">
        <f t="shared" si="63"/>
        <v>0</v>
      </c>
      <c r="Q82" s="62">
        <f t="shared" si="63"/>
        <v>0</v>
      </c>
      <c r="R82" s="63">
        <f t="shared" si="63"/>
        <v>0</v>
      </c>
      <c r="S82" s="61">
        <f t="shared" si="63"/>
        <v>0</v>
      </c>
      <c r="T82" s="62">
        <f t="shared" si="63"/>
        <v>0</v>
      </c>
      <c r="U82" s="63">
        <f t="shared" si="63"/>
        <v>0</v>
      </c>
      <c r="V82" s="61">
        <f t="shared" si="63"/>
        <v>0</v>
      </c>
      <c r="W82" s="62">
        <f t="shared" si="63"/>
        <v>0</v>
      </c>
      <c r="X82" s="63">
        <f t="shared" si="63"/>
        <v>0</v>
      </c>
      <c r="Y82" s="61">
        <f t="shared" si="63"/>
        <v>0</v>
      </c>
      <c r="Z82" s="62">
        <f t="shared" si="63"/>
        <v>0</v>
      </c>
      <c r="AA82" s="63">
        <f t="shared" si="63"/>
        <v>0</v>
      </c>
      <c r="AB82" s="61">
        <f t="shared" si="63"/>
        <v>0</v>
      </c>
      <c r="AC82" s="62">
        <f t="shared" si="63"/>
        <v>0</v>
      </c>
      <c r="AD82" s="63">
        <f t="shared" si="63"/>
        <v>0</v>
      </c>
      <c r="AE82" s="61">
        <f t="shared" si="63"/>
        <v>0</v>
      </c>
      <c r="AF82" s="62">
        <f t="shared" si="63"/>
        <v>0</v>
      </c>
      <c r="AG82" s="63">
        <f t="shared" si="63"/>
        <v>0</v>
      </c>
      <c r="AH82" s="61">
        <f t="shared" si="63"/>
        <v>0</v>
      </c>
      <c r="AI82" s="62">
        <f t="shared" si="63"/>
        <v>0</v>
      </c>
      <c r="AJ82" s="63">
        <f t="shared" si="63"/>
        <v>0</v>
      </c>
      <c r="AK82" s="61">
        <f t="shared" si="63"/>
        <v>0</v>
      </c>
      <c r="AL82" s="62">
        <f t="shared" si="63"/>
        <v>0</v>
      </c>
      <c r="AM82" s="63">
        <f t="shared" si="63"/>
        <v>0</v>
      </c>
      <c r="AN82" s="61">
        <f t="shared" si="63"/>
        <v>0</v>
      </c>
      <c r="AO82" s="62">
        <f t="shared" si="63"/>
        <v>0</v>
      </c>
      <c r="AP82" s="63">
        <f t="shared" si="63"/>
        <v>0</v>
      </c>
      <c r="AQ82" s="61">
        <f t="shared" si="63"/>
        <v>0</v>
      </c>
      <c r="AR82" s="62">
        <f t="shared" si="63"/>
        <v>0</v>
      </c>
      <c r="AS82" s="63">
        <f t="shared" si="63"/>
        <v>0</v>
      </c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</row>
    <row r="83" ht="12.0" hidden="1" customHeight="1" outlineLevel="1">
      <c r="A83" s="8"/>
      <c r="B83" s="8"/>
      <c r="C83" s="271" t="str">
        <f>Macro!B119</f>
        <v>[XX]</v>
      </c>
      <c r="D83" s="51"/>
      <c r="E83" s="62">
        <f t="shared" ref="E83:AS83" si="64">E182-D182</f>
        <v>0</v>
      </c>
      <c r="F83" s="62">
        <f t="shared" si="64"/>
        <v>0</v>
      </c>
      <c r="G83" s="61">
        <f t="shared" si="64"/>
        <v>0</v>
      </c>
      <c r="H83" s="62">
        <f t="shared" si="64"/>
        <v>0</v>
      </c>
      <c r="I83" s="63">
        <f t="shared" si="64"/>
        <v>0</v>
      </c>
      <c r="J83" s="61">
        <f t="shared" si="64"/>
        <v>0</v>
      </c>
      <c r="K83" s="62">
        <f t="shared" si="64"/>
        <v>0</v>
      </c>
      <c r="L83" s="63">
        <f t="shared" si="64"/>
        <v>0</v>
      </c>
      <c r="M83" s="61">
        <f t="shared" si="64"/>
        <v>0</v>
      </c>
      <c r="N83" s="62">
        <f t="shared" si="64"/>
        <v>0</v>
      </c>
      <c r="O83" s="63">
        <f t="shared" si="64"/>
        <v>0</v>
      </c>
      <c r="P83" s="61">
        <f t="shared" si="64"/>
        <v>0</v>
      </c>
      <c r="Q83" s="62">
        <f t="shared" si="64"/>
        <v>0</v>
      </c>
      <c r="R83" s="63">
        <f t="shared" si="64"/>
        <v>0</v>
      </c>
      <c r="S83" s="61">
        <f t="shared" si="64"/>
        <v>0</v>
      </c>
      <c r="T83" s="62">
        <f t="shared" si="64"/>
        <v>0</v>
      </c>
      <c r="U83" s="63">
        <f t="shared" si="64"/>
        <v>0</v>
      </c>
      <c r="V83" s="61">
        <f t="shared" si="64"/>
        <v>0</v>
      </c>
      <c r="W83" s="62">
        <f t="shared" si="64"/>
        <v>0</v>
      </c>
      <c r="X83" s="63">
        <f t="shared" si="64"/>
        <v>0</v>
      </c>
      <c r="Y83" s="61">
        <f t="shared" si="64"/>
        <v>0</v>
      </c>
      <c r="Z83" s="62">
        <f t="shared" si="64"/>
        <v>0</v>
      </c>
      <c r="AA83" s="63">
        <f t="shared" si="64"/>
        <v>0</v>
      </c>
      <c r="AB83" s="61">
        <f t="shared" si="64"/>
        <v>0</v>
      </c>
      <c r="AC83" s="62">
        <f t="shared" si="64"/>
        <v>0</v>
      </c>
      <c r="AD83" s="63">
        <f t="shared" si="64"/>
        <v>0</v>
      </c>
      <c r="AE83" s="61">
        <f t="shared" si="64"/>
        <v>0</v>
      </c>
      <c r="AF83" s="62">
        <f t="shared" si="64"/>
        <v>0</v>
      </c>
      <c r="AG83" s="63">
        <f t="shared" si="64"/>
        <v>0</v>
      </c>
      <c r="AH83" s="61">
        <f t="shared" si="64"/>
        <v>0</v>
      </c>
      <c r="AI83" s="62">
        <f t="shared" si="64"/>
        <v>0</v>
      </c>
      <c r="AJ83" s="63">
        <f t="shared" si="64"/>
        <v>0</v>
      </c>
      <c r="AK83" s="61">
        <f t="shared" si="64"/>
        <v>0</v>
      </c>
      <c r="AL83" s="62">
        <f t="shared" si="64"/>
        <v>0</v>
      </c>
      <c r="AM83" s="63">
        <f t="shared" si="64"/>
        <v>0</v>
      </c>
      <c r="AN83" s="61">
        <f t="shared" si="64"/>
        <v>0</v>
      </c>
      <c r="AO83" s="62">
        <f t="shared" si="64"/>
        <v>0</v>
      </c>
      <c r="AP83" s="63">
        <f t="shared" si="64"/>
        <v>0</v>
      </c>
      <c r="AQ83" s="61">
        <f t="shared" si="64"/>
        <v>0</v>
      </c>
      <c r="AR83" s="62">
        <f t="shared" si="64"/>
        <v>0</v>
      </c>
      <c r="AS83" s="63">
        <f t="shared" si="64"/>
        <v>0</v>
      </c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</row>
    <row r="84" ht="12.0" hidden="1" customHeight="1" outlineLevel="1">
      <c r="A84" s="8"/>
      <c r="B84" s="8"/>
      <c r="C84" s="271" t="str">
        <f>Macro!B120</f>
        <v>[XX]</v>
      </c>
      <c r="D84" s="51"/>
      <c r="E84" s="62">
        <f t="shared" ref="E84:AS84" si="65">E183-D183</f>
        <v>0</v>
      </c>
      <c r="F84" s="62">
        <f t="shared" si="65"/>
        <v>0</v>
      </c>
      <c r="G84" s="61">
        <f t="shared" si="65"/>
        <v>0</v>
      </c>
      <c r="H84" s="62">
        <f t="shared" si="65"/>
        <v>0</v>
      </c>
      <c r="I84" s="63">
        <f t="shared" si="65"/>
        <v>0</v>
      </c>
      <c r="J84" s="61">
        <f t="shared" si="65"/>
        <v>0</v>
      </c>
      <c r="K84" s="62">
        <f t="shared" si="65"/>
        <v>0</v>
      </c>
      <c r="L84" s="63">
        <f t="shared" si="65"/>
        <v>0</v>
      </c>
      <c r="M84" s="61">
        <f t="shared" si="65"/>
        <v>0</v>
      </c>
      <c r="N84" s="62">
        <f t="shared" si="65"/>
        <v>0</v>
      </c>
      <c r="O84" s="63">
        <f t="shared" si="65"/>
        <v>0</v>
      </c>
      <c r="P84" s="61">
        <f t="shared" si="65"/>
        <v>0</v>
      </c>
      <c r="Q84" s="62">
        <f t="shared" si="65"/>
        <v>0</v>
      </c>
      <c r="R84" s="63">
        <f t="shared" si="65"/>
        <v>0</v>
      </c>
      <c r="S84" s="61">
        <f t="shared" si="65"/>
        <v>0</v>
      </c>
      <c r="T84" s="62">
        <f t="shared" si="65"/>
        <v>0</v>
      </c>
      <c r="U84" s="63">
        <f t="shared" si="65"/>
        <v>0</v>
      </c>
      <c r="V84" s="61">
        <f t="shared" si="65"/>
        <v>0</v>
      </c>
      <c r="W84" s="62">
        <f t="shared" si="65"/>
        <v>0</v>
      </c>
      <c r="X84" s="63">
        <f t="shared" si="65"/>
        <v>0</v>
      </c>
      <c r="Y84" s="61">
        <f t="shared" si="65"/>
        <v>0</v>
      </c>
      <c r="Z84" s="62">
        <f t="shared" si="65"/>
        <v>0</v>
      </c>
      <c r="AA84" s="63">
        <f t="shared" si="65"/>
        <v>0</v>
      </c>
      <c r="AB84" s="61">
        <f t="shared" si="65"/>
        <v>0</v>
      </c>
      <c r="AC84" s="62">
        <f t="shared" si="65"/>
        <v>0</v>
      </c>
      <c r="AD84" s="63">
        <f t="shared" si="65"/>
        <v>0</v>
      </c>
      <c r="AE84" s="61">
        <f t="shared" si="65"/>
        <v>0</v>
      </c>
      <c r="AF84" s="62">
        <f t="shared" si="65"/>
        <v>0</v>
      </c>
      <c r="AG84" s="63">
        <f t="shared" si="65"/>
        <v>0</v>
      </c>
      <c r="AH84" s="61">
        <f t="shared" si="65"/>
        <v>0</v>
      </c>
      <c r="AI84" s="62">
        <f t="shared" si="65"/>
        <v>0</v>
      </c>
      <c r="AJ84" s="63">
        <f t="shared" si="65"/>
        <v>0</v>
      </c>
      <c r="AK84" s="61">
        <f t="shared" si="65"/>
        <v>0</v>
      </c>
      <c r="AL84" s="62">
        <f t="shared" si="65"/>
        <v>0</v>
      </c>
      <c r="AM84" s="63">
        <f t="shared" si="65"/>
        <v>0</v>
      </c>
      <c r="AN84" s="61">
        <f t="shared" si="65"/>
        <v>0</v>
      </c>
      <c r="AO84" s="62">
        <f t="shared" si="65"/>
        <v>0</v>
      </c>
      <c r="AP84" s="63">
        <f t="shared" si="65"/>
        <v>0</v>
      </c>
      <c r="AQ84" s="61">
        <f t="shared" si="65"/>
        <v>0</v>
      </c>
      <c r="AR84" s="62">
        <f t="shared" si="65"/>
        <v>0</v>
      </c>
      <c r="AS84" s="63">
        <f t="shared" si="65"/>
        <v>0</v>
      </c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</row>
    <row r="85" ht="12.0" hidden="1" customHeight="1" outlineLevel="1">
      <c r="A85" s="8"/>
      <c r="B85" s="8"/>
      <c r="C85" s="271" t="str">
        <f>Macro!B121</f>
        <v>[XX]</v>
      </c>
      <c r="D85" s="51"/>
      <c r="E85" s="62">
        <f t="shared" ref="E85:AS85" si="66">E184-D184</f>
        <v>0</v>
      </c>
      <c r="F85" s="62">
        <f t="shared" si="66"/>
        <v>0</v>
      </c>
      <c r="G85" s="61">
        <f t="shared" si="66"/>
        <v>0</v>
      </c>
      <c r="H85" s="62">
        <f t="shared" si="66"/>
        <v>0</v>
      </c>
      <c r="I85" s="63">
        <f t="shared" si="66"/>
        <v>0</v>
      </c>
      <c r="J85" s="61">
        <f t="shared" si="66"/>
        <v>0</v>
      </c>
      <c r="K85" s="62">
        <f t="shared" si="66"/>
        <v>0</v>
      </c>
      <c r="L85" s="63">
        <f t="shared" si="66"/>
        <v>0</v>
      </c>
      <c r="M85" s="61">
        <f t="shared" si="66"/>
        <v>0</v>
      </c>
      <c r="N85" s="62">
        <f t="shared" si="66"/>
        <v>0</v>
      </c>
      <c r="O85" s="63">
        <f t="shared" si="66"/>
        <v>0</v>
      </c>
      <c r="P85" s="61">
        <f t="shared" si="66"/>
        <v>0</v>
      </c>
      <c r="Q85" s="62">
        <f t="shared" si="66"/>
        <v>0</v>
      </c>
      <c r="R85" s="63">
        <f t="shared" si="66"/>
        <v>0</v>
      </c>
      <c r="S85" s="61">
        <f t="shared" si="66"/>
        <v>0</v>
      </c>
      <c r="T85" s="62">
        <f t="shared" si="66"/>
        <v>0</v>
      </c>
      <c r="U85" s="63">
        <f t="shared" si="66"/>
        <v>0</v>
      </c>
      <c r="V85" s="61">
        <f t="shared" si="66"/>
        <v>0</v>
      </c>
      <c r="W85" s="62">
        <f t="shared" si="66"/>
        <v>0</v>
      </c>
      <c r="X85" s="63">
        <f t="shared" si="66"/>
        <v>0</v>
      </c>
      <c r="Y85" s="61">
        <f t="shared" si="66"/>
        <v>0</v>
      </c>
      <c r="Z85" s="62">
        <f t="shared" si="66"/>
        <v>0</v>
      </c>
      <c r="AA85" s="63">
        <f t="shared" si="66"/>
        <v>0</v>
      </c>
      <c r="AB85" s="61">
        <f t="shared" si="66"/>
        <v>0</v>
      </c>
      <c r="AC85" s="62">
        <f t="shared" si="66"/>
        <v>0</v>
      </c>
      <c r="AD85" s="63">
        <f t="shared" si="66"/>
        <v>0</v>
      </c>
      <c r="AE85" s="61">
        <f t="shared" si="66"/>
        <v>0</v>
      </c>
      <c r="AF85" s="62">
        <f t="shared" si="66"/>
        <v>0</v>
      </c>
      <c r="AG85" s="63">
        <f t="shared" si="66"/>
        <v>0</v>
      </c>
      <c r="AH85" s="61">
        <f t="shared" si="66"/>
        <v>0</v>
      </c>
      <c r="AI85" s="62">
        <f t="shared" si="66"/>
        <v>0</v>
      </c>
      <c r="AJ85" s="63">
        <f t="shared" si="66"/>
        <v>0</v>
      </c>
      <c r="AK85" s="61">
        <f t="shared" si="66"/>
        <v>0</v>
      </c>
      <c r="AL85" s="62">
        <f t="shared" si="66"/>
        <v>0</v>
      </c>
      <c r="AM85" s="63">
        <f t="shared" si="66"/>
        <v>0</v>
      </c>
      <c r="AN85" s="61">
        <f t="shared" si="66"/>
        <v>0</v>
      </c>
      <c r="AO85" s="62">
        <f t="shared" si="66"/>
        <v>0</v>
      </c>
      <c r="AP85" s="63">
        <f t="shared" si="66"/>
        <v>0</v>
      </c>
      <c r="AQ85" s="61">
        <f t="shared" si="66"/>
        <v>0</v>
      </c>
      <c r="AR85" s="62">
        <f t="shared" si="66"/>
        <v>0</v>
      </c>
      <c r="AS85" s="63">
        <f t="shared" si="66"/>
        <v>0</v>
      </c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</row>
    <row r="86" ht="12.0" hidden="1" customHeight="1" outlineLevel="1">
      <c r="A86" s="8"/>
      <c r="B86" s="8"/>
      <c r="C86" s="271" t="str">
        <f>Macro!B122</f>
        <v>[XX]</v>
      </c>
      <c r="D86" s="51"/>
      <c r="E86" s="62">
        <f t="shared" ref="E86:AS86" si="67">E185-D185</f>
        <v>0</v>
      </c>
      <c r="F86" s="62">
        <f t="shared" si="67"/>
        <v>0</v>
      </c>
      <c r="G86" s="61">
        <f t="shared" si="67"/>
        <v>0</v>
      </c>
      <c r="H86" s="62">
        <f t="shared" si="67"/>
        <v>0</v>
      </c>
      <c r="I86" s="63">
        <f t="shared" si="67"/>
        <v>0</v>
      </c>
      <c r="J86" s="61">
        <f t="shared" si="67"/>
        <v>0</v>
      </c>
      <c r="K86" s="62">
        <f t="shared" si="67"/>
        <v>0</v>
      </c>
      <c r="L86" s="63">
        <f t="shared" si="67"/>
        <v>0</v>
      </c>
      <c r="M86" s="61">
        <f t="shared" si="67"/>
        <v>0</v>
      </c>
      <c r="N86" s="62">
        <f t="shared" si="67"/>
        <v>0</v>
      </c>
      <c r="O86" s="63">
        <f t="shared" si="67"/>
        <v>0</v>
      </c>
      <c r="P86" s="61">
        <f t="shared" si="67"/>
        <v>0</v>
      </c>
      <c r="Q86" s="62">
        <f t="shared" si="67"/>
        <v>0</v>
      </c>
      <c r="R86" s="63">
        <f t="shared" si="67"/>
        <v>0</v>
      </c>
      <c r="S86" s="61">
        <f t="shared" si="67"/>
        <v>0</v>
      </c>
      <c r="T86" s="62">
        <f t="shared" si="67"/>
        <v>0</v>
      </c>
      <c r="U86" s="63">
        <f t="shared" si="67"/>
        <v>0</v>
      </c>
      <c r="V86" s="61">
        <f t="shared" si="67"/>
        <v>0</v>
      </c>
      <c r="W86" s="62">
        <f t="shared" si="67"/>
        <v>0</v>
      </c>
      <c r="X86" s="63">
        <f t="shared" si="67"/>
        <v>0</v>
      </c>
      <c r="Y86" s="61">
        <f t="shared" si="67"/>
        <v>0</v>
      </c>
      <c r="Z86" s="62">
        <f t="shared" si="67"/>
        <v>0</v>
      </c>
      <c r="AA86" s="63">
        <f t="shared" si="67"/>
        <v>0</v>
      </c>
      <c r="AB86" s="61">
        <f t="shared" si="67"/>
        <v>0</v>
      </c>
      <c r="AC86" s="62">
        <f t="shared" si="67"/>
        <v>0</v>
      </c>
      <c r="AD86" s="63">
        <f t="shared" si="67"/>
        <v>0</v>
      </c>
      <c r="AE86" s="61">
        <f t="shared" si="67"/>
        <v>0</v>
      </c>
      <c r="AF86" s="62">
        <f t="shared" si="67"/>
        <v>0</v>
      </c>
      <c r="AG86" s="63">
        <f t="shared" si="67"/>
        <v>0</v>
      </c>
      <c r="AH86" s="61">
        <f t="shared" si="67"/>
        <v>0</v>
      </c>
      <c r="AI86" s="62">
        <f t="shared" si="67"/>
        <v>0</v>
      </c>
      <c r="AJ86" s="63">
        <f t="shared" si="67"/>
        <v>0</v>
      </c>
      <c r="AK86" s="61">
        <f t="shared" si="67"/>
        <v>0</v>
      </c>
      <c r="AL86" s="62">
        <f t="shared" si="67"/>
        <v>0</v>
      </c>
      <c r="AM86" s="63">
        <f t="shared" si="67"/>
        <v>0</v>
      </c>
      <c r="AN86" s="61">
        <f t="shared" si="67"/>
        <v>0</v>
      </c>
      <c r="AO86" s="62">
        <f t="shared" si="67"/>
        <v>0</v>
      </c>
      <c r="AP86" s="63">
        <f t="shared" si="67"/>
        <v>0</v>
      </c>
      <c r="AQ86" s="61">
        <f t="shared" si="67"/>
        <v>0</v>
      </c>
      <c r="AR86" s="62">
        <f t="shared" si="67"/>
        <v>0</v>
      </c>
      <c r="AS86" s="63">
        <f t="shared" si="67"/>
        <v>0</v>
      </c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</row>
    <row r="87" ht="12.0" hidden="1" customHeight="1" outlineLevel="1">
      <c r="A87" s="8"/>
      <c r="B87" s="8"/>
      <c r="C87" s="272" t="str">
        <f>Macro!B123</f>
        <v>[XX]</v>
      </c>
      <c r="D87" s="273"/>
      <c r="E87" s="254">
        <f t="shared" ref="E87:AS87" si="68">E186-D186</f>
        <v>0</v>
      </c>
      <c r="F87" s="254">
        <f t="shared" si="68"/>
        <v>0</v>
      </c>
      <c r="G87" s="230">
        <f t="shared" si="68"/>
        <v>0</v>
      </c>
      <c r="H87" s="254">
        <f t="shared" si="68"/>
        <v>0</v>
      </c>
      <c r="I87" s="255">
        <f t="shared" si="68"/>
        <v>0</v>
      </c>
      <c r="J87" s="230">
        <f t="shared" si="68"/>
        <v>0</v>
      </c>
      <c r="K87" s="254">
        <f t="shared" si="68"/>
        <v>0</v>
      </c>
      <c r="L87" s="255">
        <f t="shared" si="68"/>
        <v>0</v>
      </c>
      <c r="M87" s="230">
        <f t="shared" si="68"/>
        <v>0</v>
      </c>
      <c r="N87" s="254">
        <f t="shared" si="68"/>
        <v>0</v>
      </c>
      <c r="O87" s="255">
        <f t="shared" si="68"/>
        <v>0</v>
      </c>
      <c r="P87" s="230">
        <f t="shared" si="68"/>
        <v>0</v>
      </c>
      <c r="Q87" s="254">
        <f t="shared" si="68"/>
        <v>0</v>
      </c>
      <c r="R87" s="255">
        <f t="shared" si="68"/>
        <v>0</v>
      </c>
      <c r="S87" s="230">
        <f t="shared" si="68"/>
        <v>0</v>
      </c>
      <c r="T87" s="254">
        <f t="shared" si="68"/>
        <v>0</v>
      </c>
      <c r="U87" s="255">
        <f t="shared" si="68"/>
        <v>0</v>
      </c>
      <c r="V87" s="230">
        <f t="shared" si="68"/>
        <v>0</v>
      </c>
      <c r="W87" s="254">
        <f t="shared" si="68"/>
        <v>0</v>
      </c>
      <c r="X87" s="255">
        <f t="shared" si="68"/>
        <v>0</v>
      </c>
      <c r="Y87" s="230">
        <f t="shared" si="68"/>
        <v>0</v>
      </c>
      <c r="Z87" s="254">
        <f t="shared" si="68"/>
        <v>0</v>
      </c>
      <c r="AA87" s="255">
        <f t="shared" si="68"/>
        <v>0</v>
      </c>
      <c r="AB87" s="230">
        <f t="shared" si="68"/>
        <v>0</v>
      </c>
      <c r="AC87" s="254">
        <f t="shared" si="68"/>
        <v>0</v>
      </c>
      <c r="AD87" s="255">
        <f t="shared" si="68"/>
        <v>0</v>
      </c>
      <c r="AE87" s="230">
        <f t="shared" si="68"/>
        <v>0</v>
      </c>
      <c r="AF87" s="254">
        <f t="shared" si="68"/>
        <v>0</v>
      </c>
      <c r="AG87" s="255">
        <f t="shared" si="68"/>
        <v>0</v>
      </c>
      <c r="AH87" s="230">
        <f t="shared" si="68"/>
        <v>0</v>
      </c>
      <c r="AI87" s="254">
        <f t="shared" si="68"/>
        <v>0</v>
      </c>
      <c r="AJ87" s="255">
        <f t="shared" si="68"/>
        <v>0</v>
      </c>
      <c r="AK87" s="230">
        <f t="shared" si="68"/>
        <v>0</v>
      </c>
      <c r="AL87" s="254">
        <f t="shared" si="68"/>
        <v>0</v>
      </c>
      <c r="AM87" s="255">
        <f t="shared" si="68"/>
        <v>0</v>
      </c>
      <c r="AN87" s="230">
        <f t="shared" si="68"/>
        <v>0</v>
      </c>
      <c r="AO87" s="254">
        <f t="shared" si="68"/>
        <v>0</v>
      </c>
      <c r="AP87" s="255">
        <f t="shared" si="68"/>
        <v>0</v>
      </c>
      <c r="AQ87" s="230">
        <f t="shared" si="68"/>
        <v>0</v>
      </c>
      <c r="AR87" s="254">
        <f t="shared" si="68"/>
        <v>0</v>
      </c>
      <c r="AS87" s="255">
        <f t="shared" si="68"/>
        <v>0</v>
      </c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</row>
    <row r="88" ht="12.0" hidden="1" customHeight="1" outlineLevel="1">
      <c r="A88" s="8"/>
      <c r="B88" s="8"/>
      <c r="C88" s="270" t="s">
        <v>73</v>
      </c>
      <c r="D88" s="51"/>
      <c r="E88" s="52">
        <f t="shared" ref="E88:AS88" si="69">SUM(E76:E87)</f>
        <v>0</v>
      </c>
      <c r="F88" s="52">
        <f t="shared" si="69"/>
        <v>0</v>
      </c>
      <c r="G88" s="51">
        <f t="shared" si="69"/>
        <v>0</v>
      </c>
      <c r="H88" s="52">
        <f t="shared" si="69"/>
        <v>0</v>
      </c>
      <c r="I88" s="53">
        <f t="shared" si="69"/>
        <v>0</v>
      </c>
      <c r="J88" s="51">
        <f t="shared" si="69"/>
        <v>0</v>
      </c>
      <c r="K88" s="52">
        <f t="shared" si="69"/>
        <v>0</v>
      </c>
      <c r="L88" s="53">
        <f t="shared" si="69"/>
        <v>0</v>
      </c>
      <c r="M88" s="51">
        <f t="shared" si="69"/>
        <v>0</v>
      </c>
      <c r="N88" s="52">
        <f t="shared" si="69"/>
        <v>0</v>
      </c>
      <c r="O88" s="53">
        <f t="shared" si="69"/>
        <v>0</v>
      </c>
      <c r="P88" s="51">
        <f t="shared" si="69"/>
        <v>0</v>
      </c>
      <c r="Q88" s="52">
        <f t="shared" si="69"/>
        <v>0</v>
      </c>
      <c r="R88" s="53">
        <f t="shared" si="69"/>
        <v>0</v>
      </c>
      <c r="S88" s="51">
        <f t="shared" si="69"/>
        <v>0</v>
      </c>
      <c r="T88" s="52">
        <f t="shared" si="69"/>
        <v>0</v>
      </c>
      <c r="U88" s="53">
        <f t="shared" si="69"/>
        <v>0</v>
      </c>
      <c r="V88" s="51">
        <f t="shared" si="69"/>
        <v>0</v>
      </c>
      <c r="W88" s="52">
        <f t="shared" si="69"/>
        <v>0</v>
      </c>
      <c r="X88" s="53">
        <f t="shared" si="69"/>
        <v>0</v>
      </c>
      <c r="Y88" s="51">
        <f t="shared" si="69"/>
        <v>0</v>
      </c>
      <c r="Z88" s="52">
        <f t="shared" si="69"/>
        <v>0</v>
      </c>
      <c r="AA88" s="53">
        <f t="shared" si="69"/>
        <v>0</v>
      </c>
      <c r="AB88" s="51">
        <f t="shared" si="69"/>
        <v>0</v>
      </c>
      <c r="AC88" s="52">
        <f t="shared" si="69"/>
        <v>0</v>
      </c>
      <c r="AD88" s="53">
        <f t="shared" si="69"/>
        <v>0</v>
      </c>
      <c r="AE88" s="51">
        <f t="shared" si="69"/>
        <v>0</v>
      </c>
      <c r="AF88" s="52">
        <f t="shared" si="69"/>
        <v>0</v>
      </c>
      <c r="AG88" s="53">
        <f t="shared" si="69"/>
        <v>0</v>
      </c>
      <c r="AH88" s="51">
        <f t="shared" si="69"/>
        <v>0</v>
      </c>
      <c r="AI88" s="52">
        <f t="shared" si="69"/>
        <v>0</v>
      </c>
      <c r="AJ88" s="53">
        <f t="shared" si="69"/>
        <v>0</v>
      </c>
      <c r="AK88" s="51">
        <f t="shared" si="69"/>
        <v>0</v>
      </c>
      <c r="AL88" s="52">
        <f t="shared" si="69"/>
        <v>0</v>
      </c>
      <c r="AM88" s="53">
        <f t="shared" si="69"/>
        <v>0</v>
      </c>
      <c r="AN88" s="51">
        <f t="shared" si="69"/>
        <v>0</v>
      </c>
      <c r="AO88" s="52">
        <f t="shared" si="69"/>
        <v>0</v>
      </c>
      <c r="AP88" s="53">
        <f t="shared" si="69"/>
        <v>0</v>
      </c>
      <c r="AQ88" s="51">
        <f t="shared" si="69"/>
        <v>0</v>
      </c>
      <c r="AR88" s="52">
        <f t="shared" si="69"/>
        <v>0</v>
      </c>
      <c r="AS88" s="53">
        <f t="shared" si="69"/>
        <v>0</v>
      </c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</row>
    <row r="89" ht="12.0" hidden="1" customHeight="1" outlineLevel="1">
      <c r="A89" s="8"/>
      <c r="B89" s="8"/>
      <c r="C89" s="8"/>
      <c r="D89" s="51"/>
      <c r="E89" s="52"/>
      <c r="F89" s="52"/>
      <c r="G89" s="51"/>
      <c r="H89" s="52"/>
      <c r="I89" s="53"/>
      <c r="J89" s="51"/>
      <c r="K89" s="52"/>
      <c r="L89" s="53"/>
      <c r="M89" s="51"/>
      <c r="N89" s="52"/>
      <c r="O89" s="53"/>
      <c r="P89" s="51"/>
      <c r="Q89" s="52"/>
      <c r="R89" s="53"/>
      <c r="S89" s="51"/>
      <c r="T89" s="52"/>
      <c r="U89" s="53"/>
      <c r="V89" s="51"/>
      <c r="W89" s="52"/>
      <c r="X89" s="53"/>
      <c r="Y89" s="51"/>
      <c r="Z89" s="52"/>
      <c r="AA89" s="53"/>
      <c r="AB89" s="51"/>
      <c r="AC89" s="52"/>
      <c r="AD89" s="53"/>
      <c r="AE89" s="51"/>
      <c r="AF89" s="52"/>
      <c r="AG89" s="53"/>
      <c r="AH89" s="51"/>
      <c r="AI89" s="52"/>
      <c r="AJ89" s="53"/>
      <c r="AK89" s="51"/>
      <c r="AL89" s="52"/>
      <c r="AM89" s="53"/>
      <c r="AN89" s="51"/>
      <c r="AO89" s="52"/>
      <c r="AP89" s="53"/>
      <c r="AQ89" s="51"/>
      <c r="AR89" s="52"/>
      <c r="AS89" s="53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</row>
    <row r="90" ht="12.0" hidden="1" customHeight="1" outlineLevel="1">
      <c r="A90" s="4"/>
      <c r="B90" s="270" t="s">
        <v>21</v>
      </c>
      <c r="C90" s="4"/>
      <c r="D90" s="64"/>
      <c r="E90" s="4"/>
      <c r="F90" s="4"/>
      <c r="G90" s="64"/>
      <c r="H90" s="4"/>
      <c r="I90" s="65"/>
      <c r="J90" s="64"/>
      <c r="K90" s="4"/>
      <c r="L90" s="65"/>
      <c r="M90" s="64"/>
      <c r="N90" s="4"/>
      <c r="O90" s="65"/>
      <c r="P90" s="64"/>
      <c r="Q90" s="4"/>
      <c r="R90" s="65"/>
      <c r="S90" s="64"/>
      <c r="T90" s="4"/>
      <c r="U90" s="65"/>
      <c r="V90" s="64"/>
      <c r="W90" s="4"/>
      <c r="X90" s="65"/>
      <c r="Y90" s="64"/>
      <c r="Z90" s="4"/>
      <c r="AA90" s="65"/>
      <c r="AB90" s="64"/>
      <c r="AC90" s="4"/>
      <c r="AD90" s="65"/>
      <c r="AE90" s="64"/>
      <c r="AF90" s="4"/>
      <c r="AG90" s="65"/>
      <c r="AH90" s="64"/>
      <c r="AI90" s="4"/>
      <c r="AJ90" s="65"/>
      <c r="AK90" s="64"/>
      <c r="AL90" s="4"/>
      <c r="AM90" s="65"/>
      <c r="AN90" s="64"/>
      <c r="AO90" s="4"/>
      <c r="AP90" s="65"/>
      <c r="AQ90" s="64"/>
      <c r="AR90" s="4"/>
      <c r="AS90" s="65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</row>
    <row r="91" ht="12.0" hidden="1" customHeight="1" outlineLevel="1">
      <c r="A91" s="4"/>
      <c r="B91" s="4"/>
      <c r="C91" s="271" t="str">
        <f>Macro!B126</f>
        <v>VP</v>
      </c>
      <c r="D91" s="64"/>
      <c r="E91" s="62">
        <f t="shared" ref="E91:AS91" si="70">E190-D190</f>
        <v>0</v>
      </c>
      <c r="F91" s="62">
        <f t="shared" si="70"/>
        <v>0</v>
      </c>
      <c r="G91" s="61">
        <f t="shared" si="70"/>
        <v>0</v>
      </c>
      <c r="H91" s="62">
        <f t="shared" si="70"/>
        <v>0</v>
      </c>
      <c r="I91" s="63">
        <f t="shared" si="70"/>
        <v>0</v>
      </c>
      <c r="J91" s="61">
        <f t="shared" si="70"/>
        <v>0</v>
      </c>
      <c r="K91" s="62">
        <f t="shared" si="70"/>
        <v>0</v>
      </c>
      <c r="L91" s="63">
        <f t="shared" si="70"/>
        <v>0</v>
      </c>
      <c r="M91" s="61">
        <f t="shared" si="70"/>
        <v>0</v>
      </c>
      <c r="N91" s="62">
        <f t="shared" si="70"/>
        <v>0</v>
      </c>
      <c r="O91" s="63">
        <f t="shared" si="70"/>
        <v>0</v>
      </c>
      <c r="P91" s="61">
        <f t="shared" si="70"/>
        <v>0</v>
      </c>
      <c r="Q91" s="62">
        <f t="shared" si="70"/>
        <v>0</v>
      </c>
      <c r="R91" s="63">
        <f t="shared" si="70"/>
        <v>0</v>
      </c>
      <c r="S91" s="61">
        <f t="shared" si="70"/>
        <v>0</v>
      </c>
      <c r="T91" s="62">
        <f t="shared" si="70"/>
        <v>0</v>
      </c>
      <c r="U91" s="63">
        <f t="shared" si="70"/>
        <v>0</v>
      </c>
      <c r="V91" s="61">
        <f t="shared" si="70"/>
        <v>0</v>
      </c>
      <c r="W91" s="62">
        <f t="shared" si="70"/>
        <v>0</v>
      </c>
      <c r="X91" s="63">
        <f t="shared" si="70"/>
        <v>0</v>
      </c>
      <c r="Y91" s="61">
        <f t="shared" si="70"/>
        <v>0</v>
      </c>
      <c r="Z91" s="62">
        <f t="shared" si="70"/>
        <v>0</v>
      </c>
      <c r="AA91" s="63">
        <f t="shared" si="70"/>
        <v>0</v>
      </c>
      <c r="AB91" s="61">
        <f t="shared" si="70"/>
        <v>0</v>
      </c>
      <c r="AC91" s="62">
        <f t="shared" si="70"/>
        <v>0</v>
      </c>
      <c r="AD91" s="63">
        <f t="shared" si="70"/>
        <v>0</v>
      </c>
      <c r="AE91" s="61">
        <f t="shared" si="70"/>
        <v>0</v>
      </c>
      <c r="AF91" s="62">
        <f t="shared" si="70"/>
        <v>0</v>
      </c>
      <c r="AG91" s="63">
        <f t="shared" si="70"/>
        <v>0</v>
      </c>
      <c r="AH91" s="61">
        <f t="shared" si="70"/>
        <v>1</v>
      </c>
      <c r="AI91" s="62">
        <f t="shared" si="70"/>
        <v>0</v>
      </c>
      <c r="AJ91" s="63">
        <f t="shared" si="70"/>
        <v>0</v>
      </c>
      <c r="AK91" s="61">
        <f t="shared" si="70"/>
        <v>0</v>
      </c>
      <c r="AL91" s="62">
        <f t="shared" si="70"/>
        <v>0</v>
      </c>
      <c r="AM91" s="63">
        <f t="shared" si="70"/>
        <v>0</v>
      </c>
      <c r="AN91" s="61">
        <f t="shared" si="70"/>
        <v>0</v>
      </c>
      <c r="AO91" s="62">
        <f t="shared" si="70"/>
        <v>0</v>
      </c>
      <c r="AP91" s="63">
        <f t="shared" si="70"/>
        <v>0</v>
      </c>
      <c r="AQ91" s="61">
        <f t="shared" si="70"/>
        <v>0</v>
      </c>
      <c r="AR91" s="62">
        <f t="shared" si="70"/>
        <v>0</v>
      </c>
      <c r="AS91" s="63">
        <f t="shared" si="70"/>
        <v>0</v>
      </c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</row>
    <row r="92" ht="12.0" hidden="1" customHeight="1" outlineLevel="1">
      <c r="A92" s="4"/>
      <c r="B92" s="4"/>
      <c r="C92" s="271" t="str">
        <f>Macro!B127</f>
        <v>CS Director</v>
      </c>
      <c r="D92" s="64"/>
      <c r="E92" s="62">
        <f t="shared" ref="E92:AS92" si="71">E191-D191</f>
        <v>0</v>
      </c>
      <c r="F92" s="62">
        <f t="shared" si="71"/>
        <v>0</v>
      </c>
      <c r="G92" s="61">
        <f t="shared" si="71"/>
        <v>0</v>
      </c>
      <c r="H92" s="62">
        <f t="shared" si="71"/>
        <v>0</v>
      </c>
      <c r="I92" s="63">
        <f t="shared" si="71"/>
        <v>0</v>
      </c>
      <c r="J92" s="61">
        <f t="shared" si="71"/>
        <v>0</v>
      </c>
      <c r="K92" s="62">
        <f t="shared" si="71"/>
        <v>0</v>
      </c>
      <c r="L92" s="63">
        <f t="shared" si="71"/>
        <v>0</v>
      </c>
      <c r="M92" s="61">
        <f t="shared" si="71"/>
        <v>0</v>
      </c>
      <c r="N92" s="62">
        <f t="shared" si="71"/>
        <v>1</v>
      </c>
      <c r="O92" s="63">
        <f t="shared" si="71"/>
        <v>0</v>
      </c>
      <c r="P92" s="61">
        <f t="shared" si="71"/>
        <v>0</v>
      </c>
      <c r="Q92" s="62">
        <f t="shared" si="71"/>
        <v>0</v>
      </c>
      <c r="R92" s="63">
        <f t="shared" si="71"/>
        <v>0</v>
      </c>
      <c r="S92" s="61">
        <f t="shared" si="71"/>
        <v>1</v>
      </c>
      <c r="T92" s="62">
        <f t="shared" si="71"/>
        <v>0</v>
      </c>
      <c r="U92" s="63">
        <f t="shared" si="71"/>
        <v>0</v>
      </c>
      <c r="V92" s="61">
        <f t="shared" si="71"/>
        <v>0</v>
      </c>
      <c r="W92" s="62">
        <f t="shared" si="71"/>
        <v>0</v>
      </c>
      <c r="X92" s="63">
        <f t="shared" si="71"/>
        <v>0</v>
      </c>
      <c r="Y92" s="61">
        <f t="shared" si="71"/>
        <v>1</v>
      </c>
      <c r="Z92" s="62">
        <f t="shared" si="71"/>
        <v>0</v>
      </c>
      <c r="AA92" s="63">
        <f t="shared" si="71"/>
        <v>0</v>
      </c>
      <c r="AB92" s="61">
        <f t="shared" si="71"/>
        <v>0</v>
      </c>
      <c r="AC92" s="62">
        <f t="shared" si="71"/>
        <v>0</v>
      </c>
      <c r="AD92" s="63">
        <f t="shared" si="71"/>
        <v>0</v>
      </c>
      <c r="AE92" s="61">
        <f t="shared" si="71"/>
        <v>1</v>
      </c>
      <c r="AF92" s="62">
        <f t="shared" si="71"/>
        <v>0</v>
      </c>
      <c r="AG92" s="63">
        <f t="shared" si="71"/>
        <v>0</v>
      </c>
      <c r="AH92" s="61">
        <f t="shared" si="71"/>
        <v>0</v>
      </c>
      <c r="AI92" s="62">
        <f t="shared" si="71"/>
        <v>0</v>
      </c>
      <c r="AJ92" s="63">
        <f t="shared" si="71"/>
        <v>0</v>
      </c>
      <c r="AK92" s="61">
        <f t="shared" si="71"/>
        <v>1</v>
      </c>
      <c r="AL92" s="62">
        <f t="shared" si="71"/>
        <v>0</v>
      </c>
      <c r="AM92" s="63">
        <f t="shared" si="71"/>
        <v>0</v>
      </c>
      <c r="AN92" s="61">
        <f t="shared" si="71"/>
        <v>0</v>
      </c>
      <c r="AO92" s="62">
        <f t="shared" si="71"/>
        <v>0</v>
      </c>
      <c r="AP92" s="63">
        <f t="shared" si="71"/>
        <v>0</v>
      </c>
      <c r="AQ92" s="61">
        <f t="shared" si="71"/>
        <v>1</v>
      </c>
      <c r="AR92" s="62">
        <f t="shared" si="71"/>
        <v>0</v>
      </c>
      <c r="AS92" s="63">
        <f t="shared" si="71"/>
        <v>0</v>
      </c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</row>
    <row r="93" ht="12.0" hidden="1" customHeight="1" outlineLevel="1">
      <c r="A93" s="4"/>
      <c r="B93" s="4"/>
      <c r="C93" s="271" t="str">
        <f>Macro!B128</f>
        <v>CS Engineer</v>
      </c>
      <c r="D93" s="64"/>
      <c r="E93" s="62">
        <f t="shared" ref="E93:AS93" si="72">E192-D192</f>
        <v>0</v>
      </c>
      <c r="F93" s="62">
        <f t="shared" si="72"/>
        <v>0</v>
      </c>
      <c r="G93" s="61">
        <f t="shared" si="72"/>
        <v>0</v>
      </c>
      <c r="H93" s="62">
        <f t="shared" si="72"/>
        <v>0</v>
      </c>
      <c r="I93" s="63">
        <f t="shared" si="72"/>
        <v>0</v>
      </c>
      <c r="J93" s="61">
        <f t="shared" si="72"/>
        <v>0</v>
      </c>
      <c r="K93" s="62">
        <f t="shared" si="72"/>
        <v>0</v>
      </c>
      <c r="L93" s="63">
        <f t="shared" si="72"/>
        <v>0</v>
      </c>
      <c r="M93" s="61">
        <f t="shared" si="72"/>
        <v>0</v>
      </c>
      <c r="N93" s="62">
        <f t="shared" si="72"/>
        <v>0</v>
      </c>
      <c r="O93" s="63">
        <f t="shared" si="72"/>
        <v>0</v>
      </c>
      <c r="P93" s="61">
        <f t="shared" si="72"/>
        <v>0</v>
      </c>
      <c r="Q93" s="62">
        <f t="shared" si="72"/>
        <v>0</v>
      </c>
      <c r="R93" s="63">
        <f t="shared" si="72"/>
        <v>0</v>
      </c>
      <c r="S93" s="61">
        <f t="shared" si="72"/>
        <v>0</v>
      </c>
      <c r="T93" s="62">
        <f t="shared" si="72"/>
        <v>0</v>
      </c>
      <c r="U93" s="63">
        <f t="shared" si="72"/>
        <v>0</v>
      </c>
      <c r="V93" s="61">
        <f t="shared" si="72"/>
        <v>0</v>
      </c>
      <c r="W93" s="62">
        <f t="shared" si="72"/>
        <v>0</v>
      </c>
      <c r="X93" s="63">
        <f t="shared" si="72"/>
        <v>0</v>
      </c>
      <c r="Y93" s="61">
        <f t="shared" si="72"/>
        <v>0</v>
      </c>
      <c r="Z93" s="62">
        <f t="shared" si="72"/>
        <v>0</v>
      </c>
      <c r="AA93" s="63">
        <f t="shared" si="72"/>
        <v>0</v>
      </c>
      <c r="AB93" s="61">
        <f t="shared" si="72"/>
        <v>0</v>
      </c>
      <c r="AC93" s="62">
        <f t="shared" si="72"/>
        <v>0</v>
      </c>
      <c r="AD93" s="63">
        <f t="shared" si="72"/>
        <v>0</v>
      </c>
      <c r="AE93" s="61">
        <f t="shared" si="72"/>
        <v>0</v>
      </c>
      <c r="AF93" s="62">
        <f t="shared" si="72"/>
        <v>0</v>
      </c>
      <c r="AG93" s="63">
        <f t="shared" si="72"/>
        <v>0</v>
      </c>
      <c r="AH93" s="61">
        <f t="shared" si="72"/>
        <v>0</v>
      </c>
      <c r="AI93" s="62">
        <f t="shared" si="72"/>
        <v>0</v>
      </c>
      <c r="AJ93" s="63">
        <f t="shared" si="72"/>
        <v>0</v>
      </c>
      <c r="AK93" s="61">
        <f t="shared" si="72"/>
        <v>0</v>
      </c>
      <c r="AL93" s="62">
        <f t="shared" si="72"/>
        <v>0</v>
      </c>
      <c r="AM93" s="63">
        <f t="shared" si="72"/>
        <v>0</v>
      </c>
      <c r="AN93" s="61">
        <f t="shared" si="72"/>
        <v>0</v>
      </c>
      <c r="AO93" s="62">
        <f t="shared" si="72"/>
        <v>0</v>
      </c>
      <c r="AP93" s="63">
        <f t="shared" si="72"/>
        <v>0</v>
      </c>
      <c r="AQ93" s="61">
        <f t="shared" si="72"/>
        <v>0</v>
      </c>
      <c r="AR93" s="62">
        <f t="shared" si="72"/>
        <v>0</v>
      </c>
      <c r="AS93" s="63">
        <f t="shared" si="72"/>
        <v>0</v>
      </c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</row>
    <row r="94" ht="12.0" hidden="1" customHeight="1" outlineLevel="1">
      <c r="A94" s="4"/>
      <c r="B94" s="4"/>
      <c r="C94" s="271" t="str">
        <f>Macro!B129</f>
        <v>[XX]</v>
      </c>
      <c r="D94" s="64"/>
      <c r="E94" s="62">
        <f t="shared" ref="E94:AS94" si="73">E193-D193</f>
        <v>0</v>
      </c>
      <c r="F94" s="62">
        <f t="shared" si="73"/>
        <v>0</v>
      </c>
      <c r="G94" s="61">
        <f t="shared" si="73"/>
        <v>0</v>
      </c>
      <c r="H94" s="62">
        <f t="shared" si="73"/>
        <v>0</v>
      </c>
      <c r="I94" s="63">
        <f t="shared" si="73"/>
        <v>0</v>
      </c>
      <c r="J94" s="61">
        <f t="shared" si="73"/>
        <v>0</v>
      </c>
      <c r="K94" s="62">
        <f t="shared" si="73"/>
        <v>0</v>
      </c>
      <c r="L94" s="63">
        <f t="shared" si="73"/>
        <v>0</v>
      </c>
      <c r="M94" s="61">
        <f t="shared" si="73"/>
        <v>0</v>
      </c>
      <c r="N94" s="62">
        <f t="shared" si="73"/>
        <v>0</v>
      </c>
      <c r="O94" s="63">
        <f t="shared" si="73"/>
        <v>0</v>
      </c>
      <c r="P94" s="61">
        <f t="shared" si="73"/>
        <v>0</v>
      </c>
      <c r="Q94" s="62">
        <f t="shared" si="73"/>
        <v>0</v>
      </c>
      <c r="R94" s="63">
        <f t="shared" si="73"/>
        <v>0</v>
      </c>
      <c r="S94" s="61">
        <f t="shared" si="73"/>
        <v>0</v>
      </c>
      <c r="T94" s="62">
        <f t="shared" si="73"/>
        <v>0</v>
      </c>
      <c r="U94" s="63">
        <f t="shared" si="73"/>
        <v>0</v>
      </c>
      <c r="V94" s="61">
        <f t="shared" si="73"/>
        <v>0</v>
      </c>
      <c r="W94" s="62">
        <f t="shared" si="73"/>
        <v>0</v>
      </c>
      <c r="X94" s="63">
        <f t="shared" si="73"/>
        <v>0</v>
      </c>
      <c r="Y94" s="61">
        <f t="shared" si="73"/>
        <v>0</v>
      </c>
      <c r="Z94" s="62">
        <f t="shared" si="73"/>
        <v>0</v>
      </c>
      <c r="AA94" s="63">
        <f t="shared" si="73"/>
        <v>0</v>
      </c>
      <c r="AB94" s="61">
        <f t="shared" si="73"/>
        <v>0</v>
      </c>
      <c r="AC94" s="62">
        <f t="shared" si="73"/>
        <v>0</v>
      </c>
      <c r="AD94" s="63">
        <f t="shared" si="73"/>
        <v>0</v>
      </c>
      <c r="AE94" s="61">
        <f t="shared" si="73"/>
        <v>0</v>
      </c>
      <c r="AF94" s="62">
        <f t="shared" si="73"/>
        <v>0</v>
      </c>
      <c r="AG94" s="63">
        <f t="shared" si="73"/>
        <v>0</v>
      </c>
      <c r="AH94" s="61">
        <f t="shared" si="73"/>
        <v>0</v>
      </c>
      <c r="AI94" s="62">
        <f t="shared" si="73"/>
        <v>0</v>
      </c>
      <c r="AJ94" s="63">
        <f t="shared" si="73"/>
        <v>0</v>
      </c>
      <c r="AK94" s="61">
        <f t="shared" si="73"/>
        <v>0</v>
      </c>
      <c r="AL94" s="62">
        <f t="shared" si="73"/>
        <v>0</v>
      </c>
      <c r="AM94" s="63">
        <f t="shared" si="73"/>
        <v>0</v>
      </c>
      <c r="AN94" s="61">
        <f t="shared" si="73"/>
        <v>0</v>
      </c>
      <c r="AO94" s="62">
        <f t="shared" si="73"/>
        <v>0</v>
      </c>
      <c r="AP94" s="63">
        <f t="shared" si="73"/>
        <v>0</v>
      </c>
      <c r="AQ94" s="61">
        <f t="shared" si="73"/>
        <v>0</v>
      </c>
      <c r="AR94" s="62">
        <f t="shared" si="73"/>
        <v>0</v>
      </c>
      <c r="AS94" s="63">
        <f t="shared" si="73"/>
        <v>0</v>
      </c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</row>
    <row r="95" ht="12.0" hidden="1" customHeight="1" outlineLevel="1">
      <c r="A95" s="4"/>
      <c r="B95" s="4"/>
      <c r="C95" s="271" t="str">
        <f>Macro!B130</f>
        <v>[XX]</v>
      </c>
      <c r="D95" s="64"/>
      <c r="E95" s="62">
        <f t="shared" ref="E95:AS95" si="74">E194-D194</f>
        <v>0</v>
      </c>
      <c r="F95" s="62">
        <f t="shared" si="74"/>
        <v>0</v>
      </c>
      <c r="G95" s="61">
        <f t="shared" si="74"/>
        <v>0</v>
      </c>
      <c r="H95" s="62">
        <f t="shared" si="74"/>
        <v>0</v>
      </c>
      <c r="I95" s="63">
        <f t="shared" si="74"/>
        <v>0</v>
      </c>
      <c r="J95" s="61">
        <f t="shared" si="74"/>
        <v>0</v>
      </c>
      <c r="K95" s="62">
        <f t="shared" si="74"/>
        <v>0</v>
      </c>
      <c r="L95" s="63">
        <f t="shared" si="74"/>
        <v>0</v>
      </c>
      <c r="M95" s="61">
        <f t="shared" si="74"/>
        <v>0</v>
      </c>
      <c r="N95" s="62">
        <f t="shared" si="74"/>
        <v>0</v>
      </c>
      <c r="O95" s="63">
        <f t="shared" si="74"/>
        <v>0</v>
      </c>
      <c r="P95" s="61">
        <f t="shared" si="74"/>
        <v>0</v>
      </c>
      <c r="Q95" s="62">
        <f t="shared" si="74"/>
        <v>0</v>
      </c>
      <c r="R95" s="63">
        <f t="shared" si="74"/>
        <v>0</v>
      </c>
      <c r="S95" s="61">
        <f t="shared" si="74"/>
        <v>0</v>
      </c>
      <c r="T95" s="62">
        <f t="shared" si="74"/>
        <v>0</v>
      </c>
      <c r="U95" s="63">
        <f t="shared" si="74"/>
        <v>0</v>
      </c>
      <c r="V95" s="61">
        <f t="shared" si="74"/>
        <v>0</v>
      </c>
      <c r="W95" s="62">
        <f t="shared" si="74"/>
        <v>0</v>
      </c>
      <c r="X95" s="63">
        <f t="shared" si="74"/>
        <v>0</v>
      </c>
      <c r="Y95" s="61">
        <f t="shared" si="74"/>
        <v>0</v>
      </c>
      <c r="Z95" s="62">
        <f t="shared" si="74"/>
        <v>0</v>
      </c>
      <c r="AA95" s="63">
        <f t="shared" si="74"/>
        <v>0</v>
      </c>
      <c r="AB95" s="61">
        <f t="shared" si="74"/>
        <v>0</v>
      </c>
      <c r="AC95" s="62">
        <f t="shared" si="74"/>
        <v>0</v>
      </c>
      <c r="AD95" s="63">
        <f t="shared" si="74"/>
        <v>0</v>
      </c>
      <c r="AE95" s="61">
        <f t="shared" si="74"/>
        <v>0</v>
      </c>
      <c r="AF95" s="62">
        <f t="shared" si="74"/>
        <v>0</v>
      </c>
      <c r="AG95" s="63">
        <f t="shared" si="74"/>
        <v>0</v>
      </c>
      <c r="AH95" s="61">
        <f t="shared" si="74"/>
        <v>0</v>
      </c>
      <c r="AI95" s="62">
        <f t="shared" si="74"/>
        <v>0</v>
      </c>
      <c r="AJ95" s="63">
        <f t="shared" si="74"/>
        <v>0</v>
      </c>
      <c r="AK95" s="61">
        <f t="shared" si="74"/>
        <v>0</v>
      </c>
      <c r="AL95" s="62">
        <f t="shared" si="74"/>
        <v>0</v>
      </c>
      <c r="AM95" s="63">
        <f t="shared" si="74"/>
        <v>0</v>
      </c>
      <c r="AN95" s="61">
        <f t="shared" si="74"/>
        <v>0</v>
      </c>
      <c r="AO95" s="62">
        <f t="shared" si="74"/>
        <v>0</v>
      </c>
      <c r="AP95" s="63">
        <f t="shared" si="74"/>
        <v>0</v>
      </c>
      <c r="AQ95" s="61">
        <f t="shared" si="74"/>
        <v>0</v>
      </c>
      <c r="AR95" s="62">
        <f t="shared" si="74"/>
        <v>0</v>
      </c>
      <c r="AS95" s="63">
        <f t="shared" si="74"/>
        <v>0</v>
      </c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</row>
    <row r="96" ht="12.0" hidden="1" customHeight="1" outlineLevel="1">
      <c r="A96" s="4"/>
      <c r="B96" s="4"/>
      <c r="C96" s="271" t="str">
        <f>Macro!B131</f>
        <v>[XX]</v>
      </c>
      <c r="D96" s="64"/>
      <c r="E96" s="62">
        <f t="shared" ref="E96:AS96" si="75">E195-D195</f>
        <v>0</v>
      </c>
      <c r="F96" s="62">
        <f t="shared" si="75"/>
        <v>0</v>
      </c>
      <c r="G96" s="61">
        <f t="shared" si="75"/>
        <v>0</v>
      </c>
      <c r="H96" s="62">
        <f t="shared" si="75"/>
        <v>0</v>
      </c>
      <c r="I96" s="63">
        <f t="shared" si="75"/>
        <v>0</v>
      </c>
      <c r="J96" s="61">
        <f t="shared" si="75"/>
        <v>0</v>
      </c>
      <c r="K96" s="62">
        <f t="shared" si="75"/>
        <v>0</v>
      </c>
      <c r="L96" s="63">
        <f t="shared" si="75"/>
        <v>0</v>
      </c>
      <c r="M96" s="61">
        <f t="shared" si="75"/>
        <v>0</v>
      </c>
      <c r="N96" s="62">
        <f t="shared" si="75"/>
        <v>0</v>
      </c>
      <c r="O96" s="63">
        <f t="shared" si="75"/>
        <v>0</v>
      </c>
      <c r="P96" s="61">
        <f t="shared" si="75"/>
        <v>0</v>
      </c>
      <c r="Q96" s="62">
        <f t="shared" si="75"/>
        <v>0</v>
      </c>
      <c r="R96" s="63">
        <f t="shared" si="75"/>
        <v>0</v>
      </c>
      <c r="S96" s="61">
        <f t="shared" si="75"/>
        <v>0</v>
      </c>
      <c r="T96" s="62">
        <f t="shared" si="75"/>
        <v>0</v>
      </c>
      <c r="U96" s="63">
        <f t="shared" si="75"/>
        <v>0</v>
      </c>
      <c r="V96" s="61">
        <f t="shared" si="75"/>
        <v>0</v>
      </c>
      <c r="W96" s="62">
        <f t="shared" si="75"/>
        <v>0</v>
      </c>
      <c r="X96" s="63">
        <f t="shared" si="75"/>
        <v>0</v>
      </c>
      <c r="Y96" s="61">
        <f t="shared" si="75"/>
        <v>0</v>
      </c>
      <c r="Z96" s="62">
        <f t="shared" si="75"/>
        <v>0</v>
      </c>
      <c r="AA96" s="63">
        <f t="shared" si="75"/>
        <v>0</v>
      </c>
      <c r="AB96" s="61">
        <f t="shared" si="75"/>
        <v>0</v>
      </c>
      <c r="AC96" s="62">
        <f t="shared" si="75"/>
        <v>0</v>
      </c>
      <c r="AD96" s="63">
        <f t="shared" si="75"/>
        <v>0</v>
      </c>
      <c r="AE96" s="61">
        <f t="shared" si="75"/>
        <v>0</v>
      </c>
      <c r="AF96" s="62">
        <f t="shared" si="75"/>
        <v>0</v>
      </c>
      <c r="AG96" s="63">
        <f t="shared" si="75"/>
        <v>0</v>
      </c>
      <c r="AH96" s="61">
        <f t="shared" si="75"/>
        <v>0</v>
      </c>
      <c r="AI96" s="62">
        <f t="shared" si="75"/>
        <v>0</v>
      </c>
      <c r="AJ96" s="63">
        <f t="shared" si="75"/>
        <v>0</v>
      </c>
      <c r="AK96" s="61">
        <f t="shared" si="75"/>
        <v>0</v>
      </c>
      <c r="AL96" s="62">
        <f t="shared" si="75"/>
        <v>0</v>
      </c>
      <c r="AM96" s="63">
        <f t="shared" si="75"/>
        <v>0</v>
      </c>
      <c r="AN96" s="61">
        <f t="shared" si="75"/>
        <v>0</v>
      </c>
      <c r="AO96" s="62">
        <f t="shared" si="75"/>
        <v>0</v>
      </c>
      <c r="AP96" s="63">
        <f t="shared" si="75"/>
        <v>0</v>
      </c>
      <c r="AQ96" s="61">
        <f t="shared" si="75"/>
        <v>0</v>
      </c>
      <c r="AR96" s="62">
        <f t="shared" si="75"/>
        <v>0</v>
      </c>
      <c r="AS96" s="63">
        <f t="shared" si="75"/>
        <v>0</v>
      </c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</row>
    <row r="97" ht="12.0" hidden="1" customHeight="1" outlineLevel="1">
      <c r="A97" s="4"/>
      <c r="B97" s="4"/>
      <c r="C97" s="271" t="str">
        <f>Macro!B132</f>
        <v>[XX]</v>
      </c>
      <c r="D97" s="64"/>
      <c r="E97" s="62">
        <f t="shared" ref="E97:AS97" si="76">E196-D196</f>
        <v>0</v>
      </c>
      <c r="F97" s="62">
        <f t="shared" si="76"/>
        <v>0</v>
      </c>
      <c r="G97" s="61">
        <f t="shared" si="76"/>
        <v>0</v>
      </c>
      <c r="H97" s="62">
        <f t="shared" si="76"/>
        <v>0</v>
      </c>
      <c r="I97" s="63">
        <f t="shared" si="76"/>
        <v>0</v>
      </c>
      <c r="J97" s="61">
        <f t="shared" si="76"/>
        <v>0</v>
      </c>
      <c r="K97" s="62">
        <f t="shared" si="76"/>
        <v>0</v>
      </c>
      <c r="L97" s="63">
        <f t="shared" si="76"/>
        <v>0</v>
      </c>
      <c r="M97" s="61">
        <f t="shared" si="76"/>
        <v>0</v>
      </c>
      <c r="N97" s="62">
        <f t="shared" si="76"/>
        <v>0</v>
      </c>
      <c r="O97" s="63">
        <f t="shared" si="76"/>
        <v>0</v>
      </c>
      <c r="P97" s="61">
        <f t="shared" si="76"/>
        <v>0</v>
      </c>
      <c r="Q97" s="62">
        <f t="shared" si="76"/>
        <v>0</v>
      </c>
      <c r="R97" s="63">
        <f t="shared" si="76"/>
        <v>0</v>
      </c>
      <c r="S97" s="61">
        <f t="shared" si="76"/>
        <v>0</v>
      </c>
      <c r="T97" s="62">
        <f t="shared" si="76"/>
        <v>0</v>
      </c>
      <c r="U97" s="63">
        <f t="shared" si="76"/>
        <v>0</v>
      </c>
      <c r="V97" s="61">
        <f t="shared" si="76"/>
        <v>0</v>
      </c>
      <c r="W97" s="62">
        <f t="shared" si="76"/>
        <v>0</v>
      </c>
      <c r="X97" s="63">
        <f t="shared" si="76"/>
        <v>0</v>
      </c>
      <c r="Y97" s="61">
        <f t="shared" si="76"/>
        <v>0</v>
      </c>
      <c r="Z97" s="62">
        <f t="shared" si="76"/>
        <v>0</v>
      </c>
      <c r="AA97" s="63">
        <f t="shared" si="76"/>
        <v>0</v>
      </c>
      <c r="AB97" s="61">
        <f t="shared" si="76"/>
        <v>0</v>
      </c>
      <c r="AC97" s="62">
        <f t="shared" si="76"/>
        <v>0</v>
      </c>
      <c r="AD97" s="63">
        <f t="shared" si="76"/>
        <v>0</v>
      </c>
      <c r="AE97" s="61">
        <f t="shared" si="76"/>
        <v>0</v>
      </c>
      <c r="AF97" s="62">
        <f t="shared" si="76"/>
        <v>0</v>
      </c>
      <c r="AG97" s="63">
        <f t="shared" si="76"/>
        <v>0</v>
      </c>
      <c r="AH97" s="61">
        <f t="shared" si="76"/>
        <v>0</v>
      </c>
      <c r="AI97" s="62">
        <f t="shared" si="76"/>
        <v>0</v>
      </c>
      <c r="AJ97" s="63">
        <f t="shared" si="76"/>
        <v>0</v>
      </c>
      <c r="AK97" s="61">
        <f t="shared" si="76"/>
        <v>0</v>
      </c>
      <c r="AL97" s="62">
        <f t="shared" si="76"/>
        <v>0</v>
      </c>
      <c r="AM97" s="63">
        <f t="shared" si="76"/>
        <v>0</v>
      </c>
      <c r="AN97" s="61">
        <f t="shared" si="76"/>
        <v>0</v>
      </c>
      <c r="AO97" s="62">
        <f t="shared" si="76"/>
        <v>0</v>
      </c>
      <c r="AP97" s="63">
        <f t="shared" si="76"/>
        <v>0</v>
      </c>
      <c r="AQ97" s="61">
        <f t="shared" si="76"/>
        <v>0</v>
      </c>
      <c r="AR97" s="62">
        <f t="shared" si="76"/>
        <v>0</v>
      </c>
      <c r="AS97" s="63">
        <f t="shared" si="76"/>
        <v>0</v>
      </c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</row>
    <row r="98" ht="12.0" hidden="1" customHeight="1" outlineLevel="1">
      <c r="A98" s="4"/>
      <c r="B98" s="4"/>
      <c r="C98" s="271" t="str">
        <f>Macro!B133</f>
        <v>[XX]</v>
      </c>
      <c r="D98" s="239"/>
      <c r="E98" s="254">
        <f t="shared" ref="E98:AS98" si="77">E197-D197</f>
        <v>0</v>
      </c>
      <c r="F98" s="254">
        <f t="shared" si="77"/>
        <v>0</v>
      </c>
      <c r="G98" s="230">
        <f t="shared" si="77"/>
        <v>0</v>
      </c>
      <c r="H98" s="254">
        <f t="shared" si="77"/>
        <v>0</v>
      </c>
      <c r="I98" s="255">
        <f t="shared" si="77"/>
        <v>0</v>
      </c>
      <c r="J98" s="230">
        <f t="shared" si="77"/>
        <v>0</v>
      </c>
      <c r="K98" s="254">
        <f t="shared" si="77"/>
        <v>0</v>
      </c>
      <c r="L98" s="255">
        <f t="shared" si="77"/>
        <v>0</v>
      </c>
      <c r="M98" s="230">
        <f t="shared" si="77"/>
        <v>0</v>
      </c>
      <c r="N98" s="254">
        <f t="shared" si="77"/>
        <v>0</v>
      </c>
      <c r="O98" s="255">
        <f t="shared" si="77"/>
        <v>0</v>
      </c>
      <c r="P98" s="230">
        <f t="shared" si="77"/>
        <v>0</v>
      </c>
      <c r="Q98" s="254">
        <f t="shared" si="77"/>
        <v>0</v>
      </c>
      <c r="R98" s="255">
        <f t="shared" si="77"/>
        <v>0</v>
      </c>
      <c r="S98" s="230">
        <f t="shared" si="77"/>
        <v>0</v>
      </c>
      <c r="T98" s="254">
        <f t="shared" si="77"/>
        <v>0</v>
      </c>
      <c r="U98" s="255">
        <f t="shared" si="77"/>
        <v>0</v>
      </c>
      <c r="V98" s="230">
        <f t="shared" si="77"/>
        <v>0</v>
      </c>
      <c r="W98" s="254">
        <f t="shared" si="77"/>
        <v>0</v>
      </c>
      <c r="X98" s="255">
        <f t="shared" si="77"/>
        <v>0</v>
      </c>
      <c r="Y98" s="230">
        <f t="shared" si="77"/>
        <v>0</v>
      </c>
      <c r="Z98" s="254">
        <f t="shared" si="77"/>
        <v>0</v>
      </c>
      <c r="AA98" s="255">
        <f t="shared" si="77"/>
        <v>0</v>
      </c>
      <c r="AB98" s="230">
        <f t="shared" si="77"/>
        <v>0</v>
      </c>
      <c r="AC98" s="254">
        <f t="shared" si="77"/>
        <v>0</v>
      </c>
      <c r="AD98" s="255">
        <f t="shared" si="77"/>
        <v>0</v>
      </c>
      <c r="AE98" s="230">
        <f t="shared" si="77"/>
        <v>0</v>
      </c>
      <c r="AF98" s="254">
        <f t="shared" si="77"/>
        <v>0</v>
      </c>
      <c r="AG98" s="255">
        <f t="shared" si="77"/>
        <v>0</v>
      </c>
      <c r="AH98" s="230">
        <f t="shared" si="77"/>
        <v>0</v>
      </c>
      <c r="AI98" s="254">
        <f t="shared" si="77"/>
        <v>0</v>
      </c>
      <c r="AJ98" s="255">
        <f t="shared" si="77"/>
        <v>0</v>
      </c>
      <c r="AK98" s="230">
        <f t="shared" si="77"/>
        <v>0</v>
      </c>
      <c r="AL98" s="254">
        <f t="shared" si="77"/>
        <v>0</v>
      </c>
      <c r="AM98" s="255">
        <f t="shared" si="77"/>
        <v>0</v>
      </c>
      <c r="AN98" s="230">
        <f t="shared" si="77"/>
        <v>0</v>
      </c>
      <c r="AO98" s="254">
        <f t="shared" si="77"/>
        <v>0</v>
      </c>
      <c r="AP98" s="255">
        <f t="shared" si="77"/>
        <v>0</v>
      </c>
      <c r="AQ98" s="230">
        <f t="shared" si="77"/>
        <v>0</v>
      </c>
      <c r="AR98" s="254">
        <f t="shared" si="77"/>
        <v>0</v>
      </c>
      <c r="AS98" s="255">
        <f t="shared" si="77"/>
        <v>0</v>
      </c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</row>
    <row r="99" ht="12.0" hidden="1" customHeight="1" outlineLevel="1">
      <c r="A99" s="8"/>
      <c r="B99" s="8"/>
      <c r="C99" s="270" t="s">
        <v>73</v>
      </c>
      <c r="D99" s="51"/>
      <c r="E99" s="52">
        <f t="shared" ref="E99:AS99" si="78">SUM(E91:E98)</f>
        <v>0</v>
      </c>
      <c r="F99" s="52">
        <f t="shared" si="78"/>
        <v>0</v>
      </c>
      <c r="G99" s="51">
        <f t="shared" si="78"/>
        <v>0</v>
      </c>
      <c r="H99" s="52">
        <f t="shared" si="78"/>
        <v>0</v>
      </c>
      <c r="I99" s="53">
        <f t="shared" si="78"/>
        <v>0</v>
      </c>
      <c r="J99" s="51">
        <f t="shared" si="78"/>
        <v>0</v>
      </c>
      <c r="K99" s="52">
        <f t="shared" si="78"/>
        <v>0</v>
      </c>
      <c r="L99" s="53">
        <f t="shared" si="78"/>
        <v>0</v>
      </c>
      <c r="M99" s="51">
        <f t="shared" si="78"/>
        <v>0</v>
      </c>
      <c r="N99" s="52">
        <f t="shared" si="78"/>
        <v>1</v>
      </c>
      <c r="O99" s="53">
        <f t="shared" si="78"/>
        <v>0</v>
      </c>
      <c r="P99" s="51">
        <f t="shared" si="78"/>
        <v>0</v>
      </c>
      <c r="Q99" s="52">
        <f t="shared" si="78"/>
        <v>0</v>
      </c>
      <c r="R99" s="53">
        <f t="shared" si="78"/>
        <v>0</v>
      </c>
      <c r="S99" s="51">
        <f t="shared" si="78"/>
        <v>1</v>
      </c>
      <c r="T99" s="52">
        <f t="shared" si="78"/>
        <v>0</v>
      </c>
      <c r="U99" s="53">
        <f t="shared" si="78"/>
        <v>0</v>
      </c>
      <c r="V99" s="51">
        <f t="shared" si="78"/>
        <v>0</v>
      </c>
      <c r="W99" s="52">
        <f t="shared" si="78"/>
        <v>0</v>
      </c>
      <c r="X99" s="53">
        <f t="shared" si="78"/>
        <v>0</v>
      </c>
      <c r="Y99" s="51">
        <f t="shared" si="78"/>
        <v>1</v>
      </c>
      <c r="Z99" s="52">
        <f t="shared" si="78"/>
        <v>0</v>
      </c>
      <c r="AA99" s="53">
        <f t="shared" si="78"/>
        <v>0</v>
      </c>
      <c r="AB99" s="51">
        <f t="shared" si="78"/>
        <v>0</v>
      </c>
      <c r="AC99" s="52">
        <f t="shared" si="78"/>
        <v>0</v>
      </c>
      <c r="AD99" s="53">
        <f t="shared" si="78"/>
        <v>0</v>
      </c>
      <c r="AE99" s="51">
        <f t="shared" si="78"/>
        <v>1</v>
      </c>
      <c r="AF99" s="52">
        <f t="shared" si="78"/>
        <v>0</v>
      </c>
      <c r="AG99" s="53">
        <f t="shared" si="78"/>
        <v>0</v>
      </c>
      <c r="AH99" s="51">
        <f t="shared" si="78"/>
        <v>1</v>
      </c>
      <c r="AI99" s="52">
        <f t="shared" si="78"/>
        <v>0</v>
      </c>
      <c r="AJ99" s="53">
        <f t="shared" si="78"/>
        <v>0</v>
      </c>
      <c r="AK99" s="51">
        <f t="shared" si="78"/>
        <v>1</v>
      </c>
      <c r="AL99" s="52">
        <f t="shared" si="78"/>
        <v>0</v>
      </c>
      <c r="AM99" s="53">
        <f t="shared" si="78"/>
        <v>0</v>
      </c>
      <c r="AN99" s="51">
        <f t="shared" si="78"/>
        <v>0</v>
      </c>
      <c r="AO99" s="52">
        <f t="shared" si="78"/>
        <v>0</v>
      </c>
      <c r="AP99" s="53">
        <f t="shared" si="78"/>
        <v>0</v>
      </c>
      <c r="AQ99" s="51">
        <f t="shared" si="78"/>
        <v>1</v>
      </c>
      <c r="AR99" s="52">
        <f t="shared" si="78"/>
        <v>0</v>
      </c>
      <c r="AS99" s="53">
        <f t="shared" si="78"/>
        <v>0</v>
      </c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</row>
    <row r="100" ht="12.0" hidden="1" customHeight="1" outlineLevel="1">
      <c r="A100" s="4"/>
      <c r="B100" s="4"/>
      <c r="C100" s="4"/>
      <c r="D100" s="64"/>
      <c r="E100" s="4"/>
      <c r="F100" s="4"/>
      <c r="G100" s="64"/>
      <c r="H100" s="4"/>
      <c r="I100" s="65"/>
      <c r="J100" s="64"/>
      <c r="K100" s="4"/>
      <c r="L100" s="65"/>
      <c r="M100" s="64"/>
      <c r="N100" s="4"/>
      <c r="O100" s="65"/>
      <c r="P100" s="64"/>
      <c r="Q100" s="4"/>
      <c r="R100" s="65"/>
      <c r="S100" s="64"/>
      <c r="T100" s="4"/>
      <c r="U100" s="65"/>
      <c r="V100" s="64"/>
      <c r="W100" s="4"/>
      <c r="X100" s="65"/>
      <c r="Y100" s="64"/>
      <c r="Z100" s="4"/>
      <c r="AA100" s="65"/>
      <c r="AB100" s="64"/>
      <c r="AC100" s="4"/>
      <c r="AD100" s="65"/>
      <c r="AE100" s="64"/>
      <c r="AF100" s="4"/>
      <c r="AG100" s="65"/>
      <c r="AH100" s="64"/>
      <c r="AI100" s="4"/>
      <c r="AJ100" s="65"/>
      <c r="AK100" s="64"/>
      <c r="AL100" s="4"/>
      <c r="AM100" s="65"/>
      <c r="AN100" s="64"/>
      <c r="AO100" s="4"/>
      <c r="AP100" s="65"/>
      <c r="AQ100" s="64"/>
      <c r="AR100" s="4"/>
      <c r="AS100" s="65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</row>
    <row r="101" ht="12.0" hidden="1" customHeight="1" outlineLevel="1">
      <c r="A101" s="4"/>
      <c r="B101" s="270" t="s">
        <v>132</v>
      </c>
      <c r="C101" s="4"/>
      <c r="D101" s="64"/>
      <c r="E101" s="4"/>
      <c r="F101" s="4"/>
      <c r="G101" s="64"/>
      <c r="H101" s="4"/>
      <c r="I101" s="65"/>
      <c r="J101" s="64"/>
      <c r="K101" s="4"/>
      <c r="L101" s="65"/>
      <c r="M101" s="64"/>
      <c r="N101" s="4"/>
      <c r="O101" s="65"/>
      <c r="P101" s="64"/>
      <c r="Q101" s="4"/>
      <c r="R101" s="65"/>
      <c r="S101" s="64"/>
      <c r="T101" s="4"/>
      <c r="U101" s="65"/>
      <c r="V101" s="64"/>
      <c r="W101" s="4"/>
      <c r="X101" s="65"/>
      <c r="Y101" s="64"/>
      <c r="Z101" s="4"/>
      <c r="AA101" s="65"/>
      <c r="AB101" s="64"/>
      <c r="AC101" s="4"/>
      <c r="AD101" s="65"/>
      <c r="AE101" s="64"/>
      <c r="AF101" s="4"/>
      <c r="AG101" s="65"/>
      <c r="AH101" s="64"/>
      <c r="AI101" s="4"/>
      <c r="AJ101" s="65"/>
      <c r="AK101" s="64"/>
      <c r="AL101" s="4"/>
      <c r="AM101" s="65"/>
      <c r="AN101" s="64"/>
      <c r="AO101" s="4"/>
      <c r="AP101" s="65"/>
      <c r="AQ101" s="64"/>
      <c r="AR101" s="4"/>
      <c r="AS101" s="65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</row>
    <row r="102" ht="12.0" hidden="1" customHeight="1" outlineLevel="1">
      <c r="A102" s="4"/>
      <c r="B102" s="4"/>
      <c r="C102" s="271" t="str">
        <f>Macro!B136</f>
        <v>CEO</v>
      </c>
      <c r="D102" s="64"/>
      <c r="E102" s="62">
        <f t="shared" ref="E102:AS102" si="79">E201-D201</f>
        <v>0</v>
      </c>
      <c r="F102" s="62">
        <f t="shared" si="79"/>
        <v>0</v>
      </c>
      <c r="G102" s="61">
        <f t="shared" si="79"/>
        <v>0</v>
      </c>
      <c r="H102" s="62">
        <f t="shared" si="79"/>
        <v>0</v>
      </c>
      <c r="I102" s="63">
        <f t="shared" si="79"/>
        <v>0</v>
      </c>
      <c r="J102" s="61">
        <f t="shared" si="79"/>
        <v>0</v>
      </c>
      <c r="K102" s="62">
        <f t="shared" si="79"/>
        <v>0</v>
      </c>
      <c r="L102" s="63">
        <f t="shared" si="79"/>
        <v>0</v>
      </c>
      <c r="M102" s="61">
        <f t="shared" si="79"/>
        <v>0</v>
      </c>
      <c r="N102" s="62">
        <f t="shared" si="79"/>
        <v>0</v>
      </c>
      <c r="O102" s="63">
        <f t="shared" si="79"/>
        <v>0</v>
      </c>
      <c r="P102" s="61">
        <f t="shared" si="79"/>
        <v>0</v>
      </c>
      <c r="Q102" s="62">
        <f t="shared" si="79"/>
        <v>0</v>
      </c>
      <c r="R102" s="63">
        <f t="shared" si="79"/>
        <v>0</v>
      </c>
      <c r="S102" s="61">
        <f t="shared" si="79"/>
        <v>0</v>
      </c>
      <c r="T102" s="62">
        <f t="shared" si="79"/>
        <v>0</v>
      </c>
      <c r="U102" s="63">
        <f t="shared" si="79"/>
        <v>0</v>
      </c>
      <c r="V102" s="61">
        <f t="shared" si="79"/>
        <v>0</v>
      </c>
      <c r="W102" s="62">
        <f t="shared" si="79"/>
        <v>0</v>
      </c>
      <c r="X102" s="63">
        <f t="shared" si="79"/>
        <v>0</v>
      </c>
      <c r="Y102" s="61">
        <f t="shared" si="79"/>
        <v>0</v>
      </c>
      <c r="Z102" s="62">
        <f t="shared" si="79"/>
        <v>0</v>
      </c>
      <c r="AA102" s="63">
        <f t="shared" si="79"/>
        <v>0</v>
      </c>
      <c r="AB102" s="61">
        <f t="shared" si="79"/>
        <v>0</v>
      </c>
      <c r="AC102" s="62">
        <f t="shared" si="79"/>
        <v>0</v>
      </c>
      <c r="AD102" s="63">
        <f t="shared" si="79"/>
        <v>0</v>
      </c>
      <c r="AE102" s="61">
        <f t="shared" si="79"/>
        <v>0</v>
      </c>
      <c r="AF102" s="62">
        <f t="shared" si="79"/>
        <v>0</v>
      </c>
      <c r="AG102" s="63">
        <f t="shared" si="79"/>
        <v>0</v>
      </c>
      <c r="AH102" s="61">
        <f t="shared" si="79"/>
        <v>0</v>
      </c>
      <c r="AI102" s="62">
        <f t="shared" si="79"/>
        <v>0</v>
      </c>
      <c r="AJ102" s="63">
        <f t="shared" si="79"/>
        <v>0</v>
      </c>
      <c r="AK102" s="61">
        <f t="shared" si="79"/>
        <v>0</v>
      </c>
      <c r="AL102" s="62">
        <f t="shared" si="79"/>
        <v>0</v>
      </c>
      <c r="AM102" s="63">
        <f t="shared" si="79"/>
        <v>0</v>
      </c>
      <c r="AN102" s="61">
        <f t="shared" si="79"/>
        <v>0</v>
      </c>
      <c r="AO102" s="62">
        <f t="shared" si="79"/>
        <v>0</v>
      </c>
      <c r="AP102" s="63">
        <f t="shared" si="79"/>
        <v>0</v>
      </c>
      <c r="AQ102" s="61">
        <f t="shared" si="79"/>
        <v>0</v>
      </c>
      <c r="AR102" s="62">
        <f t="shared" si="79"/>
        <v>0</v>
      </c>
      <c r="AS102" s="63">
        <f t="shared" si="79"/>
        <v>0</v>
      </c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</row>
    <row r="103" ht="12.0" hidden="1" customHeight="1" outlineLevel="1">
      <c r="A103" s="4"/>
      <c r="B103" s="4"/>
      <c r="C103" s="271" t="str">
        <f>Macro!B137</f>
        <v>COO</v>
      </c>
      <c r="D103" s="64"/>
      <c r="E103" s="62">
        <f t="shared" ref="E103:AS103" si="80">E202-D202</f>
        <v>0</v>
      </c>
      <c r="F103" s="62">
        <f t="shared" si="80"/>
        <v>0</v>
      </c>
      <c r="G103" s="61">
        <f t="shared" si="80"/>
        <v>0</v>
      </c>
      <c r="H103" s="62">
        <f t="shared" si="80"/>
        <v>0</v>
      </c>
      <c r="I103" s="63">
        <f t="shared" si="80"/>
        <v>0</v>
      </c>
      <c r="J103" s="61">
        <f t="shared" si="80"/>
        <v>0</v>
      </c>
      <c r="K103" s="62">
        <f t="shared" si="80"/>
        <v>0</v>
      </c>
      <c r="L103" s="63">
        <f t="shared" si="80"/>
        <v>0</v>
      </c>
      <c r="M103" s="61">
        <f t="shared" si="80"/>
        <v>0</v>
      </c>
      <c r="N103" s="62">
        <f t="shared" si="80"/>
        <v>0</v>
      </c>
      <c r="O103" s="63">
        <f t="shared" si="80"/>
        <v>0</v>
      </c>
      <c r="P103" s="61">
        <f t="shared" si="80"/>
        <v>0</v>
      </c>
      <c r="Q103" s="62">
        <f t="shared" si="80"/>
        <v>0</v>
      </c>
      <c r="R103" s="63">
        <f t="shared" si="80"/>
        <v>0</v>
      </c>
      <c r="S103" s="61">
        <f t="shared" si="80"/>
        <v>0</v>
      </c>
      <c r="T103" s="62">
        <f t="shared" si="80"/>
        <v>0</v>
      </c>
      <c r="U103" s="63">
        <f t="shared" si="80"/>
        <v>0</v>
      </c>
      <c r="V103" s="61">
        <f t="shared" si="80"/>
        <v>0</v>
      </c>
      <c r="W103" s="62">
        <f t="shared" si="80"/>
        <v>0</v>
      </c>
      <c r="X103" s="63">
        <f t="shared" si="80"/>
        <v>0</v>
      </c>
      <c r="Y103" s="61">
        <f t="shared" si="80"/>
        <v>0</v>
      </c>
      <c r="Z103" s="62">
        <f t="shared" si="80"/>
        <v>0</v>
      </c>
      <c r="AA103" s="63">
        <f t="shared" si="80"/>
        <v>0</v>
      </c>
      <c r="AB103" s="61">
        <f t="shared" si="80"/>
        <v>0</v>
      </c>
      <c r="AC103" s="62">
        <f t="shared" si="80"/>
        <v>0</v>
      </c>
      <c r="AD103" s="63">
        <f t="shared" si="80"/>
        <v>0</v>
      </c>
      <c r="AE103" s="61">
        <f t="shared" si="80"/>
        <v>0</v>
      </c>
      <c r="AF103" s="62">
        <f t="shared" si="80"/>
        <v>0</v>
      </c>
      <c r="AG103" s="63">
        <f t="shared" si="80"/>
        <v>0</v>
      </c>
      <c r="AH103" s="61">
        <f t="shared" si="80"/>
        <v>0</v>
      </c>
      <c r="AI103" s="62">
        <f t="shared" si="80"/>
        <v>0</v>
      </c>
      <c r="AJ103" s="63">
        <f t="shared" si="80"/>
        <v>0</v>
      </c>
      <c r="AK103" s="61">
        <f t="shared" si="80"/>
        <v>0</v>
      </c>
      <c r="AL103" s="62">
        <f t="shared" si="80"/>
        <v>0</v>
      </c>
      <c r="AM103" s="63">
        <f t="shared" si="80"/>
        <v>0</v>
      </c>
      <c r="AN103" s="61">
        <f t="shared" si="80"/>
        <v>0</v>
      </c>
      <c r="AO103" s="62">
        <f t="shared" si="80"/>
        <v>0</v>
      </c>
      <c r="AP103" s="63">
        <f t="shared" si="80"/>
        <v>0</v>
      </c>
      <c r="AQ103" s="61">
        <f t="shared" si="80"/>
        <v>0</v>
      </c>
      <c r="AR103" s="62">
        <f t="shared" si="80"/>
        <v>0</v>
      </c>
      <c r="AS103" s="63">
        <f t="shared" si="80"/>
        <v>0</v>
      </c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</row>
    <row r="104" ht="12.0" hidden="1" customHeight="1" outlineLevel="1">
      <c r="A104" s="4"/>
      <c r="B104" s="4"/>
      <c r="C104" s="271" t="str">
        <f>Macro!B138</f>
        <v>Head of Talent / HR</v>
      </c>
      <c r="D104" s="64"/>
      <c r="E104" s="62">
        <f t="shared" ref="E104:AS104" si="81">E203-D203</f>
        <v>0</v>
      </c>
      <c r="F104" s="62">
        <f t="shared" si="81"/>
        <v>0</v>
      </c>
      <c r="G104" s="61">
        <f t="shared" si="81"/>
        <v>0</v>
      </c>
      <c r="H104" s="62">
        <f t="shared" si="81"/>
        <v>0</v>
      </c>
      <c r="I104" s="63">
        <f t="shared" si="81"/>
        <v>0</v>
      </c>
      <c r="J104" s="61">
        <f t="shared" si="81"/>
        <v>0</v>
      </c>
      <c r="K104" s="62">
        <f t="shared" si="81"/>
        <v>0</v>
      </c>
      <c r="L104" s="63">
        <f t="shared" si="81"/>
        <v>0</v>
      </c>
      <c r="M104" s="61">
        <f t="shared" si="81"/>
        <v>0</v>
      </c>
      <c r="N104" s="62">
        <f t="shared" si="81"/>
        <v>0</v>
      </c>
      <c r="O104" s="63">
        <f t="shared" si="81"/>
        <v>0</v>
      </c>
      <c r="P104" s="61">
        <f t="shared" si="81"/>
        <v>0</v>
      </c>
      <c r="Q104" s="62">
        <f t="shared" si="81"/>
        <v>0</v>
      </c>
      <c r="R104" s="63">
        <f t="shared" si="81"/>
        <v>0</v>
      </c>
      <c r="S104" s="61">
        <f t="shared" si="81"/>
        <v>0</v>
      </c>
      <c r="T104" s="62">
        <f t="shared" si="81"/>
        <v>0</v>
      </c>
      <c r="U104" s="63">
        <f t="shared" si="81"/>
        <v>0</v>
      </c>
      <c r="V104" s="61">
        <f t="shared" si="81"/>
        <v>0</v>
      </c>
      <c r="W104" s="62">
        <f t="shared" si="81"/>
        <v>0</v>
      </c>
      <c r="X104" s="63">
        <f t="shared" si="81"/>
        <v>0</v>
      </c>
      <c r="Y104" s="61">
        <f t="shared" si="81"/>
        <v>0</v>
      </c>
      <c r="Z104" s="62">
        <f t="shared" si="81"/>
        <v>0</v>
      </c>
      <c r="AA104" s="63">
        <f t="shared" si="81"/>
        <v>0</v>
      </c>
      <c r="AB104" s="61">
        <f t="shared" si="81"/>
        <v>0</v>
      </c>
      <c r="AC104" s="62">
        <f t="shared" si="81"/>
        <v>0</v>
      </c>
      <c r="AD104" s="63">
        <f t="shared" si="81"/>
        <v>0</v>
      </c>
      <c r="AE104" s="61">
        <f t="shared" si="81"/>
        <v>0</v>
      </c>
      <c r="AF104" s="62">
        <f t="shared" si="81"/>
        <v>0</v>
      </c>
      <c r="AG104" s="63">
        <f t="shared" si="81"/>
        <v>0</v>
      </c>
      <c r="AH104" s="61">
        <f t="shared" si="81"/>
        <v>0</v>
      </c>
      <c r="AI104" s="62">
        <f t="shared" si="81"/>
        <v>0</v>
      </c>
      <c r="AJ104" s="63">
        <f t="shared" si="81"/>
        <v>0</v>
      </c>
      <c r="AK104" s="61">
        <f t="shared" si="81"/>
        <v>0</v>
      </c>
      <c r="AL104" s="62">
        <f t="shared" si="81"/>
        <v>0</v>
      </c>
      <c r="AM104" s="63">
        <f t="shared" si="81"/>
        <v>0</v>
      </c>
      <c r="AN104" s="61">
        <f t="shared" si="81"/>
        <v>0</v>
      </c>
      <c r="AO104" s="62">
        <f t="shared" si="81"/>
        <v>0</v>
      </c>
      <c r="AP104" s="63">
        <f t="shared" si="81"/>
        <v>0</v>
      </c>
      <c r="AQ104" s="61">
        <f t="shared" si="81"/>
        <v>0</v>
      </c>
      <c r="AR104" s="62">
        <f t="shared" si="81"/>
        <v>0</v>
      </c>
      <c r="AS104" s="63">
        <f t="shared" si="81"/>
        <v>0</v>
      </c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</row>
    <row r="105" ht="12.0" hidden="1" customHeight="1" outlineLevel="1">
      <c r="A105" s="4"/>
      <c r="B105" s="4"/>
      <c r="C105" s="271" t="str">
        <f>Macro!B139</f>
        <v>Office Admin / EA</v>
      </c>
      <c r="D105" s="64"/>
      <c r="E105" s="62">
        <f t="shared" ref="E105:AS105" si="82">E204-D204</f>
        <v>0</v>
      </c>
      <c r="F105" s="62">
        <f t="shared" si="82"/>
        <v>0</v>
      </c>
      <c r="G105" s="61">
        <f t="shared" si="82"/>
        <v>0</v>
      </c>
      <c r="H105" s="62">
        <f t="shared" si="82"/>
        <v>0</v>
      </c>
      <c r="I105" s="63">
        <f t="shared" si="82"/>
        <v>0</v>
      </c>
      <c r="J105" s="61">
        <f t="shared" si="82"/>
        <v>0</v>
      </c>
      <c r="K105" s="62">
        <f t="shared" si="82"/>
        <v>0</v>
      </c>
      <c r="L105" s="63">
        <f t="shared" si="82"/>
        <v>0</v>
      </c>
      <c r="M105" s="61">
        <f t="shared" si="82"/>
        <v>0</v>
      </c>
      <c r="N105" s="62">
        <f t="shared" si="82"/>
        <v>0</v>
      </c>
      <c r="O105" s="63">
        <f t="shared" si="82"/>
        <v>0</v>
      </c>
      <c r="P105" s="61">
        <f t="shared" si="82"/>
        <v>0</v>
      </c>
      <c r="Q105" s="62">
        <f t="shared" si="82"/>
        <v>0</v>
      </c>
      <c r="R105" s="63">
        <f t="shared" si="82"/>
        <v>0</v>
      </c>
      <c r="S105" s="61">
        <f t="shared" si="82"/>
        <v>0</v>
      </c>
      <c r="T105" s="62">
        <f t="shared" si="82"/>
        <v>0</v>
      </c>
      <c r="U105" s="63">
        <f t="shared" si="82"/>
        <v>0</v>
      </c>
      <c r="V105" s="61">
        <f t="shared" si="82"/>
        <v>0</v>
      </c>
      <c r="W105" s="62">
        <f t="shared" si="82"/>
        <v>0</v>
      </c>
      <c r="X105" s="63">
        <f t="shared" si="82"/>
        <v>0</v>
      </c>
      <c r="Y105" s="61">
        <f t="shared" si="82"/>
        <v>0</v>
      </c>
      <c r="Z105" s="62">
        <f t="shared" si="82"/>
        <v>0</v>
      </c>
      <c r="AA105" s="63">
        <f t="shared" si="82"/>
        <v>0</v>
      </c>
      <c r="AB105" s="61">
        <f t="shared" si="82"/>
        <v>0</v>
      </c>
      <c r="AC105" s="62">
        <f t="shared" si="82"/>
        <v>0</v>
      </c>
      <c r="AD105" s="63">
        <f t="shared" si="82"/>
        <v>0</v>
      </c>
      <c r="AE105" s="61">
        <f t="shared" si="82"/>
        <v>0</v>
      </c>
      <c r="AF105" s="62">
        <f t="shared" si="82"/>
        <v>0</v>
      </c>
      <c r="AG105" s="63">
        <f t="shared" si="82"/>
        <v>0</v>
      </c>
      <c r="AH105" s="61">
        <f t="shared" si="82"/>
        <v>0</v>
      </c>
      <c r="AI105" s="62">
        <f t="shared" si="82"/>
        <v>0</v>
      </c>
      <c r="AJ105" s="63">
        <f t="shared" si="82"/>
        <v>0</v>
      </c>
      <c r="AK105" s="61">
        <f t="shared" si="82"/>
        <v>0</v>
      </c>
      <c r="AL105" s="62">
        <f t="shared" si="82"/>
        <v>0</v>
      </c>
      <c r="AM105" s="63">
        <f t="shared" si="82"/>
        <v>0</v>
      </c>
      <c r="AN105" s="61">
        <f t="shared" si="82"/>
        <v>0</v>
      </c>
      <c r="AO105" s="62">
        <f t="shared" si="82"/>
        <v>0</v>
      </c>
      <c r="AP105" s="63">
        <f t="shared" si="82"/>
        <v>0</v>
      </c>
      <c r="AQ105" s="61">
        <f t="shared" si="82"/>
        <v>0</v>
      </c>
      <c r="AR105" s="62">
        <f t="shared" si="82"/>
        <v>0</v>
      </c>
      <c r="AS105" s="63">
        <f t="shared" si="82"/>
        <v>0</v>
      </c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</row>
    <row r="106" ht="12.0" hidden="1" customHeight="1" outlineLevel="1">
      <c r="A106" s="4"/>
      <c r="B106" s="4"/>
      <c r="C106" s="271" t="str">
        <f>Macro!B140</f>
        <v>Finance Director</v>
      </c>
      <c r="D106" s="64"/>
      <c r="E106" s="62">
        <f t="shared" ref="E106:AS106" si="83">E205-D205</f>
        <v>0</v>
      </c>
      <c r="F106" s="62">
        <f t="shared" si="83"/>
        <v>0</v>
      </c>
      <c r="G106" s="61">
        <f t="shared" si="83"/>
        <v>0</v>
      </c>
      <c r="H106" s="62">
        <f t="shared" si="83"/>
        <v>0</v>
      </c>
      <c r="I106" s="63">
        <f t="shared" si="83"/>
        <v>0</v>
      </c>
      <c r="J106" s="61">
        <f t="shared" si="83"/>
        <v>0</v>
      </c>
      <c r="K106" s="62">
        <f t="shared" si="83"/>
        <v>0</v>
      </c>
      <c r="L106" s="63">
        <f t="shared" si="83"/>
        <v>0</v>
      </c>
      <c r="M106" s="61">
        <f t="shared" si="83"/>
        <v>0</v>
      </c>
      <c r="N106" s="62">
        <f t="shared" si="83"/>
        <v>0</v>
      </c>
      <c r="O106" s="63">
        <f t="shared" si="83"/>
        <v>0</v>
      </c>
      <c r="P106" s="61">
        <f t="shared" si="83"/>
        <v>0</v>
      </c>
      <c r="Q106" s="62">
        <f t="shared" si="83"/>
        <v>0</v>
      </c>
      <c r="R106" s="63">
        <f t="shared" si="83"/>
        <v>0</v>
      </c>
      <c r="S106" s="61">
        <f t="shared" si="83"/>
        <v>0</v>
      </c>
      <c r="T106" s="62">
        <f t="shared" si="83"/>
        <v>0</v>
      </c>
      <c r="U106" s="63">
        <f t="shared" si="83"/>
        <v>0</v>
      </c>
      <c r="V106" s="61">
        <f t="shared" si="83"/>
        <v>0</v>
      </c>
      <c r="W106" s="62">
        <f t="shared" si="83"/>
        <v>0</v>
      </c>
      <c r="X106" s="63">
        <f t="shared" si="83"/>
        <v>0</v>
      </c>
      <c r="Y106" s="61">
        <f t="shared" si="83"/>
        <v>0</v>
      </c>
      <c r="Z106" s="62">
        <f t="shared" si="83"/>
        <v>0</v>
      </c>
      <c r="AA106" s="63">
        <f t="shared" si="83"/>
        <v>0</v>
      </c>
      <c r="AB106" s="61">
        <f t="shared" si="83"/>
        <v>0</v>
      </c>
      <c r="AC106" s="62">
        <f t="shared" si="83"/>
        <v>0</v>
      </c>
      <c r="AD106" s="63">
        <f t="shared" si="83"/>
        <v>0</v>
      </c>
      <c r="AE106" s="61">
        <f t="shared" si="83"/>
        <v>0</v>
      </c>
      <c r="AF106" s="62">
        <f t="shared" si="83"/>
        <v>0</v>
      </c>
      <c r="AG106" s="63">
        <f t="shared" si="83"/>
        <v>0</v>
      </c>
      <c r="AH106" s="61">
        <f t="shared" si="83"/>
        <v>0</v>
      </c>
      <c r="AI106" s="62">
        <f t="shared" si="83"/>
        <v>0</v>
      </c>
      <c r="AJ106" s="63">
        <f t="shared" si="83"/>
        <v>0</v>
      </c>
      <c r="AK106" s="61">
        <f t="shared" si="83"/>
        <v>0</v>
      </c>
      <c r="AL106" s="62">
        <f t="shared" si="83"/>
        <v>0</v>
      </c>
      <c r="AM106" s="63">
        <f t="shared" si="83"/>
        <v>0</v>
      </c>
      <c r="AN106" s="61">
        <f t="shared" si="83"/>
        <v>0</v>
      </c>
      <c r="AO106" s="62">
        <f t="shared" si="83"/>
        <v>0</v>
      </c>
      <c r="AP106" s="63">
        <f t="shared" si="83"/>
        <v>0</v>
      </c>
      <c r="AQ106" s="61">
        <f t="shared" si="83"/>
        <v>0</v>
      </c>
      <c r="AR106" s="62">
        <f t="shared" si="83"/>
        <v>0</v>
      </c>
      <c r="AS106" s="63">
        <f t="shared" si="83"/>
        <v>0</v>
      </c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</row>
    <row r="107" ht="12.0" hidden="1" customHeight="1" outlineLevel="1">
      <c r="A107" s="4"/>
      <c r="B107" s="4"/>
      <c r="C107" s="271" t="str">
        <f>Macro!B141</f>
        <v>[XX]</v>
      </c>
      <c r="D107" s="64"/>
      <c r="E107" s="62">
        <f t="shared" ref="E107:AS107" si="84">E206-D206</f>
        <v>0</v>
      </c>
      <c r="F107" s="62">
        <f t="shared" si="84"/>
        <v>0</v>
      </c>
      <c r="G107" s="61">
        <f t="shared" si="84"/>
        <v>0</v>
      </c>
      <c r="H107" s="62">
        <f t="shared" si="84"/>
        <v>0</v>
      </c>
      <c r="I107" s="63">
        <f t="shared" si="84"/>
        <v>0</v>
      </c>
      <c r="J107" s="61">
        <f t="shared" si="84"/>
        <v>0</v>
      </c>
      <c r="K107" s="62">
        <f t="shared" si="84"/>
        <v>0</v>
      </c>
      <c r="L107" s="63">
        <f t="shared" si="84"/>
        <v>0</v>
      </c>
      <c r="M107" s="61">
        <f t="shared" si="84"/>
        <v>0</v>
      </c>
      <c r="N107" s="62">
        <f t="shared" si="84"/>
        <v>0</v>
      </c>
      <c r="O107" s="63">
        <f t="shared" si="84"/>
        <v>0</v>
      </c>
      <c r="P107" s="61">
        <f t="shared" si="84"/>
        <v>0</v>
      </c>
      <c r="Q107" s="62">
        <f t="shared" si="84"/>
        <v>0</v>
      </c>
      <c r="R107" s="63">
        <f t="shared" si="84"/>
        <v>0</v>
      </c>
      <c r="S107" s="61">
        <f t="shared" si="84"/>
        <v>0</v>
      </c>
      <c r="T107" s="62">
        <f t="shared" si="84"/>
        <v>0</v>
      </c>
      <c r="U107" s="63">
        <f t="shared" si="84"/>
        <v>0</v>
      </c>
      <c r="V107" s="61">
        <f t="shared" si="84"/>
        <v>0</v>
      </c>
      <c r="W107" s="62">
        <f t="shared" si="84"/>
        <v>0</v>
      </c>
      <c r="X107" s="63">
        <f t="shared" si="84"/>
        <v>0</v>
      </c>
      <c r="Y107" s="61">
        <f t="shared" si="84"/>
        <v>0</v>
      </c>
      <c r="Z107" s="62">
        <f t="shared" si="84"/>
        <v>0</v>
      </c>
      <c r="AA107" s="63">
        <f t="shared" si="84"/>
        <v>0</v>
      </c>
      <c r="AB107" s="61">
        <f t="shared" si="84"/>
        <v>0</v>
      </c>
      <c r="AC107" s="62">
        <f t="shared" si="84"/>
        <v>0</v>
      </c>
      <c r="AD107" s="63">
        <f t="shared" si="84"/>
        <v>0</v>
      </c>
      <c r="AE107" s="61">
        <f t="shared" si="84"/>
        <v>0</v>
      </c>
      <c r="AF107" s="62">
        <f t="shared" si="84"/>
        <v>0</v>
      </c>
      <c r="AG107" s="63">
        <f t="shared" si="84"/>
        <v>0</v>
      </c>
      <c r="AH107" s="61">
        <f t="shared" si="84"/>
        <v>0</v>
      </c>
      <c r="AI107" s="62">
        <f t="shared" si="84"/>
        <v>0</v>
      </c>
      <c r="AJ107" s="63">
        <f t="shared" si="84"/>
        <v>0</v>
      </c>
      <c r="AK107" s="61">
        <f t="shared" si="84"/>
        <v>0</v>
      </c>
      <c r="AL107" s="62">
        <f t="shared" si="84"/>
        <v>0</v>
      </c>
      <c r="AM107" s="63">
        <f t="shared" si="84"/>
        <v>0</v>
      </c>
      <c r="AN107" s="61">
        <f t="shared" si="84"/>
        <v>0</v>
      </c>
      <c r="AO107" s="62">
        <f t="shared" si="84"/>
        <v>0</v>
      </c>
      <c r="AP107" s="63">
        <f t="shared" si="84"/>
        <v>0</v>
      </c>
      <c r="AQ107" s="61">
        <f t="shared" si="84"/>
        <v>0</v>
      </c>
      <c r="AR107" s="62">
        <f t="shared" si="84"/>
        <v>0</v>
      </c>
      <c r="AS107" s="63">
        <f t="shared" si="84"/>
        <v>0</v>
      </c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</row>
    <row r="108" ht="12.0" hidden="1" customHeight="1" outlineLevel="1">
      <c r="A108" s="4"/>
      <c r="B108" s="4"/>
      <c r="C108" s="271" t="str">
        <f>Macro!B142</f>
        <v>[XX]</v>
      </c>
      <c r="D108" s="64"/>
      <c r="E108" s="62">
        <f t="shared" ref="E108:AS108" si="85">E207-D207</f>
        <v>0</v>
      </c>
      <c r="F108" s="62">
        <f t="shared" si="85"/>
        <v>0</v>
      </c>
      <c r="G108" s="61">
        <f t="shared" si="85"/>
        <v>0</v>
      </c>
      <c r="H108" s="62">
        <f t="shared" si="85"/>
        <v>0</v>
      </c>
      <c r="I108" s="63">
        <f t="shared" si="85"/>
        <v>0</v>
      </c>
      <c r="J108" s="61">
        <f t="shared" si="85"/>
        <v>0</v>
      </c>
      <c r="K108" s="62">
        <f t="shared" si="85"/>
        <v>0</v>
      </c>
      <c r="L108" s="63">
        <f t="shared" si="85"/>
        <v>0</v>
      </c>
      <c r="M108" s="61">
        <f t="shared" si="85"/>
        <v>0</v>
      </c>
      <c r="N108" s="62">
        <f t="shared" si="85"/>
        <v>0</v>
      </c>
      <c r="O108" s="63">
        <f t="shared" si="85"/>
        <v>0</v>
      </c>
      <c r="P108" s="61">
        <f t="shared" si="85"/>
        <v>0</v>
      </c>
      <c r="Q108" s="62">
        <f t="shared" si="85"/>
        <v>0</v>
      </c>
      <c r="R108" s="63">
        <f t="shared" si="85"/>
        <v>0</v>
      </c>
      <c r="S108" s="61">
        <f t="shared" si="85"/>
        <v>0</v>
      </c>
      <c r="T108" s="62">
        <f t="shared" si="85"/>
        <v>0</v>
      </c>
      <c r="U108" s="63">
        <f t="shared" si="85"/>
        <v>0</v>
      </c>
      <c r="V108" s="61">
        <f t="shared" si="85"/>
        <v>0</v>
      </c>
      <c r="W108" s="62">
        <f t="shared" si="85"/>
        <v>0</v>
      </c>
      <c r="X108" s="63">
        <f t="shared" si="85"/>
        <v>0</v>
      </c>
      <c r="Y108" s="61">
        <f t="shared" si="85"/>
        <v>0</v>
      </c>
      <c r="Z108" s="62">
        <f t="shared" si="85"/>
        <v>0</v>
      </c>
      <c r="AA108" s="63">
        <f t="shared" si="85"/>
        <v>0</v>
      </c>
      <c r="AB108" s="61">
        <f t="shared" si="85"/>
        <v>0</v>
      </c>
      <c r="AC108" s="62">
        <f t="shared" si="85"/>
        <v>0</v>
      </c>
      <c r="AD108" s="63">
        <f t="shared" si="85"/>
        <v>0</v>
      </c>
      <c r="AE108" s="61">
        <f t="shared" si="85"/>
        <v>0</v>
      </c>
      <c r="AF108" s="62">
        <f t="shared" si="85"/>
        <v>0</v>
      </c>
      <c r="AG108" s="63">
        <f t="shared" si="85"/>
        <v>0</v>
      </c>
      <c r="AH108" s="61">
        <f t="shared" si="85"/>
        <v>0</v>
      </c>
      <c r="AI108" s="62">
        <f t="shared" si="85"/>
        <v>0</v>
      </c>
      <c r="AJ108" s="63">
        <f t="shared" si="85"/>
        <v>0</v>
      </c>
      <c r="AK108" s="61">
        <f t="shared" si="85"/>
        <v>0</v>
      </c>
      <c r="AL108" s="62">
        <f t="shared" si="85"/>
        <v>0</v>
      </c>
      <c r="AM108" s="63">
        <f t="shared" si="85"/>
        <v>0</v>
      </c>
      <c r="AN108" s="61">
        <f t="shared" si="85"/>
        <v>0</v>
      </c>
      <c r="AO108" s="62">
        <f t="shared" si="85"/>
        <v>0</v>
      </c>
      <c r="AP108" s="63">
        <f t="shared" si="85"/>
        <v>0</v>
      </c>
      <c r="AQ108" s="61">
        <f t="shared" si="85"/>
        <v>0</v>
      </c>
      <c r="AR108" s="62">
        <f t="shared" si="85"/>
        <v>0</v>
      </c>
      <c r="AS108" s="63">
        <f t="shared" si="85"/>
        <v>0</v>
      </c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</row>
    <row r="109" ht="12.0" hidden="1" customHeight="1" outlineLevel="1">
      <c r="A109" s="4"/>
      <c r="B109" s="4"/>
      <c r="C109" s="271" t="str">
        <f>Macro!B143</f>
        <v>[XX]</v>
      </c>
      <c r="D109" s="64"/>
      <c r="E109" s="62">
        <f t="shared" ref="E109:AS109" si="86">E208-D208</f>
        <v>0</v>
      </c>
      <c r="F109" s="62">
        <f t="shared" si="86"/>
        <v>0</v>
      </c>
      <c r="G109" s="61">
        <f t="shared" si="86"/>
        <v>0</v>
      </c>
      <c r="H109" s="62">
        <f t="shared" si="86"/>
        <v>0</v>
      </c>
      <c r="I109" s="63">
        <f t="shared" si="86"/>
        <v>0</v>
      </c>
      <c r="J109" s="61">
        <f t="shared" si="86"/>
        <v>0</v>
      </c>
      <c r="K109" s="62">
        <f t="shared" si="86"/>
        <v>0</v>
      </c>
      <c r="L109" s="63">
        <f t="shared" si="86"/>
        <v>0</v>
      </c>
      <c r="M109" s="61">
        <f t="shared" si="86"/>
        <v>0</v>
      </c>
      <c r="N109" s="62">
        <f t="shared" si="86"/>
        <v>0</v>
      </c>
      <c r="O109" s="63">
        <f t="shared" si="86"/>
        <v>0</v>
      </c>
      <c r="P109" s="61">
        <f t="shared" si="86"/>
        <v>0</v>
      </c>
      <c r="Q109" s="62">
        <f t="shared" si="86"/>
        <v>0</v>
      </c>
      <c r="R109" s="63">
        <f t="shared" si="86"/>
        <v>0</v>
      </c>
      <c r="S109" s="61">
        <f t="shared" si="86"/>
        <v>0</v>
      </c>
      <c r="T109" s="62">
        <f t="shared" si="86"/>
        <v>0</v>
      </c>
      <c r="U109" s="63">
        <f t="shared" si="86"/>
        <v>0</v>
      </c>
      <c r="V109" s="61">
        <f t="shared" si="86"/>
        <v>0</v>
      </c>
      <c r="W109" s="62">
        <f t="shared" si="86"/>
        <v>0</v>
      </c>
      <c r="X109" s="63">
        <f t="shared" si="86"/>
        <v>0</v>
      </c>
      <c r="Y109" s="61">
        <f t="shared" si="86"/>
        <v>0</v>
      </c>
      <c r="Z109" s="62">
        <f t="shared" si="86"/>
        <v>0</v>
      </c>
      <c r="AA109" s="63">
        <f t="shared" si="86"/>
        <v>0</v>
      </c>
      <c r="AB109" s="61">
        <f t="shared" si="86"/>
        <v>0</v>
      </c>
      <c r="AC109" s="62">
        <f t="shared" si="86"/>
        <v>0</v>
      </c>
      <c r="AD109" s="63">
        <f t="shared" si="86"/>
        <v>0</v>
      </c>
      <c r="AE109" s="61">
        <f t="shared" si="86"/>
        <v>0</v>
      </c>
      <c r="AF109" s="62">
        <f t="shared" si="86"/>
        <v>0</v>
      </c>
      <c r="AG109" s="63">
        <f t="shared" si="86"/>
        <v>0</v>
      </c>
      <c r="AH109" s="61">
        <f t="shared" si="86"/>
        <v>0</v>
      </c>
      <c r="AI109" s="62">
        <f t="shared" si="86"/>
        <v>0</v>
      </c>
      <c r="AJ109" s="63">
        <f t="shared" si="86"/>
        <v>0</v>
      </c>
      <c r="AK109" s="61">
        <f t="shared" si="86"/>
        <v>0</v>
      </c>
      <c r="AL109" s="62">
        <f t="shared" si="86"/>
        <v>0</v>
      </c>
      <c r="AM109" s="63">
        <f t="shared" si="86"/>
        <v>0</v>
      </c>
      <c r="AN109" s="61">
        <f t="shared" si="86"/>
        <v>0</v>
      </c>
      <c r="AO109" s="62">
        <f t="shared" si="86"/>
        <v>0</v>
      </c>
      <c r="AP109" s="63">
        <f t="shared" si="86"/>
        <v>0</v>
      </c>
      <c r="AQ109" s="61">
        <f t="shared" si="86"/>
        <v>0</v>
      </c>
      <c r="AR109" s="62">
        <f t="shared" si="86"/>
        <v>0</v>
      </c>
      <c r="AS109" s="63">
        <f t="shared" si="86"/>
        <v>0</v>
      </c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</row>
    <row r="110" ht="12.0" hidden="1" customHeight="1" outlineLevel="1">
      <c r="A110" s="4"/>
      <c r="B110" s="4"/>
      <c r="C110" s="271" t="str">
        <f>Macro!B144</f>
        <v>[XX]</v>
      </c>
      <c r="D110" s="64"/>
      <c r="E110" s="62">
        <f t="shared" ref="E110:AS110" si="87">E209-D209</f>
        <v>0</v>
      </c>
      <c r="F110" s="62">
        <f t="shared" si="87"/>
        <v>0</v>
      </c>
      <c r="G110" s="61">
        <f t="shared" si="87"/>
        <v>0</v>
      </c>
      <c r="H110" s="62">
        <f t="shared" si="87"/>
        <v>0</v>
      </c>
      <c r="I110" s="63">
        <f t="shared" si="87"/>
        <v>0</v>
      </c>
      <c r="J110" s="61">
        <f t="shared" si="87"/>
        <v>0</v>
      </c>
      <c r="K110" s="62">
        <f t="shared" si="87"/>
        <v>0</v>
      </c>
      <c r="L110" s="63">
        <f t="shared" si="87"/>
        <v>0</v>
      </c>
      <c r="M110" s="61">
        <f t="shared" si="87"/>
        <v>0</v>
      </c>
      <c r="N110" s="62">
        <f t="shared" si="87"/>
        <v>0</v>
      </c>
      <c r="O110" s="63">
        <f t="shared" si="87"/>
        <v>0</v>
      </c>
      <c r="P110" s="61">
        <f t="shared" si="87"/>
        <v>0</v>
      </c>
      <c r="Q110" s="62">
        <f t="shared" si="87"/>
        <v>0</v>
      </c>
      <c r="R110" s="63">
        <f t="shared" si="87"/>
        <v>0</v>
      </c>
      <c r="S110" s="61">
        <f t="shared" si="87"/>
        <v>0</v>
      </c>
      <c r="T110" s="62">
        <f t="shared" si="87"/>
        <v>0</v>
      </c>
      <c r="U110" s="63">
        <f t="shared" si="87"/>
        <v>0</v>
      </c>
      <c r="V110" s="61">
        <f t="shared" si="87"/>
        <v>0</v>
      </c>
      <c r="W110" s="62">
        <f t="shared" si="87"/>
        <v>0</v>
      </c>
      <c r="X110" s="63">
        <f t="shared" si="87"/>
        <v>0</v>
      </c>
      <c r="Y110" s="61">
        <f t="shared" si="87"/>
        <v>0</v>
      </c>
      <c r="Z110" s="62">
        <f t="shared" si="87"/>
        <v>0</v>
      </c>
      <c r="AA110" s="63">
        <f t="shared" si="87"/>
        <v>0</v>
      </c>
      <c r="AB110" s="61">
        <f t="shared" si="87"/>
        <v>0</v>
      </c>
      <c r="AC110" s="62">
        <f t="shared" si="87"/>
        <v>0</v>
      </c>
      <c r="AD110" s="63">
        <f t="shared" si="87"/>
        <v>0</v>
      </c>
      <c r="AE110" s="61">
        <f t="shared" si="87"/>
        <v>0</v>
      </c>
      <c r="AF110" s="62">
        <f t="shared" si="87"/>
        <v>0</v>
      </c>
      <c r="AG110" s="63">
        <f t="shared" si="87"/>
        <v>0</v>
      </c>
      <c r="AH110" s="61">
        <f t="shared" si="87"/>
        <v>0</v>
      </c>
      <c r="AI110" s="62">
        <f t="shared" si="87"/>
        <v>0</v>
      </c>
      <c r="AJ110" s="63">
        <f t="shared" si="87"/>
        <v>0</v>
      </c>
      <c r="AK110" s="61">
        <f t="shared" si="87"/>
        <v>0</v>
      </c>
      <c r="AL110" s="62">
        <f t="shared" si="87"/>
        <v>0</v>
      </c>
      <c r="AM110" s="63">
        <f t="shared" si="87"/>
        <v>0</v>
      </c>
      <c r="AN110" s="61">
        <f t="shared" si="87"/>
        <v>0</v>
      </c>
      <c r="AO110" s="62">
        <f t="shared" si="87"/>
        <v>0</v>
      </c>
      <c r="AP110" s="63">
        <f t="shared" si="87"/>
        <v>0</v>
      </c>
      <c r="AQ110" s="61">
        <f t="shared" si="87"/>
        <v>0</v>
      </c>
      <c r="AR110" s="62">
        <f t="shared" si="87"/>
        <v>0</v>
      </c>
      <c r="AS110" s="63">
        <f t="shared" si="87"/>
        <v>0</v>
      </c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</row>
    <row r="111" ht="12.0" hidden="1" customHeight="1" outlineLevel="1">
      <c r="A111" s="4"/>
      <c r="B111" s="4"/>
      <c r="C111" s="272" t="str">
        <f>Macro!B145</f>
        <v>[XX]</v>
      </c>
      <c r="D111" s="239"/>
      <c r="E111" s="254">
        <f t="shared" ref="E111:AS111" si="88">E210-D210</f>
        <v>0</v>
      </c>
      <c r="F111" s="254">
        <f t="shared" si="88"/>
        <v>0</v>
      </c>
      <c r="G111" s="230">
        <f t="shared" si="88"/>
        <v>0</v>
      </c>
      <c r="H111" s="254">
        <f t="shared" si="88"/>
        <v>0</v>
      </c>
      <c r="I111" s="255">
        <f t="shared" si="88"/>
        <v>0</v>
      </c>
      <c r="J111" s="230">
        <f t="shared" si="88"/>
        <v>0</v>
      </c>
      <c r="K111" s="254">
        <f t="shared" si="88"/>
        <v>0</v>
      </c>
      <c r="L111" s="255">
        <f t="shared" si="88"/>
        <v>0</v>
      </c>
      <c r="M111" s="230">
        <f t="shared" si="88"/>
        <v>0</v>
      </c>
      <c r="N111" s="254">
        <f t="shared" si="88"/>
        <v>0</v>
      </c>
      <c r="O111" s="255">
        <f t="shared" si="88"/>
        <v>0</v>
      </c>
      <c r="P111" s="230">
        <f t="shared" si="88"/>
        <v>0</v>
      </c>
      <c r="Q111" s="254">
        <f t="shared" si="88"/>
        <v>0</v>
      </c>
      <c r="R111" s="255">
        <f t="shared" si="88"/>
        <v>0</v>
      </c>
      <c r="S111" s="230">
        <f t="shared" si="88"/>
        <v>0</v>
      </c>
      <c r="T111" s="254">
        <f t="shared" si="88"/>
        <v>0</v>
      </c>
      <c r="U111" s="255">
        <f t="shared" si="88"/>
        <v>0</v>
      </c>
      <c r="V111" s="230">
        <f t="shared" si="88"/>
        <v>0</v>
      </c>
      <c r="W111" s="254">
        <f t="shared" si="88"/>
        <v>0</v>
      </c>
      <c r="X111" s="255">
        <f t="shared" si="88"/>
        <v>0</v>
      </c>
      <c r="Y111" s="230">
        <f t="shared" si="88"/>
        <v>0</v>
      </c>
      <c r="Z111" s="254">
        <f t="shared" si="88"/>
        <v>0</v>
      </c>
      <c r="AA111" s="255">
        <f t="shared" si="88"/>
        <v>0</v>
      </c>
      <c r="AB111" s="230">
        <f t="shared" si="88"/>
        <v>0</v>
      </c>
      <c r="AC111" s="254">
        <f t="shared" si="88"/>
        <v>0</v>
      </c>
      <c r="AD111" s="255">
        <f t="shared" si="88"/>
        <v>0</v>
      </c>
      <c r="AE111" s="230">
        <f t="shared" si="88"/>
        <v>0</v>
      </c>
      <c r="AF111" s="254">
        <f t="shared" si="88"/>
        <v>0</v>
      </c>
      <c r="AG111" s="255">
        <f t="shared" si="88"/>
        <v>0</v>
      </c>
      <c r="AH111" s="230">
        <f t="shared" si="88"/>
        <v>0</v>
      </c>
      <c r="AI111" s="254">
        <f t="shared" si="88"/>
        <v>0</v>
      </c>
      <c r="AJ111" s="255">
        <f t="shared" si="88"/>
        <v>0</v>
      </c>
      <c r="AK111" s="230">
        <f t="shared" si="88"/>
        <v>0</v>
      </c>
      <c r="AL111" s="254">
        <f t="shared" si="88"/>
        <v>0</v>
      </c>
      <c r="AM111" s="255">
        <f t="shared" si="88"/>
        <v>0</v>
      </c>
      <c r="AN111" s="230">
        <f t="shared" si="88"/>
        <v>0</v>
      </c>
      <c r="AO111" s="254">
        <f t="shared" si="88"/>
        <v>0</v>
      </c>
      <c r="AP111" s="255">
        <f t="shared" si="88"/>
        <v>0</v>
      </c>
      <c r="AQ111" s="230">
        <f t="shared" si="88"/>
        <v>0</v>
      </c>
      <c r="AR111" s="254">
        <f t="shared" si="88"/>
        <v>0</v>
      </c>
      <c r="AS111" s="255">
        <f t="shared" si="88"/>
        <v>0</v>
      </c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</row>
    <row r="112" ht="12.0" hidden="1" customHeight="1" outlineLevel="1">
      <c r="A112" s="8"/>
      <c r="B112" s="8"/>
      <c r="C112" s="270" t="s">
        <v>73</v>
      </c>
      <c r="D112" s="51"/>
      <c r="E112" s="52">
        <f t="shared" ref="E112:AS112" si="89">SUM(E102:E111)</f>
        <v>0</v>
      </c>
      <c r="F112" s="52">
        <f t="shared" si="89"/>
        <v>0</v>
      </c>
      <c r="G112" s="51">
        <f t="shared" si="89"/>
        <v>0</v>
      </c>
      <c r="H112" s="52">
        <f t="shared" si="89"/>
        <v>0</v>
      </c>
      <c r="I112" s="53">
        <f t="shared" si="89"/>
        <v>0</v>
      </c>
      <c r="J112" s="51">
        <f t="shared" si="89"/>
        <v>0</v>
      </c>
      <c r="K112" s="52">
        <f t="shared" si="89"/>
        <v>0</v>
      </c>
      <c r="L112" s="53">
        <f t="shared" si="89"/>
        <v>0</v>
      </c>
      <c r="M112" s="51">
        <f t="shared" si="89"/>
        <v>0</v>
      </c>
      <c r="N112" s="52">
        <f t="shared" si="89"/>
        <v>0</v>
      </c>
      <c r="O112" s="53">
        <f t="shared" si="89"/>
        <v>0</v>
      </c>
      <c r="P112" s="51">
        <f t="shared" si="89"/>
        <v>0</v>
      </c>
      <c r="Q112" s="52">
        <f t="shared" si="89"/>
        <v>0</v>
      </c>
      <c r="R112" s="53">
        <f t="shared" si="89"/>
        <v>0</v>
      </c>
      <c r="S112" s="51">
        <f t="shared" si="89"/>
        <v>0</v>
      </c>
      <c r="T112" s="52">
        <f t="shared" si="89"/>
        <v>0</v>
      </c>
      <c r="U112" s="53">
        <f t="shared" si="89"/>
        <v>0</v>
      </c>
      <c r="V112" s="51">
        <f t="shared" si="89"/>
        <v>0</v>
      </c>
      <c r="W112" s="52">
        <f t="shared" si="89"/>
        <v>0</v>
      </c>
      <c r="X112" s="53">
        <f t="shared" si="89"/>
        <v>0</v>
      </c>
      <c r="Y112" s="51">
        <f t="shared" si="89"/>
        <v>0</v>
      </c>
      <c r="Z112" s="52">
        <f t="shared" si="89"/>
        <v>0</v>
      </c>
      <c r="AA112" s="53">
        <f t="shared" si="89"/>
        <v>0</v>
      </c>
      <c r="AB112" s="51">
        <f t="shared" si="89"/>
        <v>0</v>
      </c>
      <c r="AC112" s="52">
        <f t="shared" si="89"/>
        <v>0</v>
      </c>
      <c r="AD112" s="53">
        <f t="shared" si="89"/>
        <v>0</v>
      </c>
      <c r="AE112" s="51">
        <f t="shared" si="89"/>
        <v>0</v>
      </c>
      <c r="AF112" s="52">
        <f t="shared" si="89"/>
        <v>0</v>
      </c>
      <c r="AG112" s="53">
        <f t="shared" si="89"/>
        <v>0</v>
      </c>
      <c r="AH112" s="51">
        <f t="shared" si="89"/>
        <v>0</v>
      </c>
      <c r="AI112" s="52">
        <f t="shared" si="89"/>
        <v>0</v>
      </c>
      <c r="AJ112" s="53">
        <f t="shared" si="89"/>
        <v>0</v>
      </c>
      <c r="AK112" s="51">
        <f t="shared" si="89"/>
        <v>0</v>
      </c>
      <c r="AL112" s="52">
        <f t="shared" si="89"/>
        <v>0</v>
      </c>
      <c r="AM112" s="53">
        <f t="shared" si="89"/>
        <v>0</v>
      </c>
      <c r="AN112" s="51">
        <f t="shared" si="89"/>
        <v>0</v>
      </c>
      <c r="AO112" s="52">
        <f t="shared" si="89"/>
        <v>0</v>
      </c>
      <c r="AP112" s="53">
        <f t="shared" si="89"/>
        <v>0</v>
      </c>
      <c r="AQ112" s="51">
        <f t="shared" si="89"/>
        <v>0</v>
      </c>
      <c r="AR112" s="52">
        <f t="shared" si="89"/>
        <v>0</v>
      </c>
      <c r="AS112" s="53">
        <f t="shared" si="89"/>
        <v>0</v>
      </c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</row>
    <row r="113" ht="12.0" customHeight="1" collapsed="1">
      <c r="A113" s="4"/>
      <c r="B113" s="4"/>
      <c r="C113" s="4"/>
      <c r="D113" s="64"/>
      <c r="E113" s="4"/>
      <c r="F113" s="4"/>
      <c r="G113" s="64"/>
      <c r="H113" s="4"/>
      <c r="I113" s="65"/>
      <c r="J113" s="64"/>
      <c r="K113" s="4"/>
      <c r="L113" s="65"/>
      <c r="M113" s="64"/>
      <c r="N113" s="4"/>
      <c r="O113" s="65"/>
      <c r="P113" s="64"/>
      <c r="Q113" s="4"/>
      <c r="R113" s="65"/>
      <c r="S113" s="64"/>
      <c r="T113" s="4"/>
      <c r="U113" s="65"/>
      <c r="V113" s="64"/>
      <c r="W113" s="4"/>
      <c r="X113" s="65"/>
      <c r="Y113" s="64"/>
      <c r="Z113" s="4"/>
      <c r="AA113" s="65"/>
      <c r="AB113" s="64"/>
      <c r="AC113" s="4"/>
      <c r="AD113" s="65"/>
      <c r="AE113" s="64"/>
      <c r="AF113" s="4"/>
      <c r="AG113" s="65"/>
      <c r="AH113" s="64"/>
      <c r="AI113" s="4"/>
      <c r="AJ113" s="65"/>
      <c r="AK113" s="64"/>
      <c r="AL113" s="4"/>
      <c r="AM113" s="65"/>
      <c r="AN113" s="64"/>
      <c r="AO113" s="4"/>
      <c r="AP113" s="65"/>
      <c r="AQ113" s="64"/>
      <c r="AR113" s="4"/>
      <c r="AS113" s="65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</row>
    <row r="114" ht="12.0" customHeight="1">
      <c r="A114" s="4"/>
      <c r="B114" s="262" t="s">
        <v>217</v>
      </c>
      <c r="C114" s="29"/>
      <c r="D114" s="30"/>
      <c r="E114" s="31"/>
      <c r="F114" s="31"/>
      <c r="G114" s="30"/>
      <c r="H114" s="31"/>
      <c r="I114" s="32"/>
      <c r="J114" s="30"/>
      <c r="K114" s="31"/>
      <c r="L114" s="32"/>
      <c r="M114" s="30"/>
      <c r="N114" s="31"/>
      <c r="O114" s="32"/>
      <c r="P114" s="30"/>
      <c r="Q114" s="31"/>
      <c r="R114" s="32"/>
      <c r="S114" s="30"/>
      <c r="T114" s="31"/>
      <c r="U114" s="32"/>
      <c r="V114" s="30"/>
      <c r="W114" s="31"/>
      <c r="X114" s="32"/>
      <c r="Y114" s="30"/>
      <c r="Z114" s="31"/>
      <c r="AA114" s="32"/>
      <c r="AB114" s="30"/>
      <c r="AC114" s="31"/>
      <c r="AD114" s="32"/>
      <c r="AE114" s="30"/>
      <c r="AF114" s="31"/>
      <c r="AG114" s="32"/>
      <c r="AH114" s="30"/>
      <c r="AI114" s="31"/>
      <c r="AJ114" s="32"/>
      <c r="AK114" s="30"/>
      <c r="AL114" s="31"/>
      <c r="AM114" s="32"/>
      <c r="AN114" s="30"/>
      <c r="AO114" s="31"/>
      <c r="AP114" s="32"/>
      <c r="AQ114" s="30"/>
      <c r="AR114" s="31"/>
      <c r="AS114" s="32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</row>
    <row r="115" ht="4.5" customHeight="1">
      <c r="A115" s="4"/>
      <c r="B115" s="4"/>
      <c r="C115" s="4"/>
      <c r="D115" s="64"/>
      <c r="E115" s="4"/>
      <c r="F115" s="4"/>
      <c r="G115" s="64"/>
      <c r="H115" s="4"/>
      <c r="I115" s="65"/>
      <c r="J115" s="64"/>
      <c r="K115" s="4"/>
      <c r="L115" s="65"/>
      <c r="M115" s="64"/>
      <c r="N115" s="4"/>
      <c r="O115" s="65"/>
      <c r="P115" s="64"/>
      <c r="Q115" s="4"/>
      <c r="R115" s="65"/>
      <c r="S115" s="64"/>
      <c r="T115" s="4"/>
      <c r="U115" s="65"/>
      <c r="V115" s="64"/>
      <c r="W115" s="4"/>
      <c r="X115" s="65"/>
      <c r="Y115" s="64"/>
      <c r="Z115" s="4"/>
      <c r="AA115" s="65"/>
      <c r="AB115" s="64"/>
      <c r="AC115" s="4"/>
      <c r="AD115" s="65"/>
      <c r="AE115" s="64"/>
      <c r="AF115" s="4"/>
      <c r="AG115" s="65"/>
      <c r="AH115" s="64"/>
      <c r="AI115" s="4"/>
      <c r="AJ115" s="65"/>
      <c r="AK115" s="64"/>
      <c r="AL115" s="4"/>
      <c r="AM115" s="65"/>
      <c r="AN115" s="64"/>
      <c r="AO115" s="4"/>
      <c r="AP115" s="65"/>
      <c r="AQ115" s="64"/>
      <c r="AR115" s="4"/>
      <c r="AS115" s="65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</row>
    <row r="116" ht="12.0" customHeight="1">
      <c r="A116" s="4"/>
      <c r="B116" s="270" t="s">
        <v>19</v>
      </c>
      <c r="C116" s="4"/>
      <c r="D116" s="64"/>
      <c r="E116" s="4"/>
      <c r="F116" s="4"/>
      <c r="G116" s="64"/>
      <c r="H116" s="4"/>
      <c r="I116" s="65"/>
      <c r="J116" s="64"/>
      <c r="K116" s="4"/>
      <c r="L116" s="65"/>
      <c r="M116" s="64"/>
      <c r="N116" s="4"/>
      <c r="O116" s="65"/>
      <c r="P116" s="64"/>
      <c r="Q116" s="4"/>
      <c r="R116" s="65"/>
      <c r="S116" s="64"/>
      <c r="T116" s="4"/>
      <c r="U116" s="65"/>
      <c r="V116" s="64"/>
      <c r="W116" s="4"/>
      <c r="X116" s="65"/>
      <c r="Y116" s="64"/>
      <c r="Z116" s="4"/>
      <c r="AA116" s="65"/>
      <c r="AB116" s="64"/>
      <c r="AC116" s="4"/>
      <c r="AD116" s="65"/>
      <c r="AE116" s="64"/>
      <c r="AF116" s="4"/>
      <c r="AG116" s="65"/>
      <c r="AH116" s="64"/>
      <c r="AI116" s="4"/>
      <c r="AJ116" s="65"/>
      <c r="AK116" s="64"/>
      <c r="AL116" s="4"/>
      <c r="AM116" s="65"/>
      <c r="AN116" s="64"/>
      <c r="AO116" s="4"/>
      <c r="AP116" s="65"/>
      <c r="AQ116" s="64"/>
      <c r="AR116" s="4"/>
      <c r="AS116" s="65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</row>
    <row r="117" ht="12.0" customHeight="1">
      <c r="A117" s="4"/>
      <c r="B117" s="4"/>
      <c r="C117" s="37" t="str">
        <f>Macro!B57</f>
        <v>CRO</v>
      </c>
      <c r="D117" s="212">
        <v>0.0</v>
      </c>
      <c r="E117" s="213">
        <v>0.0</v>
      </c>
      <c r="F117" s="213">
        <v>0.0</v>
      </c>
      <c r="G117" s="212">
        <v>0.0</v>
      </c>
      <c r="H117" s="213">
        <v>0.0</v>
      </c>
      <c r="I117" s="214">
        <v>0.0</v>
      </c>
      <c r="J117" s="212">
        <v>0.0</v>
      </c>
      <c r="K117" s="213">
        <v>0.0</v>
      </c>
      <c r="L117" s="214">
        <v>0.0</v>
      </c>
      <c r="M117" s="212">
        <v>1.0</v>
      </c>
      <c r="N117" s="213">
        <v>1.0</v>
      </c>
      <c r="O117" s="214">
        <v>1.0</v>
      </c>
      <c r="P117" s="212">
        <v>1.0</v>
      </c>
      <c r="Q117" s="213">
        <v>1.0</v>
      </c>
      <c r="R117" s="214">
        <v>1.0</v>
      </c>
      <c r="S117" s="212">
        <v>1.0</v>
      </c>
      <c r="T117" s="213">
        <v>1.0</v>
      </c>
      <c r="U117" s="214">
        <v>1.0</v>
      </c>
      <c r="V117" s="212">
        <v>1.0</v>
      </c>
      <c r="W117" s="213">
        <v>1.0</v>
      </c>
      <c r="X117" s="214">
        <v>1.0</v>
      </c>
      <c r="Y117" s="212">
        <v>1.0</v>
      </c>
      <c r="Z117" s="213">
        <v>1.0</v>
      </c>
      <c r="AA117" s="214">
        <v>1.0</v>
      </c>
      <c r="AB117" s="212">
        <v>1.0</v>
      </c>
      <c r="AC117" s="213">
        <v>1.0</v>
      </c>
      <c r="AD117" s="214">
        <v>1.0</v>
      </c>
      <c r="AE117" s="212">
        <v>1.0</v>
      </c>
      <c r="AF117" s="213">
        <v>1.0</v>
      </c>
      <c r="AG117" s="214">
        <v>1.0</v>
      </c>
      <c r="AH117" s="212">
        <v>1.0</v>
      </c>
      <c r="AI117" s="213">
        <v>1.0</v>
      </c>
      <c r="AJ117" s="214">
        <v>1.0</v>
      </c>
      <c r="AK117" s="212">
        <v>1.0</v>
      </c>
      <c r="AL117" s="213">
        <v>1.0</v>
      </c>
      <c r="AM117" s="214">
        <v>1.0</v>
      </c>
      <c r="AN117" s="212">
        <v>1.0</v>
      </c>
      <c r="AO117" s="213">
        <v>1.0</v>
      </c>
      <c r="AP117" s="214">
        <v>1.0</v>
      </c>
      <c r="AQ117" s="212">
        <v>1.0</v>
      </c>
      <c r="AR117" s="213">
        <v>1.0</v>
      </c>
      <c r="AS117" s="214">
        <v>1.0</v>
      </c>
      <c r="AT117" s="210"/>
      <c r="AU117" s="210"/>
      <c r="AV117" s="210"/>
      <c r="AW117" s="210"/>
      <c r="AX117" s="210"/>
      <c r="AY117" s="210"/>
      <c r="AZ117" s="210"/>
      <c r="BA117" s="210"/>
      <c r="BB117" s="210"/>
      <c r="BC117" s="210"/>
      <c r="BD117" s="210"/>
      <c r="BE117" s="210"/>
      <c r="BF117" s="210"/>
      <c r="BG117" s="210"/>
      <c r="BH117" s="210"/>
      <c r="BI117" s="210"/>
      <c r="BJ117" s="210"/>
      <c r="BK117" s="210"/>
      <c r="BL117" s="210"/>
      <c r="BM117" s="210"/>
    </row>
    <row r="118" ht="12.0" customHeight="1">
      <c r="A118" s="4"/>
      <c r="B118" s="4"/>
      <c r="C118" s="37" t="str">
        <f>Macro!B58</f>
        <v>AE</v>
      </c>
      <c r="D118" s="274">
        <v>2.0</v>
      </c>
      <c r="E118" s="275">
        <v>2.0</v>
      </c>
      <c r="F118" s="275">
        <v>2.0</v>
      </c>
      <c r="G118" s="274">
        <v>2.0</v>
      </c>
      <c r="H118" s="275">
        <v>2.0</v>
      </c>
      <c r="I118" s="276">
        <v>2.0</v>
      </c>
      <c r="J118" s="274">
        <v>2.0</v>
      </c>
      <c r="K118" s="275">
        <v>2.0</v>
      </c>
      <c r="L118" s="276">
        <v>2.0</v>
      </c>
      <c r="M118" s="274">
        <v>2.0</v>
      </c>
      <c r="N118" s="275">
        <v>2.0</v>
      </c>
      <c r="O118" s="276">
        <v>2.0</v>
      </c>
      <c r="P118" s="275">
        <v>3.0</v>
      </c>
      <c r="Q118" s="275">
        <v>3.0</v>
      </c>
      <c r="R118" s="275">
        <v>3.0</v>
      </c>
      <c r="S118" s="274">
        <v>3.0</v>
      </c>
      <c r="T118" s="275">
        <v>3.0</v>
      </c>
      <c r="U118" s="276">
        <v>3.0</v>
      </c>
      <c r="V118" s="275">
        <v>4.0</v>
      </c>
      <c r="W118" s="275">
        <v>4.0</v>
      </c>
      <c r="X118" s="275">
        <v>4.0</v>
      </c>
      <c r="Y118" s="274">
        <v>4.0</v>
      </c>
      <c r="Z118" s="275">
        <v>4.0</v>
      </c>
      <c r="AA118" s="276">
        <v>4.0</v>
      </c>
      <c r="AB118" s="275">
        <v>5.0</v>
      </c>
      <c r="AC118" s="275">
        <v>5.0</v>
      </c>
      <c r="AD118" s="275">
        <v>5.0</v>
      </c>
      <c r="AE118" s="274">
        <v>5.0</v>
      </c>
      <c r="AF118" s="275">
        <v>5.0</v>
      </c>
      <c r="AG118" s="276">
        <v>5.0</v>
      </c>
      <c r="AH118" s="275">
        <v>6.0</v>
      </c>
      <c r="AI118" s="275">
        <v>6.0</v>
      </c>
      <c r="AJ118" s="275">
        <v>6.0</v>
      </c>
      <c r="AK118" s="274">
        <v>6.0</v>
      </c>
      <c r="AL118" s="275">
        <v>6.0</v>
      </c>
      <c r="AM118" s="276">
        <v>6.0</v>
      </c>
      <c r="AN118" s="275">
        <v>7.0</v>
      </c>
      <c r="AO118" s="275">
        <v>7.0</v>
      </c>
      <c r="AP118" s="275">
        <v>7.0</v>
      </c>
      <c r="AQ118" s="274">
        <v>7.0</v>
      </c>
      <c r="AR118" s="275">
        <v>7.0</v>
      </c>
      <c r="AS118" s="276">
        <v>7.0</v>
      </c>
      <c r="AT118" s="210"/>
      <c r="AU118" s="210"/>
      <c r="AV118" s="210"/>
      <c r="AW118" s="210"/>
      <c r="AX118" s="210"/>
      <c r="AY118" s="210"/>
      <c r="AZ118" s="210"/>
      <c r="BA118" s="210"/>
      <c r="BB118" s="210"/>
      <c r="BC118" s="210"/>
      <c r="BD118" s="210"/>
      <c r="BE118" s="210"/>
      <c r="BF118" s="210"/>
      <c r="BG118" s="210"/>
      <c r="BH118" s="210"/>
      <c r="BI118" s="210"/>
      <c r="BJ118" s="210"/>
      <c r="BK118" s="210"/>
      <c r="BL118" s="210"/>
      <c r="BM118" s="210"/>
    </row>
    <row r="119" ht="12.0" customHeight="1">
      <c r="A119" s="4"/>
      <c r="B119" s="4"/>
      <c r="C119" s="37" t="str">
        <f>Macro!B59</f>
        <v>AE manager</v>
      </c>
      <c r="D119" s="34">
        <f>ROUNDDOWN(D118*Macro!$H$26,0)</f>
        <v>0</v>
      </c>
      <c r="E119" s="35">
        <f>ROUNDDOWN(E118*Macro!$H$26,0)</f>
        <v>0</v>
      </c>
      <c r="F119" s="35">
        <f>ROUNDDOWN(F118*Macro!$H$26,0)</f>
        <v>0</v>
      </c>
      <c r="G119" s="34">
        <f>ROUNDDOWN(G118*Macro!$H$26,0)</f>
        <v>0</v>
      </c>
      <c r="H119" s="35">
        <f>ROUNDDOWN(H118*Macro!$H$26,0)</f>
        <v>0</v>
      </c>
      <c r="I119" s="36">
        <f>ROUNDDOWN(I118*Macro!$H$26,0)</f>
        <v>0</v>
      </c>
      <c r="J119" s="34">
        <f>ROUNDDOWN(J118*Macro!$H$26,0)</f>
        <v>0</v>
      </c>
      <c r="K119" s="35">
        <f>ROUNDDOWN(K118*Macro!$H$26,0)</f>
        <v>0</v>
      </c>
      <c r="L119" s="36">
        <f>ROUNDDOWN(L118*Macro!$H$26,0)</f>
        <v>0</v>
      </c>
      <c r="M119" s="34">
        <f>ROUNDDOWN(M118*Macro!$H$26,0)</f>
        <v>0</v>
      </c>
      <c r="N119" s="35">
        <f>ROUNDDOWN(N118*Macro!$H$26,0)</f>
        <v>0</v>
      </c>
      <c r="O119" s="36">
        <f>ROUNDDOWN(O118*Macro!$H$26,0)</f>
        <v>0</v>
      </c>
      <c r="P119" s="34">
        <f>ROUNDDOWN(P118*Macro!$H$26,0)</f>
        <v>0</v>
      </c>
      <c r="Q119" s="35">
        <f>ROUNDDOWN(Q118*Macro!$H$26,0)</f>
        <v>0</v>
      </c>
      <c r="R119" s="36">
        <f>ROUNDDOWN(R118*Macro!$H$26,0)</f>
        <v>0</v>
      </c>
      <c r="S119" s="34">
        <f>ROUNDDOWN(S118*Macro!$H$26,0)</f>
        <v>0</v>
      </c>
      <c r="T119" s="35">
        <f>ROUNDDOWN(T118*Macro!$H$26,0)</f>
        <v>0</v>
      </c>
      <c r="U119" s="36">
        <f>ROUNDDOWN(U118*Macro!$H$26,0)</f>
        <v>0</v>
      </c>
      <c r="V119" s="34">
        <f>ROUNDDOWN(V118*Macro!$H$26,0)</f>
        <v>0</v>
      </c>
      <c r="W119" s="35">
        <f>ROUNDDOWN(W118*Macro!$H$26,0)</f>
        <v>0</v>
      </c>
      <c r="X119" s="36">
        <f>ROUNDDOWN(X118*Macro!$H$26,0)</f>
        <v>0</v>
      </c>
      <c r="Y119" s="34">
        <f>ROUNDDOWN(Y118*Macro!$H$26,0)</f>
        <v>0</v>
      </c>
      <c r="Z119" s="35">
        <f>ROUNDDOWN(Z118*Macro!$H$26,0)</f>
        <v>0</v>
      </c>
      <c r="AA119" s="36">
        <f>ROUNDDOWN(AA118*Macro!$H$26,0)</f>
        <v>0</v>
      </c>
      <c r="AB119" s="34">
        <f>ROUNDDOWN(AB118*Macro!$H$26,0)</f>
        <v>0</v>
      </c>
      <c r="AC119" s="35">
        <f>ROUNDDOWN(AC118*Macro!$H$26,0)</f>
        <v>0</v>
      </c>
      <c r="AD119" s="36">
        <f>ROUNDDOWN(AD118*Macro!$H$26,0)</f>
        <v>0</v>
      </c>
      <c r="AE119" s="34">
        <f>ROUNDDOWN(AE118*Macro!$H$26,0)</f>
        <v>0</v>
      </c>
      <c r="AF119" s="35">
        <f>ROUNDDOWN(AF118*Macro!$H$26,0)</f>
        <v>0</v>
      </c>
      <c r="AG119" s="36">
        <f>ROUNDDOWN(AG118*Macro!$H$26,0)</f>
        <v>0</v>
      </c>
      <c r="AH119" s="34">
        <f>ROUNDDOWN(AH118*Macro!$H$26,0)</f>
        <v>1</v>
      </c>
      <c r="AI119" s="35">
        <f>ROUNDDOWN(AI118*Macro!$H$26,0)</f>
        <v>1</v>
      </c>
      <c r="AJ119" s="36">
        <f>ROUNDDOWN(AJ118*Macro!$H$26,0)</f>
        <v>1</v>
      </c>
      <c r="AK119" s="34">
        <f>ROUNDDOWN(AK118*Macro!$H$26,0)</f>
        <v>1</v>
      </c>
      <c r="AL119" s="35">
        <f>ROUNDDOWN(AL118*Macro!$H$26,0)</f>
        <v>1</v>
      </c>
      <c r="AM119" s="36">
        <f>ROUNDDOWN(AM118*Macro!$H$26,0)</f>
        <v>1</v>
      </c>
      <c r="AN119" s="34">
        <f>ROUNDDOWN(AN118*Macro!$H$26,0)</f>
        <v>1</v>
      </c>
      <c r="AO119" s="35">
        <f>ROUNDDOWN(AO118*Macro!$H$26,0)</f>
        <v>1</v>
      </c>
      <c r="AP119" s="36">
        <f>ROUNDDOWN(AP118*Macro!$H$26,0)</f>
        <v>1</v>
      </c>
      <c r="AQ119" s="34">
        <f>ROUNDDOWN(AQ118*Macro!$H$26,0)</f>
        <v>1</v>
      </c>
      <c r="AR119" s="35">
        <f>ROUNDDOWN(AR118*Macro!$H$26,0)</f>
        <v>1</v>
      </c>
      <c r="AS119" s="36">
        <f>ROUNDDOWN(AS118*Macro!$H$26,0)</f>
        <v>1</v>
      </c>
      <c r="AT119" s="210"/>
      <c r="AU119" s="210"/>
      <c r="AV119" s="210"/>
      <c r="AW119" s="210"/>
      <c r="AX119" s="210"/>
      <c r="AY119" s="210"/>
      <c r="AZ119" s="210"/>
      <c r="BA119" s="210"/>
      <c r="BB119" s="210"/>
      <c r="BC119" s="210"/>
      <c r="BD119" s="210"/>
      <c r="BE119" s="210"/>
      <c r="BF119" s="210"/>
      <c r="BG119" s="210"/>
      <c r="BH119" s="210"/>
      <c r="BI119" s="210"/>
      <c r="BJ119" s="210"/>
      <c r="BK119" s="210"/>
      <c r="BL119" s="210"/>
      <c r="BM119" s="210"/>
    </row>
    <row r="120" ht="12.0" customHeight="1">
      <c r="A120" s="4"/>
      <c r="B120" s="4"/>
      <c r="C120" s="37" t="str">
        <f>Macro!B60</f>
        <v>SE</v>
      </c>
      <c r="D120" s="34">
        <f>ROUNDUP(D118*Macro!$H$27,0)</f>
        <v>1</v>
      </c>
      <c r="E120" s="35">
        <f>ROUNDUP(E118*Macro!$H$27,0)</f>
        <v>1</v>
      </c>
      <c r="F120" s="35">
        <f>ROUNDUP(F118*Macro!$H$27,0)</f>
        <v>1</v>
      </c>
      <c r="G120" s="34">
        <f>ROUNDUP(G118*Macro!$H$27,0)</f>
        <v>1</v>
      </c>
      <c r="H120" s="35">
        <f>ROUNDUP(H118*Macro!$H$27,0)</f>
        <v>1</v>
      </c>
      <c r="I120" s="36">
        <f>ROUNDUP(I118*Macro!$H$27,0)</f>
        <v>1</v>
      </c>
      <c r="J120" s="34">
        <f>ROUNDUP(J118*Macro!$H$27,0)</f>
        <v>1</v>
      </c>
      <c r="K120" s="35">
        <f>ROUNDUP(K118*Macro!$H$27,0)</f>
        <v>1</v>
      </c>
      <c r="L120" s="36">
        <f>ROUNDUP(L118*Macro!$H$27,0)</f>
        <v>1</v>
      </c>
      <c r="M120" s="34">
        <f>ROUNDUP(M118*Macro!$H$27,0)</f>
        <v>1</v>
      </c>
      <c r="N120" s="35">
        <f>ROUNDUP(N118*Macro!$H$27,0)</f>
        <v>1</v>
      </c>
      <c r="O120" s="36">
        <f>ROUNDUP(O118*Macro!$H$27,0)</f>
        <v>1</v>
      </c>
      <c r="P120" s="34">
        <f>ROUNDUP(P118*Macro!$H$27,0)</f>
        <v>2</v>
      </c>
      <c r="Q120" s="35">
        <f>ROUNDUP(Q118*Macro!$H$27,0)</f>
        <v>2</v>
      </c>
      <c r="R120" s="36">
        <f>ROUNDUP(R118*Macro!$H$27,0)</f>
        <v>2</v>
      </c>
      <c r="S120" s="34">
        <f>ROUNDUP(S118*Macro!$H$27,0)</f>
        <v>2</v>
      </c>
      <c r="T120" s="35">
        <f>ROUNDUP(T118*Macro!$H$27,0)</f>
        <v>2</v>
      </c>
      <c r="U120" s="36">
        <f>ROUNDUP(U118*Macro!$H$27,0)</f>
        <v>2</v>
      </c>
      <c r="V120" s="34">
        <f>ROUNDUP(V118*Macro!$H$27,0)</f>
        <v>2</v>
      </c>
      <c r="W120" s="35">
        <f>ROUNDUP(W118*Macro!$H$27,0)</f>
        <v>2</v>
      </c>
      <c r="X120" s="36">
        <f>ROUNDUP(X118*Macro!$H$27,0)</f>
        <v>2</v>
      </c>
      <c r="Y120" s="34">
        <f>ROUNDUP(Y118*Macro!$H$27,0)</f>
        <v>2</v>
      </c>
      <c r="Z120" s="35">
        <f>ROUNDUP(Z118*Macro!$H$27,0)</f>
        <v>2</v>
      </c>
      <c r="AA120" s="36">
        <f>ROUNDUP(AA118*Macro!$H$27,0)</f>
        <v>2</v>
      </c>
      <c r="AB120" s="34">
        <f>ROUNDUP(AB118*Macro!$H$27,0)</f>
        <v>3</v>
      </c>
      <c r="AC120" s="35">
        <f>ROUNDUP(AC118*Macro!$H$27,0)</f>
        <v>3</v>
      </c>
      <c r="AD120" s="36">
        <f>ROUNDUP(AD118*Macro!$H$27,0)</f>
        <v>3</v>
      </c>
      <c r="AE120" s="34">
        <f>ROUNDUP(AE118*Macro!$H$27,0)</f>
        <v>3</v>
      </c>
      <c r="AF120" s="35">
        <f>ROUNDUP(AF118*Macro!$H$27,0)</f>
        <v>3</v>
      </c>
      <c r="AG120" s="36">
        <f>ROUNDUP(AG118*Macro!$H$27,0)</f>
        <v>3</v>
      </c>
      <c r="AH120" s="34">
        <f>ROUNDUP(AH118*Macro!$H$27,0)</f>
        <v>3</v>
      </c>
      <c r="AI120" s="35">
        <f>ROUNDUP(AI118*Macro!$H$27,0)</f>
        <v>3</v>
      </c>
      <c r="AJ120" s="36">
        <f>ROUNDUP(AJ118*Macro!$H$27,0)</f>
        <v>3</v>
      </c>
      <c r="AK120" s="34">
        <f>ROUNDUP(AK118*Macro!$H$27,0)</f>
        <v>3</v>
      </c>
      <c r="AL120" s="35">
        <f>ROUNDUP(AL118*Macro!$H$27,0)</f>
        <v>3</v>
      </c>
      <c r="AM120" s="36">
        <f>ROUNDUP(AM118*Macro!$H$27,0)</f>
        <v>3</v>
      </c>
      <c r="AN120" s="34">
        <f>ROUNDUP(AN118*Macro!$H$27,0)</f>
        <v>4</v>
      </c>
      <c r="AO120" s="35">
        <f>ROUNDUP(AO118*Macro!$H$27,0)</f>
        <v>4</v>
      </c>
      <c r="AP120" s="36">
        <f>ROUNDUP(AP118*Macro!$H$27,0)</f>
        <v>4</v>
      </c>
      <c r="AQ120" s="34">
        <f>ROUNDUP(AQ118*Macro!$H$27,0)</f>
        <v>4</v>
      </c>
      <c r="AR120" s="35">
        <f>ROUNDUP(AR118*Macro!$H$27,0)</f>
        <v>4</v>
      </c>
      <c r="AS120" s="36">
        <f>ROUNDUP(AS118*Macro!$H$27,0)</f>
        <v>4</v>
      </c>
      <c r="AT120" s="210"/>
      <c r="AU120" s="210"/>
      <c r="AV120" s="210"/>
      <c r="AW120" s="210"/>
      <c r="AX120" s="210"/>
      <c r="AY120" s="210"/>
      <c r="AZ120" s="210"/>
      <c r="BA120" s="210"/>
      <c r="BB120" s="210"/>
      <c r="BC120" s="210"/>
      <c r="BD120" s="210"/>
      <c r="BE120" s="210"/>
      <c r="BF120" s="210"/>
      <c r="BG120" s="210"/>
      <c r="BH120" s="210"/>
      <c r="BI120" s="210"/>
      <c r="BJ120" s="210"/>
      <c r="BK120" s="210"/>
      <c r="BL120" s="210"/>
      <c r="BM120" s="210"/>
    </row>
    <row r="121" ht="12.0" customHeight="1">
      <c r="A121" s="4"/>
      <c r="B121" s="4"/>
      <c r="C121" s="37" t="str">
        <f>Macro!B61</f>
        <v>SE manager</v>
      </c>
      <c r="D121" s="34">
        <f>ROUNDDOWN(D120*Macro!$H$28,0)</f>
        <v>0</v>
      </c>
      <c r="E121" s="35">
        <f>ROUNDDOWN(E120*Macro!$H$28,0)</f>
        <v>0</v>
      </c>
      <c r="F121" s="35">
        <f>ROUNDDOWN(F120*Macro!$H$28,0)</f>
        <v>0</v>
      </c>
      <c r="G121" s="34">
        <f>ROUNDDOWN(G120*Macro!$H$28,0)</f>
        <v>0</v>
      </c>
      <c r="H121" s="35">
        <f>ROUNDDOWN(H120*Macro!$H$28,0)</f>
        <v>0</v>
      </c>
      <c r="I121" s="36">
        <f>ROUNDDOWN(I120*Macro!$H$28,0)</f>
        <v>0</v>
      </c>
      <c r="J121" s="34">
        <f>ROUNDDOWN(J120*Macro!$H$28,0)</f>
        <v>0</v>
      </c>
      <c r="K121" s="35">
        <f>ROUNDDOWN(K120*Macro!$H$28,0)</f>
        <v>0</v>
      </c>
      <c r="L121" s="36">
        <f>ROUNDDOWN(L120*Macro!$H$28,0)</f>
        <v>0</v>
      </c>
      <c r="M121" s="35">
        <f>ROUNDDOWN(M120*Macro!$H$28,0)</f>
        <v>0</v>
      </c>
      <c r="N121" s="35">
        <f>ROUNDDOWN(N120*Macro!$H$28,0)</f>
        <v>0</v>
      </c>
      <c r="O121" s="36">
        <f>ROUNDDOWN(O120*Macro!$H$28,0)</f>
        <v>0</v>
      </c>
      <c r="P121" s="35">
        <f>ROUNDDOWN(P120*Macro!$H$28,0)</f>
        <v>0</v>
      </c>
      <c r="Q121" s="35">
        <f>ROUNDDOWN(Q120*Macro!$H$28,0)</f>
        <v>0</v>
      </c>
      <c r="R121" s="36">
        <f>ROUNDDOWN(R120*Macro!$H$28,0)</f>
        <v>0</v>
      </c>
      <c r="S121" s="35">
        <f>ROUNDDOWN(S120*Macro!$H$28,0)</f>
        <v>0</v>
      </c>
      <c r="T121" s="35">
        <f>ROUNDDOWN(T120*Macro!$H$28,0)</f>
        <v>0</v>
      </c>
      <c r="U121" s="36">
        <f>ROUNDDOWN(U120*Macro!$H$28,0)</f>
        <v>0</v>
      </c>
      <c r="V121" s="34">
        <f>ROUNDDOWN(V120*Macro!$H$28,0)</f>
        <v>0</v>
      </c>
      <c r="W121" s="35">
        <f>ROUNDDOWN(W120*Macro!$H$28,0)</f>
        <v>0</v>
      </c>
      <c r="X121" s="36">
        <f>ROUNDDOWN(X120*Macro!$H$28,0)</f>
        <v>0</v>
      </c>
      <c r="Y121" s="35">
        <f>ROUNDDOWN(Y120*Macro!$H$28,0)</f>
        <v>0</v>
      </c>
      <c r="Z121" s="35">
        <f>ROUNDDOWN(Z120*Macro!$H$28,0)</f>
        <v>0</v>
      </c>
      <c r="AA121" s="36">
        <f>ROUNDDOWN(AA120*Macro!$H$28,0)</f>
        <v>0</v>
      </c>
      <c r="AB121" s="35">
        <f>ROUNDDOWN(AB120*Macro!$H$28,0)</f>
        <v>0</v>
      </c>
      <c r="AC121" s="35">
        <f>ROUNDDOWN(AC120*Macro!$H$28,0)</f>
        <v>0</v>
      </c>
      <c r="AD121" s="36">
        <f>ROUNDDOWN(AD120*Macro!$H$28,0)</f>
        <v>0</v>
      </c>
      <c r="AE121" s="35">
        <f>ROUNDDOWN(AE120*Macro!$H$28,0)</f>
        <v>0</v>
      </c>
      <c r="AF121" s="35">
        <f>ROUNDDOWN(AF120*Macro!$H$28,0)</f>
        <v>0</v>
      </c>
      <c r="AG121" s="36">
        <f>ROUNDDOWN(AG120*Macro!$H$28,0)</f>
        <v>0</v>
      </c>
      <c r="AH121" s="35">
        <f>ROUNDDOWN(AH120*Macro!$H$28,0)</f>
        <v>0</v>
      </c>
      <c r="AI121" s="35">
        <f>ROUNDDOWN(AI120*Macro!$H$28,0)</f>
        <v>0</v>
      </c>
      <c r="AJ121" s="35">
        <f>ROUNDDOWN(AJ120*Macro!$H$28,0)</f>
        <v>0</v>
      </c>
      <c r="AK121" s="34">
        <f>ROUNDDOWN(AK120*Macro!$H$28,0)</f>
        <v>0</v>
      </c>
      <c r="AL121" s="35">
        <f>ROUNDDOWN(AL120*Macro!$H$28,0)</f>
        <v>0</v>
      </c>
      <c r="AM121" s="35">
        <f>ROUNDDOWN(AM120*Macro!$H$28,0)</f>
        <v>0</v>
      </c>
      <c r="AN121" s="34">
        <f>ROUNDDOWN(AN120*Macro!$H$28,0)</f>
        <v>0</v>
      </c>
      <c r="AO121" s="35">
        <f>ROUNDDOWN(AO120*Macro!$H$28,0)</f>
        <v>0</v>
      </c>
      <c r="AP121" s="35">
        <f>ROUNDDOWN(AP120*Macro!$H$28,0)</f>
        <v>0</v>
      </c>
      <c r="AQ121" s="34">
        <f>ROUNDDOWN(AQ120*Macro!$H$28,0)</f>
        <v>0</v>
      </c>
      <c r="AR121" s="35">
        <f>ROUNDDOWN(AR120*Macro!$H$28,0)</f>
        <v>0</v>
      </c>
      <c r="AS121" s="36">
        <f>ROUNDDOWN(AS120*Macro!$H$28,0)</f>
        <v>0</v>
      </c>
      <c r="AT121" s="210"/>
      <c r="AU121" s="210"/>
      <c r="AV121" s="210"/>
      <c r="AW121" s="210"/>
      <c r="AX121" s="210"/>
      <c r="AY121" s="210"/>
      <c r="AZ121" s="210"/>
      <c r="BA121" s="210"/>
      <c r="BB121" s="210"/>
      <c r="BC121" s="210"/>
      <c r="BD121" s="210"/>
      <c r="BE121" s="210"/>
      <c r="BF121" s="210"/>
      <c r="BG121" s="210"/>
      <c r="BH121" s="210"/>
      <c r="BI121" s="210"/>
      <c r="BJ121" s="210"/>
      <c r="BK121" s="210"/>
      <c r="BL121" s="210"/>
      <c r="BM121" s="210"/>
    </row>
    <row r="122" ht="12.0" customHeight="1">
      <c r="A122" s="4"/>
      <c r="B122" s="4"/>
      <c r="C122" s="37" t="str">
        <f>Macro!B62</f>
        <v>Sales Ops</v>
      </c>
      <c r="D122" s="212">
        <v>0.0</v>
      </c>
      <c r="E122" s="213">
        <v>0.0</v>
      </c>
      <c r="F122" s="213">
        <v>0.0</v>
      </c>
      <c r="G122" s="212">
        <v>0.0</v>
      </c>
      <c r="H122" s="213">
        <v>0.0</v>
      </c>
      <c r="I122" s="214">
        <v>0.0</v>
      </c>
      <c r="J122" s="212">
        <v>0.0</v>
      </c>
      <c r="K122" s="213">
        <v>0.0</v>
      </c>
      <c r="L122" s="214">
        <v>0.0</v>
      </c>
      <c r="M122" s="212">
        <v>0.0</v>
      </c>
      <c r="N122" s="213">
        <v>0.0</v>
      </c>
      <c r="O122" s="214">
        <v>0.0</v>
      </c>
      <c r="P122" s="212">
        <v>0.0</v>
      </c>
      <c r="Q122" s="213">
        <v>0.0</v>
      </c>
      <c r="R122" s="214">
        <v>1.0</v>
      </c>
      <c r="S122" s="212">
        <v>1.0</v>
      </c>
      <c r="T122" s="213">
        <v>1.0</v>
      </c>
      <c r="U122" s="214">
        <v>1.0</v>
      </c>
      <c r="V122" s="212">
        <v>1.0</v>
      </c>
      <c r="W122" s="213">
        <v>1.0</v>
      </c>
      <c r="X122" s="214">
        <v>1.0</v>
      </c>
      <c r="Y122" s="212">
        <v>1.0</v>
      </c>
      <c r="Z122" s="213">
        <v>1.0</v>
      </c>
      <c r="AA122" s="214">
        <v>1.0</v>
      </c>
      <c r="AB122" s="212">
        <v>1.0</v>
      </c>
      <c r="AC122" s="213">
        <v>1.0</v>
      </c>
      <c r="AD122" s="214">
        <v>1.0</v>
      </c>
      <c r="AE122" s="212">
        <v>1.0</v>
      </c>
      <c r="AF122" s="213">
        <v>1.0</v>
      </c>
      <c r="AG122" s="214">
        <v>1.0</v>
      </c>
      <c r="AH122" s="212">
        <v>1.0</v>
      </c>
      <c r="AI122" s="213">
        <v>1.0</v>
      </c>
      <c r="AJ122" s="214">
        <v>1.0</v>
      </c>
      <c r="AK122" s="212">
        <v>1.0</v>
      </c>
      <c r="AL122" s="213">
        <v>1.0</v>
      </c>
      <c r="AM122" s="214">
        <v>1.0</v>
      </c>
      <c r="AN122" s="212">
        <v>2.0</v>
      </c>
      <c r="AO122" s="213">
        <v>2.0</v>
      </c>
      <c r="AP122" s="214">
        <v>2.0</v>
      </c>
      <c r="AQ122" s="212">
        <v>2.0</v>
      </c>
      <c r="AR122" s="213">
        <v>2.0</v>
      </c>
      <c r="AS122" s="214">
        <v>2.0</v>
      </c>
      <c r="AT122" s="210"/>
      <c r="AU122" s="210"/>
      <c r="AV122" s="210"/>
      <c r="AW122" s="210"/>
      <c r="AX122" s="210"/>
      <c r="AY122" s="210"/>
      <c r="AZ122" s="210"/>
      <c r="BA122" s="210"/>
      <c r="BB122" s="210"/>
      <c r="BC122" s="210"/>
      <c r="BD122" s="210"/>
      <c r="BE122" s="210"/>
      <c r="BF122" s="210"/>
      <c r="BG122" s="210"/>
      <c r="BH122" s="210"/>
      <c r="BI122" s="210"/>
      <c r="BJ122" s="210"/>
      <c r="BK122" s="210"/>
      <c r="BL122" s="210"/>
      <c r="BM122" s="210"/>
    </row>
    <row r="123" ht="12.0" customHeight="1">
      <c r="A123" s="4"/>
      <c r="B123" s="4"/>
      <c r="C123" s="37" t="str">
        <f>Macro!B63</f>
        <v>[XX]</v>
      </c>
      <c r="D123" s="212">
        <v>0.0</v>
      </c>
      <c r="E123" s="213">
        <v>0.0</v>
      </c>
      <c r="F123" s="213">
        <v>0.0</v>
      </c>
      <c r="G123" s="212">
        <v>0.0</v>
      </c>
      <c r="H123" s="213">
        <v>0.0</v>
      </c>
      <c r="I123" s="214">
        <v>0.0</v>
      </c>
      <c r="J123" s="212">
        <v>0.0</v>
      </c>
      <c r="K123" s="213">
        <v>0.0</v>
      </c>
      <c r="L123" s="214">
        <v>0.0</v>
      </c>
      <c r="M123" s="212">
        <v>0.0</v>
      </c>
      <c r="N123" s="213">
        <v>0.0</v>
      </c>
      <c r="O123" s="214">
        <v>0.0</v>
      </c>
      <c r="P123" s="212">
        <v>0.0</v>
      </c>
      <c r="Q123" s="213">
        <v>0.0</v>
      </c>
      <c r="R123" s="214">
        <v>0.0</v>
      </c>
      <c r="S123" s="212">
        <v>0.0</v>
      </c>
      <c r="T123" s="213">
        <v>0.0</v>
      </c>
      <c r="U123" s="214">
        <v>0.0</v>
      </c>
      <c r="V123" s="212">
        <v>0.0</v>
      </c>
      <c r="W123" s="213">
        <v>0.0</v>
      </c>
      <c r="X123" s="214">
        <v>0.0</v>
      </c>
      <c r="Y123" s="212">
        <v>0.0</v>
      </c>
      <c r="Z123" s="213">
        <v>0.0</v>
      </c>
      <c r="AA123" s="214">
        <v>0.0</v>
      </c>
      <c r="AB123" s="212">
        <v>0.0</v>
      </c>
      <c r="AC123" s="213">
        <v>0.0</v>
      </c>
      <c r="AD123" s="214">
        <v>0.0</v>
      </c>
      <c r="AE123" s="212">
        <v>0.0</v>
      </c>
      <c r="AF123" s="213">
        <v>0.0</v>
      </c>
      <c r="AG123" s="214">
        <v>0.0</v>
      </c>
      <c r="AH123" s="212">
        <v>0.0</v>
      </c>
      <c r="AI123" s="213">
        <v>0.0</v>
      </c>
      <c r="AJ123" s="214">
        <v>0.0</v>
      </c>
      <c r="AK123" s="212">
        <v>0.0</v>
      </c>
      <c r="AL123" s="213">
        <v>0.0</v>
      </c>
      <c r="AM123" s="214">
        <v>0.0</v>
      </c>
      <c r="AN123" s="212">
        <v>0.0</v>
      </c>
      <c r="AO123" s="213">
        <v>0.0</v>
      </c>
      <c r="AP123" s="214">
        <v>0.0</v>
      </c>
      <c r="AQ123" s="212">
        <v>0.0</v>
      </c>
      <c r="AR123" s="213">
        <v>0.0</v>
      </c>
      <c r="AS123" s="214">
        <v>0.0</v>
      </c>
      <c r="AT123" s="210"/>
      <c r="AU123" s="210"/>
      <c r="AV123" s="210"/>
      <c r="AW123" s="210"/>
      <c r="AX123" s="210"/>
      <c r="AY123" s="210"/>
      <c r="AZ123" s="210"/>
      <c r="BA123" s="210"/>
      <c r="BB123" s="210"/>
      <c r="BC123" s="210"/>
      <c r="BD123" s="210"/>
      <c r="BE123" s="210"/>
      <c r="BF123" s="210"/>
      <c r="BG123" s="210"/>
      <c r="BH123" s="210"/>
      <c r="BI123" s="210"/>
      <c r="BJ123" s="210"/>
      <c r="BK123" s="210"/>
      <c r="BL123" s="210"/>
      <c r="BM123" s="210"/>
    </row>
    <row r="124" ht="12.0" customHeight="1">
      <c r="A124" s="4"/>
      <c r="B124" s="4"/>
      <c r="C124" s="37" t="str">
        <f>Macro!B64</f>
        <v>[XX]</v>
      </c>
      <c r="D124" s="212">
        <v>0.0</v>
      </c>
      <c r="E124" s="213">
        <v>0.0</v>
      </c>
      <c r="F124" s="213">
        <v>0.0</v>
      </c>
      <c r="G124" s="212">
        <v>0.0</v>
      </c>
      <c r="H124" s="213">
        <v>0.0</v>
      </c>
      <c r="I124" s="214">
        <v>0.0</v>
      </c>
      <c r="J124" s="212">
        <v>0.0</v>
      </c>
      <c r="K124" s="213">
        <v>0.0</v>
      </c>
      <c r="L124" s="214">
        <v>0.0</v>
      </c>
      <c r="M124" s="212">
        <v>0.0</v>
      </c>
      <c r="N124" s="213">
        <v>0.0</v>
      </c>
      <c r="O124" s="214">
        <v>0.0</v>
      </c>
      <c r="P124" s="212">
        <v>0.0</v>
      </c>
      <c r="Q124" s="213">
        <v>0.0</v>
      </c>
      <c r="R124" s="214">
        <v>0.0</v>
      </c>
      <c r="S124" s="212">
        <v>0.0</v>
      </c>
      <c r="T124" s="213">
        <v>0.0</v>
      </c>
      <c r="U124" s="214">
        <v>0.0</v>
      </c>
      <c r="V124" s="212">
        <v>0.0</v>
      </c>
      <c r="W124" s="213">
        <v>0.0</v>
      </c>
      <c r="X124" s="214">
        <v>0.0</v>
      </c>
      <c r="Y124" s="212">
        <v>0.0</v>
      </c>
      <c r="Z124" s="213">
        <v>0.0</v>
      </c>
      <c r="AA124" s="214">
        <v>0.0</v>
      </c>
      <c r="AB124" s="212">
        <v>0.0</v>
      </c>
      <c r="AC124" s="213">
        <v>0.0</v>
      </c>
      <c r="AD124" s="214">
        <v>0.0</v>
      </c>
      <c r="AE124" s="212">
        <v>0.0</v>
      </c>
      <c r="AF124" s="213">
        <v>0.0</v>
      </c>
      <c r="AG124" s="214">
        <v>0.0</v>
      </c>
      <c r="AH124" s="212">
        <v>0.0</v>
      </c>
      <c r="AI124" s="213">
        <v>0.0</v>
      </c>
      <c r="AJ124" s="214">
        <v>0.0</v>
      </c>
      <c r="AK124" s="212">
        <v>0.0</v>
      </c>
      <c r="AL124" s="213">
        <v>0.0</v>
      </c>
      <c r="AM124" s="214">
        <v>0.0</v>
      </c>
      <c r="AN124" s="212">
        <v>0.0</v>
      </c>
      <c r="AO124" s="213">
        <v>0.0</v>
      </c>
      <c r="AP124" s="214">
        <v>0.0</v>
      </c>
      <c r="AQ124" s="212">
        <v>0.0</v>
      </c>
      <c r="AR124" s="213">
        <v>0.0</v>
      </c>
      <c r="AS124" s="214">
        <v>0.0</v>
      </c>
      <c r="AT124" s="210"/>
      <c r="AU124" s="210"/>
      <c r="AV124" s="210"/>
      <c r="AW124" s="210"/>
      <c r="AX124" s="210"/>
      <c r="AY124" s="210"/>
      <c r="AZ124" s="210"/>
      <c r="BA124" s="210"/>
      <c r="BB124" s="210"/>
      <c r="BC124" s="210"/>
      <c r="BD124" s="210"/>
      <c r="BE124" s="210"/>
      <c r="BF124" s="210"/>
      <c r="BG124" s="210"/>
      <c r="BH124" s="210"/>
      <c r="BI124" s="210"/>
      <c r="BJ124" s="210"/>
      <c r="BK124" s="210"/>
      <c r="BL124" s="210"/>
      <c r="BM124" s="210"/>
    </row>
    <row r="125" ht="12.0" customHeight="1">
      <c r="A125" s="4"/>
      <c r="B125" s="4"/>
      <c r="C125" s="37" t="str">
        <f>Macro!B65</f>
        <v>[XX]</v>
      </c>
      <c r="D125" s="212">
        <v>0.0</v>
      </c>
      <c r="E125" s="213">
        <v>0.0</v>
      </c>
      <c r="F125" s="213">
        <v>0.0</v>
      </c>
      <c r="G125" s="212">
        <v>0.0</v>
      </c>
      <c r="H125" s="213">
        <v>0.0</v>
      </c>
      <c r="I125" s="214">
        <v>0.0</v>
      </c>
      <c r="J125" s="212">
        <v>0.0</v>
      </c>
      <c r="K125" s="213">
        <v>0.0</v>
      </c>
      <c r="L125" s="214">
        <v>0.0</v>
      </c>
      <c r="M125" s="212">
        <v>0.0</v>
      </c>
      <c r="N125" s="213">
        <v>0.0</v>
      </c>
      <c r="O125" s="214">
        <v>0.0</v>
      </c>
      <c r="P125" s="212">
        <v>0.0</v>
      </c>
      <c r="Q125" s="213">
        <v>0.0</v>
      </c>
      <c r="R125" s="214">
        <v>0.0</v>
      </c>
      <c r="S125" s="212">
        <v>0.0</v>
      </c>
      <c r="T125" s="213">
        <v>0.0</v>
      </c>
      <c r="U125" s="214">
        <v>0.0</v>
      </c>
      <c r="V125" s="212">
        <v>0.0</v>
      </c>
      <c r="W125" s="213">
        <v>0.0</v>
      </c>
      <c r="X125" s="214">
        <v>0.0</v>
      </c>
      <c r="Y125" s="212">
        <v>0.0</v>
      </c>
      <c r="Z125" s="213">
        <v>0.0</v>
      </c>
      <c r="AA125" s="214">
        <v>0.0</v>
      </c>
      <c r="AB125" s="212">
        <v>0.0</v>
      </c>
      <c r="AC125" s="213">
        <v>0.0</v>
      </c>
      <c r="AD125" s="214">
        <v>0.0</v>
      </c>
      <c r="AE125" s="212">
        <v>0.0</v>
      </c>
      <c r="AF125" s="213">
        <v>0.0</v>
      </c>
      <c r="AG125" s="214">
        <v>0.0</v>
      </c>
      <c r="AH125" s="212">
        <v>0.0</v>
      </c>
      <c r="AI125" s="213">
        <v>0.0</v>
      </c>
      <c r="AJ125" s="214">
        <v>0.0</v>
      </c>
      <c r="AK125" s="212">
        <v>0.0</v>
      </c>
      <c r="AL125" s="213">
        <v>0.0</v>
      </c>
      <c r="AM125" s="214">
        <v>0.0</v>
      </c>
      <c r="AN125" s="212">
        <v>0.0</v>
      </c>
      <c r="AO125" s="213">
        <v>0.0</v>
      </c>
      <c r="AP125" s="214">
        <v>0.0</v>
      </c>
      <c r="AQ125" s="212">
        <v>0.0</v>
      </c>
      <c r="AR125" s="213">
        <v>0.0</v>
      </c>
      <c r="AS125" s="214">
        <v>0.0</v>
      </c>
      <c r="AT125" s="210"/>
      <c r="AU125" s="210"/>
      <c r="AV125" s="210"/>
      <c r="AW125" s="210"/>
      <c r="AX125" s="210"/>
      <c r="AY125" s="210"/>
      <c r="AZ125" s="210"/>
      <c r="BA125" s="210"/>
      <c r="BB125" s="210"/>
      <c r="BC125" s="210"/>
      <c r="BD125" s="210"/>
      <c r="BE125" s="210"/>
      <c r="BF125" s="210"/>
      <c r="BG125" s="210"/>
      <c r="BH125" s="210"/>
      <c r="BI125" s="210"/>
      <c r="BJ125" s="210"/>
      <c r="BK125" s="210"/>
      <c r="BL125" s="210"/>
      <c r="BM125" s="210"/>
    </row>
    <row r="126" ht="12.0" customHeight="1">
      <c r="A126" s="4"/>
      <c r="B126" s="4"/>
      <c r="C126" s="37" t="str">
        <f>Macro!B66</f>
        <v>[XX]</v>
      </c>
      <c r="D126" s="212">
        <v>0.0</v>
      </c>
      <c r="E126" s="213">
        <v>0.0</v>
      </c>
      <c r="F126" s="213">
        <v>0.0</v>
      </c>
      <c r="G126" s="212">
        <v>0.0</v>
      </c>
      <c r="H126" s="213">
        <v>0.0</v>
      </c>
      <c r="I126" s="214">
        <v>0.0</v>
      </c>
      <c r="J126" s="212">
        <v>0.0</v>
      </c>
      <c r="K126" s="213">
        <v>0.0</v>
      </c>
      <c r="L126" s="214">
        <v>0.0</v>
      </c>
      <c r="M126" s="212">
        <v>0.0</v>
      </c>
      <c r="N126" s="213">
        <v>0.0</v>
      </c>
      <c r="O126" s="214">
        <v>0.0</v>
      </c>
      <c r="P126" s="212">
        <v>0.0</v>
      </c>
      <c r="Q126" s="213">
        <v>0.0</v>
      </c>
      <c r="R126" s="214">
        <v>0.0</v>
      </c>
      <c r="S126" s="212">
        <v>0.0</v>
      </c>
      <c r="T126" s="213">
        <v>0.0</v>
      </c>
      <c r="U126" s="214">
        <v>0.0</v>
      </c>
      <c r="V126" s="212">
        <v>0.0</v>
      </c>
      <c r="W126" s="213">
        <v>0.0</v>
      </c>
      <c r="X126" s="214">
        <v>0.0</v>
      </c>
      <c r="Y126" s="212">
        <v>0.0</v>
      </c>
      <c r="Z126" s="213">
        <v>0.0</v>
      </c>
      <c r="AA126" s="214">
        <v>0.0</v>
      </c>
      <c r="AB126" s="212">
        <v>0.0</v>
      </c>
      <c r="AC126" s="213">
        <v>0.0</v>
      </c>
      <c r="AD126" s="214">
        <v>0.0</v>
      </c>
      <c r="AE126" s="212">
        <v>0.0</v>
      </c>
      <c r="AF126" s="213">
        <v>0.0</v>
      </c>
      <c r="AG126" s="214">
        <v>0.0</v>
      </c>
      <c r="AH126" s="212">
        <v>0.0</v>
      </c>
      <c r="AI126" s="213">
        <v>0.0</v>
      </c>
      <c r="AJ126" s="214">
        <v>0.0</v>
      </c>
      <c r="AK126" s="212">
        <v>0.0</v>
      </c>
      <c r="AL126" s="213">
        <v>0.0</v>
      </c>
      <c r="AM126" s="214">
        <v>0.0</v>
      </c>
      <c r="AN126" s="212">
        <v>0.0</v>
      </c>
      <c r="AO126" s="213">
        <v>0.0</v>
      </c>
      <c r="AP126" s="214">
        <v>0.0</v>
      </c>
      <c r="AQ126" s="212">
        <v>0.0</v>
      </c>
      <c r="AR126" s="213">
        <v>0.0</v>
      </c>
      <c r="AS126" s="214">
        <v>0.0</v>
      </c>
      <c r="AT126" s="210"/>
      <c r="AU126" s="210"/>
      <c r="AV126" s="210"/>
      <c r="AW126" s="210"/>
      <c r="AX126" s="210"/>
      <c r="AY126" s="210"/>
      <c r="AZ126" s="210"/>
      <c r="BA126" s="210"/>
      <c r="BB126" s="210"/>
      <c r="BC126" s="210"/>
      <c r="BD126" s="210"/>
      <c r="BE126" s="210"/>
      <c r="BF126" s="210"/>
      <c r="BG126" s="210"/>
      <c r="BH126" s="210"/>
      <c r="BI126" s="210"/>
      <c r="BJ126" s="210"/>
      <c r="BK126" s="210"/>
      <c r="BL126" s="210"/>
      <c r="BM126" s="210"/>
    </row>
    <row r="127" ht="12.0" customHeight="1">
      <c r="A127" s="4"/>
      <c r="B127" s="4"/>
      <c r="C127" s="37" t="str">
        <f>Macro!B67</f>
        <v>[XX]</v>
      </c>
      <c r="D127" s="212">
        <v>0.0</v>
      </c>
      <c r="E127" s="213">
        <v>0.0</v>
      </c>
      <c r="F127" s="213">
        <v>0.0</v>
      </c>
      <c r="G127" s="212">
        <v>0.0</v>
      </c>
      <c r="H127" s="213">
        <v>0.0</v>
      </c>
      <c r="I127" s="214">
        <v>0.0</v>
      </c>
      <c r="J127" s="212">
        <v>0.0</v>
      </c>
      <c r="K127" s="213">
        <v>0.0</v>
      </c>
      <c r="L127" s="214">
        <v>0.0</v>
      </c>
      <c r="M127" s="212">
        <v>0.0</v>
      </c>
      <c r="N127" s="213">
        <v>0.0</v>
      </c>
      <c r="O127" s="214">
        <v>0.0</v>
      </c>
      <c r="P127" s="212">
        <v>0.0</v>
      </c>
      <c r="Q127" s="213">
        <v>0.0</v>
      </c>
      <c r="R127" s="214">
        <v>0.0</v>
      </c>
      <c r="S127" s="212">
        <v>0.0</v>
      </c>
      <c r="T127" s="213">
        <v>0.0</v>
      </c>
      <c r="U127" s="214">
        <v>0.0</v>
      </c>
      <c r="V127" s="212">
        <v>0.0</v>
      </c>
      <c r="W127" s="213">
        <v>0.0</v>
      </c>
      <c r="X127" s="214">
        <v>0.0</v>
      </c>
      <c r="Y127" s="212">
        <v>0.0</v>
      </c>
      <c r="Z127" s="213">
        <v>0.0</v>
      </c>
      <c r="AA127" s="214">
        <v>0.0</v>
      </c>
      <c r="AB127" s="212">
        <v>0.0</v>
      </c>
      <c r="AC127" s="213">
        <v>0.0</v>
      </c>
      <c r="AD127" s="214">
        <v>0.0</v>
      </c>
      <c r="AE127" s="212">
        <v>0.0</v>
      </c>
      <c r="AF127" s="213">
        <v>0.0</v>
      </c>
      <c r="AG127" s="214">
        <v>0.0</v>
      </c>
      <c r="AH127" s="212">
        <v>0.0</v>
      </c>
      <c r="AI127" s="213">
        <v>0.0</v>
      </c>
      <c r="AJ127" s="214">
        <v>0.0</v>
      </c>
      <c r="AK127" s="212">
        <v>0.0</v>
      </c>
      <c r="AL127" s="213">
        <v>0.0</v>
      </c>
      <c r="AM127" s="214">
        <v>0.0</v>
      </c>
      <c r="AN127" s="212">
        <v>0.0</v>
      </c>
      <c r="AO127" s="213">
        <v>0.0</v>
      </c>
      <c r="AP127" s="214">
        <v>0.0</v>
      </c>
      <c r="AQ127" s="212">
        <v>0.0</v>
      </c>
      <c r="AR127" s="213">
        <v>0.0</v>
      </c>
      <c r="AS127" s="214">
        <v>0.0</v>
      </c>
      <c r="AT127" s="210"/>
      <c r="AU127" s="210"/>
      <c r="AV127" s="210"/>
      <c r="AW127" s="210"/>
      <c r="AX127" s="210"/>
      <c r="AY127" s="210"/>
      <c r="AZ127" s="210"/>
      <c r="BA127" s="210"/>
      <c r="BB127" s="210"/>
      <c r="BC127" s="210"/>
      <c r="BD127" s="210"/>
      <c r="BE127" s="210"/>
      <c r="BF127" s="210"/>
      <c r="BG127" s="210"/>
      <c r="BH127" s="210"/>
      <c r="BI127" s="210"/>
      <c r="BJ127" s="210"/>
      <c r="BK127" s="210"/>
      <c r="BL127" s="210"/>
      <c r="BM127" s="210"/>
    </row>
    <row r="128" ht="12.0" customHeight="1">
      <c r="A128" s="4"/>
      <c r="B128" s="4"/>
      <c r="C128" s="277" t="str">
        <f>Macro!B68</f>
        <v>[XX]</v>
      </c>
      <c r="D128" s="215">
        <v>0.0</v>
      </c>
      <c r="E128" s="216">
        <v>0.0</v>
      </c>
      <c r="F128" s="216">
        <v>0.0</v>
      </c>
      <c r="G128" s="215">
        <v>0.0</v>
      </c>
      <c r="H128" s="216">
        <v>0.0</v>
      </c>
      <c r="I128" s="217">
        <v>0.0</v>
      </c>
      <c r="J128" s="215">
        <v>0.0</v>
      </c>
      <c r="K128" s="216">
        <v>0.0</v>
      </c>
      <c r="L128" s="217">
        <v>0.0</v>
      </c>
      <c r="M128" s="215">
        <v>0.0</v>
      </c>
      <c r="N128" s="216">
        <v>0.0</v>
      </c>
      <c r="O128" s="217">
        <v>0.0</v>
      </c>
      <c r="P128" s="215">
        <v>0.0</v>
      </c>
      <c r="Q128" s="216">
        <v>0.0</v>
      </c>
      <c r="R128" s="217">
        <v>0.0</v>
      </c>
      <c r="S128" s="215">
        <v>0.0</v>
      </c>
      <c r="T128" s="216">
        <v>0.0</v>
      </c>
      <c r="U128" s="217">
        <v>0.0</v>
      </c>
      <c r="V128" s="215">
        <v>0.0</v>
      </c>
      <c r="W128" s="216">
        <v>0.0</v>
      </c>
      <c r="X128" s="217">
        <v>0.0</v>
      </c>
      <c r="Y128" s="215">
        <v>0.0</v>
      </c>
      <c r="Z128" s="216">
        <v>0.0</v>
      </c>
      <c r="AA128" s="217">
        <v>0.0</v>
      </c>
      <c r="AB128" s="215">
        <v>0.0</v>
      </c>
      <c r="AC128" s="216">
        <v>0.0</v>
      </c>
      <c r="AD128" s="217">
        <v>0.0</v>
      </c>
      <c r="AE128" s="215">
        <v>0.0</v>
      </c>
      <c r="AF128" s="216">
        <v>0.0</v>
      </c>
      <c r="AG128" s="217">
        <v>0.0</v>
      </c>
      <c r="AH128" s="215">
        <v>0.0</v>
      </c>
      <c r="AI128" s="216">
        <v>0.0</v>
      </c>
      <c r="AJ128" s="217">
        <v>0.0</v>
      </c>
      <c r="AK128" s="215">
        <v>0.0</v>
      </c>
      <c r="AL128" s="216">
        <v>0.0</v>
      </c>
      <c r="AM128" s="217">
        <v>0.0</v>
      </c>
      <c r="AN128" s="215">
        <v>0.0</v>
      </c>
      <c r="AO128" s="216">
        <v>0.0</v>
      </c>
      <c r="AP128" s="217">
        <v>0.0</v>
      </c>
      <c r="AQ128" s="215">
        <v>0.0</v>
      </c>
      <c r="AR128" s="216">
        <v>0.0</v>
      </c>
      <c r="AS128" s="217">
        <v>0.0</v>
      </c>
      <c r="AT128" s="210"/>
      <c r="AU128" s="210"/>
      <c r="AV128" s="210"/>
      <c r="AW128" s="210"/>
      <c r="AX128" s="210"/>
      <c r="AY128" s="210"/>
      <c r="AZ128" s="210"/>
      <c r="BA128" s="210"/>
      <c r="BB128" s="210"/>
      <c r="BC128" s="210"/>
      <c r="BD128" s="210"/>
      <c r="BE128" s="210"/>
      <c r="BF128" s="210"/>
      <c r="BG128" s="210"/>
      <c r="BH128" s="210"/>
      <c r="BI128" s="210"/>
      <c r="BJ128" s="210"/>
      <c r="BK128" s="210"/>
      <c r="BL128" s="210"/>
      <c r="BM128" s="210"/>
    </row>
    <row r="129" ht="12.0" customHeight="1">
      <c r="A129" s="8"/>
      <c r="B129" s="8"/>
      <c r="C129" s="270" t="s">
        <v>73</v>
      </c>
      <c r="D129" s="51">
        <f t="shared" ref="D129:AS129" si="90">SUM(D117:D128)</f>
        <v>3</v>
      </c>
      <c r="E129" s="52">
        <f t="shared" si="90"/>
        <v>3</v>
      </c>
      <c r="F129" s="52">
        <f t="shared" si="90"/>
        <v>3</v>
      </c>
      <c r="G129" s="51">
        <f t="shared" si="90"/>
        <v>3</v>
      </c>
      <c r="H129" s="52">
        <f t="shared" si="90"/>
        <v>3</v>
      </c>
      <c r="I129" s="53">
        <f t="shared" si="90"/>
        <v>3</v>
      </c>
      <c r="J129" s="51">
        <f t="shared" si="90"/>
        <v>3</v>
      </c>
      <c r="K129" s="52">
        <f t="shared" si="90"/>
        <v>3</v>
      </c>
      <c r="L129" s="53">
        <f t="shared" si="90"/>
        <v>3</v>
      </c>
      <c r="M129" s="51">
        <f t="shared" si="90"/>
        <v>4</v>
      </c>
      <c r="N129" s="52">
        <f t="shared" si="90"/>
        <v>4</v>
      </c>
      <c r="O129" s="53">
        <f t="shared" si="90"/>
        <v>4</v>
      </c>
      <c r="P129" s="51">
        <f t="shared" si="90"/>
        <v>6</v>
      </c>
      <c r="Q129" s="52">
        <f t="shared" si="90"/>
        <v>6</v>
      </c>
      <c r="R129" s="53">
        <f t="shared" si="90"/>
        <v>7</v>
      </c>
      <c r="S129" s="51">
        <f t="shared" si="90"/>
        <v>7</v>
      </c>
      <c r="T129" s="52">
        <f t="shared" si="90"/>
        <v>7</v>
      </c>
      <c r="U129" s="53">
        <f t="shared" si="90"/>
        <v>7</v>
      </c>
      <c r="V129" s="51">
        <f t="shared" si="90"/>
        <v>8</v>
      </c>
      <c r="W129" s="52">
        <f t="shared" si="90"/>
        <v>8</v>
      </c>
      <c r="X129" s="53">
        <f t="shared" si="90"/>
        <v>8</v>
      </c>
      <c r="Y129" s="51">
        <f t="shared" si="90"/>
        <v>8</v>
      </c>
      <c r="Z129" s="52">
        <f t="shared" si="90"/>
        <v>8</v>
      </c>
      <c r="AA129" s="53">
        <f t="shared" si="90"/>
        <v>8</v>
      </c>
      <c r="AB129" s="51">
        <f t="shared" si="90"/>
        <v>10</v>
      </c>
      <c r="AC129" s="52">
        <f t="shared" si="90"/>
        <v>10</v>
      </c>
      <c r="AD129" s="53">
        <f t="shared" si="90"/>
        <v>10</v>
      </c>
      <c r="AE129" s="51">
        <f t="shared" si="90"/>
        <v>10</v>
      </c>
      <c r="AF129" s="52">
        <f t="shared" si="90"/>
        <v>10</v>
      </c>
      <c r="AG129" s="53">
        <f t="shared" si="90"/>
        <v>10</v>
      </c>
      <c r="AH129" s="51">
        <f t="shared" si="90"/>
        <v>12</v>
      </c>
      <c r="AI129" s="52">
        <f t="shared" si="90"/>
        <v>12</v>
      </c>
      <c r="AJ129" s="53">
        <f t="shared" si="90"/>
        <v>12</v>
      </c>
      <c r="AK129" s="51">
        <f t="shared" si="90"/>
        <v>12</v>
      </c>
      <c r="AL129" s="52">
        <f t="shared" si="90"/>
        <v>12</v>
      </c>
      <c r="AM129" s="53">
        <f t="shared" si="90"/>
        <v>12</v>
      </c>
      <c r="AN129" s="51">
        <f t="shared" si="90"/>
        <v>15</v>
      </c>
      <c r="AO129" s="52">
        <f t="shared" si="90"/>
        <v>15</v>
      </c>
      <c r="AP129" s="53">
        <f t="shared" si="90"/>
        <v>15</v>
      </c>
      <c r="AQ129" s="51">
        <f t="shared" si="90"/>
        <v>15</v>
      </c>
      <c r="AR129" s="52">
        <f t="shared" si="90"/>
        <v>15</v>
      </c>
      <c r="AS129" s="53">
        <f t="shared" si="90"/>
        <v>15</v>
      </c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</row>
    <row r="130" ht="12.0" customHeight="1">
      <c r="A130" s="4"/>
      <c r="B130" s="4"/>
      <c r="C130" s="4"/>
      <c r="D130" s="64"/>
      <c r="E130" s="4"/>
      <c r="F130" s="4"/>
      <c r="G130" s="64"/>
      <c r="H130" s="4"/>
      <c r="I130" s="65"/>
      <c r="J130" s="64"/>
      <c r="K130" s="4"/>
      <c r="L130" s="65"/>
      <c r="M130" s="64"/>
      <c r="N130" s="4"/>
      <c r="O130" s="65"/>
      <c r="P130" s="64"/>
      <c r="Q130" s="4"/>
      <c r="R130" s="65"/>
      <c r="S130" s="64"/>
      <c r="T130" s="4"/>
      <c r="U130" s="65"/>
      <c r="V130" s="64"/>
      <c r="W130" s="4"/>
      <c r="X130" s="65"/>
      <c r="Y130" s="64"/>
      <c r="Z130" s="4"/>
      <c r="AA130" s="65"/>
      <c r="AB130" s="64"/>
      <c r="AC130" s="4"/>
      <c r="AD130" s="65"/>
      <c r="AE130" s="64"/>
      <c r="AF130" s="4"/>
      <c r="AG130" s="65"/>
      <c r="AH130" s="64"/>
      <c r="AI130" s="4"/>
      <c r="AJ130" s="65"/>
      <c r="AK130" s="64"/>
      <c r="AL130" s="4"/>
      <c r="AM130" s="65"/>
      <c r="AN130" s="64"/>
      <c r="AO130" s="4"/>
      <c r="AP130" s="65"/>
      <c r="AQ130" s="64"/>
      <c r="AR130" s="4"/>
      <c r="AS130" s="65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</row>
    <row r="131" ht="12.0" customHeight="1">
      <c r="A131" s="4"/>
      <c r="B131" s="270" t="s">
        <v>20</v>
      </c>
      <c r="C131" s="4"/>
      <c r="D131" s="64"/>
      <c r="E131" s="4"/>
      <c r="F131" s="4"/>
      <c r="G131" s="64"/>
      <c r="H131" s="4"/>
      <c r="I131" s="65"/>
      <c r="J131" s="64"/>
      <c r="K131" s="4"/>
      <c r="L131" s="65"/>
      <c r="M131" s="64"/>
      <c r="N131" s="4"/>
      <c r="O131" s="65"/>
      <c r="P131" s="64"/>
      <c r="Q131" s="4"/>
      <c r="R131" s="65"/>
      <c r="S131" s="64"/>
      <c r="T131" s="4"/>
      <c r="U131" s="65"/>
      <c r="V131" s="64"/>
      <c r="W131" s="4"/>
      <c r="X131" s="65"/>
      <c r="Y131" s="64"/>
      <c r="Z131" s="4"/>
      <c r="AA131" s="65"/>
      <c r="AB131" s="64"/>
      <c r="AC131" s="4"/>
      <c r="AD131" s="65"/>
      <c r="AE131" s="64"/>
      <c r="AF131" s="4"/>
      <c r="AG131" s="65"/>
      <c r="AH131" s="64"/>
      <c r="AI131" s="4"/>
      <c r="AJ131" s="65"/>
      <c r="AK131" s="64"/>
      <c r="AL131" s="4"/>
      <c r="AM131" s="65"/>
      <c r="AN131" s="64"/>
      <c r="AO131" s="4"/>
      <c r="AP131" s="65"/>
      <c r="AQ131" s="64"/>
      <c r="AR131" s="4"/>
      <c r="AS131" s="65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</row>
    <row r="132" ht="12.0" customHeight="1">
      <c r="A132" s="4"/>
      <c r="B132" s="8"/>
      <c r="C132" s="37" t="str">
        <f>Macro!B71</f>
        <v>CMO</v>
      </c>
      <c r="D132" s="212">
        <v>0.0</v>
      </c>
      <c r="E132" s="213">
        <v>0.0</v>
      </c>
      <c r="F132" s="213">
        <v>0.0</v>
      </c>
      <c r="G132" s="212">
        <v>0.0</v>
      </c>
      <c r="H132" s="213">
        <v>0.0</v>
      </c>
      <c r="I132" s="214">
        <v>0.0</v>
      </c>
      <c r="J132" s="212">
        <v>0.0</v>
      </c>
      <c r="K132" s="213">
        <v>0.0</v>
      </c>
      <c r="L132" s="214">
        <v>0.0</v>
      </c>
      <c r="M132" s="212">
        <v>0.0</v>
      </c>
      <c r="N132" s="213">
        <v>0.0</v>
      </c>
      <c r="O132" s="214">
        <v>0.0</v>
      </c>
      <c r="P132" s="212">
        <v>0.0</v>
      </c>
      <c r="Q132" s="213">
        <v>0.0</v>
      </c>
      <c r="R132" s="214">
        <v>0.0</v>
      </c>
      <c r="S132" s="212">
        <v>0.0</v>
      </c>
      <c r="T132" s="213">
        <v>0.0</v>
      </c>
      <c r="U132" s="214">
        <v>0.0</v>
      </c>
      <c r="V132" s="212">
        <v>0.0</v>
      </c>
      <c r="W132" s="213">
        <v>0.0</v>
      </c>
      <c r="X132" s="214">
        <v>0.0</v>
      </c>
      <c r="Y132" s="212">
        <v>0.0</v>
      </c>
      <c r="Z132" s="213">
        <v>0.0</v>
      </c>
      <c r="AA132" s="214">
        <v>0.0</v>
      </c>
      <c r="AB132" s="212">
        <v>0.0</v>
      </c>
      <c r="AC132" s="213">
        <v>0.0</v>
      </c>
      <c r="AD132" s="214">
        <v>0.0</v>
      </c>
      <c r="AE132" s="212">
        <v>0.0</v>
      </c>
      <c r="AF132" s="213">
        <v>0.0</v>
      </c>
      <c r="AG132" s="214">
        <v>0.0</v>
      </c>
      <c r="AH132" s="212">
        <v>1.0</v>
      </c>
      <c r="AI132" s="213">
        <v>1.0</v>
      </c>
      <c r="AJ132" s="214">
        <v>1.0</v>
      </c>
      <c r="AK132" s="212">
        <v>1.0</v>
      </c>
      <c r="AL132" s="213">
        <v>1.0</v>
      </c>
      <c r="AM132" s="214">
        <v>1.0</v>
      </c>
      <c r="AN132" s="212">
        <v>1.0</v>
      </c>
      <c r="AO132" s="213">
        <v>1.0</v>
      </c>
      <c r="AP132" s="214">
        <v>1.0</v>
      </c>
      <c r="AQ132" s="212">
        <v>1.0</v>
      </c>
      <c r="AR132" s="213">
        <v>1.0</v>
      </c>
      <c r="AS132" s="214">
        <v>1.0</v>
      </c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</row>
    <row r="133" ht="12.0" customHeight="1">
      <c r="A133" s="4"/>
      <c r="B133" s="8"/>
      <c r="C133" s="37" t="str">
        <f>Macro!B72</f>
        <v>Director of Demand</v>
      </c>
      <c r="D133" s="212">
        <v>1.0</v>
      </c>
      <c r="E133" s="213">
        <v>1.0</v>
      </c>
      <c r="F133" s="213">
        <v>1.0</v>
      </c>
      <c r="G133" s="212">
        <v>1.0</v>
      </c>
      <c r="H133" s="213">
        <v>1.0</v>
      </c>
      <c r="I133" s="214">
        <v>1.0</v>
      </c>
      <c r="J133" s="212">
        <v>1.0</v>
      </c>
      <c r="K133" s="213">
        <v>1.0</v>
      </c>
      <c r="L133" s="214">
        <v>1.0</v>
      </c>
      <c r="M133" s="212">
        <v>0.0</v>
      </c>
      <c r="N133" s="213">
        <v>0.0</v>
      </c>
      <c r="O133" s="214">
        <v>0.0</v>
      </c>
      <c r="P133" s="212">
        <v>0.0</v>
      </c>
      <c r="Q133" s="213">
        <v>0.0</v>
      </c>
      <c r="R133" s="214">
        <v>0.0</v>
      </c>
      <c r="S133" s="212">
        <v>0.0</v>
      </c>
      <c r="T133" s="213">
        <v>0.0</v>
      </c>
      <c r="U133" s="214">
        <v>0.0</v>
      </c>
      <c r="V133" s="212">
        <v>0.0</v>
      </c>
      <c r="W133" s="213">
        <v>0.0</v>
      </c>
      <c r="X133" s="214">
        <v>0.0</v>
      </c>
      <c r="Y133" s="212">
        <v>0.0</v>
      </c>
      <c r="Z133" s="213">
        <v>0.0</v>
      </c>
      <c r="AA133" s="214">
        <v>0.0</v>
      </c>
      <c r="AB133" s="212">
        <v>0.0</v>
      </c>
      <c r="AC133" s="213">
        <v>0.0</v>
      </c>
      <c r="AD133" s="214">
        <v>0.0</v>
      </c>
      <c r="AE133" s="212">
        <v>0.0</v>
      </c>
      <c r="AF133" s="213">
        <v>0.0</v>
      </c>
      <c r="AG133" s="214">
        <v>0.0</v>
      </c>
      <c r="AH133" s="212">
        <v>0.0</v>
      </c>
      <c r="AI133" s="213">
        <v>0.0</v>
      </c>
      <c r="AJ133" s="214">
        <v>0.0</v>
      </c>
      <c r="AK133" s="212">
        <v>0.0</v>
      </c>
      <c r="AL133" s="213">
        <v>0.0</v>
      </c>
      <c r="AM133" s="214">
        <v>0.0</v>
      </c>
      <c r="AN133" s="212">
        <v>0.0</v>
      </c>
      <c r="AO133" s="213">
        <v>0.0</v>
      </c>
      <c r="AP133" s="214">
        <v>0.0</v>
      </c>
      <c r="AQ133" s="212">
        <v>0.0</v>
      </c>
      <c r="AR133" s="213">
        <v>0.0</v>
      </c>
      <c r="AS133" s="214">
        <v>0.0</v>
      </c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</row>
    <row r="134" ht="12.0" customHeight="1">
      <c r="A134" s="4"/>
      <c r="B134" s="8"/>
      <c r="C134" s="37" t="str">
        <f>Macro!B73</f>
        <v>SDR</v>
      </c>
      <c r="D134" s="212">
        <v>1.0</v>
      </c>
      <c r="E134" s="213">
        <v>1.0</v>
      </c>
      <c r="F134" s="213">
        <v>1.0</v>
      </c>
      <c r="G134" s="212">
        <v>1.0</v>
      </c>
      <c r="H134" s="213">
        <v>1.0</v>
      </c>
      <c r="I134" s="214">
        <v>1.0</v>
      </c>
      <c r="J134" s="212">
        <v>1.0</v>
      </c>
      <c r="K134" s="213">
        <v>1.0</v>
      </c>
      <c r="L134" s="214">
        <v>1.0</v>
      </c>
      <c r="M134" s="212">
        <v>1.0</v>
      </c>
      <c r="N134" s="213">
        <v>1.0</v>
      </c>
      <c r="O134" s="214">
        <v>1.0</v>
      </c>
      <c r="P134" s="212">
        <v>1.0</v>
      </c>
      <c r="Q134" s="213">
        <v>1.0</v>
      </c>
      <c r="R134" s="214">
        <v>1.0</v>
      </c>
      <c r="S134" s="212">
        <v>1.0</v>
      </c>
      <c r="T134" s="213">
        <v>1.0</v>
      </c>
      <c r="U134" s="214">
        <v>1.0</v>
      </c>
      <c r="V134" s="212">
        <v>1.0</v>
      </c>
      <c r="W134" s="213">
        <v>1.0</v>
      </c>
      <c r="X134" s="214">
        <v>1.0</v>
      </c>
      <c r="Y134" s="212">
        <v>1.0</v>
      </c>
      <c r="Z134" s="213">
        <v>1.0</v>
      </c>
      <c r="AA134" s="214">
        <v>1.0</v>
      </c>
      <c r="AB134" s="212">
        <v>1.0</v>
      </c>
      <c r="AC134" s="213">
        <v>1.0</v>
      </c>
      <c r="AD134" s="214">
        <v>1.0</v>
      </c>
      <c r="AE134" s="212">
        <v>1.0</v>
      </c>
      <c r="AF134" s="213">
        <v>1.0</v>
      </c>
      <c r="AG134" s="214">
        <v>1.0</v>
      </c>
      <c r="AH134" s="212">
        <v>1.0</v>
      </c>
      <c r="AI134" s="213">
        <v>1.0</v>
      </c>
      <c r="AJ134" s="214">
        <v>1.0</v>
      </c>
      <c r="AK134" s="212">
        <v>1.0</v>
      </c>
      <c r="AL134" s="213">
        <v>1.0</v>
      </c>
      <c r="AM134" s="214">
        <v>1.0</v>
      </c>
      <c r="AN134" s="212">
        <v>1.0</v>
      </c>
      <c r="AO134" s="213">
        <v>1.0</v>
      </c>
      <c r="AP134" s="214">
        <v>1.0</v>
      </c>
      <c r="AQ134" s="212">
        <v>1.0</v>
      </c>
      <c r="AR134" s="213">
        <v>1.0</v>
      </c>
      <c r="AS134" s="214">
        <v>1.0</v>
      </c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</row>
    <row r="135" ht="12.0" customHeight="1">
      <c r="A135" s="4"/>
      <c r="B135" s="8"/>
      <c r="C135" s="37" t="str">
        <f>Macro!B74</f>
        <v>Creative</v>
      </c>
      <c r="D135" s="212">
        <v>0.0</v>
      </c>
      <c r="E135" s="213">
        <v>0.0</v>
      </c>
      <c r="F135" s="213">
        <v>0.0</v>
      </c>
      <c r="G135" s="212">
        <v>0.0</v>
      </c>
      <c r="H135" s="213">
        <v>0.0</v>
      </c>
      <c r="I135" s="214">
        <v>0.0</v>
      </c>
      <c r="J135" s="212">
        <v>0.0</v>
      </c>
      <c r="K135" s="213">
        <v>0.0</v>
      </c>
      <c r="L135" s="214">
        <v>0.0</v>
      </c>
      <c r="M135" s="212">
        <v>0.0</v>
      </c>
      <c r="N135" s="213">
        <v>0.0</v>
      </c>
      <c r="O135" s="214">
        <v>1.0</v>
      </c>
      <c r="P135" s="212">
        <v>1.0</v>
      </c>
      <c r="Q135" s="213">
        <v>1.0</v>
      </c>
      <c r="R135" s="214">
        <v>1.0</v>
      </c>
      <c r="S135" s="212">
        <v>1.0</v>
      </c>
      <c r="T135" s="213">
        <v>1.0</v>
      </c>
      <c r="U135" s="214">
        <v>1.0</v>
      </c>
      <c r="V135" s="212">
        <v>1.0</v>
      </c>
      <c r="W135" s="213">
        <v>1.0</v>
      </c>
      <c r="X135" s="214">
        <v>1.0</v>
      </c>
      <c r="Y135" s="212">
        <v>1.0</v>
      </c>
      <c r="Z135" s="213">
        <v>1.0</v>
      </c>
      <c r="AA135" s="214">
        <v>1.0</v>
      </c>
      <c r="AB135" s="212">
        <v>1.0</v>
      </c>
      <c r="AC135" s="213">
        <v>1.0</v>
      </c>
      <c r="AD135" s="214">
        <v>1.0</v>
      </c>
      <c r="AE135" s="212">
        <v>1.0</v>
      </c>
      <c r="AF135" s="213">
        <v>1.0</v>
      </c>
      <c r="AG135" s="214">
        <v>1.0</v>
      </c>
      <c r="AH135" s="212">
        <v>1.0</v>
      </c>
      <c r="AI135" s="213">
        <v>1.0</v>
      </c>
      <c r="AJ135" s="214">
        <v>1.0</v>
      </c>
      <c r="AK135" s="212">
        <v>1.0</v>
      </c>
      <c r="AL135" s="213">
        <v>1.0</v>
      </c>
      <c r="AM135" s="214">
        <v>1.0</v>
      </c>
      <c r="AN135" s="212">
        <v>1.0</v>
      </c>
      <c r="AO135" s="213">
        <v>1.0</v>
      </c>
      <c r="AP135" s="214">
        <v>1.0</v>
      </c>
      <c r="AQ135" s="212">
        <v>1.0</v>
      </c>
      <c r="AR135" s="213">
        <v>1.0</v>
      </c>
      <c r="AS135" s="214">
        <v>1.0</v>
      </c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</row>
    <row r="136" ht="12.0" customHeight="1">
      <c r="A136" s="4"/>
      <c r="B136" s="8"/>
      <c r="C136" s="37" t="str">
        <f>Macro!B75</f>
        <v>PMM / VP Marketing</v>
      </c>
      <c r="D136" s="212">
        <v>0.0</v>
      </c>
      <c r="E136" s="213">
        <v>0.0</v>
      </c>
      <c r="F136" s="213">
        <v>0.0</v>
      </c>
      <c r="G136" s="212">
        <v>0.0</v>
      </c>
      <c r="H136" s="213">
        <v>0.0</v>
      </c>
      <c r="I136" s="214">
        <v>0.0</v>
      </c>
      <c r="J136" s="212">
        <v>0.0</v>
      </c>
      <c r="K136" s="213">
        <v>0.0</v>
      </c>
      <c r="L136" s="214">
        <v>1.0</v>
      </c>
      <c r="M136" s="212">
        <v>1.0</v>
      </c>
      <c r="N136" s="213">
        <v>1.0</v>
      </c>
      <c r="O136" s="214">
        <v>1.0</v>
      </c>
      <c r="P136" s="212">
        <v>1.0</v>
      </c>
      <c r="Q136" s="213">
        <v>1.0</v>
      </c>
      <c r="R136" s="214">
        <v>1.0</v>
      </c>
      <c r="S136" s="212">
        <v>1.0</v>
      </c>
      <c r="T136" s="213">
        <v>1.0</v>
      </c>
      <c r="U136" s="214">
        <v>1.0</v>
      </c>
      <c r="V136" s="212">
        <v>1.0</v>
      </c>
      <c r="W136" s="213">
        <v>1.0</v>
      </c>
      <c r="X136" s="214">
        <v>1.0</v>
      </c>
      <c r="Y136" s="212">
        <v>1.0</v>
      </c>
      <c r="Z136" s="213">
        <v>1.0</v>
      </c>
      <c r="AA136" s="214">
        <v>1.0</v>
      </c>
      <c r="AB136" s="212">
        <v>1.0</v>
      </c>
      <c r="AC136" s="213">
        <v>1.0</v>
      </c>
      <c r="AD136" s="214">
        <v>1.0</v>
      </c>
      <c r="AE136" s="212">
        <v>1.0</v>
      </c>
      <c r="AF136" s="213">
        <v>1.0</v>
      </c>
      <c r="AG136" s="214">
        <v>1.0</v>
      </c>
      <c r="AH136" s="212">
        <v>1.0</v>
      </c>
      <c r="AI136" s="213">
        <v>1.0</v>
      </c>
      <c r="AJ136" s="214">
        <v>1.0</v>
      </c>
      <c r="AK136" s="212">
        <v>1.0</v>
      </c>
      <c r="AL136" s="213">
        <v>1.0</v>
      </c>
      <c r="AM136" s="214">
        <v>1.0</v>
      </c>
      <c r="AN136" s="212">
        <v>1.0</v>
      </c>
      <c r="AO136" s="213">
        <v>1.0</v>
      </c>
      <c r="AP136" s="214">
        <v>1.0</v>
      </c>
      <c r="AQ136" s="212">
        <v>1.0</v>
      </c>
      <c r="AR136" s="213">
        <v>1.0</v>
      </c>
      <c r="AS136" s="214">
        <v>1.0</v>
      </c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</row>
    <row r="137" ht="12.0" customHeight="1">
      <c r="A137" s="4"/>
      <c r="B137" s="8"/>
      <c r="C137" s="37" t="str">
        <f>Macro!B76</f>
        <v>Field</v>
      </c>
      <c r="D137" s="212">
        <v>0.0</v>
      </c>
      <c r="E137" s="213">
        <v>0.0</v>
      </c>
      <c r="F137" s="213">
        <v>0.0</v>
      </c>
      <c r="G137" s="212">
        <v>0.0</v>
      </c>
      <c r="H137" s="213">
        <v>0.0</v>
      </c>
      <c r="I137" s="214">
        <v>0.0</v>
      </c>
      <c r="J137" s="212">
        <v>0.0</v>
      </c>
      <c r="K137" s="213">
        <v>0.0</v>
      </c>
      <c r="L137" s="214">
        <v>0.0</v>
      </c>
      <c r="M137" s="212">
        <v>0.0</v>
      </c>
      <c r="N137" s="213">
        <v>0.0</v>
      </c>
      <c r="O137" s="214">
        <v>0.0</v>
      </c>
      <c r="P137" s="212">
        <v>0.0</v>
      </c>
      <c r="Q137" s="213">
        <v>0.0</v>
      </c>
      <c r="R137" s="214">
        <v>0.0</v>
      </c>
      <c r="S137" s="212">
        <v>0.0</v>
      </c>
      <c r="T137" s="213">
        <v>0.0</v>
      </c>
      <c r="U137" s="214">
        <v>0.0</v>
      </c>
      <c r="V137" s="212">
        <v>0.0</v>
      </c>
      <c r="W137" s="213">
        <v>0.0</v>
      </c>
      <c r="X137" s="214">
        <v>0.0</v>
      </c>
      <c r="Y137" s="212">
        <v>0.0</v>
      </c>
      <c r="Z137" s="213">
        <v>1.0</v>
      </c>
      <c r="AA137" s="214">
        <v>1.0</v>
      </c>
      <c r="AB137" s="212">
        <v>1.0</v>
      </c>
      <c r="AC137" s="213">
        <v>1.0</v>
      </c>
      <c r="AD137" s="214">
        <v>1.0</v>
      </c>
      <c r="AE137" s="212">
        <v>1.0</v>
      </c>
      <c r="AF137" s="213">
        <v>1.0</v>
      </c>
      <c r="AG137" s="214">
        <v>1.0</v>
      </c>
      <c r="AH137" s="212">
        <v>1.0</v>
      </c>
      <c r="AI137" s="213">
        <v>1.0</v>
      </c>
      <c r="AJ137" s="214">
        <v>1.0</v>
      </c>
      <c r="AK137" s="212">
        <v>1.0</v>
      </c>
      <c r="AL137" s="213">
        <v>1.0</v>
      </c>
      <c r="AM137" s="214">
        <v>1.0</v>
      </c>
      <c r="AN137" s="212">
        <v>1.0</v>
      </c>
      <c r="AO137" s="213">
        <v>1.0</v>
      </c>
      <c r="AP137" s="214">
        <v>1.0</v>
      </c>
      <c r="AQ137" s="212">
        <v>1.0</v>
      </c>
      <c r="AR137" s="213">
        <v>1.0</v>
      </c>
      <c r="AS137" s="214">
        <v>1.0</v>
      </c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</row>
    <row r="138" ht="12.0" customHeight="1">
      <c r="A138" s="4"/>
      <c r="B138" s="8"/>
      <c r="C138" s="37" t="str">
        <f>Macro!B77</f>
        <v>[XX]</v>
      </c>
      <c r="D138" s="218"/>
      <c r="E138" s="219"/>
      <c r="F138" s="219"/>
      <c r="G138" s="218"/>
      <c r="H138" s="219"/>
      <c r="I138" s="220"/>
      <c r="J138" s="218"/>
      <c r="K138" s="219"/>
      <c r="L138" s="220"/>
      <c r="M138" s="218"/>
      <c r="N138" s="219"/>
      <c r="O138" s="220"/>
      <c r="P138" s="218"/>
      <c r="Q138" s="219"/>
      <c r="R138" s="220"/>
      <c r="S138" s="218"/>
      <c r="T138" s="219"/>
      <c r="U138" s="220"/>
      <c r="V138" s="218"/>
      <c r="W138" s="219"/>
      <c r="X138" s="220"/>
      <c r="Y138" s="218"/>
      <c r="Z138" s="219"/>
      <c r="AA138" s="220"/>
      <c r="AB138" s="218"/>
      <c r="AC138" s="219"/>
      <c r="AD138" s="220"/>
      <c r="AE138" s="218"/>
      <c r="AF138" s="219"/>
      <c r="AG138" s="220"/>
      <c r="AH138" s="218"/>
      <c r="AI138" s="219"/>
      <c r="AJ138" s="220"/>
      <c r="AK138" s="218"/>
      <c r="AL138" s="219"/>
      <c r="AM138" s="220"/>
      <c r="AN138" s="218"/>
      <c r="AO138" s="219"/>
      <c r="AP138" s="220"/>
      <c r="AQ138" s="218"/>
      <c r="AR138" s="219"/>
      <c r="AS138" s="220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</row>
    <row r="139" ht="12.0" customHeight="1">
      <c r="A139" s="4"/>
      <c r="B139" s="8"/>
      <c r="C139" s="37" t="str">
        <f>Macro!B78</f>
        <v>[XX]</v>
      </c>
      <c r="D139" s="218"/>
      <c r="E139" s="219"/>
      <c r="F139" s="219"/>
      <c r="G139" s="218"/>
      <c r="H139" s="219"/>
      <c r="I139" s="220"/>
      <c r="J139" s="218"/>
      <c r="K139" s="219"/>
      <c r="L139" s="220"/>
      <c r="M139" s="218"/>
      <c r="N139" s="219"/>
      <c r="O139" s="220"/>
      <c r="P139" s="218"/>
      <c r="Q139" s="219"/>
      <c r="R139" s="220"/>
      <c r="S139" s="218"/>
      <c r="T139" s="219"/>
      <c r="U139" s="220"/>
      <c r="V139" s="218"/>
      <c r="W139" s="219"/>
      <c r="X139" s="220"/>
      <c r="Y139" s="218"/>
      <c r="Z139" s="219"/>
      <c r="AA139" s="220"/>
      <c r="AB139" s="218"/>
      <c r="AC139" s="219"/>
      <c r="AD139" s="220"/>
      <c r="AE139" s="218"/>
      <c r="AF139" s="219"/>
      <c r="AG139" s="220"/>
      <c r="AH139" s="218"/>
      <c r="AI139" s="219"/>
      <c r="AJ139" s="220"/>
      <c r="AK139" s="218"/>
      <c r="AL139" s="219"/>
      <c r="AM139" s="220"/>
      <c r="AN139" s="218"/>
      <c r="AO139" s="219"/>
      <c r="AP139" s="220"/>
      <c r="AQ139" s="218"/>
      <c r="AR139" s="219"/>
      <c r="AS139" s="220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</row>
    <row r="140" ht="12.0" customHeight="1">
      <c r="A140" s="4"/>
      <c r="B140" s="8"/>
      <c r="C140" s="37" t="str">
        <f>Macro!B79</f>
        <v>[XX]</v>
      </c>
      <c r="D140" s="218"/>
      <c r="E140" s="219"/>
      <c r="F140" s="219"/>
      <c r="G140" s="218"/>
      <c r="H140" s="219"/>
      <c r="I140" s="220"/>
      <c r="J140" s="218"/>
      <c r="K140" s="219"/>
      <c r="L140" s="220"/>
      <c r="M140" s="218"/>
      <c r="N140" s="219"/>
      <c r="O140" s="220"/>
      <c r="P140" s="218"/>
      <c r="Q140" s="219"/>
      <c r="R140" s="220"/>
      <c r="S140" s="218"/>
      <c r="T140" s="219"/>
      <c r="U140" s="220"/>
      <c r="V140" s="218"/>
      <c r="W140" s="219"/>
      <c r="X140" s="220"/>
      <c r="Y140" s="218"/>
      <c r="Z140" s="219"/>
      <c r="AA140" s="220"/>
      <c r="AB140" s="218"/>
      <c r="AC140" s="219"/>
      <c r="AD140" s="220"/>
      <c r="AE140" s="218"/>
      <c r="AF140" s="219"/>
      <c r="AG140" s="220"/>
      <c r="AH140" s="218"/>
      <c r="AI140" s="219"/>
      <c r="AJ140" s="220"/>
      <c r="AK140" s="218"/>
      <c r="AL140" s="219"/>
      <c r="AM140" s="220"/>
      <c r="AN140" s="218"/>
      <c r="AO140" s="219"/>
      <c r="AP140" s="220"/>
      <c r="AQ140" s="218"/>
      <c r="AR140" s="219"/>
      <c r="AS140" s="220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</row>
    <row r="141" ht="12.0" customHeight="1">
      <c r="A141" s="4"/>
      <c r="B141" s="8"/>
      <c r="C141" s="37" t="str">
        <f>Macro!B80</f>
        <v>[XX]</v>
      </c>
      <c r="D141" s="218"/>
      <c r="E141" s="219"/>
      <c r="F141" s="219"/>
      <c r="G141" s="218"/>
      <c r="H141" s="219"/>
      <c r="I141" s="220"/>
      <c r="J141" s="218"/>
      <c r="K141" s="219"/>
      <c r="L141" s="220"/>
      <c r="M141" s="218"/>
      <c r="N141" s="219"/>
      <c r="O141" s="220"/>
      <c r="P141" s="218"/>
      <c r="Q141" s="219"/>
      <c r="R141" s="220"/>
      <c r="S141" s="218"/>
      <c r="T141" s="219"/>
      <c r="U141" s="220"/>
      <c r="V141" s="218"/>
      <c r="W141" s="219"/>
      <c r="X141" s="220"/>
      <c r="Y141" s="218"/>
      <c r="Z141" s="219"/>
      <c r="AA141" s="220"/>
      <c r="AB141" s="218"/>
      <c r="AC141" s="219"/>
      <c r="AD141" s="220"/>
      <c r="AE141" s="218"/>
      <c r="AF141" s="219"/>
      <c r="AG141" s="220"/>
      <c r="AH141" s="218"/>
      <c r="AI141" s="219"/>
      <c r="AJ141" s="220"/>
      <c r="AK141" s="218"/>
      <c r="AL141" s="219"/>
      <c r="AM141" s="220"/>
      <c r="AN141" s="218"/>
      <c r="AO141" s="219"/>
      <c r="AP141" s="220"/>
      <c r="AQ141" s="218"/>
      <c r="AR141" s="219"/>
      <c r="AS141" s="220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</row>
    <row r="142" ht="12.0" customHeight="1">
      <c r="A142" s="4"/>
      <c r="B142" s="8"/>
      <c r="C142" s="37" t="str">
        <f>Macro!B81</f>
        <v>[XX]</v>
      </c>
      <c r="D142" s="218"/>
      <c r="E142" s="219"/>
      <c r="F142" s="219"/>
      <c r="G142" s="218"/>
      <c r="H142" s="219"/>
      <c r="I142" s="220"/>
      <c r="J142" s="218"/>
      <c r="K142" s="219"/>
      <c r="L142" s="220"/>
      <c r="M142" s="218"/>
      <c r="N142" s="219"/>
      <c r="O142" s="220"/>
      <c r="P142" s="218"/>
      <c r="Q142" s="219"/>
      <c r="R142" s="220"/>
      <c r="S142" s="218"/>
      <c r="T142" s="219"/>
      <c r="U142" s="220"/>
      <c r="V142" s="218"/>
      <c r="W142" s="219"/>
      <c r="X142" s="220"/>
      <c r="Y142" s="218"/>
      <c r="Z142" s="219"/>
      <c r="AA142" s="220"/>
      <c r="AB142" s="218"/>
      <c r="AC142" s="219"/>
      <c r="AD142" s="220"/>
      <c r="AE142" s="218"/>
      <c r="AF142" s="219"/>
      <c r="AG142" s="220"/>
      <c r="AH142" s="218"/>
      <c r="AI142" s="219"/>
      <c r="AJ142" s="220"/>
      <c r="AK142" s="218"/>
      <c r="AL142" s="219"/>
      <c r="AM142" s="220"/>
      <c r="AN142" s="218"/>
      <c r="AO142" s="219"/>
      <c r="AP142" s="220"/>
      <c r="AQ142" s="218"/>
      <c r="AR142" s="219"/>
      <c r="AS142" s="220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</row>
    <row r="143" ht="12.0" customHeight="1">
      <c r="A143" s="4"/>
      <c r="B143" s="4"/>
      <c r="C143" s="277" t="str">
        <f>Macro!B82</f>
        <v>[XX]</v>
      </c>
      <c r="D143" s="215">
        <v>0.0</v>
      </c>
      <c r="E143" s="216">
        <v>0.0</v>
      </c>
      <c r="F143" s="216">
        <v>0.0</v>
      </c>
      <c r="G143" s="215">
        <v>0.0</v>
      </c>
      <c r="H143" s="216">
        <v>0.0</v>
      </c>
      <c r="I143" s="217">
        <v>0.0</v>
      </c>
      <c r="J143" s="215">
        <v>0.0</v>
      </c>
      <c r="K143" s="216">
        <v>0.0</v>
      </c>
      <c r="L143" s="217">
        <v>0.0</v>
      </c>
      <c r="M143" s="215">
        <v>0.0</v>
      </c>
      <c r="N143" s="216">
        <v>0.0</v>
      </c>
      <c r="O143" s="217">
        <v>0.0</v>
      </c>
      <c r="P143" s="215">
        <v>0.0</v>
      </c>
      <c r="Q143" s="216">
        <v>0.0</v>
      </c>
      <c r="R143" s="217">
        <v>0.0</v>
      </c>
      <c r="S143" s="215">
        <v>0.0</v>
      </c>
      <c r="T143" s="216">
        <v>0.0</v>
      </c>
      <c r="U143" s="217">
        <v>0.0</v>
      </c>
      <c r="V143" s="215">
        <v>0.0</v>
      </c>
      <c r="W143" s="216">
        <v>0.0</v>
      </c>
      <c r="X143" s="217">
        <v>0.0</v>
      </c>
      <c r="Y143" s="215">
        <v>0.0</v>
      </c>
      <c r="Z143" s="216">
        <v>0.0</v>
      </c>
      <c r="AA143" s="217">
        <v>0.0</v>
      </c>
      <c r="AB143" s="215">
        <v>0.0</v>
      </c>
      <c r="AC143" s="216">
        <v>0.0</v>
      </c>
      <c r="AD143" s="217">
        <v>0.0</v>
      </c>
      <c r="AE143" s="215">
        <v>0.0</v>
      </c>
      <c r="AF143" s="216">
        <v>0.0</v>
      </c>
      <c r="AG143" s="217">
        <v>0.0</v>
      </c>
      <c r="AH143" s="215">
        <v>0.0</v>
      </c>
      <c r="AI143" s="216">
        <v>0.0</v>
      </c>
      <c r="AJ143" s="217">
        <v>0.0</v>
      </c>
      <c r="AK143" s="215">
        <v>0.0</v>
      </c>
      <c r="AL143" s="216">
        <v>0.0</v>
      </c>
      <c r="AM143" s="217">
        <v>0.0</v>
      </c>
      <c r="AN143" s="215">
        <v>0.0</v>
      </c>
      <c r="AO143" s="216">
        <v>0.0</v>
      </c>
      <c r="AP143" s="217">
        <v>0.0</v>
      </c>
      <c r="AQ143" s="215">
        <v>0.0</v>
      </c>
      <c r="AR143" s="216">
        <v>0.0</v>
      </c>
      <c r="AS143" s="217">
        <v>0.0</v>
      </c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</row>
    <row r="144" ht="12.0" customHeight="1">
      <c r="A144" s="8"/>
      <c r="B144" s="8"/>
      <c r="C144" s="270" t="s">
        <v>73</v>
      </c>
      <c r="D144" s="51">
        <f t="shared" ref="D144:AS144" si="91">SUM(D132:D143)</f>
        <v>2</v>
      </c>
      <c r="E144" s="52">
        <f t="shared" si="91"/>
        <v>2</v>
      </c>
      <c r="F144" s="52">
        <f t="shared" si="91"/>
        <v>2</v>
      </c>
      <c r="G144" s="51">
        <f t="shared" si="91"/>
        <v>2</v>
      </c>
      <c r="H144" s="52">
        <f t="shared" si="91"/>
        <v>2</v>
      </c>
      <c r="I144" s="53">
        <f t="shared" si="91"/>
        <v>2</v>
      </c>
      <c r="J144" s="51">
        <f t="shared" si="91"/>
        <v>2</v>
      </c>
      <c r="K144" s="52">
        <f t="shared" si="91"/>
        <v>2</v>
      </c>
      <c r="L144" s="53">
        <f t="shared" si="91"/>
        <v>3</v>
      </c>
      <c r="M144" s="51">
        <f t="shared" si="91"/>
        <v>2</v>
      </c>
      <c r="N144" s="52">
        <f t="shared" si="91"/>
        <v>2</v>
      </c>
      <c r="O144" s="53">
        <f t="shared" si="91"/>
        <v>3</v>
      </c>
      <c r="P144" s="51">
        <f t="shared" si="91"/>
        <v>3</v>
      </c>
      <c r="Q144" s="52">
        <f t="shared" si="91"/>
        <v>3</v>
      </c>
      <c r="R144" s="53">
        <f t="shared" si="91"/>
        <v>3</v>
      </c>
      <c r="S144" s="51">
        <f t="shared" si="91"/>
        <v>3</v>
      </c>
      <c r="T144" s="52">
        <f t="shared" si="91"/>
        <v>3</v>
      </c>
      <c r="U144" s="53">
        <f t="shared" si="91"/>
        <v>3</v>
      </c>
      <c r="V144" s="51">
        <f t="shared" si="91"/>
        <v>3</v>
      </c>
      <c r="W144" s="52">
        <f t="shared" si="91"/>
        <v>3</v>
      </c>
      <c r="X144" s="53">
        <f t="shared" si="91"/>
        <v>3</v>
      </c>
      <c r="Y144" s="51">
        <f t="shared" si="91"/>
        <v>3</v>
      </c>
      <c r="Z144" s="52">
        <f t="shared" si="91"/>
        <v>4</v>
      </c>
      <c r="AA144" s="53">
        <f t="shared" si="91"/>
        <v>4</v>
      </c>
      <c r="AB144" s="51">
        <f t="shared" si="91"/>
        <v>4</v>
      </c>
      <c r="AC144" s="52">
        <f t="shared" si="91"/>
        <v>4</v>
      </c>
      <c r="AD144" s="53">
        <f t="shared" si="91"/>
        <v>4</v>
      </c>
      <c r="AE144" s="51">
        <f t="shared" si="91"/>
        <v>4</v>
      </c>
      <c r="AF144" s="52">
        <f t="shared" si="91"/>
        <v>4</v>
      </c>
      <c r="AG144" s="53">
        <f t="shared" si="91"/>
        <v>4</v>
      </c>
      <c r="AH144" s="51">
        <f t="shared" si="91"/>
        <v>5</v>
      </c>
      <c r="AI144" s="52">
        <f t="shared" si="91"/>
        <v>5</v>
      </c>
      <c r="AJ144" s="53">
        <f t="shared" si="91"/>
        <v>5</v>
      </c>
      <c r="AK144" s="51">
        <f t="shared" si="91"/>
        <v>5</v>
      </c>
      <c r="AL144" s="52">
        <f t="shared" si="91"/>
        <v>5</v>
      </c>
      <c r="AM144" s="53">
        <f t="shared" si="91"/>
        <v>5</v>
      </c>
      <c r="AN144" s="51">
        <f t="shared" si="91"/>
        <v>5</v>
      </c>
      <c r="AO144" s="52">
        <f t="shared" si="91"/>
        <v>5</v>
      </c>
      <c r="AP144" s="53">
        <f t="shared" si="91"/>
        <v>5</v>
      </c>
      <c r="AQ144" s="51">
        <f t="shared" si="91"/>
        <v>5</v>
      </c>
      <c r="AR144" s="52">
        <f t="shared" si="91"/>
        <v>5</v>
      </c>
      <c r="AS144" s="53">
        <f t="shared" si="91"/>
        <v>5</v>
      </c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</row>
    <row r="145" ht="12.0" customHeight="1">
      <c r="A145" s="4"/>
      <c r="B145" s="8"/>
      <c r="C145" s="4"/>
      <c r="D145" s="64"/>
      <c r="E145" s="4"/>
      <c r="F145" s="4"/>
      <c r="G145" s="64"/>
      <c r="H145" s="4"/>
      <c r="I145" s="65"/>
      <c r="J145" s="64"/>
      <c r="K145" s="4"/>
      <c r="L145" s="65"/>
      <c r="M145" s="64"/>
      <c r="N145" s="4"/>
      <c r="O145" s="65"/>
      <c r="P145" s="64"/>
      <c r="Q145" s="4"/>
      <c r="R145" s="65"/>
      <c r="S145" s="64"/>
      <c r="T145" s="4"/>
      <c r="U145" s="65"/>
      <c r="V145" s="64"/>
      <c r="W145" s="4"/>
      <c r="X145" s="65"/>
      <c r="Y145" s="64"/>
      <c r="Z145" s="4"/>
      <c r="AA145" s="65"/>
      <c r="AB145" s="64"/>
      <c r="AC145" s="4"/>
      <c r="AD145" s="65"/>
      <c r="AE145" s="64"/>
      <c r="AF145" s="4"/>
      <c r="AG145" s="65"/>
      <c r="AH145" s="64"/>
      <c r="AI145" s="4"/>
      <c r="AJ145" s="65"/>
      <c r="AK145" s="64"/>
      <c r="AL145" s="4"/>
      <c r="AM145" s="65"/>
      <c r="AN145" s="64"/>
      <c r="AO145" s="4"/>
      <c r="AP145" s="65"/>
      <c r="AQ145" s="64"/>
      <c r="AR145" s="4"/>
      <c r="AS145" s="65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</row>
    <row r="146" ht="12.0" customHeight="1">
      <c r="A146" s="8"/>
      <c r="B146" s="270" t="s">
        <v>221</v>
      </c>
      <c r="C146" s="8"/>
      <c r="D146" s="51"/>
      <c r="E146" s="52"/>
      <c r="F146" s="52"/>
      <c r="G146" s="51"/>
      <c r="H146" s="52"/>
      <c r="I146" s="53"/>
      <c r="J146" s="51"/>
      <c r="K146" s="52"/>
      <c r="L146" s="53"/>
      <c r="M146" s="51"/>
      <c r="N146" s="52"/>
      <c r="O146" s="53"/>
      <c r="P146" s="51"/>
      <c r="Q146" s="52"/>
      <c r="R146" s="53"/>
      <c r="S146" s="51"/>
      <c r="T146" s="52"/>
      <c r="U146" s="53"/>
      <c r="V146" s="51"/>
      <c r="W146" s="52"/>
      <c r="X146" s="53"/>
      <c r="Y146" s="51"/>
      <c r="Z146" s="52"/>
      <c r="AA146" s="53"/>
      <c r="AB146" s="51"/>
      <c r="AC146" s="52"/>
      <c r="AD146" s="53"/>
      <c r="AE146" s="51"/>
      <c r="AF146" s="52"/>
      <c r="AG146" s="53"/>
      <c r="AH146" s="51"/>
      <c r="AI146" s="52"/>
      <c r="AJ146" s="53"/>
      <c r="AK146" s="51"/>
      <c r="AL146" s="52"/>
      <c r="AM146" s="53"/>
      <c r="AN146" s="51"/>
      <c r="AO146" s="52"/>
      <c r="AP146" s="53"/>
      <c r="AQ146" s="51"/>
      <c r="AR146" s="52"/>
      <c r="AS146" s="53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</row>
    <row r="147" ht="12.0" customHeight="1">
      <c r="A147" s="8"/>
      <c r="B147" s="8"/>
      <c r="C147" s="37" t="str">
        <f>Macro!B85</f>
        <v>Chief Architect</v>
      </c>
      <c r="D147" s="212">
        <v>1.0</v>
      </c>
      <c r="E147" s="213">
        <v>1.0</v>
      </c>
      <c r="F147" s="213">
        <v>1.0</v>
      </c>
      <c r="G147" s="212">
        <v>1.0</v>
      </c>
      <c r="H147" s="213">
        <v>1.0</v>
      </c>
      <c r="I147" s="214">
        <v>1.0</v>
      </c>
      <c r="J147" s="212">
        <v>1.0</v>
      </c>
      <c r="K147" s="213">
        <v>1.0</v>
      </c>
      <c r="L147" s="214">
        <v>1.0</v>
      </c>
      <c r="M147" s="212">
        <v>1.0</v>
      </c>
      <c r="N147" s="213">
        <v>1.0</v>
      </c>
      <c r="O147" s="214">
        <v>1.0</v>
      </c>
      <c r="P147" s="212">
        <v>1.0</v>
      </c>
      <c r="Q147" s="213">
        <v>1.0</v>
      </c>
      <c r="R147" s="214">
        <v>1.0</v>
      </c>
      <c r="S147" s="212">
        <v>1.0</v>
      </c>
      <c r="T147" s="213">
        <v>1.0</v>
      </c>
      <c r="U147" s="214">
        <v>1.0</v>
      </c>
      <c r="V147" s="212">
        <v>1.0</v>
      </c>
      <c r="W147" s="213">
        <v>1.0</v>
      </c>
      <c r="X147" s="214">
        <v>1.0</v>
      </c>
      <c r="Y147" s="212">
        <v>1.0</v>
      </c>
      <c r="Z147" s="213">
        <v>1.0</v>
      </c>
      <c r="AA147" s="214">
        <v>1.0</v>
      </c>
      <c r="AB147" s="212">
        <v>1.0</v>
      </c>
      <c r="AC147" s="213">
        <v>1.0</v>
      </c>
      <c r="AD147" s="214">
        <v>1.0</v>
      </c>
      <c r="AE147" s="212">
        <v>1.0</v>
      </c>
      <c r="AF147" s="213">
        <v>1.0</v>
      </c>
      <c r="AG147" s="214">
        <v>1.0</v>
      </c>
      <c r="AH147" s="212">
        <v>1.0</v>
      </c>
      <c r="AI147" s="213">
        <v>1.0</v>
      </c>
      <c r="AJ147" s="214">
        <v>1.0</v>
      </c>
      <c r="AK147" s="212">
        <v>1.0</v>
      </c>
      <c r="AL147" s="213">
        <v>1.0</v>
      </c>
      <c r="AM147" s="214">
        <v>1.0</v>
      </c>
      <c r="AN147" s="212">
        <v>1.0</v>
      </c>
      <c r="AO147" s="213">
        <v>1.0</v>
      </c>
      <c r="AP147" s="214">
        <v>1.0</v>
      </c>
      <c r="AQ147" s="212">
        <v>1.0</v>
      </c>
      <c r="AR147" s="213">
        <v>1.0</v>
      </c>
      <c r="AS147" s="214">
        <v>1.0</v>
      </c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</row>
    <row r="148" ht="12.0" customHeight="1">
      <c r="A148" s="8"/>
      <c r="B148" s="8"/>
      <c r="C148" s="37" t="str">
        <f>Macro!B86</f>
        <v>VP Engineering</v>
      </c>
      <c r="D148" s="212">
        <v>1.0</v>
      </c>
      <c r="E148" s="213">
        <v>1.0</v>
      </c>
      <c r="F148" s="213">
        <v>1.0</v>
      </c>
      <c r="G148" s="212">
        <v>1.0</v>
      </c>
      <c r="H148" s="213">
        <v>1.0</v>
      </c>
      <c r="I148" s="214">
        <v>1.0</v>
      </c>
      <c r="J148" s="212">
        <v>1.0</v>
      </c>
      <c r="K148" s="213">
        <v>1.0</v>
      </c>
      <c r="L148" s="214">
        <v>1.0</v>
      </c>
      <c r="M148" s="212">
        <v>1.0</v>
      </c>
      <c r="N148" s="213">
        <v>1.0</v>
      </c>
      <c r="O148" s="214">
        <v>1.0</v>
      </c>
      <c r="P148" s="212">
        <v>1.0</v>
      </c>
      <c r="Q148" s="213">
        <v>1.0</v>
      </c>
      <c r="R148" s="214">
        <v>1.0</v>
      </c>
      <c r="S148" s="212">
        <v>1.0</v>
      </c>
      <c r="T148" s="213">
        <v>1.0</v>
      </c>
      <c r="U148" s="214">
        <v>1.0</v>
      </c>
      <c r="V148" s="212">
        <v>1.0</v>
      </c>
      <c r="W148" s="213">
        <v>1.0</v>
      </c>
      <c r="X148" s="214">
        <v>1.0</v>
      </c>
      <c r="Y148" s="212">
        <v>1.0</v>
      </c>
      <c r="Z148" s="213">
        <v>1.0</v>
      </c>
      <c r="AA148" s="214">
        <v>1.0</v>
      </c>
      <c r="AB148" s="212">
        <v>1.0</v>
      </c>
      <c r="AC148" s="213">
        <v>1.0</v>
      </c>
      <c r="AD148" s="214">
        <v>1.0</v>
      </c>
      <c r="AE148" s="212">
        <v>1.0</v>
      </c>
      <c r="AF148" s="213">
        <v>1.0</v>
      </c>
      <c r="AG148" s="214">
        <v>1.0</v>
      </c>
      <c r="AH148" s="212">
        <v>1.0</v>
      </c>
      <c r="AI148" s="213">
        <v>1.0</v>
      </c>
      <c r="AJ148" s="214">
        <v>1.0</v>
      </c>
      <c r="AK148" s="212">
        <v>1.0</v>
      </c>
      <c r="AL148" s="213">
        <v>1.0</v>
      </c>
      <c r="AM148" s="214">
        <v>1.0</v>
      </c>
      <c r="AN148" s="212">
        <v>1.0</v>
      </c>
      <c r="AO148" s="213">
        <v>1.0</v>
      </c>
      <c r="AP148" s="214">
        <v>1.0</v>
      </c>
      <c r="AQ148" s="212">
        <v>1.0</v>
      </c>
      <c r="AR148" s="213">
        <v>1.0</v>
      </c>
      <c r="AS148" s="214">
        <v>1.0</v>
      </c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</row>
    <row r="149" ht="12.0" customHeight="1">
      <c r="A149" s="8"/>
      <c r="B149" s="8"/>
      <c r="C149" s="37" t="str">
        <f>Macro!B87</f>
        <v>Founding Frontend Engineer</v>
      </c>
      <c r="D149" s="212">
        <v>1.0</v>
      </c>
      <c r="E149" s="213">
        <v>1.0</v>
      </c>
      <c r="F149" s="213">
        <v>1.0</v>
      </c>
      <c r="G149" s="212">
        <v>1.0</v>
      </c>
      <c r="H149" s="213">
        <v>1.0</v>
      </c>
      <c r="I149" s="214">
        <v>1.0</v>
      </c>
      <c r="J149" s="212">
        <v>1.0</v>
      </c>
      <c r="K149" s="213">
        <v>1.0</v>
      </c>
      <c r="L149" s="214">
        <v>1.0</v>
      </c>
      <c r="M149" s="212">
        <v>1.0</v>
      </c>
      <c r="N149" s="213">
        <v>1.0</v>
      </c>
      <c r="O149" s="214">
        <v>1.0</v>
      </c>
      <c r="P149" s="212">
        <v>1.0</v>
      </c>
      <c r="Q149" s="213">
        <v>1.0</v>
      </c>
      <c r="R149" s="214">
        <v>1.0</v>
      </c>
      <c r="S149" s="212">
        <v>1.0</v>
      </c>
      <c r="T149" s="213">
        <v>1.0</v>
      </c>
      <c r="U149" s="214">
        <v>1.0</v>
      </c>
      <c r="V149" s="212">
        <v>1.0</v>
      </c>
      <c r="W149" s="213">
        <v>1.0</v>
      </c>
      <c r="X149" s="214">
        <v>1.0</v>
      </c>
      <c r="Y149" s="212">
        <v>1.0</v>
      </c>
      <c r="Z149" s="213">
        <v>1.0</v>
      </c>
      <c r="AA149" s="214">
        <v>1.0</v>
      </c>
      <c r="AB149" s="212">
        <v>1.0</v>
      </c>
      <c r="AC149" s="213">
        <v>1.0</v>
      </c>
      <c r="AD149" s="214">
        <v>1.0</v>
      </c>
      <c r="AE149" s="212">
        <v>1.0</v>
      </c>
      <c r="AF149" s="213">
        <v>1.0</v>
      </c>
      <c r="AG149" s="214">
        <v>1.0</v>
      </c>
      <c r="AH149" s="212">
        <v>1.0</v>
      </c>
      <c r="AI149" s="213">
        <v>1.0</v>
      </c>
      <c r="AJ149" s="214">
        <v>1.0</v>
      </c>
      <c r="AK149" s="212">
        <v>1.0</v>
      </c>
      <c r="AL149" s="213">
        <v>1.0</v>
      </c>
      <c r="AM149" s="214">
        <v>1.0</v>
      </c>
      <c r="AN149" s="212">
        <v>1.0</v>
      </c>
      <c r="AO149" s="213">
        <v>1.0</v>
      </c>
      <c r="AP149" s="214">
        <v>1.0</v>
      </c>
      <c r="AQ149" s="212">
        <v>1.0</v>
      </c>
      <c r="AR149" s="213">
        <v>1.0</v>
      </c>
      <c r="AS149" s="214">
        <v>1.0</v>
      </c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</row>
    <row r="150" ht="12.0" customHeight="1">
      <c r="A150" s="8"/>
      <c r="B150" s="8"/>
      <c r="C150" s="37" t="str">
        <f>Macro!B88</f>
        <v>Founding Backend Engineer</v>
      </c>
      <c r="D150" s="212">
        <v>1.0</v>
      </c>
      <c r="E150" s="213">
        <v>1.0</v>
      </c>
      <c r="F150" s="213">
        <v>1.0</v>
      </c>
      <c r="G150" s="212">
        <v>1.0</v>
      </c>
      <c r="H150" s="213">
        <v>1.0</v>
      </c>
      <c r="I150" s="214">
        <v>1.0</v>
      </c>
      <c r="J150" s="212">
        <v>1.0</v>
      </c>
      <c r="K150" s="213">
        <v>1.0</v>
      </c>
      <c r="L150" s="214">
        <v>1.0</v>
      </c>
      <c r="M150" s="212">
        <v>1.0</v>
      </c>
      <c r="N150" s="213">
        <v>1.0</v>
      </c>
      <c r="O150" s="214">
        <v>1.0</v>
      </c>
      <c r="P150" s="212">
        <v>1.0</v>
      </c>
      <c r="Q150" s="213">
        <v>1.0</v>
      </c>
      <c r="R150" s="214">
        <v>1.0</v>
      </c>
      <c r="S150" s="212">
        <v>1.0</v>
      </c>
      <c r="T150" s="213">
        <v>1.0</v>
      </c>
      <c r="U150" s="214">
        <v>1.0</v>
      </c>
      <c r="V150" s="212">
        <v>1.0</v>
      </c>
      <c r="W150" s="213">
        <v>1.0</v>
      </c>
      <c r="X150" s="214">
        <v>1.0</v>
      </c>
      <c r="Y150" s="212">
        <v>1.0</v>
      </c>
      <c r="Z150" s="213">
        <v>1.0</v>
      </c>
      <c r="AA150" s="214">
        <v>1.0</v>
      </c>
      <c r="AB150" s="212">
        <v>1.0</v>
      </c>
      <c r="AC150" s="213">
        <v>1.0</v>
      </c>
      <c r="AD150" s="214">
        <v>1.0</v>
      </c>
      <c r="AE150" s="212">
        <v>1.0</v>
      </c>
      <c r="AF150" s="213">
        <v>1.0</v>
      </c>
      <c r="AG150" s="214">
        <v>1.0</v>
      </c>
      <c r="AH150" s="212">
        <v>1.0</v>
      </c>
      <c r="AI150" s="213">
        <v>1.0</v>
      </c>
      <c r="AJ150" s="214">
        <v>1.0</v>
      </c>
      <c r="AK150" s="212">
        <v>1.0</v>
      </c>
      <c r="AL150" s="213">
        <v>1.0</v>
      </c>
      <c r="AM150" s="214">
        <v>1.0</v>
      </c>
      <c r="AN150" s="212">
        <v>1.0</v>
      </c>
      <c r="AO150" s="213">
        <v>1.0</v>
      </c>
      <c r="AP150" s="214">
        <v>1.0</v>
      </c>
      <c r="AQ150" s="212">
        <v>1.0</v>
      </c>
      <c r="AR150" s="213">
        <v>1.0</v>
      </c>
      <c r="AS150" s="214">
        <v>1.0</v>
      </c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</row>
    <row r="151" ht="12.0" customHeight="1">
      <c r="A151" s="8"/>
      <c r="B151" s="8"/>
      <c r="C151" s="37" t="str">
        <f>Macro!B89</f>
        <v>Founding API Engineer</v>
      </c>
      <c r="D151" s="212">
        <v>1.0</v>
      </c>
      <c r="E151" s="213">
        <v>1.0</v>
      </c>
      <c r="F151" s="213">
        <v>1.0</v>
      </c>
      <c r="G151" s="212">
        <v>1.0</v>
      </c>
      <c r="H151" s="213">
        <v>1.0</v>
      </c>
      <c r="I151" s="214">
        <v>1.0</v>
      </c>
      <c r="J151" s="212">
        <v>1.0</v>
      </c>
      <c r="K151" s="213">
        <v>1.0</v>
      </c>
      <c r="L151" s="214">
        <v>1.0</v>
      </c>
      <c r="M151" s="212">
        <v>1.0</v>
      </c>
      <c r="N151" s="213">
        <v>1.0</v>
      </c>
      <c r="O151" s="214">
        <v>1.0</v>
      </c>
      <c r="P151" s="212">
        <v>1.0</v>
      </c>
      <c r="Q151" s="213">
        <v>1.0</v>
      </c>
      <c r="R151" s="214">
        <v>1.0</v>
      </c>
      <c r="S151" s="212">
        <v>1.0</v>
      </c>
      <c r="T151" s="213">
        <v>1.0</v>
      </c>
      <c r="U151" s="214">
        <v>1.0</v>
      </c>
      <c r="V151" s="212">
        <v>1.0</v>
      </c>
      <c r="W151" s="213">
        <v>1.0</v>
      </c>
      <c r="X151" s="214">
        <v>1.0</v>
      </c>
      <c r="Y151" s="212">
        <v>1.0</v>
      </c>
      <c r="Z151" s="213">
        <v>1.0</v>
      </c>
      <c r="AA151" s="214">
        <v>1.0</v>
      </c>
      <c r="AB151" s="212">
        <v>1.0</v>
      </c>
      <c r="AC151" s="213">
        <v>1.0</v>
      </c>
      <c r="AD151" s="214">
        <v>1.0</v>
      </c>
      <c r="AE151" s="212">
        <v>1.0</v>
      </c>
      <c r="AF151" s="213">
        <v>1.0</v>
      </c>
      <c r="AG151" s="214">
        <v>1.0</v>
      </c>
      <c r="AH151" s="212">
        <v>1.0</v>
      </c>
      <c r="AI151" s="213">
        <v>1.0</v>
      </c>
      <c r="AJ151" s="214">
        <v>1.0</v>
      </c>
      <c r="AK151" s="212">
        <v>1.0</v>
      </c>
      <c r="AL151" s="213">
        <v>1.0</v>
      </c>
      <c r="AM151" s="214">
        <v>1.0</v>
      </c>
      <c r="AN151" s="212">
        <v>1.0</v>
      </c>
      <c r="AO151" s="213">
        <v>1.0</v>
      </c>
      <c r="AP151" s="214">
        <v>1.0</v>
      </c>
      <c r="AQ151" s="212">
        <v>1.0</v>
      </c>
      <c r="AR151" s="213">
        <v>1.0</v>
      </c>
      <c r="AS151" s="214">
        <v>1.0</v>
      </c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</row>
    <row r="152" ht="12.0" customHeight="1">
      <c r="A152" s="8"/>
      <c r="B152" s="8"/>
      <c r="C152" s="37" t="str">
        <f>Macro!B90</f>
        <v>Platform Engineer</v>
      </c>
      <c r="D152" s="212">
        <v>1.0</v>
      </c>
      <c r="E152" s="213">
        <v>1.0</v>
      </c>
      <c r="F152" s="213">
        <v>1.0</v>
      </c>
      <c r="G152" s="212">
        <v>1.0</v>
      </c>
      <c r="H152" s="213">
        <v>1.0</v>
      </c>
      <c r="I152" s="214">
        <v>1.0</v>
      </c>
      <c r="J152" s="212">
        <v>1.0</v>
      </c>
      <c r="K152" s="213">
        <v>1.0</v>
      </c>
      <c r="L152" s="214">
        <v>1.0</v>
      </c>
      <c r="M152" s="212">
        <v>1.0</v>
      </c>
      <c r="N152" s="213">
        <v>1.0</v>
      </c>
      <c r="O152" s="214">
        <v>1.0</v>
      </c>
      <c r="P152" s="212">
        <v>1.0</v>
      </c>
      <c r="Q152" s="213">
        <v>1.0</v>
      </c>
      <c r="R152" s="214">
        <v>1.0</v>
      </c>
      <c r="S152" s="212">
        <v>1.0</v>
      </c>
      <c r="T152" s="213">
        <v>1.0</v>
      </c>
      <c r="U152" s="214">
        <v>1.0</v>
      </c>
      <c r="V152" s="212">
        <v>1.0</v>
      </c>
      <c r="W152" s="213">
        <v>1.0</v>
      </c>
      <c r="X152" s="214">
        <v>1.0</v>
      </c>
      <c r="Y152" s="212">
        <v>1.0</v>
      </c>
      <c r="Z152" s="213">
        <v>1.0</v>
      </c>
      <c r="AA152" s="214">
        <v>1.0</v>
      </c>
      <c r="AB152" s="212">
        <v>1.0</v>
      </c>
      <c r="AC152" s="213">
        <v>1.0</v>
      </c>
      <c r="AD152" s="214">
        <v>1.0</v>
      </c>
      <c r="AE152" s="212">
        <v>1.0</v>
      </c>
      <c r="AF152" s="213">
        <v>1.0</v>
      </c>
      <c r="AG152" s="214">
        <v>1.0</v>
      </c>
      <c r="AH152" s="212">
        <v>1.0</v>
      </c>
      <c r="AI152" s="213">
        <v>1.0</v>
      </c>
      <c r="AJ152" s="214">
        <v>1.0</v>
      </c>
      <c r="AK152" s="212">
        <v>1.0</v>
      </c>
      <c r="AL152" s="213">
        <v>1.0</v>
      </c>
      <c r="AM152" s="214">
        <v>1.0</v>
      </c>
      <c r="AN152" s="212">
        <v>1.0</v>
      </c>
      <c r="AO152" s="213">
        <v>1.0</v>
      </c>
      <c r="AP152" s="214">
        <v>1.0</v>
      </c>
      <c r="AQ152" s="212">
        <v>1.0</v>
      </c>
      <c r="AR152" s="213">
        <v>1.0</v>
      </c>
      <c r="AS152" s="214">
        <v>1.0</v>
      </c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</row>
    <row r="153" ht="12.0" customHeight="1">
      <c r="A153" s="8"/>
      <c r="B153" s="8"/>
      <c r="C153" s="37" t="str">
        <f>Macro!B91</f>
        <v>Head of Analytics</v>
      </c>
      <c r="D153" s="212">
        <v>1.0</v>
      </c>
      <c r="E153" s="213">
        <v>1.0</v>
      </c>
      <c r="F153" s="213">
        <v>1.0</v>
      </c>
      <c r="G153" s="212">
        <v>1.0</v>
      </c>
      <c r="H153" s="213">
        <v>1.0</v>
      </c>
      <c r="I153" s="214">
        <v>1.0</v>
      </c>
      <c r="J153" s="212">
        <v>1.0</v>
      </c>
      <c r="K153" s="213">
        <v>1.0</v>
      </c>
      <c r="L153" s="214">
        <v>1.0</v>
      </c>
      <c r="M153" s="212">
        <v>1.0</v>
      </c>
      <c r="N153" s="213">
        <v>1.0</v>
      </c>
      <c r="O153" s="214">
        <v>1.0</v>
      </c>
      <c r="P153" s="212">
        <v>1.0</v>
      </c>
      <c r="Q153" s="213">
        <v>1.0</v>
      </c>
      <c r="R153" s="214">
        <v>1.0</v>
      </c>
      <c r="S153" s="212">
        <v>1.0</v>
      </c>
      <c r="T153" s="213">
        <v>1.0</v>
      </c>
      <c r="U153" s="214">
        <v>1.0</v>
      </c>
      <c r="V153" s="212">
        <v>1.0</v>
      </c>
      <c r="W153" s="213">
        <v>1.0</v>
      </c>
      <c r="X153" s="214">
        <v>1.0</v>
      </c>
      <c r="Y153" s="212">
        <v>1.0</v>
      </c>
      <c r="Z153" s="213">
        <v>1.0</v>
      </c>
      <c r="AA153" s="214">
        <v>1.0</v>
      </c>
      <c r="AB153" s="212">
        <v>1.0</v>
      </c>
      <c r="AC153" s="213">
        <v>1.0</v>
      </c>
      <c r="AD153" s="214">
        <v>1.0</v>
      </c>
      <c r="AE153" s="212">
        <v>1.0</v>
      </c>
      <c r="AF153" s="213">
        <v>1.0</v>
      </c>
      <c r="AG153" s="214">
        <v>1.0</v>
      </c>
      <c r="AH153" s="212">
        <v>1.0</v>
      </c>
      <c r="AI153" s="213">
        <v>1.0</v>
      </c>
      <c r="AJ153" s="214">
        <v>1.0</v>
      </c>
      <c r="AK153" s="212">
        <v>1.0</v>
      </c>
      <c r="AL153" s="213">
        <v>1.0</v>
      </c>
      <c r="AM153" s="214">
        <v>1.0</v>
      </c>
      <c r="AN153" s="212">
        <v>1.0</v>
      </c>
      <c r="AO153" s="213">
        <v>1.0</v>
      </c>
      <c r="AP153" s="214">
        <v>1.0</v>
      </c>
      <c r="AQ153" s="212">
        <v>1.0</v>
      </c>
      <c r="AR153" s="213">
        <v>1.0</v>
      </c>
      <c r="AS153" s="214">
        <v>1.0</v>
      </c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</row>
    <row r="154" ht="12.0" customHeight="1">
      <c r="A154" s="8"/>
      <c r="B154" s="8"/>
      <c r="C154" s="37" t="str">
        <f>Macro!B92</f>
        <v>Quality Assurance Lead</v>
      </c>
      <c r="D154" s="212">
        <v>1.0</v>
      </c>
      <c r="E154" s="213">
        <v>1.0</v>
      </c>
      <c r="F154" s="213">
        <v>1.0</v>
      </c>
      <c r="G154" s="212">
        <v>1.0</v>
      </c>
      <c r="H154" s="213">
        <v>1.0</v>
      </c>
      <c r="I154" s="214">
        <v>1.0</v>
      </c>
      <c r="J154" s="212">
        <v>1.0</v>
      </c>
      <c r="K154" s="213">
        <v>1.0</v>
      </c>
      <c r="L154" s="214">
        <v>1.0</v>
      </c>
      <c r="M154" s="212">
        <v>1.0</v>
      </c>
      <c r="N154" s="213">
        <v>1.0</v>
      </c>
      <c r="O154" s="214">
        <v>1.0</v>
      </c>
      <c r="P154" s="212">
        <v>1.0</v>
      </c>
      <c r="Q154" s="213">
        <v>1.0</v>
      </c>
      <c r="R154" s="214">
        <v>1.0</v>
      </c>
      <c r="S154" s="212">
        <v>1.0</v>
      </c>
      <c r="T154" s="213">
        <v>1.0</v>
      </c>
      <c r="U154" s="214">
        <v>1.0</v>
      </c>
      <c r="V154" s="212">
        <v>1.0</v>
      </c>
      <c r="W154" s="213">
        <v>1.0</v>
      </c>
      <c r="X154" s="214">
        <v>1.0</v>
      </c>
      <c r="Y154" s="212">
        <v>1.0</v>
      </c>
      <c r="Z154" s="213">
        <v>1.0</v>
      </c>
      <c r="AA154" s="214">
        <v>1.0</v>
      </c>
      <c r="AB154" s="212">
        <v>1.0</v>
      </c>
      <c r="AC154" s="213">
        <v>1.0</v>
      </c>
      <c r="AD154" s="214">
        <v>1.0</v>
      </c>
      <c r="AE154" s="212">
        <v>1.0</v>
      </c>
      <c r="AF154" s="213">
        <v>1.0</v>
      </c>
      <c r="AG154" s="214">
        <v>1.0</v>
      </c>
      <c r="AH154" s="212">
        <v>1.0</v>
      </c>
      <c r="AI154" s="213">
        <v>1.0</v>
      </c>
      <c r="AJ154" s="214">
        <v>1.0</v>
      </c>
      <c r="AK154" s="212">
        <v>1.0</v>
      </c>
      <c r="AL154" s="213">
        <v>1.0</v>
      </c>
      <c r="AM154" s="214">
        <v>1.0</v>
      </c>
      <c r="AN154" s="212">
        <v>1.0</v>
      </c>
      <c r="AO154" s="213">
        <v>1.0</v>
      </c>
      <c r="AP154" s="214">
        <v>1.0</v>
      </c>
      <c r="AQ154" s="212">
        <v>1.0</v>
      </c>
      <c r="AR154" s="213">
        <v>1.0</v>
      </c>
      <c r="AS154" s="214">
        <v>1.0</v>
      </c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</row>
    <row r="155" ht="12.0" customHeight="1">
      <c r="A155" s="8"/>
      <c r="B155" s="8"/>
      <c r="C155" s="37" t="str">
        <f>Macro!B93</f>
        <v>Frontend Engr</v>
      </c>
      <c r="D155" s="212">
        <v>1.0</v>
      </c>
      <c r="E155" s="213">
        <v>1.0</v>
      </c>
      <c r="F155" s="213">
        <v>1.0</v>
      </c>
      <c r="G155" s="212">
        <v>1.0</v>
      </c>
      <c r="H155" s="213">
        <v>1.0</v>
      </c>
      <c r="I155" s="214">
        <v>1.0</v>
      </c>
      <c r="J155" s="212">
        <v>1.0</v>
      </c>
      <c r="K155" s="213">
        <v>1.0</v>
      </c>
      <c r="L155" s="214">
        <v>1.0</v>
      </c>
      <c r="M155" s="212">
        <v>1.0</v>
      </c>
      <c r="N155" s="213">
        <v>1.0</v>
      </c>
      <c r="O155" s="214">
        <v>1.0</v>
      </c>
      <c r="P155" s="212">
        <v>1.0</v>
      </c>
      <c r="Q155" s="213">
        <v>1.0</v>
      </c>
      <c r="R155" s="214">
        <v>1.0</v>
      </c>
      <c r="S155" s="212">
        <v>1.0</v>
      </c>
      <c r="T155" s="213">
        <v>1.0</v>
      </c>
      <c r="U155" s="214">
        <v>1.0</v>
      </c>
      <c r="V155" s="212">
        <v>1.0</v>
      </c>
      <c r="W155" s="213">
        <v>1.0</v>
      </c>
      <c r="X155" s="214">
        <v>1.0</v>
      </c>
      <c r="Y155" s="212">
        <v>1.0</v>
      </c>
      <c r="Z155" s="213">
        <v>1.0</v>
      </c>
      <c r="AA155" s="214">
        <v>1.0</v>
      </c>
      <c r="AB155" s="212">
        <v>1.0</v>
      </c>
      <c r="AC155" s="213">
        <v>1.0</v>
      </c>
      <c r="AD155" s="214">
        <v>1.0</v>
      </c>
      <c r="AE155" s="212">
        <v>1.0</v>
      </c>
      <c r="AF155" s="213">
        <v>1.0</v>
      </c>
      <c r="AG155" s="214">
        <v>1.0</v>
      </c>
      <c r="AH155" s="212">
        <v>1.0</v>
      </c>
      <c r="AI155" s="213">
        <v>1.0</v>
      </c>
      <c r="AJ155" s="214">
        <v>1.0</v>
      </c>
      <c r="AK155" s="212">
        <v>1.0</v>
      </c>
      <c r="AL155" s="213">
        <v>1.0</v>
      </c>
      <c r="AM155" s="214">
        <v>1.0</v>
      </c>
      <c r="AN155" s="212">
        <v>1.0</v>
      </c>
      <c r="AO155" s="213">
        <v>1.0</v>
      </c>
      <c r="AP155" s="214">
        <v>1.0</v>
      </c>
      <c r="AQ155" s="212">
        <v>1.0</v>
      </c>
      <c r="AR155" s="213">
        <v>1.0</v>
      </c>
      <c r="AS155" s="214">
        <v>1.0</v>
      </c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</row>
    <row r="156" ht="12.0" customHeight="1">
      <c r="A156" s="8"/>
      <c r="B156" s="8"/>
      <c r="C156" s="37" t="str">
        <f>Macro!B94</f>
        <v>DevOps Engineer</v>
      </c>
      <c r="D156" s="212">
        <v>0.0</v>
      </c>
      <c r="E156" s="213">
        <v>0.0</v>
      </c>
      <c r="F156" s="213">
        <v>0.0</v>
      </c>
      <c r="G156" s="212">
        <v>0.0</v>
      </c>
      <c r="H156" s="213">
        <v>0.0</v>
      </c>
      <c r="I156" s="214">
        <v>0.0</v>
      </c>
      <c r="J156" s="212">
        <v>0.0</v>
      </c>
      <c r="K156" s="213">
        <v>0.0</v>
      </c>
      <c r="L156" s="214">
        <v>0.0</v>
      </c>
      <c r="M156" s="212">
        <v>0.0</v>
      </c>
      <c r="N156" s="213">
        <v>0.0</v>
      </c>
      <c r="O156" s="214">
        <v>0.0</v>
      </c>
      <c r="P156" s="212">
        <v>0.0</v>
      </c>
      <c r="Q156" s="213">
        <v>0.0</v>
      </c>
      <c r="R156" s="214">
        <v>0.0</v>
      </c>
      <c r="S156" s="212">
        <v>0.0</v>
      </c>
      <c r="T156" s="213">
        <v>0.0</v>
      </c>
      <c r="U156" s="214">
        <v>0.0</v>
      </c>
      <c r="V156" s="212">
        <v>0.0</v>
      </c>
      <c r="W156" s="213">
        <v>0.0</v>
      </c>
      <c r="X156" s="214">
        <v>0.0</v>
      </c>
      <c r="Y156" s="212">
        <v>0.0</v>
      </c>
      <c r="Z156" s="213">
        <v>0.0</v>
      </c>
      <c r="AA156" s="214">
        <v>0.0</v>
      </c>
      <c r="AB156" s="212">
        <v>0.0</v>
      </c>
      <c r="AC156" s="213">
        <v>0.0</v>
      </c>
      <c r="AD156" s="214">
        <v>0.0</v>
      </c>
      <c r="AE156" s="212">
        <v>0.0</v>
      </c>
      <c r="AF156" s="213">
        <v>0.0</v>
      </c>
      <c r="AG156" s="214">
        <v>0.0</v>
      </c>
      <c r="AH156" s="212">
        <v>0.0</v>
      </c>
      <c r="AI156" s="213">
        <v>0.0</v>
      </c>
      <c r="AJ156" s="214">
        <v>0.0</v>
      </c>
      <c r="AK156" s="212">
        <v>0.0</v>
      </c>
      <c r="AL156" s="213">
        <v>0.0</v>
      </c>
      <c r="AM156" s="214">
        <v>0.0</v>
      </c>
      <c r="AN156" s="212">
        <v>0.0</v>
      </c>
      <c r="AO156" s="213">
        <v>0.0</v>
      </c>
      <c r="AP156" s="214">
        <v>0.0</v>
      </c>
      <c r="AQ156" s="212">
        <v>0.0</v>
      </c>
      <c r="AR156" s="213">
        <v>0.0</v>
      </c>
      <c r="AS156" s="214">
        <v>0.0</v>
      </c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</row>
    <row r="157" ht="12.0" customHeight="1">
      <c r="A157" s="8"/>
      <c r="B157" s="8"/>
      <c r="C157" s="37" t="str">
        <f>Macro!B95</f>
        <v>MobileApps Engineer</v>
      </c>
      <c r="D157" s="212">
        <v>0.0</v>
      </c>
      <c r="E157" s="213">
        <v>0.0</v>
      </c>
      <c r="F157" s="213">
        <v>0.0</v>
      </c>
      <c r="G157" s="212">
        <v>0.0</v>
      </c>
      <c r="H157" s="213">
        <v>0.0</v>
      </c>
      <c r="I157" s="214">
        <v>0.0</v>
      </c>
      <c r="J157" s="212">
        <v>0.0</v>
      </c>
      <c r="K157" s="213">
        <v>0.0</v>
      </c>
      <c r="L157" s="214">
        <v>0.0</v>
      </c>
      <c r="M157" s="212">
        <v>0.0</v>
      </c>
      <c r="N157" s="213">
        <v>0.0</v>
      </c>
      <c r="O157" s="214">
        <v>1.0</v>
      </c>
      <c r="P157" s="212">
        <v>1.0</v>
      </c>
      <c r="Q157" s="213">
        <v>1.0</v>
      </c>
      <c r="R157" s="214">
        <v>1.0</v>
      </c>
      <c r="S157" s="212">
        <v>1.0</v>
      </c>
      <c r="T157" s="213">
        <v>1.0</v>
      </c>
      <c r="U157" s="214">
        <v>1.0</v>
      </c>
      <c r="V157" s="212">
        <v>1.0</v>
      </c>
      <c r="W157" s="213">
        <v>1.0</v>
      </c>
      <c r="X157" s="214">
        <v>1.0</v>
      </c>
      <c r="Y157" s="212">
        <v>1.0</v>
      </c>
      <c r="Z157" s="213">
        <v>1.0</v>
      </c>
      <c r="AA157" s="214">
        <v>1.0</v>
      </c>
      <c r="AB157" s="212">
        <v>1.0</v>
      </c>
      <c r="AC157" s="213">
        <v>1.0</v>
      </c>
      <c r="AD157" s="214">
        <v>1.0</v>
      </c>
      <c r="AE157" s="212">
        <v>1.0</v>
      </c>
      <c r="AF157" s="213">
        <v>1.0</v>
      </c>
      <c r="AG157" s="214">
        <v>1.0</v>
      </c>
      <c r="AH157" s="212">
        <v>1.0</v>
      </c>
      <c r="AI157" s="213">
        <v>1.0</v>
      </c>
      <c r="AJ157" s="214">
        <v>1.0</v>
      </c>
      <c r="AK157" s="212">
        <v>1.0</v>
      </c>
      <c r="AL157" s="213">
        <v>1.0</v>
      </c>
      <c r="AM157" s="214">
        <v>1.0</v>
      </c>
      <c r="AN157" s="212">
        <v>1.0</v>
      </c>
      <c r="AO157" s="213">
        <v>1.0</v>
      </c>
      <c r="AP157" s="214">
        <v>1.0</v>
      </c>
      <c r="AQ157" s="212">
        <v>1.0</v>
      </c>
      <c r="AR157" s="213">
        <v>1.0</v>
      </c>
      <c r="AS157" s="214">
        <v>1.0</v>
      </c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</row>
    <row r="158" ht="12.0" customHeight="1">
      <c r="A158" s="8"/>
      <c r="B158" s="8"/>
      <c r="C158" s="37" t="str">
        <f>Macro!B96</f>
        <v>API Engineer</v>
      </c>
      <c r="D158" s="212">
        <v>0.0</v>
      </c>
      <c r="E158" s="213">
        <v>0.0</v>
      </c>
      <c r="F158" s="213">
        <v>0.0</v>
      </c>
      <c r="G158" s="212">
        <v>0.0</v>
      </c>
      <c r="H158" s="213">
        <v>0.0</v>
      </c>
      <c r="I158" s="214">
        <v>0.0</v>
      </c>
      <c r="J158" s="212">
        <v>0.0</v>
      </c>
      <c r="K158" s="213">
        <v>0.0</v>
      </c>
      <c r="L158" s="214">
        <v>1.0</v>
      </c>
      <c r="M158" s="212">
        <v>1.0</v>
      </c>
      <c r="N158" s="213">
        <v>1.0</v>
      </c>
      <c r="O158" s="214">
        <v>1.0</v>
      </c>
      <c r="P158" s="212">
        <v>1.0</v>
      </c>
      <c r="Q158" s="213">
        <v>1.0</v>
      </c>
      <c r="R158" s="214">
        <v>1.0</v>
      </c>
      <c r="S158" s="212">
        <v>1.0</v>
      </c>
      <c r="T158" s="213">
        <v>1.0</v>
      </c>
      <c r="U158" s="214">
        <v>1.0</v>
      </c>
      <c r="V158" s="212">
        <v>1.0</v>
      </c>
      <c r="W158" s="213">
        <v>1.0</v>
      </c>
      <c r="X158" s="214">
        <v>1.0</v>
      </c>
      <c r="Y158" s="212">
        <v>1.0</v>
      </c>
      <c r="Z158" s="213">
        <v>1.0</v>
      </c>
      <c r="AA158" s="214">
        <v>1.0</v>
      </c>
      <c r="AB158" s="212">
        <v>1.0</v>
      </c>
      <c r="AC158" s="213">
        <v>1.0</v>
      </c>
      <c r="AD158" s="214">
        <v>1.0</v>
      </c>
      <c r="AE158" s="212">
        <v>1.0</v>
      </c>
      <c r="AF158" s="213">
        <v>1.0</v>
      </c>
      <c r="AG158" s="214">
        <v>1.0</v>
      </c>
      <c r="AH158" s="212">
        <v>1.0</v>
      </c>
      <c r="AI158" s="213">
        <v>1.0</v>
      </c>
      <c r="AJ158" s="214">
        <v>1.0</v>
      </c>
      <c r="AK158" s="212">
        <v>1.0</v>
      </c>
      <c r="AL158" s="213">
        <v>1.0</v>
      </c>
      <c r="AM158" s="214">
        <v>1.0</v>
      </c>
      <c r="AN158" s="212">
        <v>1.0</v>
      </c>
      <c r="AO158" s="213">
        <v>1.0</v>
      </c>
      <c r="AP158" s="214">
        <v>1.0</v>
      </c>
      <c r="AQ158" s="212">
        <v>1.0</v>
      </c>
      <c r="AR158" s="213">
        <v>1.0</v>
      </c>
      <c r="AS158" s="214">
        <v>1.0</v>
      </c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</row>
    <row r="159" ht="12.0" customHeight="1">
      <c r="A159" s="8"/>
      <c r="B159" s="8"/>
      <c r="C159" s="37" t="str">
        <f>Macro!B97</f>
        <v>Jr. API Egineer</v>
      </c>
      <c r="D159" s="212">
        <v>0.0</v>
      </c>
      <c r="E159" s="213">
        <v>0.0</v>
      </c>
      <c r="F159" s="213">
        <v>0.0</v>
      </c>
      <c r="G159" s="212">
        <v>0.0</v>
      </c>
      <c r="H159" s="213">
        <v>0.0</v>
      </c>
      <c r="I159" s="214">
        <v>0.0</v>
      </c>
      <c r="J159" s="212">
        <v>0.0</v>
      </c>
      <c r="K159" s="213">
        <v>0.0</v>
      </c>
      <c r="L159" s="214">
        <v>1.0</v>
      </c>
      <c r="M159" s="212">
        <v>1.0</v>
      </c>
      <c r="N159" s="213">
        <v>1.0</v>
      </c>
      <c r="O159" s="214">
        <v>1.0</v>
      </c>
      <c r="P159" s="212">
        <v>1.0</v>
      </c>
      <c r="Q159" s="213">
        <v>1.0</v>
      </c>
      <c r="R159" s="214">
        <v>1.0</v>
      </c>
      <c r="S159" s="212">
        <v>1.0</v>
      </c>
      <c r="T159" s="213">
        <v>1.0</v>
      </c>
      <c r="U159" s="214">
        <v>1.0</v>
      </c>
      <c r="V159" s="212">
        <v>1.0</v>
      </c>
      <c r="W159" s="213">
        <v>1.0</v>
      </c>
      <c r="X159" s="214">
        <v>1.0</v>
      </c>
      <c r="Y159" s="212">
        <v>1.0</v>
      </c>
      <c r="Z159" s="213">
        <v>1.0</v>
      </c>
      <c r="AA159" s="214">
        <v>1.0</v>
      </c>
      <c r="AB159" s="212">
        <v>1.0</v>
      </c>
      <c r="AC159" s="213">
        <v>1.0</v>
      </c>
      <c r="AD159" s="214">
        <v>1.0</v>
      </c>
      <c r="AE159" s="212">
        <v>1.0</v>
      </c>
      <c r="AF159" s="213">
        <v>1.0</v>
      </c>
      <c r="AG159" s="214">
        <v>1.0</v>
      </c>
      <c r="AH159" s="212">
        <v>1.0</v>
      </c>
      <c r="AI159" s="213">
        <v>1.0</v>
      </c>
      <c r="AJ159" s="214">
        <v>1.0</v>
      </c>
      <c r="AK159" s="212">
        <v>1.0</v>
      </c>
      <c r="AL159" s="213">
        <v>1.0</v>
      </c>
      <c r="AM159" s="214">
        <v>1.0</v>
      </c>
      <c r="AN159" s="212">
        <v>1.0</v>
      </c>
      <c r="AO159" s="213">
        <v>1.0</v>
      </c>
      <c r="AP159" s="214">
        <v>1.0</v>
      </c>
      <c r="AQ159" s="212">
        <v>1.0</v>
      </c>
      <c r="AR159" s="213">
        <v>1.0</v>
      </c>
      <c r="AS159" s="214">
        <v>1.0</v>
      </c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</row>
    <row r="160" ht="12.0" customHeight="1">
      <c r="A160" s="8"/>
      <c r="B160" s="8"/>
      <c r="C160" s="37" t="str">
        <f>Macro!B98</f>
        <v>QA Engineer</v>
      </c>
      <c r="D160" s="212">
        <v>0.0</v>
      </c>
      <c r="E160" s="213">
        <v>0.0</v>
      </c>
      <c r="F160" s="213">
        <v>0.0</v>
      </c>
      <c r="G160" s="212">
        <v>0.0</v>
      </c>
      <c r="H160" s="213">
        <v>0.0</v>
      </c>
      <c r="I160" s="214">
        <v>0.0</v>
      </c>
      <c r="J160" s="212">
        <v>0.0</v>
      </c>
      <c r="K160" s="213">
        <v>0.0</v>
      </c>
      <c r="L160" s="214">
        <v>1.0</v>
      </c>
      <c r="M160" s="212">
        <v>1.0</v>
      </c>
      <c r="N160" s="213">
        <v>1.0</v>
      </c>
      <c r="O160" s="214">
        <v>1.0</v>
      </c>
      <c r="P160" s="212">
        <v>1.0</v>
      </c>
      <c r="Q160" s="213">
        <v>1.0</v>
      </c>
      <c r="R160" s="214">
        <v>1.0</v>
      </c>
      <c r="S160" s="212">
        <v>1.0</v>
      </c>
      <c r="T160" s="213">
        <v>1.0</v>
      </c>
      <c r="U160" s="214">
        <v>1.0</v>
      </c>
      <c r="V160" s="212">
        <v>1.0</v>
      </c>
      <c r="W160" s="213">
        <v>1.0</v>
      </c>
      <c r="X160" s="214">
        <v>1.0</v>
      </c>
      <c r="Y160" s="212">
        <v>1.0</v>
      </c>
      <c r="Z160" s="213">
        <v>1.0</v>
      </c>
      <c r="AA160" s="214">
        <v>1.0</v>
      </c>
      <c r="AB160" s="212">
        <v>1.0</v>
      </c>
      <c r="AC160" s="213">
        <v>1.0</v>
      </c>
      <c r="AD160" s="214">
        <v>1.0</v>
      </c>
      <c r="AE160" s="212">
        <v>1.0</v>
      </c>
      <c r="AF160" s="213">
        <v>1.0</v>
      </c>
      <c r="AG160" s="214">
        <v>1.0</v>
      </c>
      <c r="AH160" s="212">
        <v>1.0</v>
      </c>
      <c r="AI160" s="213">
        <v>1.0</v>
      </c>
      <c r="AJ160" s="214">
        <v>1.0</v>
      </c>
      <c r="AK160" s="212">
        <v>1.0</v>
      </c>
      <c r="AL160" s="213">
        <v>1.0</v>
      </c>
      <c r="AM160" s="214">
        <v>1.0</v>
      </c>
      <c r="AN160" s="212">
        <v>1.0</v>
      </c>
      <c r="AO160" s="213">
        <v>1.0</v>
      </c>
      <c r="AP160" s="214">
        <v>1.0</v>
      </c>
      <c r="AQ160" s="212">
        <v>1.0</v>
      </c>
      <c r="AR160" s="213">
        <v>1.0</v>
      </c>
      <c r="AS160" s="214">
        <v>1.0</v>
      </c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</row>
    <row r="161" ht="12.0" customHeight="1">
      <c r="A161" s="8"/>
      <c r="B161" s="8"/>
      <c r="C161" s="37" t="str">
        <f>Macro!B99</f>
        <v>Jr. QA engineer</v>
      </c>
      <c r="D161" s="212">
        <v>0.0</v>
      </c>
      <c r="E161" s="213">
        <v>0.0</v>
      </c>
      <c r="F161" s="213">
        <v>0.0</v>
      </c>
      <c r="G161" s="212">
        <v>0.0</v>
      </c>
      <c r="H161" s="213">
        <v>0.0</v>
      </c>
      <c r="I161" s="214">
        <v>0.0</v>
      </c>
      <c r="J161" s="212">
        <v>0.0</v>
      </c>
      <c r="K161" s="213">
        <v>0.0</v>
      </c>
      <c r="L161" s="214">
        <v>1.0</v>
      </c>
      <c r="M161" s="212">
        <v>1.0</v>
      </c>
      <c r="N161" s="213">
        <v>1.0</v>
      </c>
      <c r="O161" s="214">
        <v>1.0</v>
      </c>
      <c r="P161" s="212">
        <v>1.0</v>
      </c>
      <c r="Q161" s="213">
        <v>1.0</v>
      </c>
      <c r="R161" s="214">
        <v>1.0</v>
      </c>
      <c r="S161" s="212">
        <v>1.0</v>
      </c>
      <c r="T161" s="213">
        <v>1.0</v>
      </c>
      <c r="U161" s="214">
        <v>1.0</v>
      </c>
      <c r="V161" s="212">
        <v>1.0</v>
      </c>
      <c r="W161" s="213">
        <v>1.0</v>
      </c>
      <c r="X161" s="214">
        <v>1.0</v>
      </c>
      <c r="Y161" s="212">
        <v>1.0</v>
      </c>
      <c r="Z161" s="213">
        <v>1.0</v>
      </c>
      <c r="AA161" s="214">
        <v>1.0</v>
      </c>
      <c r="AB161" s="212">
        <v>1.0</v>
      </c>
      <c r="AC161" s="213">
        <v>1.0</v>
      </c>
      <c r="AD161" s="214">
        <v>1.0</v>
      </c>
      <c r="AE161" s="212">
        <v>1.0</v>
      </c>
      <c r="AF161" s="213">
        <v>1.0</v>
      </c>
      <c r="AG161" s="214">
        <v>1.0</v>
      </c>
      <c r="AH161" s="212">
        <v>1.0</v>
      </c>
      <c r="AI161" s="213">
        <v>1.0</v>
      </c>
      <c r="AJ161" s="214">
        <v>1.0</v>
      </c>
      <c r="AK161" s="212">
        <v>1.0</v>
      </c>
      <c r="AL161" s="213">
        <v>1.0</v>
      </c>
      <c r="AM161" s="214">
        <v>1.0</v>
      </c>
      <c r="AN161" s="212">
        <v>1.0</v>
      </c>
      <c r="AO161" s="213">
        <v>1.0</v>
      </c>
      <c r="AP161" s="214">
        <v>1.0</v>
      </c>
      <c r="AQ161" s="212">
        <v>1.0</v>
      </c>
      <c r="AR161" s="213">
        <v>1.0</v>
      </c>
      <c r="AS161" s="214">
        <v>1.0</v>
      </c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</row>
    <row r="162" ht="12.0" customHeight="1">
      <c r="A162" s="8"/>
      <c r="B162" s="8"/>
      <c r="C162" s="37" t="str">
        <f>Macro!B100</f>
        <v>IAM Lead</v>
      </c>
      <c r="D162" s="212">
        <v>0.0</v>
      </c>
      <c r="E162" s="213">
        <v>0.0</v>
      </c>
      <c r="F162" s="213">
        <v>0.0</v>
      </c>
      <c r="G162" s="212">
        <v>0.0</v>
      </c>
      <c r="H162" s="213">
        <v>0.0</v>
      </c>
      <c r="I162" s="214">
        <v>0.0</v>
      </c>
      <c r="J162" s="212">
        <v>0.0</v>
      </c>
      <c r="K162" s="213">
        <v>0.0</v>
      </c>
      <c r="L162" s="214">
        <v>0.0</v>
      </c>
      <c r="M162" s="212">
        <v>1.0</v>
      </c>
      <c r="N162" s="213">
        <v>1.0</v>
      </c>
      <c r="O162" s="214">
        <v>1.0</v>
      </c>
      <c r="P162" s="212">
        <v>1.0</v>
      </c>
      <c r="Q162" s="213">
        <v>1.0</v>
      </c>
      <c r="R162" s="214">
        <v>1.0</v>
      </c>
      <c r="S162" s="212">
        <v>1.0</v>
      </c>
      <c r="T162" s="213">
        <v>1.0</v>
      </c>
      <c r="U162" s="214">
        <v>1.0</v>
      </c>
      <c r="V162" s="212">
        <v>1.0</v>
      </c>
      <c r="W162" s="213">
        <v>1.0</v>
      </c>
      <c r="X162" s="214">
        <v>1.0</v>
      </c>
      <c r="Y162" s="212">
        <v>1.0</v>
      </c>
      <c r="Z162" s="213">
        <v>1.0</v>
      </c>
      <c r="AA162" s="214">
        <v>1.0</v>
      </c>
      <c r="AB162" s="212">
        <v>1.0</v>
      </c>
      <c r="AC162" s="213">
        <v>1.0</v>
      </c>
      <c r="AD162" s="214">
        <v>1.0</v>
      </c>
      <c r="AE162" s="212">
        <v>1.0</v>
      </c>
      <c r="AF162" s="213">
        <v>1.0</v>
      </c>
      <c r="AG162" s="214">
        <v>1.0</v>
      </c>
      <c r="AH162" s="212">
        <v>1.0</v>
      </c>
      <c r="AI162" s="213">
        <v>1.0</v>
      </c>
      <c r="AJ162" s="214">
        <v>1.0</v>
      </c>
      <c r="AK162" s="212">
        <v>1.0</v>
      </c>
      <c r="AL162" s="213">
        <v>1.0</v>
      </c>
      <c r="AM162" s="214">
        <v>1.0</v>
      </c>
      <c r="AN162" s="212">
        <v>1.0</v>
      </c>
      <c r="AO162" s="213">
        <v>1.0</v>
      </c>
      <c r="AP162" s="214">
        <v>1.0</v>
      </c>
      <c r="AQ162" s="212">
        <v>1.0</v>
      </c>
      <c r="AR162" s="213">
        <v>1.0</v>
      </c>
      <c r="AS162" s="214">
        <v>1.0</v>
      </c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</row>
    <row r="163" ht="12.0" customHeight="1">
      <c r="A163" s="8"/>
      <c r="B163" s="8"/>
      <c r="C163" s="37" t="str">
        <f>Macro!B101</f>
        <v>Platform/Agent Lead</v>
      </c>
      <c r="D163" s="212">
        <v>1.0</v>
      </c>
      <c r="E163" s="213">
        <v>1.0</v>
      </c>
      <c r="F163" s="213">
        <v>1.0</v>
      </c>
      <c r="G163" s="212">
        <v>1.0</v>
      </c>
      <c r="H163" s="213">
        <v>1.0</v>
      </c>
      <c r="I163" s="214">
        <v>1.0</v>
      </c>
      <c r="J163" s="212">
        <v>1.0</v>
      </c>
      <c r="K163" s="213">
        <v>1.0</v>
      </c>
      <c r="L163" s="214">
        <v>1.0</v>
      </c>
      <c r="M163" s="212">
        <v>1.0</v>
      </c>
      <c r="N163" s="213">
        <v>1.0</v>
      </c>
      <c r="O163" s="214">
        <v>1.0</v>
      </c>
      <c r="P163" s="212">
        <v>1.0</v>
      </c>
      <c r="Q163" s="213">
        <v>1.0</v>
      </c>
      <c r="R163" s="214">
        <v>1.0</v>
      </c>
      <c r="S163" s="212">
        <v>1.0</v>
      </c>
      <c r="T163" s="213">
        <v>1.0</v>
      </c>
      <c r="U163" s="214">
        <v>1.0</v>
      </c>
      <c r="V163" s="212">
        <v>1.0</v>
      </c>
      <c r="W163" s="213">
        <v>1.0</v>
      </c>
      <c r="X163" s="214">
        <v>1.0</v>
      </c>
      <c r="Y163" s="212">
        <v>1.0</v>
      </c>
      <c r="Z163" s="213">
        <v>1.0</v>
      </c>
      <c r="AA163" s="214">
        <v>1.0</v>
      </c>
      <c r="AB163" s="212">
        <v>1.0</v>
      </c>
      <c r="AC163" s="213">
        <v>1.0</v>
      </c>
      <c r="AD163" s="214">
        <v>1.0</v>
      </c>
      <c r="AE163" s="212">
        <v>1.0</v>
      </c>
      <c r="AF163" s="213">
        <v>1.0</v>
      </c>
      <c r="AG163" s="214">
        <v>1.0</v>
      </c>
      <c r="AH163" s="212">
        <v>1.0</v>
      </c>
      <c r="AI163" s="213">
        <v>1.0</v>
      </c>
      <c r="AJ163" s="214">
        <v>1.0</v>
      </c>
      <c r="AK163" s="212">
        <v>1.0</v>
      </c>
      <c r="AL163" s="213">
        <v>1.0</v>
      </c>
      <c r="AM163" s="214">
        <v>1.0</v>
      </c>
      <c r="AN163" s="212">
        <v>1.0</v>
      </c>
      <c r="AO163" s="213">
        <v>1.0</v>
      </c>
      <c r="AP163" s="214">
        <v>1.0</v>
      </c>
      <c r="AQ163" s="212">
        <v>1.0</v>
      </c>
      <c r="AR163" s="213">
        <v>1.0</v>
      </c>
      <c r="AS163" s="214">
        <v>1.0</v>
      </c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</row>
    <row r="164" ht="12.0" customHeight="1">
      <c r="A164" s="8"/>
      <c r="B164" s="8"/>
      <c r="C164" s="37" t="str">
        <f>Macro!B102</f>
        <v>Security Engineer</v>
      </c>
      <c r="D164" s="212">
        <v>0.0</v>
      </c>
      <c r="E164" s="213">
        <v>0.0</v>
      </c>
      <c r="F164" s="213">
        <v>0.0</v>
      </c>
      <c r="G164" s="212">
        <v>0.0</v>
      </c>
      <c r="H164" s="213">
        <v>0.0</v>
      </c>
      <c r="I164" s="214">
        <v>0.0</v>
      </c>
      <c r="J164" s="212">
        <v>0.0</v>
      </c>
      <c r="K164" s="213">
        <v>0.0</v>
      </c>
      <c r="L164" s="214">
        <v>1.0</v>
      </c>
      <c r="M164" s="212">
        <v>1.0</v>
      </c>
      <c r="N164" s="213">
        <v>1.0</v>
      </c>
      <c r="O164" s="214">
        <v>1.0</v>
      </c>
      <c r="P164" s="212">
        <v>1.0</v>
      </c>
      <c r="Q164" s="213">
        <v>1.0</v>
      </c>
      <c r="R164" s="214">
        <v>1.0</v>
      </c>
      <c r="S164" s="212">
        <v>1.0</v>
      </c>
      <c r="T164" s="213">
        <v>1.0</v>
      </c>
      <c r="U164" s="214">
        <v>1.0</v>
      </c>
      <c r="V164" s="212">
        <v>1.0</v>
      </c>
      <c r="W164" s="213">
        <v>1.0</v>
      </c>
      <c r="X164" s="214">
        <v>1.0</v>
      </c>
      <c r="Y164" s="212">
        <v>1.0</v>
      </c>
      <c r="Z164" s="213">
        <v>1.0</v>
      </c>
      <c r="AA164" s="214">
        <v>1.0</v>
      </c>
      <c r="AB164" s="212">
        <v>1.0</v>
      </c>
      <c r="AC164" s="213">
        <v>1.0</v>
      </c>
      <c r="AD164" s="214">
        <v>1.0</v>
      </c>
      <c r="AE164" s="212">
        <v>1.0</v>
      </c>
      <c r="AF164" s="213">
        <v>1.0</v>
      </c>
      <c r="AG164" s="214">
        <v>1.0</v>
      </c>
      <c r="AH164" s="212">
        <v>1.0</v>
      </c>
      <c r="AI164" s="213">
        <v>1.0</v>
      </c>
      <c r="AJ164" s="214">
        <v>1.0</v>
      </c>
      <c r="AK164" s="212">
        <v>1.0</v>
      </c>
      <c r="AL164" s="213">
        <v>1.0</v>
      </c>
      <c r="AM164" s="214">
        <v>1.0</v>
      </c>
      <c r="AN164" s="212">
        <v>1.0</v>
      </c>
      <c r="AO164" s="213">
        <v>1.0</v>
      </c>
      <c r="AP164" s="214">
        <v>1.0</v>
      </c>
      <c r="AQ164" s="212">
        <v>1.0</v>
      </c>
      <c r="AR164" s="213">
        <v>1.0</v>
      </c>
      <c r="AS164" s="214">
        <v>1.0</v>
      </c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</row>
    <row r="165" ht="12.0" customHeight="1">
      <c r="A165" s="8"/>
      <c r="B165" s="8"/>
      <c r="C165" s="37" t="str">
        <f>Macro!B103</f>
        <v>Engr Manager</v>
      </c>
      <c r="D165" s="212">
        <v>0.0</v>
      </c>
      <c r="E165" s="213">
        <v>0.0</v>
      </c>
      <c r="F165" s="213">
        <v>0.0</v>
      </c>
      <c r="G165" s="212">
        <v>0.0</v>
      </c>
      <c r="H165" s="213">
        <v>0.0</v>
      </c>
      <c r="I165" s="214">
        <v>0.0</v>
      </c>
      <c r="J165" s="212">
        <v>0.0</v>
      </c>
      <c r="K165" s="213">
        <v>0.0</v>
      </c>
      <c r="L165" s="214">
        <v>0.0</v>
      </c>
      <c r="M165" s="212">
        <v>0.0</v>
      </c>
      <c r="N165" s="213">
        <v>0.0</v>
      </c>
      <c r="O165" s="214">
        <v>0.0</v>
      </c>
      <c r="P165" s="212">
        <v>0.0</v>
      </c>
      <c r="Q165" s="213">
        <v>0.0</v>
      </c>
      <c r="R165" s="214">
        <v>1.0</v>
      </c>
      <c r="S165" s="212">
        <v>1.0</v>
      </c>
      <c r="T165" s="213">
        <v>1.0</v>
      </c>
      <c r="U165" s="214">
        <v>1.0</v>
      </c>
      <c r="V165" s="212">
        <v>1.0</v>
      </c>
      <c r="W165" s="213">
        <v>1.0</v>
      </c>
      <c r="X165" s="214">
        <v>1.0</v>
      </c>
      <c r="Y165" s="212">
        <v>1.0</v>
      </c>
      <c r="Z165" s="213">
        <v>1.0</v>
      </c>
      <c r="AA165" s="214">
        <v>1.0</v>
      </c>
      <c r="AB165" s="212">
        <v>1.0</v>
      </c>
      <c r="AC165" s="213">
        <v>1.0</v>
      </c>
      <c r="AD165" s="214">
        <v>1.0</v>
      </c>
      <c r="AE165" s="212">
        <v>1.0</v>
      </c>
      <c r="AF165" s="213">
        <v>1.0</v>
      </c>
      <c r="AG165" s="214">
        <v>1.0</v>
      </c>
      <c r="AH165" s="212">
        <v>1.0</v>
      </c>
      <c r="AI165" s="213">
        <v>1.0</v>
      </c>
      <c r="AJ165" s="214">
        <v>1.0</v>
      </c>
      <c r="AK165" s="212">
        <v>1.0</v>
      </c>
      <c r="AL165" s="213">
        <v>1.0</v>
      </c>
      <c r="AM165" s="214">
        <v>1.0</v>
      </c>
      <c r="AN165" s="212">
        <v>1.0</v>
      </c>
      <c r="AO165" s="213">
        <v>1.0</v>
      </c>
      <c r="AP165" s="214">
        <v>1.0</v>
      </c>
      <c r="AQ165" s="212">
        <v>1.0</v>
      </c>
      <c r="AR165" s="213">
        <v>1.0</v>
      </c>
      <c r="AS165" s="214">
        <v>1.0</v>
      </c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</row>
    <row r="166" ht="12.0" customHeight="1">
      <c r="A166" s="8"/>
      <c r="B166" s="8"/>
      <c r="C166" s="37" t="str">
        <f>Macro!B104</f>
        <v>[XX]</v>
      </c>
      <c r="D166" s="218"/>
      <c r="E166" s="219"/>
      <c r="F166" s="219"/>
      <c r="G166" s="218"/>
      <c r="H166" s="219"/>
      <c r="I166" s="220"/>
      <c r="J166" s="218"/>
      <c r="K166" s="219"/>
      <c r="L166" s="220"/>
      <c r="M166" s="218"/>
      <c r="N166" s="219"/>
      <c r="O166" s="220"/>
      <c r="P166" s="218"/>
      <c r="Q166" s="219"/>
      <c r="R166" s="220"/>
      <c r="S166" s="218"/>
      <c r="T166" s="219"/>
      <c r="U166" s="220"/>
      <c r="V166" s="218"/>
      <c r="W166" s="219"/>
      <c r="X166" s="220"/>
      <c r="Y166" s="218"/>
      <c r="Z166" s="219"/>
      <c r="AA166" s="220"/>
      <c r="AB166" s="218"/>
      <c r="AC166" s="219"/>
      <c r="AD166" s="220"/>
      <c r="AE166" s="218"/>
      <c r="AF166" s="219"/>
      <c r="AG166" s="220"/>
      <c r="AH166" s="218"/>
      <c r="AI166" s="219"/>
      <c r="AJ166" s="220"/>
      <c r="AK166" s="218"/>
      <c r="AL166" s="219"/>
      <c r="AM166" s="220"/>
      <c r="AN166" s="218"/>
      <c r="AO166" s="219"/>
      <c r="AP166" s="220"/>
      <c r="AQ166" s="218"/>
      <c r="AR166" s="219"/>
      <c r="AS166" s="220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</row>
    <row r="167" ht="12.0" customHeight="1">
      <c r="A167" s="8"/>
      <c r="B167" s="8"/>
      <c r="C167" s="37" t="str">
        <f>Macro!B105</f>
        <v>[XX]</v>
      </c>
      <c r="D167" s="218"/>
      <c r="E167" s="219"/>
      <c r="F167" s="219"/>
      <c r="G167" s="218"/>
      <c r="H167" s="219"/>
      <c r="I167" s="220"/>
      <c r="J167" s="218"/>
      <c r="K167" s="219"/>
      <c r="L167" s="220"/>
      <c r="M167" s="218"/>
      <c r="N167" s="219"/>
      <c r="O167" s="220"/>
      <c r="P167" s="218"/>
      <c r="Q167" s="219"/>
      <c r="R167" s="220"/>
      <c r="S167" s="218"/>
      <c r="T167" s="219"/>
      <c r="U167" s="220"/>
      <c r="V167" s="218"/>
      <c r="W167" s="219"/>
      <c r="X167" s="220"/>
      <c r="Y167" s="218"/>
      <c r="Z167" s="219"/>
      <c r="AA167" s="220"/>
      <c r="AB167" s="218"/>
      <c r="AC167" s="219"/>
      <c r="AD167" s="220"/>
      <c r="AE167" s="218"/>
      <c r="AF167" s="219"/>
      <c r="AG167" s="220"/>
      <c r="AH167" s="218"/>
      <c r="AI167" s="219"/>
      <c r="AJ167" s="220"/>
      <c r="AK167" s="218"/>
      <c r="AL167" s="219"/>
      <c r="AM167" s="220"/>
      <c r="AN167" s="218"/>
      <c r="AO167" s="219"/>
      <c r="AP167" s="220"/>
      <c r="AQ167" s="218"/>
      <c r="AR167" s="219"/>
      <c r="AS167" s="220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</row>
    <row r="168" ht="12.0" customHeight="1">
      <c r="A168" s="8"/>
      <c r="B168" s="8"/>
      <c r="C168" s="37" t="str">
        <f>Macro!B106</f>
        <v>[XX]</v>
      </c>
      <c r="D168" s="218"/>
      <c r="E168" s="219"/>
      <c r="F168" s="219"/>
      <c r="G168" s="218"/>
      <c r="H168" s="219"/>
      <c r="I168" s="220"/>
      <c r="J168" s="218"/>
      <c r="K168" s="219"/>
      <c r="L168" s="220"/>
      <c r="M168" s="218"/>
      <c r="N168" s="219"/>
      <c r="O168" s="220"/>
      <c r="P168" s="218"/>
      <c r="Q168" s="219"/>
      <c r="R168" s="220"/>
      <c r="S168" s="218"/>
      <c r="T168" s="219"/>
      <c r="U168" s="220"/>
      <c r="V168" s="218"/>
      <c r="W168" s="219"/>
      <c r="X168" s="220"/>
      <c r="Y168" s="218"/>
      <c r="Z168" s="219"/>
      <c r="AA168" s="220"/>
      <c r="AB168" s="218"/>
      <c r="AC168" s="219"/>
      <c r="AD168" s="220"/>
      <c r="AE168" s="218"/>
      <c r="AF168" s="219"/>
      <c r="AG168" s="220"/>
      <c r="AH168" s="218"/>
      <c r="AI168" s="219"/>
      <c r="AJ168" s="220"/>
      <c r="AK168" s="218"/>
      <c r="AL168" s="219"/>
      <c r="AM168" s="220"/>
      <c r="AN168" s="218"/>
      <c r="AO168" s="219"/>
      <c r="AP168" s="220"/>
      <c r="AQ168" s="218"/>
      <c r="AR168" s="219"/>
      <c r="AS168" s="220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</row>
    <row r="169" ht="12.0" customHeight="1">
      <c r="A169" s="8"/>
      <c r="B169" s="8"/>
      <c r="C169" s="37" t="str">
        <f>Macro!B107</f>
        <v>[XX]</v>
      </c>
      <c r="D169" s="218"/>
      <c r="E169" s="219"/>
      <c r="F169" s="219"/>
      <c r="G169" s="218"/>
      <c r="H169" s="219"/>
      <c r="I169" s="220"/>
      <c r="J169" s="218"/>
      <c r="K169" s="219"/>
      <c r="L169" s="220"/>
      <c r="M169" s="218"/>
      <c r="N169" s="219"/>
      <c r="O169" s="220"/>
      <c r="P169" s="218"/>
      <c r="Q169" s="219"/>
      <c r="R169" s="220"/>
      <c r="S169" s="218"/>
      <c r="T169" s="219"/>
      <c r="U169" s="220"/>
      <c r="V169" s="218"/>
      <c r="W169" s="219"/>
      <c r="X169" s="220"/>
      <c r="Y169" s="218"/>
      <c r="Z169" s="219"/>
      <c r="AA169" s="220"/>
      <c r="AB169" s="218"/>
      <c r="AC169" s="219"/>
      <c r="AD169" s="220"/>
      <c r="AE169" s="218"/>
      <c r="AF169" s="219"/>
      <c r="AG169" s="220"/>
      <c r="AH169" s="218"/>
      <c r="AI169" s="219"/>
      <c r="AJ169" s="220"/>
      <c r="AK169" s="218"/>
      <c r="AL169" s="219"/>
      <c r="AM169" s="220"/>
      <c r="AN169" s="218"/>
      <c r="AO169" s="219"/>
      <c r="AP169" s="220"/>
      <c r="AQ169" s="218"/>
      <c r="AR169" s="219"/>
      <c r="AS169" s="220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</row>
    <row r="170" ht="12.0" customHeight="1">
      <c r="A170" s="8"/>
      <c r="B170" s="8"/>
      <c r="C170" s="37" t="str">
        <f>Macro!B108</f>
        <v>[XX]</v>
      </c>
      <c r="D170" s="218"/>
      <c r="E170" s="219"/>
      <c r="F170" s="219"/>
      <c r="G170" s="218"/>
      <c r="H170" s="219"/>
      <c r="I170" s="220"/>
      <c r="J170" s="218"/>
      <c r="K170" s="219"/>
      <c r="L170" s="220"/>
      <c r="M170" s="218"/>
      <c r="N170" s="219"/>
      <c r="O170" s="220"/>
      <c r="P170" s="218"/>
      <c r="Q170" s="219"/>
      <c r="R170" s="220"/>
      <c r="S170" s="218"/>
      <c r="T170" s="219"/>
      <c r="U170" s="220"/>
      <c r="V170" s="218"/>
      <c r="W170" s="219"/>
      <c r="X170" s="220"/>
      <c r="Y170" s="218"/>
      <c r="Z170" s="219"/>
      <c r="AA170" s="220"/>
      <c r="AB170" s="218"/>
      <c r="AC170" s="219"/>
      <c r="AD170" s="220"/>
      <c r="AE170" s="218"/>
      <c r="AF170" s="219"/>
      <c r="AG170" s="220"/>
      <c r="AH170" s="218"/>
      <c r="AI170" s="219"/>
      <c r="AJ170" s="220"/>
      <c r="AK170" s="218"/>
      <c r="AL170" s="219"/>
      <c r="AM170" s="220"/>
      <c r="AN170" s="218"/>
      <c r="AO170" s="219"/>
      <c r="AP170" s="220"/>
      <c r="AQ170" s="218"/>
      <c r="AR170" s="219"/>
      <c r="AS170" s="220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</row>
    <row r="171" ht="12.0" customHeight="1">
      <c r="A171" s="8"/>
      <c r="B171" s="8"/>
      <c r="C171" s="277" t="str">
        <f>Macro!B109</f>
        <v>[XX]</v>
      </c>
      <c r="D171" s="215">
        <v>0.0</v>
      </c>
      <c r="E171" s="216">
        <v>0.0</v>
      </c>
      <c r="F171" s="216">
        <v>0.0</v>
      </c>
      <c r="G171" s="215">
        <v>0.0</v>
      </c>
      <c r="H171" s="216">
        <v>0.0</v>
      </c>
      <c r="I171" s="217">
        <v>0.0</v>
      </c>
      <c r="J171" s="215">
        <v>0.0</v>
      </c>
      <c r="K171" s="216">
        <v>0.0</v>
      </c>
      <c r="L171" s="217">
        <v>0.0</v>
      </c>
      <c r="M171" s="215">
        <v>0.0</v>
      </c>
      <c r="N171" s="216">
        <v>0.0</v>
      </c>
      <c r="O171" s="217">
        <v>0.0</v>
      </c>
      <c r="P171" s="215">
        <v>0.0</v>
      </c>
      <c r="Q171" s="216">
        <v>0.0</v>
      </c>
      <c r="R171" s="217">
        <v>0.0</v>
      </c>
      <c r="S171" s="215">
        <v>0.0</v>
      </c>
      <c r="T171" s="216">
        <v>0.0</v>
      </c>
      <c r="U171" s="217">
        <v>0.0</v>
      </c>
      <c r="V171" s="215">
        <v>0.0</v>
      </c>
      <c r="W171" s="216">
        <v>0.0</v>
      </c>
      <c r="X171" s="217">
        <v>0.0</v>
      </c>
      <c r="Y171" s="215">
        <v>0.0</v>
      </c>
      <c r="Z171" s="216">
        <v>0.0</v>
      </c>
      <c r="AA171" s="217">
        <v>0.0</v>
      </c>
      <c r="AB171" s="215">
        <v>0.0</v>
      </c>
      <c r="AC171" s="216">
        <v>0.0</v>
      </c>
      <c r="AD171" s="217">
        <v>0.0</v>
      </c>
      <c r="AE171" s="215">
        <v>0.0</v>
      </c>
      <c r="AF171" s="216">
        <v>0.0</v>
      </c>
      <c r="AG171" s="217">
        <v>0.0</v>
      </c>
      <c r="AH171" s="215">
        <v>0.0</v>
      </c>
      <c r="AI171" s="216">
        <v>0.0</v>
      </c>
      <c r="AJ171" s="217">
        <v>0.0</v>
      </c>
      <c r="AK171" s="215">
        <v>0.0</v>
      </c>
      <c r="AL171" s="216">
        <v>0.0</v>
      </c>
      <c r="AM171" s="217">
        <v>0.0</v>
      </c>
      <c r="AN171" s="215">
        <v>0.0</v>
      </c>
      <c r="AO171" s="216">
        <v>0.0</v>
      </c>
      <c r="AP171" s="217">
        <v>0.0</v>
      </c>
      <c r="AQ171" s="215">
        <v>0.0</v>
      </c>
      <c r="AR171" s="216">
        <v>0.0</v>
      </c>
      <c r="AS171" s="217">
        <v>0.0</v>
      </c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</row>
    <row r="172" ht="12.0" customHeight="1">
      <c r="A172" s="8"/>
      <c r="B172" s="8"/>
      <c r="C172" s="270" t="s">
        <v>73</v>
      </c>
      <c r="D172" s="51">
        <f t="shared" ref="D172:AS172" si="92">SUM(D147:D171)</f>
        <v>10</v>
      </c>
      <c r="E172" s="52">
        <f t="shared" si="92"/>
        <v>10</v>
      </c>
      <c r="F172" s="52">
        <f t="shared" si="92"/>
        <v>10</v>
      </c>
      <c r="G172" s="51">
        <f t="shared" si="92"/>
        <v>10</v>
      </c>
      <c r="H172" s="52">
        <f t="shared" si="92"/>
        <v>10</v>
      </c>
      <c r="I172" s="53">
        <f t="shared" si="92"/>
        <v>10</v>
      </c>
      <c r="J172" s="51">
        <f t="shared" si="92"/>
        <v>10</v>
      </c>
      <c r="K172" s="52">
        <f t="shared" si="92"/>
        <v>10</v>
      </c>
      <c r="L172" s="53">
        <f t="shared" si="92"/>
        <v>15</v>
      </c>
      <c r="M172" s="51">
        <f t="shared" si="92"/>
        <v>16</v>
      </c>
      <c r="N172" s="52">
        <f t="shared" si="92"/>
        <v>16</v>
      </c>
      <c r="O172" s="53">
        <f t="shared" si="92"/>
        <v>17</v>
      </c>
      <c r="P172" s="51">
        <f t="shared" si="92"/>
        <v>17</v>
      </c>
      <c r="Q172" s="52">
        <f t="shared" si="92"/>
        <v>17</v>
      </c>
      <c r="R172" s="53">
        <f t="shared" si="92"/>
        <v>18</v>
      </c>
      <c r="S172" s="51">
        <f t="shared" si="92"/>
        <v>18</v>
      </c>
      <c r="T172" s="52">
        <f t="shared" si="92"/>
        <v>18</v>
      </c>
      <c r="U172" s="53">
        <f t="shared" si="92"/>
        <v>18</v>
      </c>
      <c r="V172" s="51">
        <f t="shared" si="92"/>
        <v>18</v>
      </c>
      <c r="W172" s="52">
        <f t="shared" si="92"/>
        <v>18</v>
      </c>
      <c r="X172" s="53">
        <f t="shared" si="92"/>
        <v>18</v>
      </c>
      <c r="Y172" s="51">
        <f t="shared" si="92"/>
        <v>18</v>
      </c>
      <c r="Z172" s="52">
        <f t="shared" si="92"/>
        <v>18</v>
      </c>
      <c r="AA172" s="53">
        <f t="shared" si="92"/>
        <v>18</v>
      </c>
      <c r="AB172" s="51">
        <f t="shared" si="92"/>
        <v>18</v>
      </c>
      <c r="AC172" s="52">
        <f t="shared" si="92"/>
        <v>18</v>
      </c>
      <c r="AD172" s="53">
        <f t="shared" si="92"/>
        <v>18</v>
      </c>
      <c r="AE172" s="51">
        <f t="shared" si="92"/>
        <v>18</v>
      </c>
      <c r="AF172" s="52">
        <f t="shared" si="92"/>
        <v>18</v>
      </c>
      <c r="AG172" s="53">
        <f t="shared" si="92"/>
        <v>18</v>
      </c>
      <c r="AH172" s="51">
        <f t="shared" si="92"/>
        <v>18</v>
      </c>
      <c r="AI172" s="52">
        <f t="shared" si="92"/>
        <v>18</v>
      </c>
      <c r="AJ172" s="53">
        <f t="shared" si="92"/>
        <v>18</v>
      </c>
      <c r="AK172" s="51">
        <f t="shared" si="92"/>
        <v>18</v>
      </c>
      <c r="AL172" s="52">
        <f t="shared" si="92"/>
        <v>18</v>
      </c>
      <c r="AM172" s="53">
        <f t="shared" si="92"/>
        <v>18</v>
      </c>
      <c r="AN172" s="51">
        <f t="shared" si="92"/>
        <v>18</v>
      </c>
      <c r="AO172" s="52">
        <f t="shared" si="92"/>
        <v>18</v>
      </c>
      <c r="AP172" s="53">
        <f t="shared" si="92"/>
        <v>18</v>
      </c>
      <c r="AQ172" s="51">
        <f t="shared" si="92"/>
        <v>18</v>
      </c>
      <c r="AR172" s="52">
        <f t="shared" si="92"/>
        <v>18</v>
      </c>
      <c r="AS172" s="53">
        <f t="shared" si="92"/>
        <v>18</v>
      </c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</row>
    <row r="173" ht="12.0" customHeight="1">
      <c r="A173" s="8"/>
      <c r="B173" s="8"/>
      <c r="C173" s="8"/>
      <c r="D173" s="51"/>
      <c r="E173" s="52"/>
      <c r="F173" s="52"/>
      <c r="G173" s="51"/>
      <c r="H173" s="52"/>
      <c r="I173" s="53"/>
      <c r="J173" s="51"/>
      <c r="K173" s="52"/>
      <c r="L173" s="53"/>
      <c r="M173" s="51"/>
      <c r="N173" s="52"/>
      <c r="O173" s="53"/>
      <c r="P173" s="51"/>
      <c r="Q173" s="52"/>
      <c r="R173" s="53"/>
      <c r="S173" s="51"/>
      <c r="T173" s="52"/>
      <c r="U173" s="53"/>
      <c r="V173" s="51"/>
      <c r="W173" s="52"/>
      <c r="X173" s="53"/>
      <c r="Y173" s="51"/>
      <c r="Z173" s="52"/>
      <c r="AA173" s="53"/>
      <c r="AB173" s="51"/>
      <c r="AC173" s="52"/>
      <c r="AD173" s="53"/>
      <c r="AE173" s="51"/>
      <c r="AF173" s="52"/>
      <c r="AG173" s="53"/>
      <c r="AH173" s="51"/>
      <c r="AI173" s="52"/>
      <c r="AJ173" s="53"/>
      <c r="AK173" s="51"/>
      <c r="AL173" s="52"/>
      <c r="AM173" s="53"/>
      <c r="AN173" s="51"/>
      <c r="AO173" s="52"/>
      <c r="AP173" s="53"/>
      <c r="AQ173" s="51"/>
      <c r="AR173" s="52"/>
      <c r="AS173" s="53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</row>
    <row r="174" ht="12.0" customHeight="1">
      <c r="A174" s="8"/>
      <c r="B174" s="270" t="s">
        <v>125</v>
      </c>
      <c r="C174" s="8"/>
      <c r="D174" s="51"/>
      <c r="E174" s="52"/>
      <c r="F174" s="52"/>
      <c r="G174" s="51"/>
      <c r="H174" s="52"/>
      <c r="I174" s="53"/>
      <c r="J174" s="51"/>
      <c r="K174" s="52"/>
      <c r="L174" s="53"/>
      <c r="M174" s="51"/>
      <c r="N174" s="52"/>
      <c r="O174" s="53"/>
      <c r="P174" s="51"/>
      <c r="Q174" s="52"/>
      <c r="R174" s="53"/>
      <c r="S174" s="51"/>
      <c r="T174" s="52"/>
      <c r="U174" s="53"/>
      <c r="V174" s="51"/>
      <c r="W174" s="52"/>
      <c r="X174" s="53"/>
      <c r="Y174" s="51"/>
      <c r="Z174" s="52"/>
      <c r="AA174" s="53"/>
      <c r="AB174" s="51"/>
      <c r="AC174" s="52"/>
      <c r="AD174" s="53"/>
      <c r="AE174" s="51"/>
      <c r="AF174" s="52"/>
      <c r="AG174" s="53"/>
      <c r="AH174" s="51"/>
      <c r="AI174" s="52"/>
      <c r="AJ174" s="53"/>
      <c r="AK174" s="51"/>
      <c r="AL174" s="52"/>
      <c r="AM174" s="53"/>
      <c r="AN174" s="51"/>
      <c r="AO174" s="52"/>
      <c r="AP174" s="53"/>
      <c r="AQ174" s="51"/>
      <c r="AR174" s="52"/>
      <c r="AS174" s="53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</row>
    <row r="175" ht="12.0" customHeight="1">
      <c r="A175" s="8"/>
      <c r="B175" s="8"/>
      <c r="C175" s="37" t="str">
        <f>Macro!B112</f>
        <v>Founding Product Designer</v>
      </c>
      <c r="D175" s="212">
        <v>1.0</v>
      </c>
      <c r="E175" s="213">
        <v>1.0</v>
      </c>
      <c r="F175" s="213">
        <v>1.0</v>
      </c>
      <c r="G175" s="212">
        <v>1.0</v>
      </c>
      <c r="H175" s="213">
        <v>1.0</v>
      </c>
      <c r="I175" s="214">
        <v>1.0</v>
      </c>
      <c r="J175" s="212">
        <v>1.0</v>
      </c>
      <c r="K175" s="213">
        <v>1.0</v>
      </c>
      <c r="L175" s="214">
        <v>1.0</v>
      </c>
      <c r="M175" s="212">
        <v>1.0</v>
      </c>
      <c r="N175" s="213">
        <v>1.0</v>
      </c>
      <c r="O175" s="214">
        <v>1.0</v>
      </c>
      <c r="P175" s="212">
        <v>1.0</v>
      </c>
      <c r="Q175" s="213">
        <v>1.0</v>
      </c>
      <c r="R175" s="214">
        <v>1.0</v>
      </c>
      <c r="S175" s="212">
        <v>1.0</v>
      </c>
      <c r="T175" s="213">
        <v>1.0</v>
      </c>
      <c r="U175" s="214">
        <v>1.0</v>
      </c>
      <c r="V175" s="212">
        <v>1.0</v>
      </c>
      <c r="W175" s="213">
        <v>1.0</v>
      </c>
      <c r="X175" s="214">
        <v>1.0</v>
      </c>
      <c r="Y175" s="212">
        <v>1.0</v>
      </c>
      <c r="Z175" s="213">
        <v>1.0</v>
      </c>
      <c r="AA175" s="214">
        <v>1.0</v>
      </c>
      <c r="AB175" s="212">
        <v>1.0</v>
      </c>
      <c r="AC175" s="213">
        <v>1.0</v>
      </c>
      <c r="AD175" s="214">
        <v>1.0</v>
      </c>
      <c r="AE175" s="212">
        <v>1.0</v>
      </c>
      <c r="AF175" s="213">
        <v>1.0</v>
      </c>
      <c r="AG175" s="214">
        <v>1.0</v>
      </c>
      <c r="AH175" s="212">
        <v>1.0</v>
      </c>
      <c r="AI175" s="213">
        <v>1.0</v>
      </c>
      <c r="AJ175" s="214">
        <v>1.0</v>
      </c>
      <c r="AK175" s="212">
        <v>1.0</v>
      </c>
      <c r="AL175" s="213">
        <v>1.0</v>
      </c>
      <c r="AM175" s="214">
        <v>1.0</v>
      </c>
      <c r="AN175" s="212">
        <v>1.0</v>
      </c>
      <c r="AO175" s="213">
        <v>1.0</v>
      </c>
      <c r="AP175" s="214">
        <v>1.0</v>
      </c>
      <c r="AQ175" s="212">
        <v>1.0</v>
      </c>
      <c r="AR175" s="213">
        <v>1.0</v>
      </c>
      <c r="AS175" s="214">
        <v>1.0</v>
      </c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</row>
    <row r="176" ht="12.0" customHeight="1">
      <c r="A176" s="8"/>
      <c r="B176" s="8"/>
      <c r="C176" s="37" t="str">
        <f>Macro!B113</f>
        <v>Product Manager</v>
      </c>
      <c r="D176" s="212">
        <v>1.0</v>
      </c>
      <c r="E176" s="213">
        <v>1.0</v>
      </c>
      <c r="F176" s="213">
        <v>1.0</v>
      </c>
      <c r="G176" s="212">
        <v>1.0</v>
      </c>
      <c r="H176" s="213">
        <v>1.0</v>
      </c>
      <c r="I176" s="214">
        <v>1.0</v>
      </c>
      <c r="J176" s="212">
        <v>1.0</v>
      </c>
      <c r="K176" s="213">
        <v>1.0</v>
      </c>
      <c r="L176" s="214">
        <v>1.0</v>
      </c>
      <c r="M176" s="212">
        <v>1.0</v>
      </c>
      <c r="N176" s="213">
        <v>1.0</v>
      </c>
      <c r="O176" s="214">
        <v>1.0</v>
      </c>
      <c r="P176" s="212">
        <v>1.0</v>
      </c>
      <c r="Q176" s="213">
        <v>1.0</v>
      </c>
      <c r="R176" s="214">
        <v>1.0</v>
      </c>
      <c r="S176" s="212">
        <v>1.0</v>
      </c>
      <c r="T176" s="213">
        <v>1.0</v>
      </c>
      <c r="U176" s="214">
        <v>1.0</v>
      </c>
      <c r="V176" s="212">
        <v>1.0</v>
      </c>
      <c r="W176" s="213">
        <v>1.0</v>
      </c>
      <c r="X176" s="214">
        <v>1.0</v>
      </c>
      <c r="Y176" s="212">
        <v>1.0</v>
      </c>
      <c r="Z176" s="213">
        <v>1.0</v>
      </c>
      <c r="AA176" s="214">
        <v>1.0</v>
      </c>
      <c r="AB176" s="212">
        <v>1.0</v>
      </c>
      <c r="AC176" s="213">
        <v>1.0</v>
      </c>
      <c r="AD176" s="214">
        <v>1.0</v>
      </c>
      <c r="AE176" s="212">
        <v>1.0</v>
      </c>
      <c r="AF176" s="213">
        <v>1.0</v>
      </c>
      <c r="AG176" s="214">
        <v>1.0</v>
      </c>
      <c r="AH176" s="212">
        <v>1.0</v>
      </c>
      <c r="AI176" s="213">
        <v>1.0</v>
      </c>
      <c r="AJ176" s="214">
        <v>1.0</v>
      </c>
      <c r="AK176" s="212">
        <v>1.0</v>
      </c>
      <c r="AL176" s="213">
        <v>1.0</v>
      </c>
      <c r="AM176" s="214">
        <v>1.0</v>
      </c>
      <c r="AN176" s="212">
        <v>1.0</v>
      </c>
      <c r="AO176" s="213">
        <v>1.0</v>
      </c>
      <c r="AP176" s="214">
        <v>1.0</v>
      </c>
      <c r="AQ176" s="212">
        <v>1.0</v>
      </c>
      <c r="AR176" s="213">
        <v>1.0</v>
      </c>
      <c r="AS176" s="214">
        <v>1.0</v>
      </c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</row>
    <row r="177" ht="12.0" customHeight="1">
      <c r="A177" s="8"/>
      <c r="B177" s="8"/>
      <c r="C177" s="37" t="str">
        <f>Macro!B114</f>
        <v>Tech Writer</v>
      </c>
      <c r="D177" s="212">
        <v>1.0</v>
      </c>
      <c r="E177" s="213">
        <v>1.0</v>
      </c>
      <c r="F177" s="213">
        <v>1.0</v>
      </c>
      <c r="G177" s="212">
        <v>1.0</v>
      </c>
      <c r="H177" s="213">
        <v>1.0</v>
      </c>
      <c r="I177" s="214">
        <v>1.0</v>
      </c>
      <c r="J177" s="212">
        <v>1.0</v>
      </c>
      <c r="K177" s="213">
        <v>1.0</v>
      </c>
      <c r="L177" s="214">
        <v>1.0</v>
      </c>
      <c r="M177" s="212">
        <v>1.0</v>
      </c>
      <c r="N177" s="213">
        <v>1.0</v>
      </c>
      <c r="O177" s="214">
        <v>1.0</v>
      </c>
      <c r="P177" s="212">
        <v>1.0</v>
      </c>
      <c r="Q177" s="213">
        <v>1.0</v>
      </c>
      <c r="R177" s="214">
        <v>1.0</v>
      </c>
      <c r="S177" s="212">
        <v>1.0</v>
      </c>
      <c r="T177" s="213">
        <v>1.0</v>
      </c>
      <c r="U177" s="214">
        <v>1.0</v>
      </c>
      <c r="V177" s="212">
        <v>1.0</v>
      </c>
      <c r="W177" s="213">
        <v>1.0</v>
      </c>
      <c r="X177" s="214">
        <v>1.0</v>
      </c>
      <c r="Y177" s="212">
        <v>1.0</v>
      </c>
      <c r="Z177" s="213">
        <v>1.0</v>
      </c>
      <c r="AA177" s="214">
        <v>1.0</v>
      </c>
      <c r="AB177" s="212">
        <v>1.0</v>
      </c>
      <c r="AC177" s="213">
        <v>1.0</v>
      </c>
      <c r="AD177" s="214">
        <v>1.0</v>
      </c>
      <c r="AE177" s="212">
        <v>1.0</v>
      </c>
      <c r="AF177" s="213">
        <v>1.0</v>
      </c>
      <c r="AG177" s="214">
        <v>1.0</v>
      </c>
      <c r="AH177" s="212">
        <v>1.0</v>
      </c>
      <c r="AI177" s="213">
        <v>1.0</v>
      </c>
      <c r="AJ177" s="214">
        <v>1.0</v>
      </c>
      <c r="AK177" s="212">
        <v>1.0</v>
      </c>
      <c r="AL177" s="213">
        <v>1.0</v>
      </c>
      <c r="AM177" s="214">
        <v>1.0</v>
      </c>
      <c r="AN177" s="212">
        <v>1.0</v>
      </c>
      <c r="AO177" s="213">
        <v>1.0</v>
      </c>
      <c r="AP177" s="214">
        <v>1.0</v>
      </c>
      <c r="AQ177" s="212">
        <v>1.0</v>
      </c>
      <c r="AR177" s="213">
        <v>1.0</v>
      </c>
      <c r="AS177" s="214">
        <v>1.0</v>
      </c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</row>
    <row r="178" ht="12.0" customHeight="1">
      <c r="A178" s="8"/>
      <c r="B178" s="8"/>
      <c r="C178" s="37" t="str">
        <f>Macro!B115</f>
        <v>[XX]</v>
      </c>
      <c r="D178" s="212">
        <v>0.0</v>
      </c>
      <c r="E178" s="213">
        <v>0.0</v>
      </c>
      <c r="F178" s="213">
        <v>0.0</v>
      </c>
      <c r="G178" s="212">
        <v>0.0</v>
      </c>
      <c r="H178" s="213">
        <v>0.0</v>
      </c>
      <c r="I178" s="214">
        <v>0.0</v>
      </c>
      <c r="J178" s="212">
        <v>0.0</v>
      </c>
      <c r="K178" s="213">
        <v>0.0</v>
      </c>
      <c r="L178" s="214">
        <v>0.0</v>
      </c>
      <c r="M178" s="212">
        <v>0.0</v>
      </c>
      <c r="N178" s="213">
        <v>0.0</v>
      </c>
      <c r="O178" s="214">
        <v>0.0</v>
      </c>
      <c r="P178" s="212">
        <v>0.0</v>
      </c>
      <c r="Q178" s="213">
        <v>0.0</v>
      </c>
      <c r="R178" s="214">
        <v>0.0</v>
      </c>
      <c r="S178" s="212">
        <v>0.0</v>
      </c>
      <c r="T178" s="213">
        <v>0.0</v>
      </c>
      <c r="U178" s="214">
        <v>0.0</v>
      </c>
      <c r="V178" s="212">
        <v>0.0</v>
      </c>
      <c r="W178" s="213">
        <v>0.0</v>
      </c>
      <c r="X178" s="214">
        <v>0.0</v>
      </c>
      <c r="Y178" s="212">
        <v>0.0</v>
      </c>
      <c r="Z178" s="213">
        <v>0.0</v>
      </c>
      <c r="AA178" s="214">
        <v>0.0</v>
      </c>
      <c r="AB178" s="212">
        <v>0.0</v>
      </c>
      <c r="AC178" s="213">
        <v>0.0</v>
      </c>
      <c r="AD178" s="214">
        <v>0.0</v>
      </c>
      <c r="AE178" s="212">
        <v>0.0</v>
      </c>
      <c r="AF178" s="213">
        <v>0.0</v>
      </c>
      <c r="AG178" s="214">
        <v>0.0</v>
      </c>
      <c r="AH178" s="212">
        <v>0.0</v>
      </c>
      <c r="AI178" s="213">
        <v>0.0</v>
      </c>
      <c r="AJ178" s="214">
        <v>0.0</v>
      </c>
      <c r="AK178" s="212">
        <v>0.0</v>
      </c>
      <c r="AL178" s="213">
        <v>0.0</v>
      </c>
      <c r="AM178" s="214">
        <v>0.0</v>
      </c>
      <c r="AN178" s="212">
        <v>0.0</v>
      </c>
      <c r="AO178" s="213">
        <v>0.0</v>
      </c>
      <c r="AP178" s="214">
        <v>0.0</v>
      </c>
      <c r="AQ178" s="212">
        <v>0.0</v>
      </c>
      <c r="AR178" s="213">
        <v>0.0</v>
      </c>
      <c r="AS178" s="214">
        <v>0.0</v>
      </c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</row>
    <row r="179" ht="12.0" customHeight="1">
      <c r="A179" s="8"/>
      <c r="B179" s="8"/>
      <c r="C179" s="37" t="str">
        <f>Macro!B116</f>
        <v>[XX]</v>
      </c>
      <c r="D179" s="212">
        <v>0.0</v>
      </c>
      <c r="E179" s="213">
        <v>0.0</v>
      </c>
      <c r="F179" s="213">
        <v>0.0</v>
      </c>
      <c r="G179" s="212">
        <v>0.0</v>
      </c>
      <c r="H179" s="213">
        <v>0.0</v>
      </c>
      <c r="I179" s="214">
        <v>0.0</v>
      </c>
      <c r="J179" s="212">
        <v>0.0</v>
      </c>
      <c r="K179" s="213">
        <v>0.0</v>
      </c>
      <c r="L179" s="214">
        <v>0.0</v>
      </c>
      <c r="M179" s="212">
        <v>0.0</v>
      </c>
      <c r="N179" s="213">
        <v>0.0</v>
      </c>
      <c r="O179" s="214">
        <v>0.0</v>
      </c>
      <c r="P179" s="212">
        <v>0.0</v>
      </c>
      <c r="Q179" s="213">
        <v>0.0</v>
      </c>
      <c r="R179" s="214">
        <v>0.0</v>
      </c>
      <c r="S179" s="212">
        <v>0.0</v>
      </c>
      <c r="T179" s="213">
        <v>0.0</v>
      </c>
      <c r="U179" s="214">
        <v>0.0</v>
      </c>
      <c r="V179" s="212">
        <v>0.0</v>
      </c>
      <c r="W179" s="213">
        <v>0.0</v>
      </c>
      <c r="X179" s="214">
        <v>0.0</v>
      </c>
      <c r="Y179" s="212">
        <v>0.0</v>
      </c>
      <c r="Z179" s="213">
        <v>0.0</v>
      </c>
      <c r="AA179" s="214">
        <v>0.0</v>
      </c>
      <c r="AB179" s="212">
        <v>0.0</v>
      </c>
      <c r="AC179" s="213">
        <v>0.0</v>
      </c>
      <c r="AD179" s="214">
        <v>0.0</v>
      </c>
      <c r="AE179" s="212">
        <v>0.0</v>
      </c>
      <c r="AF179" s="213">
        <v>0.0</v>
      </c>
      <c r="AG179" s="214">
        <v>0.0</v>
      </c>
      <c r="AH179" s="212">
        <v>0.0</v>
      </c>
      <c r="AI179" s="213">
        <v>0.0</v>
      </c>
      <c r="AJ179" s="214">
        <v>0.0</v>
      </c>
      <c r="AK179" s="212">
        <v>0.0</v>
      </c>
      <c r="AL179" s="213">
        <v>0.0</v>
      </c>
      <c r="AM179" s="214">
        <v>0.0</v>
      </c>
      <c r="AN179" s="212">
        <v>0.0</v>
      </c>
      <c r="AO179" s="213">
        <v>0.0</v>
      </c>
      <c r="AP179" s="214">
        <v>0.0</v>
      </c>
      <c r="AQ179" s="212">
        <v>0.0</v>
      </c>
      <c r="AR179" s="213">
        <v>0.0</v>
      </c>
      <c r="AS179" s="214">
        <v>0.0</v>
      </c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</row>
    <row r="180" ht="12.0" customHeight="1">
      <c r="A180" s="8"/>
      <c r="B180" s="8"/>
      <c r="C180" s="37" t="str">
        <f>Macro!B117</f>
        <v>[XX]</v>
      </c>
      <c r="D180" s="212">
        <v>0.0</v>
      </c>
      <c r="E180" s="213">
        <v>0.0</v>
      </c>
      <c r="F180" s="213">
        <v>0.0</v>
      </c>
      <c r="G180" s="212">
        <v>0.0</v>
      </c>
      <c r="H180" s="213">
        <v>0.0</v>
      </c>
      <c r="I180" s="214">
        <v>0.0</v>
      </c>
      <c r="J180" s="212">
        <v>0.0</v>
      </c>
      <c r="K180" s="213">
        <v>0.0</v>
      </c>
      <c r="L180" s="214">
        <v>0.0</v>
      </c>
      <c r="M180" s="212">
        <v>0.0</v>
      </c>
      <c r="N180" s="213">
        <v>0.0</v>
      </c>
      <c r="O180" s="214">
        <v>0.0</v>
      </c>
      <c r="P180" s="212">
        <v>0.0</v>
      </c>
      <c r="Q180" s="213">
        <v>0.0</v>
      </c>
      <c r="R180" s="214">
        <v>0.0</v>
      </c>
      <c r="S180" s="212">
        <v>0.0</v>
      </c>
      <c r="T180" s="213">
        <v>0.0</v>
      </c>
      <c r="U180" s="214">
        <v>0.0</v>
      </c>
      <c r="V180" s="212">
        <v>0.0</v>
      </c>
      <c r="W180" s="213">
        <v>0.0</v>
      </c>
      <c r="X180" s="214">
        <v>0.0</v>
      </c>
      <c r="Y180" s="212">
        <v>0.0</v>
      </c>
      <c r="Z180" s="213">
        <v>0.0</v>
      </c>
      <c r="AA180" s="214">
        <v>0.0</v>
      </c>
      <c r="AB180" s="212">
        <v>0.0</v>
      </c>
      <c r="AC180" s="213">
        <v>0.0</v>
      </c>
      <c r="AD180" s="214">
        <v>0.0</v>
      </c>
      <c r="AE180" s="212">
        <v>0.0</v>
      </c>
      <c r="AF180" s="213">
        <v>0.0</v>
      </c>
      <c r="AG180" s="214">
        <v>0.0</v>
      </c>
      <c r="AH180" s="212">
        <v>0.0</v>
      </c>
      <c r="AI180" s="213">
        <v>0.0</v>
      </c>
      <c r="AJ180" s="214">
        <v>0.0</v>
      </c>
      <c r="AK180" s="212">
        <v>0.0</v>
      </c>
      <c r="AL180" s="213">
        <v>0.0</v>
      </c>
      <c r="AM180" s="214">
        <v>0.0</v>
      </c>
      <c r="AN180" s="212">
        <v>0.0</v>
      </c>
      <c r="AO180" s="213">
        <v>0.0</v>
      </c>
      <c r="AP180" s="214">
        <v>0.0</v>
      </c>
      <c r="AQ180" s="212">
        <v>0.0</v>
      </c>
      <c r="AR180" s="213">
        <v>0.0</v>
      </c>
      <c r="AS180" s="214">
        <v>0.0</v>
      </c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</row>
    <row r="181" ht="12.0" customHeight="1">
      <c r="A181" s="8"/>
      <c r="B181" s="8"/>
      <c r="C181" s="37" t="str">
        <f>Macro!B118</f>
        <v>[XX]</v>
      </c>
      <c r="D181" s="212">
        <v>0.0</v>
      </c>
      <c r="E181" s="213">
        <v>0.0</v>
      </c>
      <c r="F181" s="213">
        <v>0.0</v>
      </c>
      <c r="G181" s="212">
        <v>0.0</v>
      </c>
      <c r="H181" s="213">
        <v>0.0</v>
      </c>
      <c r="I181" s="214">
        <v>0.0</v>
      </c>
      <c r="J181" s="212">
        <v>0.0</v>
      </c>
      <c r="K181" s="213">
        <v>0.0</v>
      </c>
      <c r="L181" s="214">
        <v>0.0</v>
      </c>
      <c r="M181" s="212">
        <v>0.0</v>
      </c>
      <c r="N181" s="213">
        <v>0.0</v>
      </c>
      <c r="O181" s="214">
        <v>0.0</v>
      </c>
      <c r="P181" s="212">
        <v>0.0</v>
      </c>
      <c r="Q181" s="213">
        <v>0.0</v>
      </c>
      <c r="R181" s="214">
        <v>0.0</v>
      </c>
      <c r="S181" s="212">
        <v>0.0</v>
      </c>
      <c r="T181" s="213">
        <v>0.0</v>
      </c>
      <c r="U181" s="214">
        <v>0.0</v>
      </c>
      <c r="V181" s="212">
        <v>0.0</v>
      </c>
      <c r="W181" s="213">
        <v>0.0</v>
      </c>
      <c r="X181" s="214">
        <v>0.0</v>
      </c>
      <c r="Y181" s="212">
        <v>0.0</v>
      </c>
      <c r="Z181" s="213">
        <v>0.0</v>
      </c>
      <c r="AA181" s="214">
        <v>0.0</v>
      </c>
      <c r="AB181" s="212">
        <v>0.0</v>
      </c>
      <c r="AC181" s="213">
        <v>0.0</v>
      </c>
      <c r="AD181" s="214">
        <v>0.0</v>
      </c>
      <c r="AE181" s="212">
        <v>0.0</v>
      </c>
      <c r="AF181" s="213">
        <v>0.0</v>
      </c>
      <c r="AG181" s="214">
        <v>0.0</v>
      </c>
      <c r="AH181" s="212">
        <v>0.0</v>
      </c>
      <c r="AI181" s="213">
        <v>0.0</v>
      </c>
      <c r="AJ181" s="214">
        <v>0.0</v>
      </c>
      <c r="AK181" s="212">
        <v>0.0</v>
      </c>
      <c r="AL181" s="213">
        <v>0.0</v>
      </c>
      <c r="AM181" s="214">
        <v>0.0</v>
      </c>
      <c r="AN181" s="212">
        <v>0.0</v>
      </c>
      <c r="AO181" s="213">
        <v>0.0</v>
      </c>
      <c r="AP181" s="214">
        <v>0.0</v>
      </c>
      <c r="AQ181" s="212">
        <v>0.0</v>
      </c>
      <c r="AR181" s="213">
        <v>0.0</v>
      </c>
      <c r="AS181" s="214">
        <v>0.0</v>
      </c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</row>
    <row r="182" ht="12.0" customHeight="1">
      <c r="A182" s="8"/>
      <c r="B182" s="8"/>
      <c r="C182" s="37" t="str">
        <f>Macro!B119</f>
        <v>[XX]</v>
      </c>
      <c r="D182" s="212">
        <v>0.0</v>
      </c>
      <c r="E182" s="213">
        <v>0.0</v>
      </c>
      <c r="F182" s="213">
        <v>0.0</v>
      </c>
      <c r="G182" s="212">
        <v>0.0</v>
      </c>
      <c r="H182" s="213">
        <v>0.0</v>
      </c>
      <c r="I182" s="214">
        <v>0.0</v>
      </c>
      <c r="J182" s="212">
        <v>0.0</v>
      </c>
      <c r="K182" s="213">
        <v>0.0</v>
      </c>
      <c r="L182" s="214">
        <v>0.0</v>
      </c>
      <c r="M182" s="212">
        <v>0.0</v>
      </c>
      <c r="N182" s="213">
        <v>0.0</v>
      </c>
      <c r="O182" s="214">
        <v>0.0</v>
      </c>
      <c r="P182" s="212">
        <v>0.0</v>
      </c>
      <c r="Q182" s="213">
        <v>0.0</v>
      </c>
      <c r="R182" s="214">
        <v>0.0</v>
      </c>
      <c r="S182" s="212">
        <v>0.0</v>
      </c>
      <c r="T182" s="213">
        <v>0.0</v>
      </c>
      <c r="U182" s="214">
        <v>0.0</v>
      </c>
      <c r="V182" s="212">
        <v>0.0</v>
      </c>
      <c r="W182" s="213">
        <v>0.0</v>
      </c>
      <c r="X182" s="214">
        <v>0.0</v>
      </c>
      <c r="Y182" s="212">
        <v>0.0</v>
      </c>
      <c r="Z182" s="213">
        <v>0.0</v>
      </c>
      <c r="AA182" s="214">
        <v>0.0</v>
      </c>
      <c r="AB182" s="212">
        <v>0.0</v>
      </c>
      <c r="AC182" s="213">
        <v>0.0</v>
      </c>
      <c r="AD182" s="214">
        <v>0.0</v>
      </c>
      <c r="AE182" s="212">
        <v>0.0</v>
      </c>
      <c r="AF182" s="213">
        <v>0.0</v>
      </c>
      <c r="AG182" s="214">
        <v>0.0</v>
      </c>
      <c r="AH182" s="212">
        <v>0.0</v>
      </c>
      <c r="AI182" s="213">
        <v>0.0</v>
      </c>
      <c r="AJ182" s="214">
        <v>0.0</v>
      </c>
      <c r="AK182" s="212">
        <v>0.0</v>
      </c>
      <c r="AL182" s="213">
        <v>0.0</v>
      </c>
      <c r="AM182" s="214">
        <v>0.0</v>
      </c>
      <c r="AN182" s="212">
        <v>0.0</v>
      </c>
      <c r="AO182" s="213">
        <v>0.0</v>
      </c>
      <c r="AP182" s="214">
        <v>0.0</v>
      </c>
      <c r="AQ182" s="212">
        <v>0.0</v>
      </c>
      <c r="AR182" s="213">
        <v>0.0</v>
      </c>
      <c r="AS182" s="214">
        <v>0.0</v>
      </c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</row>
    <row r="183" ht="12.0" customHeight="1">
      <c r="A183" s="8"/>
      <c r="B183" s="8"/>
      <c r="C183" s="37" t="str">
        <f>Macro!B120</f>
        <v>[XX]</v>
      </c>
      <c r="D183" s="212">
        <v>0.0</v>
      </c>
      <c r="E183" s="213">
        <v>0.0</v>
      </c>
      <c r="F183" s="213">
        <v>0.0</v>
      </c>
      <c r="G183" s="212">
        <v>0.0</v>
      </c>
      <c r="H183" s="213">
        <v>0.0</v>
      </c>
      <c r="I183" s="214">
        <v>0.0</v>
      </c>
      <c r="J183" s="212">
        <v>0.0</v>
      </c>
      <c r="K183" s="213">
        <v>0.0</v>
      </c>
      <c r="L183" s="214">
        <v>0.0</v>
      </c>
      <c r="M183" s="212">
        <v>0.0</v>
      </c>
      <c r="N183" s="213">
        <v>0.0</v>
      </c>
      <c r="O183" s="214">
        <v>0.0</v>
      </c>
      <c r="P183" s="212">
        <v>0.0</v>
      </c>
      <c r="Q183" s="213">
        <v>0.0</v>
      </c>
      <c r="R183" s="214">
        <v>0.0</v>
      </c>
      <c r="S183" s="212">
        <v>0.0</v>
      </c>
      <c r="T183" s="213">
        <v>0.0</v>
      </c>
      <c r="U183" s="214">
        <v>0.0</v>
      </c>
      <c r="V183" s="212">
        <v>0.0</v>
      </c>
      <c r="W183" s="213">
        <v>0.0</v>
      </c>
      <c r="X183" s="214">
        <v>0.0</v>
      </c>
      <c r="Y183" s="212">
        <v>0.0</v>
      </c>
      <c r="Z183" s="213">
        <v>0.0</v>
      </c>
      <c r="AA183" s="214">
        <v>0.0</v>
      </c>
      <c r="AB183" s="212">
        <v>0.0</v>
      </c>
      <c r="AC183" s="213">
        <v>0.0</v>
      </c>
      <c r="AD183" s="214">
        <v>0.0</v>
      </c>
      <c r="AE183" s="212">
        <v>0.0</v>
      </c>
      <c r="AF183" s="213">
        <v>0.0</v>
      </c>
      <c r="AG183" s="214">
        <v>0.0</v>
      </c>
      <c r="AH183" s="212">
        <v>0.0</v>
      </c>
      <c r="AI183" s="213">
        <v>0.0</v>
      </c>
      <c r="AJ183" s="214">
        <v>0.0</v>
      </c>
      <c r="AK183" s="212">
        <v>0.0</v>
      </c>
      <c r="AL183" s="213">
        <v>0.0</v>
      </c>
      <c r="AM183" s="214">
        <v>0.0</v>
      </c>
      <c r="AN183" s="212">
        <v>0.0</v>
      </c>
      <c r="AO183" s="213">
        <v>0.0</v>
      </c>
      <c r="AP183" s="214">
        <v>0.0</v>
      </c>
      <c r="AQ183" s="212">
        <v>0.0</v>
      </c>
      <c r="AR183" s="213">
        <v>0.0</v>
      </c>
      <c r="AS183" s="214">
        <v>0.0</v>
      </c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</row>
    <row r="184" ht="12.0" customHeight="1">
      <c r="A184" s="8"/>
      <c r="B184" s="8"/>
      <c r="C184" s="37" t="str">
        <f>Macro!B121</f>
        <v>[XX]</v>
      </c>
      <c r="D184" s="212">
        <v>0.0</v>
      </c>
      <c r="E184" s="213">
        <v>0.0</v>
      </c>
      <c r="F184" s="213">
        <v>0.0</v>
      </c>
      <c r="G184" s="212">
        <v>0.0</v>
      </c>
      <c r="H184" s="213">
        <v>0.0</v>
      </c>
      <c r="I184" s="214">
        <v>0.0</v>
      </c>
      <c r="J184" s="212">
        <v>0.0</v>
      </c>
      <c r="K184" s="213">
        <v>0.0</v>
      </c>
      <c r="L184" s="214">
        <v>0.0</v>
      </c>
      <c r="M184" s="212">
        <v>0.0</v>
      </c>
      <c r="N184" s="213">
        <v>0.0</v>
      </c>
      <c r="O184" s="214">
        <v>0.0</v>
      </c>
      <c r="P184" s="212">
        <v>0.0</v>
      </c>
      <c r="Q184" s="213">
        <v>0.0</v>
      </c>
      <c r="R184" s="214">
        <v>0.0</v>
      </c>
      <c r="S184" s="212">
        <v>0.0</v>
      </c>
      <c r="T184" s="213">
        <v>0.0</v>
      </c>
      <c r="U184" s="214">
        <v>0.0</v>
      </c>
      <c r="V184" s="212">
        <v>0.0</v>
      </c>
      <c r="W184" s="213">
        <v>0.0</v>
      </c>
      <c r="X184" s="214">
        <v>0.0</v>
      </c>
      <c r="Y184" s="212">
        <v>0.0</v>
      </c>
      <c r="Z184" s="213">
        <v>0.0</v>
      </c>
      <c r="AA184" s="214">
        <v>0.0</v>
      </c>
      <c r="AB184" s="212">
        <v>0.0</v>
      </c>
      <c r="AC184" s="213">
        <v>0.0</v>
      </c>
      <c r="AD184" s="214">
        <v>0.0</v>
      </c>
      <c r="AE184" s="212">
        <v>0.0</v>
      </c>
      <c r="AF184" s="213">
        <v>0.0</v>
      </c>
      <c r="AG184" s="214">
        <v>0.0</v>
      </c>
      <c r="AH184" s="212">
        <v>0.0</v>
      </c>
      <c r="AI184" s="213">
        <v>0.0</v>
      </c>
      <c r="AJ184" s="214">
        <v>0.0</v>
      </c>
      <c r="AK184" s="212">
        <v>0.0</v>
      </c>
      <c r="AL184" s="213">
        <v>0.0</v>
      </c>
      <c r="AM184" s="214">
        <v>0.0</v>
      </c>
      <c r="AN184" s="212">
        <v>0.0</v>
      </c>
      <c r="AO184" s="213">
        <v>0.0</v>
      </c>
      <c r="AP184" s="214">
        <v>0.0</v>
      </c>
      <c r="AQ184" s="212">
        <v>0.0</v>
      </c>
      <c r="AR184" s="213">
        <v>0.0</v>
      </c>
      <c r="AS184" s="214">
        <v>0.0</v>
      </c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</row>
    <row r="185" ht="12.0" customHeight="1">
      <c r="A185" s="8"/>
      <c r="B185" s="8"/>
      <c r="C185" s="37" t="str">
        <f>Macro!B122</f>
        <v>[XX]</v>
      </c>
      <c r="D185" s="212">
        <v>0.0</v>
      </c>
      <c r="E185" s="213">
        <v>0.0</v>
      </c>
      <c r="F185" s="213">
        <v>0.0</v>
      </c>
      <c r="G185" s="212">
        <v>0.0</v>
      </c>
      <c r="H185" s="213">
        <v>0.0</v>
      </c>
      <c r="I185" s="214">
        <v>0.0</v>
      </c>
      <c r="J185" s="212">
        <v>0.0</v>
      </c>
      <c r="K185" s="213">
        <v>0.0</v>
      </c>
      <c r="L185" s="214">
        <v>0.0</v>
      </c>
      <c r="M185" s="212">
        <v>0.0</v>
      </c>
      <c r="N185" s="213">
        <v>0.0</v>
      </c>
      <c r="O185" s="214">
        <v>0.0</v>
      </c>
      <c r="P185" s="212">
        <v>0.0</v>
      </c>
      <c r="Q185" s="213">
        <v>0.0</v>
      </c>
      <c r="R185" s="214">
        <v>0.0</v>
      </c>
      <c r="S185" s="212">
        <v>0.0</v>
      </c>
      <c r="T185" s="213">
        <v>0.0</v>
      </c>
      <c r="U185" s="214">
        <v>0.0</v>
      </c>
      <c r="V185" s="212">
        <v>0.0</v>
      </c>
      <c r="W185" s="213">
        <v>0.0</v>
      </c>
      <c r="X185" s="214">
        <v>0.0</v>
      </c>
      <c r="Y185" s="212">
        <v>0.0</v>
      </c>
      <c r="Z185" s="213">
        <v>0.0</v>
      </c>
      <c r="AA185" s="214">
        <v>0.0</v>
      </c>
      <c r="AB185" s="212">
        <v>0.0</v>
      </c>
      <c r="AC185" s="213">
        <v>0.0</v>
      </c>
      <c r="AD185" s="214">
        <v>0.0</v>
      </c>
      <c r="AE185" s="212">
        <v>0.0</v>
      </c>
      <c r="AF185" s="213">
        <v>0.0</v>
      </c>
      <c r="AG185" s="214">
        <v>0.0</v>
      </c>
      <c r="AH185" s="212">
        <v>0.0</v>
      </c>
      <c r="AI185" s="213">
        <v>0.0</v>
      </c>
      <c r="AJ185" s="214">
        <v>0.0</v>
      </c>
      <c r="AK185" s="212">
        <v>0.0</v>
      </c>
      <c r="AL185" s="213">
        <v>0.0</v>
      </c>
      <c r="AM185" s="214">
        <v>0.0</v>
      </c>
      <c r="AN185" s="212">
        <v>0.0</v>
      </c>
      <c r="AO185" s="213">
        <v>0.0</v>
      </c>
      <c r="AP185" s="214">
        <v>0.0</v>
      </c>
      <c r="AQ185" s="212">
        <v>0.0</v>
      </c>
      <c r="AR185" s="213">
        <v>0.0</v>
      </c>
      <c r="AS185" s="214">
        <v>0.0</v>
      </c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</row>
    <row r="186" ht="12.0" customHeight="1">
      <c r="A186" s="8"/>
      <c r="B186" s="8"/>
      <c r="C186" s="277" t="str">
        <f>Macro!B123</f>
        <v>[XX]</v>
      </c>
      <c r="D186" s="215">
        <v>0.0</v>
      </c>
      <c r="E186" s="216">
        <v>0.0</v>
      </c>
      <c r="F186" s="216">
        <v>0.0</v>
      </c>
      <c r="G186" s="215">
        <v>0.0</v>
      </c>
      <c r="H186" s="216">
        <v>0.0</v>
      </c>
      <c r="I186" s="217">
        <v>0.0</v>
      </c>
      <c r="J186" s="215">
        <v>0.0</v>
      </c>
      <c r="K186" s="216">
        <v>0.0</v>
      </c>
      <c r="L186" s="217">
        <v>0.0</v>
      </c>
      <c r="M186" s="215">
        <v>0.0</v>
      </c>
      <c r="N186" s="216">
        <v>0.0</v>
      </c>
      <c r="O186" s="217">
        <v>0.0</v>
      </c>
      <c r="P186" s="215">
        <v>0.0</v>
      </c>
      <c r="Q186" s="216">
        <v>0.0</v>
      </c>
      <c r="R186" s="217">
        <v>0.0</v>
      </c>
      <c r="S186" s="215">
        <v>0.0</v>
      </c>
      <c r="T186" s="216">
        <v>0.0</v>
      </c>
      <c r="U186" s="217">
        <v>0.0</v>
      </c>
      <c r="V186" s="215">
        <v>0.0</v>
      </c>
      <c r="W186" s="216">
        <v>0.0</v>
      </c>
      <c r="X186" s="217">
        <v>0.0</v>
      </c>
      <c r="Y186" s="215">
        <v>0.0</v>
      </c>
      <c r="Z186" s="216">
        <v>0.0</v>
      </c>
      <c r="AA186" s="217">
        <v>0.0</v>
      </c>
      <c r="AB186" s="215">
        <v>0.0</v>
      </c>
      <c r="AC186" s="216">
        <v>0.0</v>
      </c>
      <c r="AD186" s="217">
        <v>0.0</v>
      </c>
      <c r="AE186" s="215">
        <v>0.0</v>
      </c>
      <c r="AF186" s="216">
        <v>0.0</v>
      </c>
      <c r="AG186" s="217">
        <v>0.0</v>
      </c>
      <c r="AH186" s="215">
        <v>0.0</v>
      </c>
      <c r="AI186" s="216">
        <v>0.0</v>
      </c>
      <c r="AJ186" s="217">
        <v>0.0</v>
      </c>
      <c r="AK186" s="215">
        <v>0.0</v>
      </c>
      <c r="AL186" s="216">
        <v>0.0</v>
      </c>
      <c r="AM186" s="217">
        <v>0.0</v>
      </c>
      <c r="AN186" s="215">
        <v>0.0</v>
      </c>
      <c r="AO186" s="216">
        <v>0.0</v>
      </c>
      <c r="AP186" s="217">
        <v>0.0</v>
      </c>
      <c r="AQ186" s="215">
        <v>0.0</v>
      </c>
      <c r="AR186" s="216">
        <v>0.0</v>
      </c>
      <c r="AS186" s="217">
        <v>0.0</v>
      </c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</row>
    <row r="187" ht="12.0" customHeight="1">
      <c r="A187" s="8"/>
      <c r="B187" s="8"/>
      <c r="C187" s="270" t="s">
        <v>73</v>
      </c>
      <c r="D187" s="51">
        <f t="shared" ref="D187:AS187" si="93">SUM(D175:D186)</f>
        <v>3</v>
      </c>
      <c r="E187" s="52">
        <f t="shared" si="93"/>
        <v>3</v>
      </c>
      <c r="F187" s="52">
        <f t="shared" si="93"/>
        <v>3</v>
      </c>
      <c r="G187" s="51">
        <f t="shared" si="93"/>
        <v>3</v>
      </c>
      <c r="H187" s="52">
        <f t="shared" si="93"/>
        <v>3</v>
      </c>
      <c r="I187" s="53">
        <f t="shared" si="93"/>
        <v>3</v>
      </c>
      <c r="J187" s="51">
        <f t="shared" si="93"/>
        <v>3</v>
      </c>
      <c r="K187" s="52">
        <f t="shared" si="93"/>
        <v>3</v>
      </c>
      <c r="L187" s="53">
        <f t="shared" si="93"/>
        <v>3</v>
      </c>
      <c r="M187" s="51">
        <f t="shared" si="93"/>
        <v>3</v>
      </c>
      <c r="N187" s="52">
        <f t="shared" si="93"/>
        <v>3</v>
      </c>
      <c r="O187" s="53">
        <f t="shared" si="93"/>
        <v>3</v>
      </c>
      <c r="P187" s="51">
        <f t="shared" si="93"/>
        <v>3</v>
      </c>
      <c r="Q187" s="52">
        <f t="shared" si="93"/>
        <v>3</v>
      </c>
      <c r="R187" s="53">
        <f t="shared" si="93"/>
        <v>3</v>
      </c>
      <c r="S187" s="51">
        <f t="shared" si="93"/>
        <v>3</v>
      </c>
      <c r="T187" s="52">
        <f t="shared" si="93"/>
        <v>3</v>
      </c>
      <c r="U187" s="53">
        <f t="shared" si="93"/>
        <v>3</v>
      </c>
      <c r="V187" s="51">
        <f t="shared" si="93"/>
        <v>3</v>
      </c>
      <c r="W187" s="52">
        <f t="shared" si="93"/>
        <v>3</v>
      </c>
      <c r="X187" s="53">
        <f t="shared" si="93"/>
        <v>3</v>
      </c>
      <c r="Y187" s="51">
        <f t="shared" si="93"/>
        <v>3</v>
      </c>
      <c r="Z187" s="52">
        <f t="shared" si="93"/>
        <v>3</v>
      </c>
      <c r="AA187" s="53">
        <f t="shared" si="93"/>
        <v>3</v>
      </c>
      <c r="AB187" s="51">
        <f t="shared" si="93"/>
        <v>3</v>
      </c>
      <c r="AC187" s="52">
        <f t="shared" si="93"/>
        <v>3</v>
      </c>
      <c r="AD187" s="53">
        <f t="shared" si="93"/>
        <v>3</v>
      </c>
      <c r="AE187" s="51">
        <f t="shared" si="93"/>
        <v>3</v>
      </c>
      <c r="AF187" s="52">
        <f t="shared" si="93"/>
        <v>3</v>
      </c>
      <c r="AG187" s="53">
        <f t="shared" si="93"/>
        <v>3</v>
      </c>
      <c r="AH187" s="51">
        <f t="shared" si="93"/>
        <v>3</v>
      </c>
      <c r="AI187" s="52">
        <f t="shared" si="93"/>
        <v>3</v>
      </c>
      <c r="AJ187" s="53">
        <f t="shared" si="93"/>
        <v>3</v>
      </c>
      <c r="AK187" s="51">
        <f t="shared" si="93"/>
        <v>3</v>
      </c>
      <c r="AL187" s="52">
        <f t="shared" si="93"/>
        <v>3</v>
      </c>
      <c r="AM187" s="53">
        <f t="shared" si="93"/>
        <v>3</v>
      </c>
      <c r="AN187" s="51">
        <f t="shared" si="93"/>
        <v>3</v>
      </c>
      <c r="AO187" s="52">
        <f t="shared" si="93"/>
        <v>3</v>
      </c>
      <c r="AP187" s="53">
        <f t="shared" si="93"/>
        <v>3</v>
      </c>
      <c r="AQ187" s="51">
        <f t="shared" si="93"/>
        <v>3</v>
      </c>
      <c r="AR187" s="52">
        <f t="shared" si="93"/>
        <v>3</v>
      </c>
      <c r="AS187" s="53">
        <f t="shared" si="93"/>
        <v>3</v>
      </c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</row>
    <row r="188" ht="12.0" customHeight="1">
      <c r="A188" s="8"/>
      <c r="B188" s="8"/>
      <c r="C188" s="8"/>
      <c r="D188" s="51"/>
      <c r="E188" s="52"/>
      <c r="F188" s="52"/>
      <c r="G188" s="51"/>
      <c r="H188" s="52"/>
      <c r="I188" s="53"/>
      <c r="J188" s="51"/>
      <c r="K188" s="52"/>
      <c r="L188" s="53"/>
      <c r="M188" s="51"/>
      <c r="N188" s="52"/>
      <c r="O188" s="53"/>
      <c r="P188" s="51"/>
      <c r="Q188" s="52"/>
      <c r="R188" s="53"/>
      <c r="S188" s="51"/>
      <c r="T188" s="52"/>
      <c r="U188" s="53"/>
      <c r="V188" s="51"/>
      <c r="W188" s="52"/>
      <c r="X188" s="53"/>
      <c r="Y188" s="51"/>
      <c r="Z188" s="52"/>
      <c r="AA188" s="53"/>
      <c r="AB188" s="51"/>
      <c r="AC188" s="52"/>
      <c r="AD188" s="53"/>
      <c r="AE188" s="51"/>
      <c r="AF188" s="52"/>
      <c r="AG188" s="53"/>
      <c r="AH188" s="51"/>
      <c r="AI188" s="52"/>
      <c r="AJ188" s="53"/>
      <c r="AK188" s="51"/>
      <c r="AL188" s="52"/>
      <c r="AM188" s="53"/>
      <c r="AN188" s="51"/>
      <c r="AO188" s="52"/>
      <c r="AP188" s="53"/>
      <c r="AQ188" s="51"/>
      <c r="AR188" s="52"/>
      <c r="AS188" s="53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</row>
    <row r="189" ht="12.0" customHeight="1">
      <c r="A189" s="4"/>
      <c r="B189" s="270" t="s">
        <v>21</v>
      </c>
      <c r="C189" s="4"/>
      <c r="D189" s="64"/>
      <c r="E189" s="4"/>
      <c r="F189" s="4"/>
      <c r="G189" s="64"/>
      <c r="H189" s="4"/>
      <c r="I189" s="65"/>
      <c r="J189" s="64"/>
      <c r="K189" s="4"/>
      <c r="L189" s="65"/>
      <c r="M189" s="64"/>
      <c r="N189" s="4"/>
      <c r="O189" s="65"/>
      <c r="P189" s="64"/>
      <c r="Q189" s="4"/>
      <c r="R189" s="65"/>
      <c r="S189" s="64"/>
      <c r="T189" s="4"/>
      <c r="U189" s="65"/>
      <c r="V189" s="64"/>
      <c r="W189" s="4"/>
      <c r="X189" s="65"/>
      <c r="Y189" s="64"/>
      <c r="Z189" s="4"/>
      <c r="AA189" s="65"/>
      <c r="AB189" s="64"/>
      <c r="AC189" s="4"/>
      <c r="AD189" s="65"/>
      <c r="AE189" s="64"/>
      <c r="AF189" s="4"/>
      <c r="AG189" s="65"/>
      <c r="AH189" s="64"/>
      <c r="AI189" s="4"/>
      <c r="AJ189" s="65"/>
      <c r="AK189" s="64"/>
      <c r="AL189" s="4"/>
      <c r="AM189" s="65"/>
      <c r="AN189" s="64"/>
      <c r="AO189" s="4"/>
      <c r="AP189" s="65"/>
      <c r="AQ189" s="64"/>
      <c r="AR189" s="4"/>
      <c r="AS189" s="65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</row>
    <row r="190" ht="12.0" customHeight="1">
      <c r="A190" s="4"/>
      <c r="B190" s="4"/>
      <c r="C190" s="37" t="str">
        <f>Macro!B126</f>
        <v>VP</v>
      </c>
      <c r="D190" s="212">
        <v>0.0</v>
      </c>
      <c r="E190" s="213">
        <v>0.0</v>
      </c>
      <c r="F190" s="213">
        <v>0.0</v>
      </c>
      <c r="G190" s="212">
        <v>0.0</v>
      </c>
      <c r="H190" s="213">
        <v>0.0</v>
      </c>
      <c r="I190" s="214">
        <v>0.0</v>
      </c>
      <c r="J190" s="212">
        <v>0.0</v>
      </c>
      <c r="K190" s="213">
        <v>0.0</v>
      </c>
      <c r="L190" s="214">
        <v>0.0</v>
      </c>
      <c r="M190" s="212">
        <v>0.0</v>
      </c>
      <c r="N190" s="213">
        <v>0.0</v>
      </c>
      <c r="O190" s="214">
        <v>0.0</v>
      </c>
      <c r="P190" s="212">
        <v>0.0</v>
      </c>
      <c r="Q190" s="213">
        <v>0.0</v>
      </c>
      <c r="R190" s="214">
        <v>0.0</v>
      </c>
      <c r="S190" s="212">
        <v>0.0</v>
      </c>
      <c r="T190" s="213">
        <v>0.0</v>
      </c>
      <c r="U190" s="214">
        <v>0.0</v>
      </c>
      <c r="V190" s="212">
        <v>0.0</v>
      </c>
      <c r="W190" s="213">
        <v>0.0</v>
      </c>
      <c r="X190" s="214">
        <v>0.0</v>
      </c>
      <c r="Y190" s="212">
        <v>0.0</v>
      </c>
      <c r="Z190" s="213">
        <v>0.0</v>
      </c>
      <c r="AA190" s="214">
        <v>0.0</v>
      </c>
      <c r="AB190" s="212">
        <v>0.0</v>
      </c>
      <c r="AC190" s="213">
        <v>0.0</v>
      </c>
      <c r="AD190" s="214">
        <v>0.0</v>
      </c>
      <c r="AE190" s="212">
        <v>0.0</v>
      </c>
      <c r="AF190" s="213">
        <v>0.0</v>
      </c>
      <c r="AG190" s="214">
        <v>0.0</v>
      </c>
      <c r="AH190" s="212">
        <v>1.0</v>
      </c>
      <c r="AI190" s="213">
        <v>1.0</v>
      </c>
      <c r="AJ190" s="214">
        <v>1.0</v>
      </c>
      <c r="AK190" s="212">
        <v>1.0</v>
      </c>
      <c r="AL190" s="213">
        <v>1.0</v>
      </c>
      <c r="AM190" s="214">
        <v>1.0</v>
      </c>
      <c r="AN190" s="212">
        <v>1.0</v>
      </c>
      <c r="AO190" s="213">
        <v>1.0</v>
      </c>
      <c r="AP190" s="214">
        <v>1.0</v>
      </c>
      <c r="AQ190" s="212">
        <v>1.0</v>
      </c>
      <c r="AR190" s="213">
        <v>1.0</v>
      </c>
      <c r="AS190" s="214">
        <v>1.0</v>
      </c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</row>
    <row r="191" ht="12.0" customHeight="1">
      <c r="A191" s="4"/>
      <c r="B191" s="4"/>
      <c r="C191" s="37" t="str">
        <f>Macro!B127</f>
        <v>CS Director</v>
      </c>
      <c r="D191" s="212">
        <v>2.0</v>
      </c>
      <c r="E191" s="213">
        <v>2.0</v>
      </c>
      <c r="F191" s="213">
        <v>2.0</v>
      </c>
      <c r="G191" s="212">
        <v>2.0</v>
      </c>
      <c r="H191" s="213">
        <v>2.0</v>
      </c>
      <c r="I191" s="214">
        <v>2.0</v>
      </c>
      <c r="J191" s="212">
        <v>2.0</v>
      </c>
      <c r="K191" s="213">
        <v>2.0</v>
      </c>
      <c r="L191" s="214">
        <v>2.0</v>
      </c>
      <c r="M191" s="212">
        <v>2.0</v>
      </c>
      <c r="N191" s="213">
        <v>3.0</v>
      </c>
      <c r="O191" s="214">
        <v>3.0</v>
      </c>
      <c r="P191" s="212">
        <v>3.0</v>
      </c>
      <c r="Q191" s="213">
        <v>3.0</v>
      </c>
      <c r="R191" s="214">
        <v>3.0</v>
      </c>
      <c r="S191" s="212">
        <v>4.0</v>
      </c>
      <c r="T191" s="213">
        <v>4.0</v>
      </c>
      <c r="U191" s="214">
        <v>4.0</v>
      </c>
      <c r="V191" s="212">
        <v>4.0</v>
      </c>
      <c r="W191" s="213">
        <v>4.0</v>
      </c>
      <c r="X191" s="214">
        <v>4.0</v>
      </c>
      <c r="Y191" s="212">
        <v>5.0</v>
      </c>
      <c r="Z191" s="213">
        <v>5.0</v>
      </c>
      <c r="AA191" s="214">
        <v>5.0</v>
      </c>
      <c r="AB191" s="212">
        <v>5.0</v>
      </c>
      <c r="AC191" s="213">
        <v>5.0</v>
      </c>
      <c r="AD191" s="214">
        <v>5.0</v>
      </c>
      <c r="AE191" s="212">
        <v>6.0</v>
      </c>
      <c r="AF191" s="213">
        <v>6.0</v>
      </c>
      <c r="AG191" s="214">
        <v>6.0</v>
      </c>
      <c r="AH191" s="212">
        <v>6.0</v>
      </c>
      <c r="AI191" s="213">
        <v>6.0</v>
      </c>
      <c r="AJ191" s="214">
        <v>6.0</v>
      </c>
      <c r="AK191" s="212">
        <v>7.0</v>
      </c>
      <c r="AL191" s="213">
        <v>7.0</v>
      </c>
      <c r="AM191" s="214">
        <v>7.0</v>
      </c>
      <c r="AN191" s="212">
        <v>7.0</v>
      </c>
      <c r="AO191" s="213">
        <v>7.0</v>
      </c>
      <c r="AP191" s="214">
        <v>7.0</v>
      </c>
      <c r="AQ191" s="212">
        <v>8.0</v>
      </c>
      <c r="AR191" s="213">
        <v>8.0</v>
      </c>
      <c r="AS191" s="214">
        <v>8.0</v>
      </c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</row>
    <row r="192" ht="12.0" customHeight="1">
      <c r="A192" s="4"/>
      <c r="B192" s="4"/>
      <c r="C192" s="37" t="str">
        <f>Macro!B128</f>
        <v>CS Engineer</v>
      </c>
      <c r="D192" s="212">
        <v>0.0</v>
      </c>
      <c r="E192" s="213">
        <v>0.0</v>
      </c>
      <c r="F192" s="213">
        <v>0.0</v>
      </c>
      <c r="G192" s="212">
        <v>0.0</v>
      </c>
      <c r="H192" s="213">
        <v>0.0</v>
      </c>
      <c r="I192" s="214">
        <v>0.0</v>
      </c>
      <c r="J192" s="212">
        <v>0.0</v>
      </c>
      <c r="K192" s="213">
        <v>0.0</v>
      </c>
      <c r="L192" s="214">
        <v>0.0</v>
      </c>
      <c r="M192" s="212">
        <v>0.0</v>
      </c>
      <c r="N192" s="213">
        <v>0.0</v>
      </c>
      <c r="O192" s="214">
        <v>0.0</v>
      </c>
      <c r="P192" s="212">
        <v>0.0</v>
      </c>
      <c r="Q192" s="213">
        <v>0.0</v>
      </c>
      <c r="R192" s="214">
        <v>0.0</v>
      </c>
      <c r="S192" s="212">
        <v>0.0</v>
      </c>
      <c r="T192" s="213">
        <v>0.0</v>
      </c>
      <c r="U192" s="214">
        <v>0.0</v>
      </c>
      <c r="V192" s="212">
        <v>0.0</v>
      </c>
      <c r="W192" s="213">
        <v>0.0</v>
      </c>
      <c r="X192" s="214">
        <v>0.0</v>
      </c>
      <c r="Y192" s="212">
        <v>0.0</v>
      </c>
      <c r="Z192" s="213">
        <v>0.0</v>
      </c>
      <c r="AA192" s="214">
        <v>0.0</v>
      </c>
      <c r="AB192" s="212">
        <v>0.0</v>
      </c>
      <c r="AC192" s="213">
        <v>0.0</v>
      </c>
      <c r="AD192" s="214">
        <v>0.0</v>
      </c>
      <c r="AE192" s="212">
        <v>0.0</v>
      </c>
      <c r="AF192" s="213">
        <v>0.0</v>
      </c>
      <c r="AG192" s="214">
        <v>0.0</v>
      </c>
      <c r="AH192" s="212">
        <v>0.0</v>
      </c>
      <c r="AI192" s="213">
        <v>0.0</v>
      </c>
      <c r="AJ192" s="214">
        <v>0.0</v>
      </c>
      <c r="AK192" s="212">
        <v>0.0</v>
      </c>
      <c r="AL192" s="213">
        <v>0.0</v>
      </c>
      <c r="AM192" s="214">
        <v>0.0</v>
      </c>
      <c r="AN192" s="212">
        <v>0.0</v>
      </c>
      <c r="AO192" s="213">
        <v>0.0</v>
      </c>
      <c r="AP192" s="214">
        <v>0.0</v>
      </c>
      <c r="AQ192" s="212">
        <v>0.0</v>
      </c>
      <c r="AR192" s="213">
        <v>0.0</v>
      </c>
      <c r="AS192" s="214">
        <v>0.0</v>
      </c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</row>
    <row r="193" ht="12.0" customHeight="1">
      <c r="A193" s="4"/>
      <c r="B193" s="4"/>
      <c r="C193" s="37" t="str">
        <f>Macro!B129</f>
        <v>[XX]</v>
      </c>
      <c r="D193" s="218"/>
      <c r="E193" s="219"/>
      <c r="F193" s="219"/>
      <c r="G193" s="218"/>
      <c r="H193" s="219"/>
      <c r="I193" s="220"/>
      <c r="J193" s="218"/>
      <c r="K193" s="219"/>
      <c r="L193" s="220"/>
      <c r="M193" s="218"/>
      <c r="N193" s="219"/>
      <c r="O193" s="220"/>
      <c r="P193" s="218"/>
      <c r="Q193" s="219"/>
      <c r="R193" s="220"/>
      <c r="S193" s="218"/>
      <c r="T193" s="219"/>
      <c r="U193" s="220"/>
      <c r="V193" s="218"/>
      <c r="W193" s="219"/>
      <c r="X193" s="220"/>
      <c r="Y193" s="218"/>
      <c r="Z193" s="219"/>
      <c r="AA193" s="220"/>
      <c r="AB193" s="218"/>
      <c r="AC193" s="219"/>
      <c r="AD193" s="220"/>
      <c r="AE193" s="218"/>
      <c r="AF193" s="219"/>
      <c r="AG193" s="220"/>
      <c r="AH193" s="218"/>
      <c r="AI193" s="219"/>
      <c r="AJ193" s="220"/>
      <c r="AK193" s="218"/>
      <c r="AL193" s="219"/>
      <c r="AM193" s="220"/>
      <c r="AN193" s="218"/>
      <c r="AO193" s="219"/>
      <c r="AP193" s="220"/>
      <c r="AQ193" s="218"/>
      <c r="AR193" s="219"/>
      <c r="AS193" s="220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</row>
    <row r="194" ht="12.0" customHeight="1">
      <c r="A194" s="4"/>
      <c r="B194" s="4"/>
      <c r="C194" s="37" t="str">
        <f>Macro!B130</f>
        <v>[XX]</v>
      </c>
      <c r="D194" s="218"/>
      <c r="E194" s="219"/>
      <c r="F194" s="219"/>
      <c r="G194" s="218"/>
      <c r="H194" s="219"/>
      <c r="I194" s="220"/>
      <c r="J194" s="218"/>
      <c r="K194" s="219"/>
      <c r="L194" s="220"/>
      <c r="M194" s="218"/>
      <c r="N194" s="219"/>
      <c r="O194" s="220"/>
      <c r="P194" s="218"/>
      <c r="Q194" s="219"/>
      <c r="R194" s="220"/>
      <c r="S194" s="218"/>
      <c r="T194" s="219"/>
      <c r="U194" s="220"/>
      <c r="V194" s="218"/>
      <c r="W194" s="219"/>
      <c r="X194" s="220"/>
      <c r="Y194" s="218"/>
      <c r="Z194" s="219"/>
      <c r="AA194" s="220"/>
      <c r="AB194" s="218"/>
      <c r="AC194" s="219"/>
      <c r="AD194" s="220"/>
      <c r="AE194" s="218"/>
      <c r="AF194" s="219"/>
      <c r="AG194" s="220"/>
      <c r="AH194" s="218"/>
      <c r="AI194" s="219"/>
      <c r="AJ194" s="220"/>
      <c r="AK194" s="218"/>
      <c r="AL194" s="219"/>
      <c r="AM194" s="220"/>
      <c r="AN194" s="218"/>
      <c r="AO194" s="219"/>
      <c r="AP194" s="220"/>
      <c r="AQ194" s="218"/>
      <c r="AR194" s="219"/>
      <c r="AS194" s="220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</row>
    <row r="195" ht="12.0" customHeight="1">
      <c r="A195" s="4"/>
      <c r="B195" s="4"/>
      <c r="C195" s="37" t="str">
        <f>Macro!B131</f>
        <v>[XX]</v>
      </c>
      <c r="D195" s="218"/>
      <c r="E195" s="219"/>
      <c r="F195" s="219"/>
      <c r="G195" s="218"/>
      <c r="H195" s="219"/>
      <c r="I195" s="220"/>
      <c r="J195" s="218"/>
      <c r="K195" s="219"/>
      <c r="L195" s="220"/>
      <c r="M195" s="218"/>
      <c r="N195" s="219"/>
      <c r="O195" s="220"/>
      <c r="P195" s="218"/>
      <c r="Q195" s="219"/>
      <c r="R195" s="220"/>
      <c r="S195" s="218"/>
      <c r="T195" s="219"/>
      <c r="U195" s="220"/>
      <c r="V195" s="218"/>
      <c r="W195" s="219"/>
      <c r="X195" s="220"/>
      <c r="Y195" s="218"/>
      <c r="Z195" s="219"/>
      <c r="AA195" s="220"/>
      <c r="AB195" s="218"/>
      <c r="AC195" s="219"/>
      <c r="AD195" s="220"/>
      <c r="AE195" s="218"/>
      <c r="AF195" s="219"/>
      <c r="AG195" s="220"/>
      <c r="AH195" s="218"/>
      <c r="AI195" s="219"/>
      <c r="AJ195" s="220"/>
      <c r="AK195" s="218"/>
      <c r="AL195" s="219"/>
      <c r="AM195" s="220"/>
      <c r="AN195" s="218"/>
      <c r="AO195" s="219"/>
      <c r="AP195" s="220"/>
      <c r="AQ195" s="218"/>
      <c r="AR195" s="219"/>
      <c r="AS195" s="220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</row>
    <row r="196" ht="12.0" customHeight="1">
      <c r="A196" s="4"/>
      <c r="B196" s="4"/>
      <c r="C196" s="37" t="str">
        <f>Macro!B132</f>
        <v>[XX]</v>
      </c>
      <c r="D196" s="218"/>
      <c r="E196" s="219"/>
      <c r="F196" s="219"/>
      <c r="G196" s="218"/>
      <c r="H196" s="219"/>
      <c r="I196" s="220"/>
      <c r="J196" s="218"/>
      <c r="K196" s="219"/>
      <c r="L196" s="220"/>
      <c r="M196" s="218"/>
      <c r="N196" s="219"/>
      <c r="O196" s="220"/>
      <c r="P196" s="218"/>
      <c r="Q196" s="219"/>
      <c r="R196" s="220"/>
      <c r="S196" s="218"/>
      <c r="T196" s="219"/>
      <c r="U196" s="220"/>
      <c r="V196" s="218"/>
      <c r="W196" s="219"/>
      <c r="X196" s="220"/>
      <c r="Y196" s="218"/>
      <c r="Z196" s="219"/>
      <c r="AA196" s="220"/>
      <c r="AB196" s="218"/>
      <c r="AC196" s="219"/>
      <c r="AD196" s="220"/>
      <c r="AE196" s="218"/>
      <c r="AF196" s="219"/>
      <c r="AG196" s="220"/>
      <c r="AH196" s="218"/>
      <c r="AI196" s="219"/>
      <c r="AJ196" s="220"/>
      <c r="AK196" s="218"/>
      <c r="AL196" s="219"/>
      <c r="AM196" s="220"/>
      <c r="AN196" s="218"/>
      <c r="AO196" s="219"/>
      <c r="AP196" s="220"/>
      <c r="AQ196" s="218"/>
      <c r="AR196" s="219"/>
      <c r="AS196" s="220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</row>
    <row r="197" ht="12.0" customHeight="1">
      <c r="A197" s="4"/>
      <c r="B197" s="4"/>
      <c r="C197" s="37" t="str">
        <f>Macro!B133</f>
        <v>[XX]</v>
      </c>
      <c r="D197" s="278"/>
      <c r="E197" s="279"/>
      <c r="F197" s="279"/>
      <c r="G197" s="278"/>
      <c r="H197" s="279"/>
      <c r="I197" s="280"/>
      <c r="J197" s="278"/>
      <c r="K197" s="279"/>
      <c r="L197" s="280"/>
      <c r="M197" s="278"/>
      <c r="N197" s="279"/>
      <c r="O197" s="280"/>
      <c r="P197" s="278"/>
      <c r="Q197" s="279"/>
      <c r="R197" s="280"/>
      <c r="S197" s="278"/>
      <c r="T197" s="279"/>
      <c r="U197" s="280"/>
      <c r="V197" s="278"/>
      <c r="W197" s="279"/>
      <c r="X197" s="280"/>
      <c r="Y197" s="278"/>
      <c r="Z197" s="279"/>
      <c r="AA197" s="280"/>
      <c r="AB197" s="278"/>
      <c r="AC197" s="279"/>
      <c r="AD197" s="280"/>
      <c r="AE197" s="278"/>
      <c r="AF197" s="279"/>
      <c r="AG197" s="280"/>
      <c r="AH197" s="278"/>
      <c r="AI197" s="279"/>
      <c r="AJ197" s="280"/>
      <c r="AK197" s="278"/>
      <c r="AL197" s="279"/>
      <c r="AM197" s="280"/>
      <c r="AN197" s="278"/>
      <c r="AO197" s="279"/>
      <c r="AP197" s="280"/>
      <c r="AQ197" s="278"/>
      <c r="AR197" s="279"/>
      <c r="AS197" s="280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</row>
    <row r="198" ht="12.0" customHeight="1">
      <c r="A198" s="8"/>
      <c r="B198" s="8"/>
      <c r="C198" s="270" t="s">
        <v>73</v>
      </c>
      <c r="D198" s="51">
        <f t="shared" ref="D198:AS198" si="94">SUM(D190:D197)</f>
        <v>2</v>
      </c>
      <c r="E198" s="52">
        <f t="shared" si="94"/>
        <v>2</v>
      </c>
      <c r="F198" s="52">
        <f t="shared" si="94"/>
        <v>2</v>
      </c>
      <c r="G198" s="51">
        <f t="shared" si="94"/>
        <v>2</v>
      </c>
      <c r="H198" s="52">
        <f t="shared" si="94"/>
        <v>2</v>
      </c>
      <c r="I198" s="53">
        <f t="shared" si="94"/>
        <v>2</v>
      </c>
      <c r="J198" s="51">
        <f t="shared" si="94"/>
        <v>2</v>
      </c>
      <c r="K198" s="52">
        <f t="shared" si="94"/>
        <v>2</v>
      </c>
      <c r="L198" s="53">
        <f t="shared" si="94"/>
        <v>2</v>
      </c>
      <c r="M198" s="51">
        <f t="shared" si="94"/>
        <v>2</v>
      </c>
      <c r="N198" s="52">
        <f t="shared" si="94"/>
        <v>3</v>
      </c>
      <c r="O198" s="53">
        <f t="shared" si="94"/>
        <v>3</v>
      </c>
      <c r="P198" s="51">
        <f t="shared" si="94"/>
        <v>3</v>
      </c>
      <c r="Q198" s="52">
        <f t="shared" si="94"/>
        <v>3</v>
      </c>
      <c r="R198" s="53">
        <f t="shared" si="94"/>
        <v>3</v>
      </c>
      <c r="S198" s="51">
        <f t="shared" si="94"/>
        <v>4</v>
      </c>
      <c r="T198" s="52">
        <f t="shared" si="94"/>
        <v>4</v>
      </c>
      <c r="U198" s="53">
        <f t="shared" si="94"/>
        <v>4</v>
      </c>
      <c r="V198" s="51">
        <f t="shared" si="94"/>
        <v>4</v>
      </c>
      <c r="W198" s="52">
        <f t="shared" si="94"/>
        <v>4</v>
      </c>
      <c r="X198" s="53">
        <f t="shared" si="94"/>
        <v>4</v>
      </c>
      <c r="Y198" s="51">
        <f t="shared" si="94"/>
        <v>5</v>
      </c>
      <c r="Z198" s="52">
        <f t="shared" si="94"/>
        <v>5</v>
      </c>
      <c r="AA198" s="53">
        <f t="shared" si="94"/>
        <v>5</v>
      </c>
      <c r="AB198" s="51">
        <f t="shared" si="94"/>
        <v>5</v>
      </c>
      <c r="AC198" s="52">
        <f t="shared" si="94"/>
        <v>5</v>
      </c>
      <c r="AD198" s="53">
        <f t="shared" si="94"/>
        <v>5</v>
      </c>
      <c r="AE198" s="51">
        <f t="shared" si="94"/>
        <v>6</v>
      </c>
      <c r="AF198" s="52">
        <f t="shared" si="94"/>
        <v>6</v>
      </c>
      <c r="AG198" s="53">
        <f t="shared" si="94"/>
        <v>6</v>
      </c>
      <c r="AH198" s="51">
        <f t="shared" si="94"/>
        <v>7</v>
      </c>
      <c r="AI198" s="52">
        <f t="shared" si="94"/>
        <v>7</v>
      </c>
      <c r="AJ198" s="53">
        <f t="shared" si="94"/>
        <v>7</v>
      </c>
      <c r="AK198" s="51">
        <f t="shared" si="94"/>
        <v>8</v>
      </c>
      <c r="AL198" s="52">
        <f t="shared" si="94"/>
        <v>8</v>
      </c>
      <c r="AM198" s="53">
        <f t="shared" si="94"/>
        <v>8</v>
      </c>
      <c r="AN198" s="51">
        <f t="shared" si="94"/>
        <v>8</v>
      </c>
      <c r="AO198" s="52">
        <f t="shared" si="94"/>
        <v>8</v>
      </c>
      <c r="AP198" s="53">
        <f t="shared" si="94"/>
        <v>8</v>
      </c>
      <c r="AQ198" s="51">
        <f t="shared" si="94"/>
        <v>9</v>
      </c>
      <c r="AR198" s="52">
        <f t="shared" si="94"/>
        <v>9</v>
      </c>
      <c r="AS198" s="53">
        <f t="shared" si="94"/>
        <v>9</v>
      </c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</row>
    <row r="199" ht="12.0" customHeight="1">
      <c r="A199" s="4"/>
      <c r="B199" s="4"/>
      <c r="C199" s="4"/>
      <c r="D199" s="64"/>
      <c r="E199" s="4"/>
      <c r="F199" s="4"/>
      <c r="G199" s="64"/>
      <c r="H199" s="4"/>
      <c r="I199" s="65"/>
      <c r="J199" s="64"/>
      <c r="K199" s="4"/>
      <c r="L199" s="65"/>
      <c r="M199" s="64"/>
      <c r="N199" s="4"/>
      <c r="O199" s="65"/>
      <c r="P199" s="64"/>
      <c r="Q199" s="4"/>
      <c r="R199" s="65"/>
      <c r="S199" s="64"/>
      <c r="T199" s="4"/>
      <c r="U199" s="65"/>
      <c r="V199" s="64"/>
      <c r="W199" s="4"/>
      <c r="X199" s="65"/>
      <c r="Y199" s="64"/>
      <c r="Z199" s="4"/>
      <c r="AA199" s="65"/>
      <c r="AB199" s="64"/>
      <c r="AC199" s="4"/>
      <c r="AD199" s="65"/>
      <c r="AE199" s="64"/>
      <c r="AF199" s="4"/>
      <c r="AG199" s="65"/>
      <c r="AH199" s="64"/>
      <c r="AI199" s="4"/>
      <c r="AJ199" s="65"/>
      <c r="AK199" s="64"/>
      <c r="AL199" s="4"/>
      <c r="AM199" s="65"/>
      <c r="AN199" s="64"/>
      <c r="AO199" s="4"/>
      <c r="AP199" s="65"/>
      <c r="AQ199" s="64"/>
      <c r="AR199" s="4"/>
      <c r="AS199" s="65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</row>
    <row r="200" ht="12.0" customHeight="1">
      <c r="A200" s="4"/>
      <c r="B200" s="270" t="s">
        <v>132</v>
      </c>
      <c r="C200" s="4"/>
      <c r="D200" s="64"/>
      <c r="E200" s="4"/>
      <c r="F200" s="4"/>
      <c r="G200" s="64"/>
      <c r="H200" s="4"/>
      <c r="I200" s="65"/>
      <c r="J200" s="64"/>
      <c r="K200" s="4"/>
      <c r="L200" s="65"/>
      <c r="M200" s="64"/>
      <c r="N200" s="4"/>
      <c r="O200" s="65"/>
      <c r="P200" s="64"/>
      <c r="Q200" s="4"/>
      <c r="R200" s="65"/>
      <c r="S200" s="64"/>
      <c r="T200" s="4"/>
      <c r="U200" s="65"/>
      <c r="V200" s="64"/>
      <c r="W200" s="4"/>
      <c r="X200" s="65"/>
      <c r="Y200" s="64"/>
      <c r="Z200" s="4"/>
      <c r="AA200" s="65"/>
      <c r="AB200" s="64"/>
      <c r="AC200" s="4"/>
      <c r="AD200" s="65"/>
      <c r="AE200" s="64"/>
      <c r="AF200" s="4"/>
      <c r="AG200" s="65"/>
      <c r="AH200" s="64"/>
      <c r="AI200" s="4"/>
      <c r="AJ200" s="65"/>
      <c r="AK200" s="64"/>
      <c r="AL200" s="4"/>
      <c r="AM200" s="65"/>
      <c r="AN200" s="64"/>
      <c r="AO200" s="4"/>
      <c r="AP200" s="65"/>
      <c r="AQ200" s="64"/>
      <c r="AR200" s="4"/>
      <c r="AS200" s="65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</row>
    <row r="201" ht="12.0" customHeight="1">
      <c r="A201" s="4"/>
      <c r="B201" s="4"/>
      <c r="C201" s="37" t="str">
        <f>Macro!B136</f>
        <v>CEO</v>
      </c>
      <c r="D201" s="212">
        <v>1.0</v>
      </c>
      <c r="E201" s="213">
        <v>1.0</v>
      </c>
      <c r="F201" s="213">
        <v>1.0</v>
      </c>
      <c r="G201" s="212">
        <v>1.0</v>
      </c>
      <c r="H201" s="213">
        <v>1.0</v>
      </c>
      <c r="I201" s="214">
        <v>1.0</v>
      </c>
      <c r="J201" s="212">
        <v>1.0</v>
      </c>
      <c r="K201" s="213">
        <v>1.0</v>
      </c>
      <c r="L201" s="214">
        <v>1.0</v>
      </c>
      <c r="M201" s="212">
        <v>1.0</v>
      </c>
      <c r="N201" s="213">
        <v>1.0</v>
      </c>
      <c r="O201" s="214">
        <v>1.0</v>
      </c>
      <c r="P201" s="212">
        <v>1.0</v>
      </c>
      <c r="Q201" s="213">
        <v>1.0</v>
      </c>
      <c r="R201" s="214">
        <v>1.0</v>
      </c>
      <c r="S201" s="212">
        <v>1.0</v>
      </c>
      <c r="T201" s="213">
        <v>1.0</v>
      </c>
      <c r="U201" s="214">
        <v>1.0</v>
      </c>
      <c r="V201" s="212">
        <v>1.0</v>
      </c>
      <c r="W201" s="213">
        <v>1.0</v>
      </c>
      <c r="X201" s="214">
        <v>1.0</v>
      </c>
      <c r="Y201" s="212">
        <v>1.0</v>
      </c>
      <c r="Z201" s="213">
        <v>1.0</v>
      </c>
      <c r="AA201" s="214">
        <v>1.0</v>
      </c>
      <c r="AB201" s="212">
        <v>1.0</v>
      </c>
      <c r="AC201" s="213">
        <v>1.0</v>
      </c>
      <c r="AD201" s="214">
        <v>1.0</v>
      </c>
      <c r="AE201" s="212">
        <v>1.0</v>
      </c>
      <c r="AF201" s="213">
        <v>1.0</v>
      </c>
      <c r="AG201" s="214">
        <v>1.0</v>
      </c>
      <c r="AH201" s="212">
        <v>1.0</v>
      </c>
      <c r="AI201" s="213">
        <v>1.0</v>
      </c>
      <c r="AJ201" s="214">
        <v>1.0</v>
      </c>
      <c r="AK201" s="212">
        <v>1.0</v>
      </c>
      <c r="AL201" s="213">
        <v>1.0</v>
      </c>
      <c r="AM201" s="214">
        <v>1.0</v>
      </c>
      <c r="AN201" s="212">
        <v>1.0</v>
      </c>
      <c r="AO201" s="213">
        <v>1.0</v>
      </c>
      <c r="AP201" s="214">
        <v>1.0</v>
      </c>
      <c r="AQ201" s="212">
        <v>1.0</v>
      </c>
      <c r="AR201" s="213">
        <v>1.0</v>
      </c>
      <c r="AS201" s="214">
        <v>1.0</v>
      </c>
      <c r="AT201" s="210"/>
      <c r="AU201" s="210"/>
      <c r="AV201" s="210"/>
      <c r="AW201" s="210"/>
      <c r="AX201" s="210"/>
      <c r="AY201" s="210"/>
      <c r="AZ201" s="210"/>
      <c r="BA201" s="210"/>
      <c r="BB201" s="210"/>
      <c r="BC201" s="210"/>
      <c r="BD201" s="210"/>
      <c r="BE201" s="210"/>
      <c r="BF201" s="210"/>
      <c r="BG201" s="210"/>
      <c r="BH201" s="210"/>
      <c r="BI201" s="210"/>
      <c r="BJ201" s="210"/>
      <c r="BK201" s="210"/>
      <c r="BL201" s="210"/>
      <c r="BM201" s="210"/>
    </row>
    <row r="202" ht="12.0" customHeight="1">
      <c r="A202" s="4"/>
      <c r="B202" s="4"/>
      <c r="C202" s="37" t="str">
        <f>Macro!B137</f>
        <v>COO</v>
      </c>
      <c r="D202" s="212">
        <v>1.0</v>
      </c>
      <c r="E202" s="213">
        <v>1.0</v>
      </c>
      <c r="F202" s="213">
        <v>1.0</v>
      </c>
      <c r="G202" s="212">
        <v>1.0</v>
      </c>
      <c r="H202" s="213">
        <v>1.0</v>
      </c>
      <c r="I202" s="214">
        <v>1.0</v>
      </c>
      <c r="J202" s="212">
        <v>1.0</v>
      </c>
      <c r="K202" s="213">
        <v>1.0</v>
      </c>
      <c r="L202" s="214">
        <v>1.0</v>
      </c>
      <c r="M202" s="212">
        <v>1.0</v>
      </c>
      <c r="N202" s="213">
        <v>1.0</v>
      </c>
      <c r="O202" s="214">
        <v>1.0</v>
      </c>
      <c r="P202" s="212">
        <v>1.0</v>
      </c>
      <c r="Q202" s="213">
        <v>1.0</v>
      </c>
      <c r="R202" s="214">
        <v>1.0</v>
      </c>
      <c r="S202" s="212">
        <v>1.0</v>
      </c>
      <c r="T202" s="213">
        <v>1.0</v>
      </c>
      <c r="U202" s="214">
        <v>1.0</v>
      </c>
      <c r="V202" s="212">
        <v>1.0</v>
      </c>
      <c r="W202" s="213">
        <v>1.0</v>
      </c>
      <c r="X202" s="214">
        <v>1.0</v>
      </c>
      <c r="Y202" s="212">
        <v>1.0</v>
      </c>
      <c r="Z202" s="213">
        <v>1.0</v>
      </c>
      <c r="AA202" s="214">
        <v>1.0</v>
      </c>
      <c r="AB202" s="212">
        <v>1.0</v>
      </c>
      <c r="AC202" s="213">
        <v>1.0</v>
      </c>
      <c r="AD202" s="214">
        <v>1.0</v>
      </c>
      <c r="AE202" s="212">
        <v>1.0</v>
      </c>
      <c r="AF202" s="213">
        <v>1.0</v>
      </c>
      <c r="AG202" s="214">
        <v>1.0</v>
      </c>
      <c r="AH202" s="212">
        <v>1.0</v>
      </c>
      <c r="AI202" s="213">
        <v>1.0</v>
      </c>
      <c r="AJ202" s="214">
        <v>1.0</v>
      </c>
      <c r="AK202" s="212">
        <v>1.0</v>
      </c>
      <c r="AL202" s="213">
        <v>1.0</v>
      </c>
      <c r="AM202" s="214">
        <v>1.0</v>
      </c>
      <c r="AN202" s="212">
        <v>1.0</v>
      </c>
      <c r="AO202" s="213">
        <v>1.0</v>
      </c>
      <c r="AP202" s="214">
        <v>1.0</v>
      </c>
      <c r="AQ202" s="212">
        <v>1.0</v>
      </c>
      <c r="AR202" s="213">
        <v>1.0</v>
      </c>
      <c r="AS202" s="214">
        <v>1.0</v>
      </c>
      <c r="AT202" s="210"/>
      <c r="AU202" s="210"/>
      <c r="AV202" s="210"/>
      <c r="AW202" s="210"/>
      <c r="AX202" s="210"/>
      <c r="AY202" s="210"/>
      <c r="AZ202" s="210"/>
      <c r="BA202" s="210"/>
      <c r="BB202" s="210"/>
      <c r="BC202" s="210"/>
      <c r="BD202" s="210"/>
      <c r="BE202" s="210"/>
      <c r="BF202" s="210"/>
      <c r="BG202" s="210"/>
      <c r="BH202" s="210"/>
      <c r="BI202" s="210"/>
      <c r="BJ202" s="210"/>
      <c r="BK202" s="210"/>
      <c r="BL202" s="210"/>
      <c r="BM202" s="210"/>
    </row>
    <row r="203" ht="12.0" customHeight="1">
      <c r="A203" s="4"/>
      <c r="B203" s="4"/>
      <c r="C203" s="37" t="str">
        <f>Macro!B138</f>
        <v>Head of Talent / HR</v>
      </c>
      <c r="D203" s="212">
        <v>1.0</v>
      </c>
      <c r="E203" s="213">
        <v>1.0</v>
      </c>
      <c r="F203" s="213">
        <v>1.0</v>
      </c>
      <c r="G203" s="212">
        <v>1.0</v>
      </c>
      <c r="H203" s="213">
        <v>1.0</v>
      </c>
      <c r="I203" s="214">
        <v>1.0</v>
      </c>
      <c r="J203" s="212">
        <v>1.0</v>
      </c>
      <c r="K203" s="213">
        <v>1.0</v>
      </c>
      <c r="L203" s="214">
        <v>1.0</v>
      </c>
      <c r="M203" s="212">
        <v>1.0</v>
      </c>
      <c r="N203" s="213">
        <v>1.0</v>
      </c>
      <c r="O203" s="214">
        <v>1.0</v>
      </c>
      <c r="P203" s="212">
        <v>1.0</v>
      </c>
      <c r="Q203" s="213">
        <v>1.0</v>
      </c>
      <c r="R203" s="214">
        <v>1.0</v>
      </c>
      <c r="S203" s="212">
        <v>1.0</v>
      </c>
      <c r="T203" s="213">
        <v>1.0</v>
      </c>
      <c r="U203" s="214">
        <v>1.0</v>
      </c>
      <c r="V203" s="212">
        <v>1.0</v>
      </c>
      <c r="W203" s="213">
        <v>1.0</v>
      </c>
      <c r="X203" s="214">
        <v>1.0</v>
      </c>
      <c r="Y203" s="212">
        <v>1.0</v>
      </c>
      <c r="Z203" s="213">
        <v>1.0</v>
      </c>
      <c r="AA203" s="214">
        <v>1.0</v>
      </c>
      <c r="AB203" s="212">
        <v>1.0</v>
      </c>
      <c r="AC203" s="213">
        <v>1.0</v>
      </c>
      <c r="AD203" s="214">
        <v>1.0</v>
      </c>
      <c r="AE203" s="212">
        <v>1.0</v>
      </c>
      <c r="AF203" s="213">
        <v>1.0</v>
      </c>
      <c r="AG203" s="214">
        <v>1.0</v>
      </c>
      <c r="AH203" s="212">
        <v>1.0</v>
      </c>
      <c r="AI203" s="213">
        <v>1.0</v>
      </c>
      <c r="AJ203" s="214">
        <v>1.0</v>
      </c>
      <c r="AK203" s="212">
        <v>1.0</v>
      </c>
      <c r="AL203" s="213">
        <v>1.0</v>
      </c>
      <c r="AM203" s="214">
        <v>1.0</v>
      </c>
      <c r="AN203" s="212">
        <v>1.0</v>
      </c>
      <c r="AO203" s="213">
        <v>1.0</v>
      </c>
      <c r="AP203" s="214">
        <v>1.0</v>
      </c>
      <c r="AQ203" s="212">
        <v>1.0</v>
      </c>
      <c r="AR203" s="213">
        <v>1.0</v>
      </c>
      <c r="AS203" s="214">
        <v>1.0</v>
      </c>
      <c r="AT203" s="210"/>
      <c r="AU203" s="210"/>
      <c r="AV203" s="210"/>
      <c r="AW203" s="210"/>
      <c r="AX203" s="210"/>
      <c r="AY203" s="210"/>
      <c r="AZ203" s="210"/>
      <c r="BA203" s="210"/>
      <c r="BB203" s="210"/>
      <c r="BC203" s="210"/>
      <c r="BD203" s="210"/>
      <c r="BE203" s="210"/>
      <c r="BF203" s="210"/>
      <c r="BG203" s="210"/>
      <c r="BH203" s="210"/>
      <c r="BI203" s="210"/>
      <c r="BJ203" s="210"/>
      <c r="BK203" s="210"/>
      <c r="BL203" s="210"/>
      <c r="BM203" s="210"/>
    </row>
    <row r="204" ht="12.0" customHeight="1">
      <c r="A204" s="4"/>
      <c r="B204" s="4"/>
      <c r="C204" s="37" t="str">
        <f>Macro!B139</f>
        <v>Office Admin / EA</v>
      </c>
      <c r="D204" s="212">
        <v>1.0</v>
      </c>
      <c r="E204" s="213">
        <v>1.0</v>
      </c>
      <c r="F204" s="213">
        <v>1.0</v>
      </c>
      <c r="G204" s="212">
        <v>1.0</v>
      </c>
      <c r="H204" s="213">
        <v>1.0</v>
      </c>
      <c r="I204" s="214">
        <v>1.0</v>
      </c>
      <c r="J204" s="212">
        <v>1.0</v>
      </c>
      <c r="K204" s="213">
        <v>1.0</v>
      </c>
      <c r="L204" s="214">
        <v>1.0</v>
      </c>
      <c r="M204" s="212">
        <v>1.0</v>
      </c>
      <c r="N204" s="213">
        <v>1.0</v>
      </c>
      <c r="O204" s="214">
        <v>1.0</v>
      </c>
      <c r="P204" s="212">
        <v>1.0</v>
      </c>
      <c r="Q204" s="213">
        <v>1.0</v>
      </c>
      <c r="R204" s="214">
        <v>1.0</v>
      </c>
      <c r="S204" s="212">
        <v>1.0</v>
      </c>
      <c r="T204" s="213">
        <v>1.0</v>
      </c>
      <c r="U204" s="214">
        <v>1.0</v>
      </c>
      <c r="V204" s="212">
        <v>1.0</v>
      </c>
      <c r="W204" s="213">
        <v>1.0</v>
      </c>
      <c r="X204" s="214">
        <v>1.0</v>
      </c>
      <c r="Y204" s="212">
        <v>1.0</v>
      </c>
      <c r="Z204" s="213">
        <v>1.0</v>
      </c>
      <c r="AA204" s="214">
        <v>1.0</v>
      </c>
      <c r="AB204" s="212">
        <v>1.0</v>
      </c>
      <c r="AC204" s="213">
        <v>1.0</v>
      </c>
      <c r="AD204" s="214">
        <v>1.0</v>
      </c>
      <c r="AE204" s="212">
        <v>1.0</v>
      </c>
      <c r="AF204" s="213">
        <v>1.0</v>
      </c>
      <c r="AG204" s="214">
        <v>1.0</v>
      </c>
      <c r="AH204" s="212">
        <v>1.0</v>
      </c>
      <c r="AI204" s="213">
        <v>1.0</v>
      </c>
      <c r="AJ204" s="214">
        <v>1.0</v>
      </c>
      <c r="AK204" s="212">
        <v>1.0</v>
      </c>
      <c r="AL204" s="213">
        <v>1.0</v>
      </c>
      <c r="AM204" s="214">
        <v>1.0</v>
      </c>
      <c r="AN204" s="212">
        <v>1.0</v>
      </c>
      <c r="AO204" s="213">
        <v>1.0</v>
      </c>
      <c r="AP204" s="214">
        <v>1.0</v>
      </c>
      <c r="AQ204" s="212">
        <v>1.0</v>
      </c>
      <c r="AR204" s="213">
        <v>1.0</v>
      </c>
      <c r="AS204" s="214">
        <v>1.0</v>
      </c>
      <c r="AT204" s="210"/>
      <c r="AU204" s="210"/>
      <c r="AV204" s="210"/>
      <c r="AW204" s="210"/>
      <c r="AX204" s="210"/>
      <c r="AY204" s="210"/>
      <c r="AZ204" s="210"/>
      <c r="BA204" s="210"/>
      <c r="BB204" s="210"/>
      <c r="BC204" s="210"/>
      <c r="BD204" s="210"/>
      <c r="BE204" s="210"/>
      <c r="BF204" s="210"/>
      <c r="BG204" s="210"/>
      <c r="BH204" s="210"/>
      <c r="BI204" s="210"/>
      <c r="BJ204" s="210"/>
      <c r="BK204" s="210"/>
      <c r="BL204" s="210"/>
      <c r="BM204" s="210"/>
    </row>
    <row r="205" ht="12.0" customHeight="1">
      <c r="A205" s="4"/>
      <c r="B205" s="4"/>
      <c r="C205" s="37" t="str">
        <f>Macro!B140</f>
        <v>Finance Director</v>
      </c>
      <c r="D205" s="212">
        <v>0.0</v>
      </c>
      <c r="E205" s="213">
        <v>0.0</v>
      </c>
      <c r="F205" s="213">
        <v>0.0</v>
      </c>
      <c r="G205" s="212">
        <v>0.0</v>
      </c>
      <c r="H205" s="213">
        <v>0.0</v>
      </c>
      <c r="I205" s="214">
        <v>0.0</v>
      </c>
      <c r="J205" s="212">
        <v>0.0</v>
      </c>
      <c r="K205" s="213">
        <v>0.0</v>
      </c>
      <c r="L205" s="214">
        <v>0.0</v>
      </c>
      <c r="M205" s="212">
        <v>0.0</v>
      </c>
      <c r="N205" s="213">
        <v>0.0</v>
      </c>
      <c r="O205" s="214">
        <v>0.0</v>
      </c>
      <c r="P205" s="212">
        <v>0.0</v>
      </c>
      <c r="Q205" s="213">
        <v>0.0</v>
      </c>
      <c r="R205" s="214">
        <v>0.0</v>
      </c>
      <c r="S205" s="212">
        <v>0.0</v>
      </c>
      <c r="T205" s="213">
        <v>0.0</v>
      </c>
      <c r="U205" s="214">
        <v>0.0</v>
      </c>
      <c r="V205" s="212">
        <v>0.0</v>
      </c>
      <c r="W205" s="213">
        <v>0.0</v>
      </c>
      <c r="X205" s="214">
        <v>0.0</v>
      </c>
      <c r="Y205" s="212">
        <v>0.0</v>
      </c>
      <c r="Z205" s="213">
        <v>0.0</v>
      </c>
      <c r="AA205" s="214">
        <v>0.0</v>
      </c>
      <c r="AB205" s="212">
        <v>0.0</v>
      </c>
      <c r="AC205" s="213">
        <v>0.0</v>
      </c>
      <c r="AD205" s="214">
        <v>0.0</v>
      </c>
      <c r="AE205" s="212">
        <v>0.0</v>
      </c>
      <c r="AF205" s="213">
        <v>0.0</v>
      </c>
      <c r="AG205" s="214">
        <v>0.0</v>
      </c>
      <c r="AH205" s="212">
        <v>0.0</v>
      </c>
      <c r="AI205" s="213">
        <v>0.0</v>
      </c>
      <c r="AJ205" s="214">
        <v>0.0</v>
      </c>
      <c r="AK205" s="212">
        <v>0.0</v>
      </c>
      <c r="AL205" s="213">
        <v>0.0</v>
      </c>
      <c r="AM205" s="214">
        <v>0.0</v>
      </c>
      <c r="AN205" s="212">
        <v>0.0</v>
      </c>
      <c r="AO205" s="213">
        <v>0.0</v>
      </c>
      <c r="AP205" s="214">
        <v>0.0</v>
      </c>
      <c r="AQ205" s="212">
        <v>0.0</v>
      </c>
      <c r="AR205" s="213">
        <v>0.0</v>
      </c>
      <c r="AS205" s="214">
        <v>0.0</v>
      </c>
      <c r="AT205" s="210"/>
      <c r="AU205" s="210"/>
      <c r="AV205" s="210"/>
      <c r="AW205" s="210"/>
      <c r="AX205" s="210"/>
      <c r="AY205" s="210"/>
      <c r="AZ205" s="210"/>
      <c r="BA205" s="210"/>
      <c r="BB205" s="210"/>
      <c r="BC205" s="210"/>
      <c r="BD205" s="210"/>
      <c r="BE205" s="210"/>
      <c r="BF205" s="210"/>
      <c r="BG205" s="210"/>
      <c r="BH205" s="210"/>
      <c r="BI205" s="210"/>
      <c r="BJ205" s="210"/>
      <c r="BK205" s="210"/>
      <c r="BL205" s="210"/>
      <c r="BM205" s="210"/>
    </row>
    <row r="206" ht="12.0" customHeight="1">
      <c r="A206" s="4"/>
      <c r="B206" s="4"/>
      <c r="C206" s="37" t="str">
        <f>Macro!B141</f>
        <v>[XX]</v>
      </c>
      <c r="D206" s="218"/>
      <c r="E206" s="219"/>
      <c r="F206" s="219"/>
      <c r="G206" s="218"/>
      <c r="H206" s="219"/>
      <c r="I206" s="220"/>
      <c r="J206" s="218"/>
      <c r="K206" s="219"/>
      <c r="L206" s="220"/>
      <c r="M206" s="218"/>
      <c r="N206" s="219"/>
      <c r="O206" s="220"/>
      <c r="P206" s="218"/>
      <c r="Q206" s="219"/>
      <c r="R206" s="220"/>
      <c r="S206" s="218"/>
      <c r="T206" s="219"/>
      <c r="U206" s="220"/>
      <c r="V206" s="218"/>
      <c r="W206" s="219"/>
      <c r="X206" s="220"/>
      <c r="Y206" s="218"/>
      <c r="Z206" s="219"/>
      <c r="AA206" s="220"/>
      <c r="AB206" s="218"/>
      <c r="AC206" s="219"/>
      <c r="AD206" s="220"/>
      <c r="AE206" s="218"/>
      <c r="AF206" s="219"/>
      <c r="AG206" s="220"/>
      <c r="AH206" s="218"/>
      <c r="AI206" s="219"/>
      <c r="AJ206" s="220"/>
      <c r="AK206" s="218"/>
      <c r="AL206" s="219"/>
      <c r="AM206" s="220"/>
      <c r="AN206" s="218"/>
      <c r="AO206" s="219"/>
      <c r="AP206" s="220"/>
      <c r="AQ206" s="218"/>
      <c r="AR206" s="219"/>
      <c r="AS206" s="220"/>
      <c r="AT206" s="210"/>
      <c r="AU206" s="210"/>
      <c r="AV206" s="210"/>
      <c r="AW206" s="210"/>
      <c r="AX206" s="210"/>
      <c r="AY206" s="210"/>
      <c r="AZ206" s="210"/>
      <c r="BA206" s="210"/>
      <c r="BB206" s="210"/>
      <c r="BC206" s="210"/>
      <c r="BD206" s="210"/>
      <c r="BE206" s="210"/>
      <c r="BF206" s="210"/>
      <c r="BG206" s="210"/>
      <c r="BH206" s="210"/>
      <c r="BI206" s="210"/>
      <c r="BJ206" s="210"/>
      <c r="BK206" s="210"/>
      <c r="BL206" s="210"/>
      <c r="BM206" s="210"/>
    </row>
    <row r="207" ht="12.0" customHeight="1">
      <c r="A207" s="4"/>
      <c r="B207" s="4"/>
      <c r="C207" s="37" t="str">
        <f>Macro!B142</f>
        <v>[XX]</v>
      </c>
      <c r="D207" s="218"/>
      <c r="E207" s="219"/>
      <c r="F207" s="219"/>
      <c r="G207" s="218"/>
      <c r="H207" s="219"/>
      <c r="I207" s="220"/>
      <c r="J207" s="218"/>
      <c r="K207" s="219"/>
      <c r="L207" s="220"/>
      <c r="M207" s="218"/>
      <c r="N207" s="219"/>
      <c r="O207" s="220"/>
      <c r="P207" s="218"/>
      <c r="Q207" s="219"/>
      <c r="R207" s="220"/>
      <c r="S207" s="218"/>
      <c r="T207" s="219"/>
      <c r="U207" s="220"/>
      <c r="V207" s="218"/>
      <c r="W207" s="219"/>
      <c r="X207" s="220"/>
      <c r="Y207" s="218"/>
      <c r="Z207" s="219"/>
      <c r="AA207" s="220"/>
      <c r="AB207" s="218"/>
      <c r="AC207" s="219"/>
      <c r="AD207" s="220"/>
      <c r="AE207" s="218"/>
      <c r="AF207" s="219"/>
      <c r="AG207" s="220"/>
      <c r="AH207" s="218"/>
      <c r="AI207" s="219"/>
      <c r="AJ207" s="220"/>
      <c r="AK207" s="218"/>
      <c r="AL207" s="219"/>
      <c r="AM207" s="220"/>
      <c r="AN207" s="218"/>
      <c r="AO207" s="219"/>
      <c r="AP207" s="220"/>
      <c r="AQ207" s="218"/>
      <c r="AR207" s="219"/>
      <c r="AS207" s="220"/>
      <c r="AT207" s="210"/>
      <c r="AU207" s="210"/>
      <c r="AV207" s="210"/>
      <c r="AW207" s="210"/>
      <c r="AX207" s="210"/>
      <c r="AY207" s="210"/>
      <c r="AZ207" s="210"/>
      <c r="BA207" s="210"/>
      <c r="BB207" s="210"/>
      <c r="BC207" s="210"/>
      <c r="BD207" s="210"/>
      <c r="BE207" s="210"/>
      <c r="BF207" s="210"/>
      <c r="BG207" s="210"/>
      <c r="BH207" s="210"/>
      <c r="BI207" s="210"/>
      <c r="BJ207" s="210"/>
      <c r="BK207" s="210"/>
      <c r="BL207" s="210"/>
      <c r="BM207" s="210"/>
    </row>
    <row r="208" ht="12.0" customHeight="1">
      <c r="A208" s="4"/>
      <c r="B208" s="4"/>
      <c r="C208" s="37" t="str">
        <f>Macro!B143</f>
        <v>[XX]</v>
      </c>
      <c r="D208" s="218"/>
      <c r="E208" s="219"/>
      <c r="F208" s="219"/>
      <c r="G208" s="218"/>
      <c r="H208" s="219"/>
      <c r="I208" s="220"/>
      <c r="J208" s="218"/>
      <c r="K208" s="219"/>
      <c r="L208" s="220"/>
      <c r="M208" s="218"/>
      <c r="N208" s="219"/>
      <c r="O208" s="220"/>
      <c r="P208" s="218"/>
      <c r="Q208" s="219"/>
      <c r="R208" s="220"/>
      <c r="S208" s="218"/>
      <c r="T208" s="219"/>
      <c r="U208" s="220"/>
      <c r="V208" s="218"/>
      <c r="W208" s="219"/>
      <c r="X208" s="220"/>
      <c r="Y208" s="218"/>
      <c r="Z208" s="219"/>
      <c r="AA208" s="220"/>
      <c r="AB208" s="218"/>
      <c r="AC208" s="219"/>
      <c r="AD208" s="220"/>
      <c r="AE208" s="218"/>
      <c r="AF208" s="219"/>
      <c r="AG208" s="220"/>
      <c r="AH208" s="218"/>
      <c r="AI208" s="219"/>
      <c r="AJ208" s="220"/>
      <c r="AK208" s="218"/>
      <c r="AL208" s="219"/>
      <c r="AM208" s="220"/>
      <c r="AN208" s="218"/>
      <c r="AO208" s="219"/>
      <c r="AP208" s="220"/>
      <c r="AQ208" s="218"/>
      <c r="AR208" s="219"/>
      <c r="AS208" s="220"/>
      <c r="AT208" s="210"/>
      <c r="AU208" s="210"/>
      <c r="AV208" s="210"/>
      <c r="AW208" s="210"/>
      <c r="AX208" s="210"/>
      <c r="AY208" s="210"/>
      <c r="AZ208" s="210"/>
      <c r="BA208" s="210"/>
      <c r="BB208" s="210"/>
      <c r="BC208" s="210"/>
      <c r="BD208" s="210"/>
      <c r="BE208" s="210"/>
      <c r="BF208" s="210"/>
      <c r="BG208" s="210"/>
      <c r="BH208" s="210"/>
      <c r="BI208" s="210"/>
      <c r="BJ208" s="210"/>
      <c r="BK208" s="210"/>
      <c r="BL208" s="210"/>
      <c r="BM208" s="210"/>
    </row>
    <row r="209" ht="12.0" customHeight="1">
      <c r="A209" s="4"/>
      <c r="B209" s="4"/>
      <c r="C209" s="37" t="str">
        <f>Macro!B144</f>
        <v>[XX]</v>
      </c>
      <c r="D209" s="218"/>
      <c r="E209" s="219"/>
      <c r="F209" s="219"/>
      <c r="G209" s="218"/>
      <c r="H209" s="219"/>
      <c r="I209" s="220"/>
      <c r="J209" s="218"/>
      <c r="K209" s="219"/>
      <c r="L209" s="220"/>
      <c r="M209" s="218"/>
      <c r="N209" s="219"/>
      <c r="O209" s="220"/>
      <c r="P209" s="218"/>
      <c r="Q209" s="219"/>
      <c r="R209" s="220"/>
      <c r="S209" s="218"/>
      <c r="T209" s="219"/>
      <c r="U209" s="220"/>
      <c r="V209" s="218"/>
      <c r="W209" s="219"/>
      <c r="X209" s="220"/>
      <c r="Y209" s="218"/>
      <c r="Z209" s="219"/>
      <c r="AA209" s="220"/>
      <c r="AB209" s="218"/>
      <c r="AC209" s="219"/>
      <c r="AD209" s="220"/>
      <c r="AE209" s="218"/>
      <c r="AF209" s="219"/>
      <c r="AG209" s="220"/>
      <c r="AH209" s="218"/>
      <c r="AI209" s="219"/>
      <c r="AJ209" s="220"/>
      <c r="AK209" s="218"/>
      <c r="AL209" s="219"/>
      <c r="AM209" s="220"/>
      <c r="AN209" s="218"/>
      <c r="AO209" s="219"/>
      <c r="AP209" s="220"/>
      <c r="AQ209" s="218"/>
      <c r="AR209" s="219"/>
      <c r="AS209" s="220"/>
      <c r="AT209" s="210"/>
      <c r="AU209" s="210"/>
      <c r="AV209" s="210"/>
      <c r="AW209" s="210"/>
      <c r="AX209" s="210"/>
      <c r="AY209" s="210"/>
      <c r="AZ209" s="210"/>
      <c r="BA209" s="210"/>
      <c r="BB209" s="210"/>
      <c r="BC209" s="210"/>
      <c r="BD209" s="210"/>
      <c r="BE209" s="210"/>
      <c r="BF209" s="210"/>
      <c r="BG209" s="210"/>
      <c r="BH209" s="210"/>
      <c r="BI209" s="210"/>
      <c r="BJ209" s="210"/>
      <c r="BK209" s="210"/>
      <c r="BL209" s="210"/>
      <c r="BM209" s="210"/>
    </row>
    <row r="210" ht="12.0" customHeight="1">
      <c r="A210" s="4"/>
      <c r="B210" s="4"/>
      <c r="C210" s="277" t="str">
        <f>Macro!B145</f>
        <v>[XX]</v>
      </c>
      <c r="D210" s="278"/>
      <c r="E210" s="279"/>
      <c r="F210" s="279"/>
      <c r="G210" s="278"/>
      <c r="H210" s="279"/>
      <c r="I210" s="280"/>
      <c r="J210" s="278"/>
      <c r="K210" s="279"/>
      <c r="L210" s="280"/>
      <c r="M210" s="278"/>
      <c r="N210" s="279"/>
      <c r="O210" s="280"/>
      <c r="P210" s="278"/>
      <c r="Q210" s="279"/>
      <c r="R210" s="280"/>
      <c r="S210" s="278"/>
      <c r="T210" s="279"/>
      <c r="U210" s="280"/>
      <c r="V210" s="278"/>
      <c r="W210" s="279"/>
      <c r="X210" s="280"/>
      <c r="Y210" s="278"/>
      <c r="Z210" s="279"/>
      <c r="AA210" s="280"/>
      <c r="AB210" s="278"/>
      <c r="AC210" s="279"/>
      <c r="AD210" s="280"/>
      <c r="AE210" s="278"/>
      <c r="AF210" s="279"/>
      <c r="AG210" s="280"/>
      <c r="AH210" s="278"/>
      <c r="AI210" s="279"/>
      <c r="AJ210" s="280"/>
      <c r="AK210" s="278"/>
      <c r="AL210" s="279"/>
      <c r="AM210" s="280"/>
      <c r="AN210" s="278"/>
      <c r="AO210" s="279"/>
      <c r="AP210" s="280"/>
      <c r="AQ210" s="278"/>
      <c r="AR210" s="279"/>
      <c r="AS210" s="280"/>
      <c r="AT210" s="210"/>
      <c r="AU210" s="210"/>
      <c r="AV210" s="210"/>
      <c r="AW210" s="210"/>
      <c r="AX210" s="210"/>
      <c r="AY210" s="210"/>
      <c r="AZ210" s="210"/>
      <c r="BA210" s="210"/>
      <c r="BB210" s="210"/>
      <c r="BC210" s="210"/>
      <c r="BD210" s="210"/>
      <c r="BE210" s="210"/>
      <c r="BF210" s="210"/>
      <c r="BG210" s="210"/>
      <c r="BH210" s="210"/>
      <c r="BI210" s="210"/>
      <c r="BJ210" s="210"/>
      <c r="BK210" s="210"/>
      <c r="BL210" s="210"/>
      <c r="BM210" s="210"/>
    </row>
    <row r="211" ht="12.0" customHeight="1">
      <c r="A211" s="8"/>
      <c r="B211" s="8"/>
      <c r="C211" s="270" t="s">
        <v>73</v>
      </c>
      <c r="D211" s="51">
        <f t="shared" ref="D211:AS211" si="95">SUM(D201:D210)</f>
        <v>4</v>
      </c>
      <c r="E211" s="52">
        <f t="shared" si="95"/>
        <v>4</v>
      </c>
      <c r="F211" s="52">
        <f t="shared" si="95"/>
        <v>4</v>
      </c>
      <c r="G211" s="51">
        <f t="shared" si="95"/>
        <v>4</v>
      </c>
      <c r="H211" s="52">
        <f t="shared" si="95"/>
        <v>4</v>
      </c>
      <c r="I211" s="53">
        <f t="shared" si="95"/>
        <v>4</v>
      </c>
      <c r="J211" s="51">
        <f t="shared" si="95"/>
        <v>4</v>
      </c>
      <c r="K211" s="52">
        <f t="shared" si="95"/>
        <v>4</v>
      </c>
      <c r="L211" s="53">
        <f t="shared" si="95"/>
        <v>4</v>
      </c>
      <c r="M211" s="51">
        <f t="shared" si="95"/>
        <v>4</v>
      </c>
      <c r="N211" s="52">
        <f t="shared" si="95"/>
        <v>4</v>
      </c>
      <c r="O211" s="53">
        <f t="shared" si="95"/>
        <v>4</v>
      </c>
      <c r="P211" s="51">
        <f t="shared" si="95"/>
        <v>4</v>
      </c>
      <c r="Q211" s="52">
        <f t="shared" si="95"/>
        <v>4</v>
      </c>
      <c r="R211" s="53">
        <f t="shared" si="95"/>
        <v>4</v>
      </c>
      <c r="S211" s="51">
        <f t="shared" si="95"/>
        <v>4</v>
      </c>
      <c r="T211" s="52">
        <f t="shared" si="95"/>
        <v>4</v>
      </c>
      <c r="U211" s="53">
        <f t="shared" si="95"/>
        <v>4</v>
      </c>
      <c r="V211" s="51">
        <f t="shared" si="95"/>
        <v>4</v>
      </c>
      <c r="W211" s="52">
        <f t="shared" si="95"/>
        <v>4</v>
      </c>
      <c r="X211" s="53">
        <f t="shared" si="95"/>
        <v>4</v>
      </c>
      <c r="Y211" s="51">
        <f t="shared" si="95"/>
        <v>4</v>
      </c>
      <c r="Z211" s="52">
        <f t="shared" si="95"/>
        <v>4</v>
      </c>
      <c r="AA211" s="53">
        <f t="shared" si="95"/>
        <v>4</v>
      </c>
      <c r="AB211" s="51">
        <f t="shared" si="95"/>
        <v>4</v>
      </c>
      <c r="AC211" s="52">
        <f t="shared" si="95"/>
        <v>4</v>
      </c>
      <c r="AD211" s="53">
        <f t="shared" si="95"/>
        <v>4</v>
      </c>
      <c r="AE211" s="51">
        <f t="shared" si="95"/>
        <v>4</v>
      </c>
      <c r="AF211" s="52">
        <f t="shared" si="95"/>
        <v>4</v>
      </c>
      <c r="AG211" s="53">
        <f t="shared" si="95"/>
        <v>4</v>
      </c>
      <c r="AH211" s="51">
        <f t="shared" si="95"/>
        <v>4</v>
      </c>
      <c r="AI211" s="52">
        <f t="shared" si="95"/>
        <v>4</v>
      </c>
      <c r="AJ211" s="53">
        <f t="shared" si="95"/>
        <v>4</v>
      </c>
      <c r="AK211" s="51">
        <f t="shared" si="95"/>
        <v>4</v>
      </c>
      <c r="AL211" s="52">
        <f t="shared" si="95"/>
        <v>4</v>
      </c>
      <c r="AM211" s="53">
        <f t="shared" si="95"/>
        <v>4</v>
      </c>
      <c r="AN211" s="51">
        <f t="shared" si="95"/>
        <v>4</v>
      </c>
      <c r="AO211" s="52">
        <f t="shared" si="95"/>
        <v>4</v>
      </c>
      <c r="AP211" s="53">
        <f t="shared" si="95"/>
        <v>4</v>
      </c>
      <c r="AQ211" s="51">
        <f t="shared" si="95"/>
        <v>4</v>
      </c>
      <c r="AR211" s="52">
        <f t="shared" si="95"/>
        <v>4</v>
      </c>
      <c r="AS211" s="53">
        <f t="shared" si="95"/>
        <v>4</v>
      </c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</row>
    <row r="212" ht="12.0" customHeight="1">
      <c r="A212" s="4"/>
      <c r="B212" s="4"/>
      <c r="C212" s="4"/>
      <c r="D212" s="64"/>
      <c r="E212" s="4"/>
      <c r="F212" s="4"/>
      <c r="G212" s="64"/>
      <c r="H212" s="4"/>
      <c r="I212" s="65"/>
      <c r="J212" s="64"/>
      <c r="K212" s="4"/>
      <c r="L212" s="65"/>
      <c r="M212" s="64"/>
      <c r="N212" s="4"/>
      <c r="O212" s="65"/>
      <c r="P212" s="64"/>
      <c r="Q212" s="4"/>
      <c r="R212" s="65"/>
      <c r="S212" s="64"/>
      <c r="T212" s="4"/>
      <c r="U212" s="65"/>
      <c r="V212" s="64"/>
      <c r="W212" s="4"/>
      <c r="X212" s="65"/>
      <c r="Y212" s="64"/>
      <c r="Z212" s="4"/>
      <c r="AA212" s="65"/>
      <c r="AB212" s="64"/>
      <c r="AC212" s="4"/>
      <c r="AD212" s="65"/>
      <c r="AE212" s="64"/>
      <c r="AF212" s="4"/>
      <c r="AG212" s="65"/>
      <c r="AH212" s="64"/>
      <c r="AI212" s="4"/>
      <c r="AJ212" s="65"/>
      <c r="AK212" s="64"/>
      <c r="AL212" s="4"/>
      <c r="AM212" s="65"/>
      <c r="AN212" s="64"/>
      <c r="AO212" s="4"/>
      <c r="AP212" s="65"/>
      <c r="AQ212" s="64"/>
      <c r="AR212" s="4"/>
      <c r="AS212" s="65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</row>
    <row r="213" ht="12.0" customHeight="1">
      <c r="A213" s="4"/>
      <c r="B213" s="262" t="s">
        <v>222</v>
      </c>
      <c r="C213" s="29"/>
      <c r="D213" s="30"/>
      <c r="E213" s="31"/>
      <c r="F213" s="31"/>
      <c r="G213" s="30"/>
      <c r="H213" s="31"/>
      <c r="I213" s="32"/>
      <c r="J213" s="30"/>
      <c r="K213" s="31"/>
      <c r="L213" s="32"/>
      <c r="M213" s="30"/>
      <c r="N213" s="31"/>
      <c r="O213" s="32"/>
      <c r="P213" s="30"/>
      <c r="Q213" s="31"/>
      <c r="R213" s="32"/>
      <c r="S213" s="30"/>
      <c r="T213" s="31"/>
      <c r="U213" s="32"/>
      <c r="V213" s="30"/>
      <c r="W213" s="31"/>
      <c r="X213" s="281"/>
      <c r="Y213" s="30"/>
      <c r="Z213" s="31"/>
      <c r="AA213" s="32"/>
      <c r="AB213" s="30"/>
      <c r="AC213" s="31"/>
      <c r="AD213" s="32"/>
      <c r="AE213" s="30"/>
      <c r="AF213" s="31"/>
      <c r="AG213" s="32"/>
      <c r="AH213" s="30"/>
      <c r="AI213" s="31"/>
      <c r="AJ213" s="32"/>
      <c r="AK213" s="30"/>
      <c r="AL213" s="31"/>
      <c r="AM213" s="32"/>
      <c r="AN213" s="30"/>
      <c r="AO213" s="31"/>
      <c r="AP213" s="32"/>
      <c r="AQ213" s="30"/>
      <c r="AR213" s="31"/>
      <c r="AS213" s="32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</row>
    <row r="214" ht="4.5" customHeight="1">
      <c r="A214" s="4"/>
      <c r="B214" s="8"/>
      <c r="C214" s="4"/>
      <c r="D214" s="25"/>
      <c r="E214" s="26"/>
      <c r="F214" s="26"/>
      <c r="G214" s="25"/>
      <c r="H214" s="26"/>
      <c r="I214" s="27"/>
      <c r="J214" s="25"/>
      <c r="K214" s="26"/>
      <c r="L214" s="27"/>
      <c r="M214" s="25"/>
      <c r="N214" s="26"/>
      <c r="O214" s="27"/>
      <c r="P214" s="25"/>
      <c r="Q214" s="26"/>
      <c r="R214" s="27"/>
      <c r="S214" s="25"/>
      <c r="T214" s="26"/>
      <c r="U214" s="27"/>
      <c r="V214" s="25"/>
      <c r="W214" s="26"/>
      <c r="X214" s="27"/>
      <c r="Y214" s="25"/>
      <c r="Z214" s="26"/>
      <c r="AA214" s="27"/>
      <c r="AB214" s="25"/>
      <c r="AC214" s="26"/>
      <c r="AD214" s="27"/>
      <c r="AE214" s="25"/>
      <c r="AF214" s="26"/>
      <c r="AG214" s="27"/>
      <c r="AH214" s="25"/>
      <c r="AI214" s="26"/>
      <c r="AJ214" s="27"/>
      <c r="AK214" s="25"/>
      <c r="AL214" s="26"/>
      <c r="AM214" s="27"/>
      <c r="AN214" s="25"/>
      <c r="AO214" s="26"/>
      <c r="AP214" s="27"/>
      <c r="AQ214" s="25"/>
      <c r="AR214" s="26"/>
      <c r="AS214" s="27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</row>
    <row r="215" ht="12.0" customHeight="1">
      <c r="A215" s="54"/>
      <c r="B215" s="270" t="s">
        <v>19</v>
      </c>
      <c r="C215" s="4"/>
      <c r="D215" s="64"/>
      <c r="E215" s="4"/>
      <c r="F215" s="4"/>
      <c r="G215" s="64"/>
      <c r="H215" s="4"/>
      <c r="I215" s="65"/>
      <c r="J215" s="64"/>
      <c r="K215" s="4"/>
      <c r="L215" s="65"/>
      <c r="M215" s="64"/>
      <c r="N215" s="4"/>
      <c r="O215" s="65"/>
      <c r="P215" s="64"/>
      <c r="Q215" s="4"/>
      <c r="R215" s="65"/>
      <c r="S215" s="64"/>
      <c r="T215" s="4"/>
      <c r="U215" s="65"/>
      <c r="V215" s="64"/>
      <c r="W215" s="4"/>
      <c r="X215" s="65"/>
      <c r="Y215" s="64"/>
      <c r="Z215" s="4"/>
      <c r="AA215" s="65"/>
      <c r="AB215" s="64"/>
      <c r="AC215" s="4"/>
      <c r="AD215" s="65"/>
      <c r="AE215" s="64"/>
      <c r="AF215" s="4"/>
      <c r="AG215" s="65"/>
      <c r="AH215" s="64"/>
      <c r="AI215" s="4"/>
      <c r="AJ215" s="65"/>
      <c r="AK215" s="64"/>
      <c r="AL215" s="4"/>
      <c r="AM215" s="65"/>
      <c r="AN215" s="64"/>
      <c r="AO215" s="4"/>
      <c r="AP215" s="65"/>
      <c r="AQ215" s="64"/>
      <c r="AR215" s="4"/>
      <c r="AS215" s="65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</row>
    <row r="216" ht="12.0" customHeight="1">
      <c r="A216" s="282"/>
      <c r="B216" s="4"/>
      <c r="C216" s="37" t="str">
        <f t="shared" ref="C216:C227" si="96">C117</f>
        <v>CRO</v>
      </c>
      <c r="D216" s="283">
        <f>IFERROR(Macro!$D57*Team!D117/12+IF(AND(YEAR(D$5)&gt;2020,MONTH(D$5)=Macro!$D$52),Macro!$D57*AVERAGE(OFFSET(E117,0,0,1,-12))*Macro!$E57,0),"NA")</f>
        <v>0</v>
      </c>
      <c r="E216" s="284">
        <f>IFERROR(Macro!$D57*Team!E117/12+IF(AND(YEAR(E$5)&gt;2020,MONTH(E$5)=Macro!$D$52),Macro!$D57*AVERAGE(OFFSET(F117,0,0,1,-12))*Macro!$E57,0),"NA")</f>
        <v>0</v>
      </c>
      <c r="F216" s="284">
        <f>IFERROR(Macro!$D57*Team!F117/12+IF(AND(YEAR(F$5)&gt;2020,MONTH(F$5)=Macro!$D$52),Macro!$D57*AVERAGE(OFFSET(G117,0,0,1,-12))*Macro!$E57,0),"NA")</f>
        <v>0</v>
      </c>
      <c r="G216" s="283">
        <f>IFERROR(Macro!$D57*Team!G117/12+IF(AND(YEAR(G$5)&gt;2020,MONTH(G$5)=Macro!$D$52),Macro!$D57*AVERAGE(OFFSET(H117,0,0,1,-12))*Macro!$E57,0),"NA")</f>
        <v>0</v>
      </c>
      <c r="H216" s="284">
        <f>IFERROR(Macro!$D57*Team!H117/12+IF(AND(YEAR(H$5)&gt;2020,MONTH(H$5)=Macro!$D$52),Macro!$D57*AVERAGE(OFFSET(I117,0,0,1,-12))*Macro!$E57,0),"NA")</f>
        <v>0</v>
      </c>
      <c r="I216" s="285">
        <f>IFERROR(Macro!$D57*Team!I117/12+IF(AND(YEAR(I$5)&gt;2020,MONTH(I$5)=Macro!$D$52),Macro!$D57*AVERAGE(OFFSET(J117,0,0,1,-12))*Macro!$E57,0),"NA")</f>
        <v>0</v>
      </c>
      <c r="J216" s="286">
        <f>IFERROR(Macro!$D57*Team!J117/12+IF(AND(YEAR(J$5)&gt;2020,MONTH(J$5)=Macro!$D$52),Macro!$D57*AVERAGE(OFFSET(K117,0,0,1,-12))*Macro!$E57,0),"NA")</f>
        <v>0</v>
      </c>
      <c r="K216" s="287">
        <f>IFERROR(Macro!$D57*Team!K117/12+IF(AND(YEAR(K$5)&gt;2020,MONTH(K$5)=Macro!$D$52),Macro!$D57*AVERAGE(OFFSET(L117,0,0,1,-12))*Macro!$E57,0),"NA")</f>
        <v>0</v>
      </c>
      <c r="L216" s="288">
        <f>IFERROR(Macro!$D57*Team!L117/12+IF(AND(YEAR(L$5)&gt;2020,MONTH(L$5)=Macro!$D$52),Macro!$D57*AVERAGE(OFFSET(M117,0,0,1,-12))*Macro!$E57,0),"NA")</f>
        <v>0</v>
      </c>
      <c r="M216" s="38">
        <f>IFERROR(Macro!$D57*Team!M117/12+IF(AND(YEAR(M$5)&gt;2020,MONTH(M$5)=Macro!$D$52),Macro!$D57*AVERAGE(OFFSET(N117,0,0,1,-12))*Macro!$E57,0),"NA")</f>
        <v>16666.66667</v>
      </c>
      <c r="N216" s="39">
        <f>IFERROR(Macro!$D57*Team!N117/12+IF(AND(YEAR(N$5)&gt;2020,MONTH(N$5)=Macro!$D$52),Macro!$D57*AVERAGE(OFFSET(O117,0,0,1,-12))*Macro!$E57,0),"NA")</f>
        <v>16666.66667</v>
      </c>
      <c r="O216" s="40">
        <f>IFERROR(Macro!$D57*Team!O117/12+IF(AND(YEAR(O$5)&gt;2020,MONTH(O$5)=Macro!$D$52),Macro!$D57*AVERAGE(OFFSET(P117,0,0,1,-12))*Macro!$E57,0),"NA")</f>
        <v>16666.66667</v>
      </c>
      <c r="P216" s="38">
        <f>IFERROR(Macro!$D57*Team!P117/12+IF(AND(YEAR(P$5)&gt;2020,MONTH(P$5)=Macro!$D$52),Macro!$D57*AVERAGE(OFFSET(Q117,0,0,1,-12))*Macro!$E57,0),"NA")</f>
        <v>16666.66667</v>
      </c>
      <c r="Q216" s="39">
        <f>IFERROR(Macro!$D57*Team!Q117/12+IF(AND(YEAR(Q$5)&gt;2020,MONTH(Q$5)=Macro!$D$52),Macro!$D57*AVERAGE(OFFSET(R117,0,0,1,-12))*Macro!$E57,0),"NA")</f>
        <v>16666.66667</v>
      </c>
      <c r="R216" s="40">
        <f>IFERROR(Macro!$D57*Team!R117/12+IF(AND(YEAR(R$5)&gt;2020,MONTH(R$5)=Macro!$D$52),Macro!$D57*AVERAGE(OFFSET(S117,0,0,1,-12))*Macro!$E57,0),"NA")</f>
        <v>16666.66667</v>
      </c>
      <c r="S216" s="38">
        <f>IFERROR(Macro!$D57*Team!S117/12+IF(AND(YEAR(S$5)&gt;2020,MONTH(S$5)=Macro!$D$52),Macro!$D57*AVERAGE(OFFSET(T117,0,0,1,-12))*Macro!$E57,0),"NA")</f>
        <v>16666.66667</v>
      </c>
      <c r="T216" s="39">
        <f>IFERROR(Macro!$D57*Team!T117/12+IF(AND(YEAR(T$5)&gt;2020,MONTH(T$5)=Macro!$D$52),Macro!$D57*AVERAGE(OFFSET(U117,0,0,1,-12))*Macro!$E57,0),"NA")</f>
        <v>16666.66667</v>
      </c>
      <c r="U216" s="40">
        <f>IFERROR(Macro!$D57*Team!U117/12+IF(AND(YEAR(U$5)&gt;2020,MONTH(U$5)=Macro!$D$52),Macro!$D57*AVERAGE(OFFSET(V117,0,0,1,-12))*Macro!$E57,0),"NA")</f>
        <v>16666.66667</v>
      </c>
      <c r="V216" s="38" t="str">
        <f>IFERROR(Macro!$D57*Team!V117/12+IF(AND(YEAR(V$5)&gt;2020,MONTH(V$5)=Macro!$D$52),Macro!$D57*AVERAGE(OFFSET(W117,0,0,1,-1))*Macro!$E57,0),"NA")</f>
        <v>NA</v>
      </c>
      <c r="W216" s="39">
        <f>IFERROR(Macro!$D57*Team!W117/12+IF(AND(YEAR(W$5)&gt;2020,MONTH(W$5)=Macro!$D$52),Macro!$D57*AVERAGE(OFFSET(X117,0,0,1,-12))*Macro!$E57,0),"NA")</f>
        <v>16666.66667</v>
      </c>
      <c r="X216" s="40">
        <f>IFERROR(Macro!$D57*Team!X117/12+IF(AND(YEAR(X$5)&gt;2020,MONTH(X$5)=Macro!$D$52),Macro!$D57*AVERAGE(OFFSET(Y117,0,0,1,-12))*Macro!$E57,0),"NA")</f>
        <v>16666.66667</v>
      </c>
      <c r="Y216" s="38">
        <f>IFERROR(Macro!$D57*Team!Y117/12+IF(AND(YEAR(Y$5)&gt;2020,MONTH(Y$5)=Macro!$D$52),Macro!$D57*AVERAGE(OFFSET(Z117,0,0,1,-12))*Macro!$E57,0),"NA")</f>
        <v>16666.66667</v>
      </c>
      <c r="Z216" s="39">
        <f>IFERROR(Macro!$D57*Team!Z117/12+IF(AND(YEAR(Z$5)&gt;2020,MONTH(Z$5)=Macro!$D$52),Macro!$D57*AVERAGE(OFFSET(AA117,0,0,1,-12))*Macro!$E57,0),"NA")</f>
        <v>16666.66667</v>
      </c>
      <c r="AA216" s="40">
        <f>IFERROR(Macro!$D57*Team!AA117/12+IF(AND(YEAR(AA$5)&gt;2020,MONTH(AA$5)=Macro!$D$52),Macro!$D57*AVERAGE(OFFSET(AB117,0,0,1,-12))*Macro!$E57,0),"NA")</f>
        <v>16666.66667</v>
      </c>
      <c r="AB216" s="38">
        <f>IFERROR(Macro!$D57*Team!AB117/12+IF(AND(YEAR(AB$5)&gt;2020,MONTH(AB$5)=Macro!$D$52),Macro!$D57*AVERAGE(OFFSET(AC117,0,0,1,-12))*Macro!$E57,0),"NA")</f>
        <v>16666.66667</v>
      </c>
      <c r="AC216" s="39">
        <f>IFERROR(Macro!$D57*Team!AC117/12+IF(AND(YEAR(AC$5)&gt;2020,MONTH(AC$5)=Macro!$D$52),Macro!$D57*AVERAGE(OFFSET(AD117,0,0,1,-12))*Macro!$E57,0),"NA")</f>
        <v>16666.66667</v>
      </c>
      <c r="AD216" s="40">
        <f>IFERROR(Macro!$D57*Team!AD117/12+IF(AND(YEAR(AD$5)&gt;2020,MONTH(AD$5)=Macro!$D$52),Macro!$D57*AVERAGE(OFFSET(AE117,0,0,1,-12))*Macro!$E57,0),"NA")</f>
        <v>16666.66667</v>
      </c>
      <c r="AE216" s="38">
        <f>IFERROR(Macro!$D57*Team!AE117/12+IF(AND(YEAR(AE$5)&gt;2020,MONTH(AE$5)=Macro!$D$52),Macro!$D57*AVERAGE(OFFSET(AF117,0,0,1,-12))*Macro!$E57,0),"NA")</f>
        <v>16666.66667</v>
      </c>
      <c r="AF216" s="39">
        <f>IFERROR(Macro!$D57*Team!AF117/12+IF(AND(YEAR(AF$5)&gt;2020,MONTH(AF$5)=Macro!$D$52),Macro!$D57*AVERAGE(OFFSET(AG117,0,0,1,-12))*Macro!$E57,0),"NA")</f>
        <v>16666.66667</v>
      </c>
      <c r="AG216" s="40">
        <f>IFERROR(Macro!$D57*Team!AG117/12+IF(AND(YEAR(AG$5)&gt;2020,MONTH(AG$5)=Macro!$D$52),Macro!$D57*AVERAGE(OFFSET(AH117,0,0,1,-12))*Macro!$E57,0),"NA")</f>
        <v>16666.66667</v>
      </c>
      <c r="AH216" s="38" t="str">
        <f>IFERROR(Macro!$D57*Team!AH117/12+IF(AND(YEAR(AH$5)&gt;2020,MONTH(AH$5)=Macro!$D$52),Macro!$D57*AVERAGE(OFFSET(AI117,0,0,1,-12))*Macro!$E57,0),"NA")</f>
        <v>NA</v>
      </c>
      <c r="AI216" s="39">
        <f>IFERROR(Macro!$D57*Team!AI117/12+IF(AND(YEAR(AI$5)&gt;2020,MONTH(AI$5)=Macro!$D$52),Macro!$D57*AVERAGE(OFFSET(AJ117,0,0,1,-12))*Macro!$E57,0),"NA")</f>
        <v>16666.66667</v>
      </c>
      <c r="AJ216" s="40">
        <f>IFERROR(Macro!$D57*Team!AJ117/12+IF(AND(YEAR(AJ$5)&gt;2020,MONTH(AJ$5)=Macro!$D$52),Macro!$D57*AVERAGE(OFFSET(AK117,0,0,1,-12))*Macro!$E57,0),"NA")</f>
        <v>16666.66667</v>
      </c>
      <c r="AK216" s="38">
        <f>IFERROR(Macro!$D57*Team!AK117/12+IF(AND(YEAR(AK$5)&gt;2020,MONTH(AK$5)=Macro!$D$52),Macro!$D57*AVERAGE(OFFSET(AL117,0,0,1,-12))*Macro!$E57,0),"NA")</f>
        <v>16666.66667</v>
      </c>
      <c r="AL216" s="39">
        <f>IFERROR(Macro!$D57*Team!AL117/12+IF(AND(YEAR(AL$5)&gt;2020,MONTH(AL$5)=Macro!$D$52),Macro!$D57*AVERAGE(OFFSET(AM117,0,0,1,-12))*Macro!$E57,0),"NA")</f>
        <v>16666.66667</v>
      </c>
      <c r="AM216" s="40">
        <f>IFERROR(Macro!$D57*Team!AM117/12+IF(AND(YEAR(AM$5)&gt;2020,MONTH(AM$5)=Macro!$D$52),Macro!$D57*AVERAGE(OFFSET(AN117,0,0,1,-12))*Macro!$E57,0),"NA")</f>
        <v>16666.66667</v>
      </c>
      <c r="AN216" s="38">
        <f>IFERROR(Macro!$D57*Team!AN117/12+IF(AND(YEAR(AN$5)&gt;2020,MONTH(AN$5)=Macro!$D$52),Macro!$D57*AVERAGE(OFFSET(AO117,0,0,1,-12))*Macro!$E57,0),"NA")</f>
        <v>16666.66667</v>
      </c>
      <c r="AO216" s="39">
        <f>IFERROR(Macro!$D57*Team!AO117/12+IF(AND(YEAR(AO$5)&gt;2020,MONTH(AO$5)=Macro!$D$52),Macro!$D57*AVERAGE(OFFSET(AP117,0,0,1,-12))*Macro!$E57,0),"NA")</f>
        <v>16666.66667</v>
      </c>
      <c r="AP216" s="40">
        <f>IFERROR(Macro!$D57*Team!AP117/12+IF(AND(YEAR(AP$5)&gt;2020,MONTH(AP$5)=Macro!$D$52),Macro!$D57*AVERAGE(OFFSET(AQ117,0,0,1,-12))*Macro!$E57,0),"NA")</f>
        <v>16666.66667</v>
      </c>
      <c r="AQ216" s="38">
        <f>IFERROR(Macro!$D57*Team!AQ117/12+IF(AND(YEAR(AQ$5)&gt;2020,MONTH(AQ$5)=Macro!$D$52),Macro!$D57*AVERAGE(OFFSET(AR117,0,0,1,-12))*Macro!$E57,0),"NA")</f>
        <v>16666.66667</v>
      </c>
      <c r="AR216" s="39">
        <f>IFERROR(Macro!$D57*Team!AR117/12+IF(AND(YEAR(AR$5)&gt;2020,MONTH(AR$5)=Macro!$D$52),Macro!$D57*AVERAGE(OFFSET(AS117,0,0,1,-12))*Macro!$E57,0),"NA")</f>
        <v>16666.66667</v>
      </c>
      <c r="AS216" s="40">
        <f>IFERROR(Macro!$D57*Team!AS117/12+IF(AND(YEAR(AS$5)&gt;2020,MONTH(AS$5)=Macro!$D$52),Macro!$D57*AVERAGE(OFFSET(AT117,0,0,1,-12))*Macro!$E57,0),"NA")</f>
        <v>16666.66667</v>
      </c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</row>
    <row r="217" ht="12.0" customHeight="1">
      <c r="A217" s="282"/>
      <c r="B217" s="4"/>
      <c r="C217" s="37" t="str">
        <f t="shared" si="96"/>
        <v>AE</v>
      </c>
      <c r="D217" s="283">
        <f>IFERROR(Macro!$D58*Team!D118/12+IF(AND(YEAR(D$5)&gt;2020,MONTH(D$5)=Macro!$D$52),Macro!$D58*AVERAGE(OFFSET(E118,0,0,1,-12))*Macro!$E58,0),"NA")</f>
        <v>13333.33333</v>
      </c>
      <c r="E217" s="284">
        <f>IFERROR(Macro!$D58*Team!E118/12+IF(AND(YEAR(E$5)&gt;2020,MONTH(E$5)=Macro!$D$52),Macro!$D58*AVERAGE(OFFSET(F118,0,0,1,-12))*Macro!$E58,0),"NA")</f>
        <v>13333.33333</v>
      </c>
      <c r="F217" s="284">
        <f>IFERROR(Macro!$D58*Team!F118/12+IF(AND(YEAR(F$5)&gt;2020,MONTH(F$5)=Macro!$D$52),Macro!$D58*AVERAGE(OFFSET(G118,0,0,1,-12))*Macro!$E58,0),"NA")</f>
        <v>13333.33333</v>
      </c>
      <c r="G217" s="283">
        <f>IFERROR(Macro!$D58*Team!G118/12+IF(AND(YEAR(G$5)&gt;2020,MONTH(G$5)=Macro!$D$52),Macro!$D58*AVERAGE(OFFSET(H118,0,0,1,-12))*Macro!$E58,0),"NA")</f>
        <v>13333.33333</v>
      </c>
      <c r="H217" s="284">
        <f>IFERROR(Macro!$D58*Team!H118/12+IF(AND(YEAR(H$5)&gt;2020,MONTH(H$5)=Macro!$D$52),Macro!$D58*AVERAGE(OFFSET(I118,0,0,1,-12))*Macro!$E58,0),"NA")</f>
        <v>13333.33333</v>
      </c>
      <c r="I217" s="285">
        <f>IFERROR(Macro!$D58*Team!I118/12+IF(AND(YEAR(I$5)&gt;2020,MONTH(I$5)=Macro!$D$52),Macro!$D58*AVERAGE(OFFSET(J118,0,0,1,-12))*Macro!$E58,0),"NA")</f>
        <v>13333.33333</v>
      </c>
      <c r="J217" s="286">
        <f>IFERROR(Macro!$D58*Team!J118/12+IF(AND(YEAR(J$5)&gt;2020,MONTH(J$5)=Macro!$D$52),Macro!$D58*AVERAGE(OFFSET(K118,0,0,1,-12))*Macro!$E58,0),"NA")</f>
        <v>13333.33333</v>
      </c>
      <c r="K217" s="287">
        <f>IFERROR(Macro!$D58*Team!K118/12+IF(AND(YEAR(K$5)&gt;2020,MONTH(K$5)=Macro!$D$52),Macro!$D58*AVERAGE(OFFSET(L118,0,0,1,-12))*Macro!$E58,0),"NA")</f>
        <v>13333.33333</v>
      </c>
      <c r="L217" s="288">
        <f>IFERROR(Macro!$D58*Team!L118/12+IF(AND(YEAR(L$5)&gt;2020,MONTH(L$5)=Macro!$D$52),Macro!$D58*AVERAGE(OFFSET(M118,0,0,1,-12))*Macro!$E58,0),"NA")</f>
        <v>13333.33333</v>
      </c>
      <c r="M217" s="38">
        <f>IFERROR(Macro!$D58*Team!M118/12+IF(AND(YEAR(M$5)&gt;2020,MONTH(M$5)=Macro!$D$52),Macro!$D58*AVERAGE(OFFSET(N118,0,0,1,-12))*Macro!$E58,0),"NA")</f>
        <v>13333.33333</v>
      </c>
      <c r="N217" s="39">
        <f>IFERROR(Macro!$D58*Team!N118/12+IF(AND(YEAR(N$5)&gt;2020,MONTH(N$5)=Macro!$D$52),Macro!$D58*AVERAGE(OFFSET(O118,0,0,1,-12))*Macro!$E58,0),"NA")</f>
        <v>13333.33333</v>
      </c>
      <c r="O217" s="40">
        <f>IFERROR(Macro!$D58*Team!O118/12+IF(AND(YEAR(O$5)&gt;2020,MONTH(O$5)=Macro!$D$52),Macro!$D58*AVERAGE(OFFSET(P118,0,0,1,-12))*Macro!$E58,0),"NA")</f>
        <v>13333.33333</v>
      </c>
      <c r="P217" s="38">
        <f>IFERROR(Macro!$D58*Team!P118/12+IF(AND(YEAR(P$5)&gt;2020,MONTH(P$5)=Macro!$D$52),Macro!$D58*AVERAGE(OFFSET(Q118,0,0,1,-12))*Macro!$E58,0),"NA")</f>
        <v>20000</v>
      </c>
      <c r="Q217" s="39">
        <f>IFERROR(Macro!$D58*Team!Q118/12+IF(AND(YEAR(Q$5)&gt;2020,MONTH(Q$5)=Macro!$D$52),Macro!$D58*AVERAGE(OFFSET(R118,0,0,1,-12))*Macro!$E58,0),"NA")</f>
        <v>20000</v>
      </c>
      <c r="R217" s="40">
        <f>IFERROR(Macro!$D58*Team!R118/12+IF(AND(YEAR(R$5)&gt;2020,MONTH(R$5)=Macro!$D$52),Macro!$D58*AVERAGE(OFFSET(S118,0,0,1,-12))*Macro!$E58,0),"NA")</f>
        <v>20000</v>
      </c>
      <c r="S217" s="38">
        <f>IFERROR(Macro!$D58*Team!S118/12+IF(AND(YEAR(S$5)&gt;2020,MONTH(S$5)=Macro!$D$52),Macro!$D58*AVERAGE(OFFSET(T118,0,0,1,-12))*Macro!$E58,0),"NA")</f>
        <v>20000</v>
      </c>
      <c r="T217" s="39">
        <f>IFERROR(Macro!$D58*Team!T118/12+IF(AND(YEAR(T$5)&gt;2020,MONTH(T$5)=Macro!$D$52),Macro!$D58*AVERAGE(OFFSET(U118,0,0,1,-12))*Macro!$E58,0),"NA")</f>
        <v>20000</v>
      </c>
      <c r="U217" s="40">
        <f>IFERROR(Macro!$D58*Team!U118/12+IF(AND(YEAR(U$5)&gt;2020,MONTH(U$5)=Macro!$D$52),Macro!$D58*AVERAGE(OFFSET(V118,0,0,1,-12))*Macro!$E58,0),"NA")</f>
        <v>20000</v>
      </c>
      <c r="V217" s="38" t="str">
        <f>IFERROR(Macro!$D58*Team!V118/12+IF(AND(YEAR(V$5)&gt;2020,MONTH(V$5)=Macro!$D$52),Macro!$D58*AVERAGE(OFFSET(W118,0,0,1,-12))*Macro!$E58,0),"NA")</f>
        <v>NA</v>
      </c>
      <c r="W217" s="39">
        <f>IFERROR(Macro!$D58*Team!W118/12+IF(AND(YEAR(W$5)&gt;2020,MONTH(W$5)=Macro!$D$52),Macro!$D58*AVERAGE(OFFSET(X118,0,0,1,-12))*Macro!$E58,0),"NA")</f>
        <v>26666.66667</v>
      </c>
      <c r="X217" s="40">
        <f>IFERROR(Macro!$D58*Team!X118/12+IF(AND(YEAR(X$5)&gt;2020,MONTH(X$5)=Macro!$D$52),Macro!$D58*AVERAGE(OFFSET(Y118,0,0,1,-12))*Macro!$E58,0),"NA")</f>
        <v>26666.66667</v>
      </c>
      <c r="Y217" s="38">
        <f>IFERROR(Macro!$D58*Team!Y118/12+IF(AND(YEAR(Y$5)&gt;2020,MONTH(Y$5)=Macro!$D$52),Macro!$D58*AVERAGE(OFFSET(Z118,0,0,1,-12))*Macro!$E58,0),"NA")</f>
        <v>26666.66667</v>
      </c>
      <c r="Z217" s="39">
        <f>IFERROR(Macro!$D58*Team!Z118/12+IF(AND(YEAR(Z$5)&gt;2020,MONTH(Z$5)=Macro!$D$52),Macro!$D58*AVERAGE(OFFSET(AA118,0,0,1,-12))*Macro!$E58,0),"NA")</f>
        <v>26666.66667</v>
      </c>
      <c r="AA217" s="40">
        <f>IFERROR(Macro!$D58*Team!AA118/12+IF(AND(YEAR(AA$5)&gt;2020,MONTH(AA$5)=Macro!$D$52),Macro!$D58*AVERAGE(OFFSET(AB118,0,0,1,-12))*Macro!$E58,0),"NA")</f>
        <v>26666.66667</v>
      </c>
      <c r="AB217" s="38">
        <f>IFERROR(Macro!$D58*Team!AB118/12+IF(AND(YEAR(AB$5)&gt;2020,MONTH(AB$5)=Macro!$D$52),Macro!$D58*AVERAGE(OFFSET(AC118,0,0,1,-12))*Macro!$E58,0),"NA")</f>
        <v>33333.33333</v>
      </c>
      <c r="AC217" s="39">
        <f>IFERROR(Macro!$D58*Team!AC118/12+IF(AND(YEAR(AC$5)&gt;2020,MONTH(AC$5)=Macro!$D$52),Macro!$D58*AVERAGE(OFFSET(AD118,0,0,1,-12))*Macro!$E58,0),"NA")</f>
        <v>33333.33333</v>
      </c>
      <c r="AD217" s="40">
        <f>IFERROR(Macro!$D58*Team!AD118/12+IF(AND(YEAR(AD$5)&gt;2020,MONTH(AD$5)=Macro!$D$52),Macro!$D58*AVERAGE(OFFSET(AE118,0,0,1,-12))*Macro!$E58,0),"NA")</f>
        <v>33333.33333</v>
      </c>
      <c r="AE217" s="38">
        <f>IFERROR(Macro!$D58*Team!AE118/12+IF(AND(YEAR(AE$5)&gt;2020,MONTH(AE$5)=Macro!$D$52),Macro!$D58*AVERAGE(OFFSET(AF118,0,0,1,-12))*Macro!$E58,0),"NA")</f>
        <v>33333.33333</v>
      </c>
      <c r="AF217" s="39">
        <f>IFERROR(Macro!$D58*Team!AF118/12+IF(AND(YEAR(AF$5)&gt;2020,MONTH(AF$5)=Macro!$D$52),Macro!$D58*AVERAGE(OFFSET(AG118,0,0,1,-12))*Macro!$E58,0),"NA")</f>
        <v>33333.33333</v>
      </c>
      <c r="AG217" s="40">
        <f>IFERROR(Macro!$D58*Team!AG118/12+IF(AND(YEAR(AG$5)&gt;2020,MONTH(AG$5)=Macro!$D$52),Macro!$D58*AVERAGE(OFFSET(AH118,0,0,1,-12))*Macro!$E58,0),"NA")</f>
        <v>33333.33333</v>
      </c>
      <c r="AH217" s="38" t="str">
        <f>IFERROR(Macro!$D58*Team!AH118/12+IF(AND(YEAR(AH$5)&gt;2020,MONTH(AH$5)=Macro!$D$52),Macro!$D58*AVERAGE(OFFSET(AI118,0,0,1,-12))*Macro!$E58,0),"NA")</f>
        <v>NA</v>
      </c>
      <c r="AI217" s="39">
        <f>IFERROR(Macro!$D58*Team!AI118/12+IF(AND(YEAR(AI$5)&gt;2020,MONTH(AI$5)=Macro!$D$52),Macro!$D58*AVERAGE(OFFSET(AJ118,0,0,1,-12))*Macro!$E58,0),"NA")</f>
        <v>40000</v>
      </c>
      <c r="AJ217" s="40">
        <f>IFERROR(Macro!$D58*Team!AJ118/12+IF(AND(YEAR(AJ$5)&gt;2020,MONTH(AJ$5)=Macro!$D$52),Macro!$D58*AVERAGE(OFFSET(AK118,0,0,1,-12))*Macro!$E58,0),"NA")</f>
        <v>40000</v>
      </c>
      <c r="AK217" s="38">
        <f>IFERROR(Macro!$D58*Team!AK118/12+IF(AND(YEAR(AK$5)&gt;2020,MONTH(AK$5)=Macro!$D$52),Macro!$D58*AVERAGE(OFFSET(AL118,0,0,1,-12))*Macro!$E58,0),"NA")</f>
        <v>40000</v>
      </c>
      <c r="AL217" s="39">
        <f>IFERROR(Macro!$D58*Team!AL118/12+IF(AND(YEAR(AL$5)&gt;2020,MONTH(AL$5)=Macro!$D$52),Macro!$D58*AVERAGE(OFFSET(AM118,0,0,1,-12))*Macro!$E58,0),"NA")</f>
        <v>40000</v>
      </c>
      <c r="AM217" s="40">
        <f>IFERROR(Macro!$D58*Team!AM118/12+IF(AND(YEAR(AM$5)&gt;2020,MONTH(AM$5)=Macro!$D$52),Macro!$D58*AVERAGE(OFFSET(AN118,0,0,1,-12))*Macro!$E58,0),"NA")</f>
        <v>40000</v>
      </c>
      <c r="AN217" s="38">
        <f>IFERROR(Macro!$D58*Team!AN118/12+IF(AND(YEAR(AN$5)&gt;2020,MONTH(AN$5)=Macro!$D$52),Macro!$D58*AVERAGE(OFFSET(AO118,0,0,1,-12))*Macro!$E58,0),"NA")</f>
        <v>46666.66667</v>
      </c>
      <c r="AO217" s="39">
        <f>IFERROR(Macro!$D58*Team!AO118/12+IF(AND(YEAR(AO$5)&gt;2020,MONTH(AO$5)=Macro!$D$52),Macro!$D58*AVERAGE(OFFSET(AP118,0,0,1,-12))*Macro!$E58,0),"NA")</f>
        <v>46666.66667</v>
      </c>
      <c r="AP217" s="40">
        <f>IFERROR(Macro!$D58*Team!AP118/12+IF(AND(YEAR(AP$5)&gt;2020,MONTH(AP$5)=Macro!$D$52),Macro!$D58*AVERAGE(OFFSET(AQ118,0,0,1,-12))*Macro!$E58,0),"NA")</f>
        <v>46666.66667</v>
      </c>
      <c r="AQ217" s="38">
        <f>IFERROR(Macro!$D58*Team!AQ118/12+IF(AND(YEAR(AQ$5)&gt;2020,MONTH(AQ$5)=Macro!$D$52),Macro!$D58*AVERAGE(OFFSET(AR118,0,0,1,-12))*Macro!$E58,0),"NA")</f>
        <v>46666.66667</v>
      </c>
      <c r="AR217" s="39">
        <f>IFERROR(Macro!$D58*Team!AR118/12+IF(AND(YEAR(AR$5)&gt;2020,MONTH(AR$5)=Macro!$D$52),Macro!$D58*AVERAGE(OFFSET(AS118,0,0,1,-12))*Macro!$E58,0),"NA")</f>
        <v>46666.66667</v>
      </c>
      <c r="AS217" s="40">
        <f>IFERROR(Macro!$D58*Team!AS118/12+IF(AND(YEAR(AS$5)&gt;2020,MONTH(AS$5)=Macro!$D$52),Macro!$D58*AVERAGE(OFFSET(AT118,0,0,1,-12))*Macro!$E58,0),"NA")</f>
        <v>46666.66667</v>
      </c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</row>
    <row r="218" ht="12.0" customHeight="1">
      <c r="A218" s="282"/>
      <c r="B218" s="4"/>
      <c r="C218" s="37" t="str">
        <f t="shared" si="96"/>
        <v>AE manager</v>
      </c>
      <c r="D218" s="283">
        <f>IFERROR(Macro!$D59*Team!D119/12+IF(AND(YEAR(D$5)&gt;2020,MONTH(D$5)=Macro!$D$52),Macro!$D59*AVERAGE(OFFSET(E119,0,0,1,-12))*Macro!$E59,0),"NA")</f>
        <v>0</v>
      </c>
      <c r="E218" s="284">
        <f>IFERROR(Macro!$D59*Team!E119/12+IF(AND(YEAR(E$5)&gt;2020,MONTH(E$5)=Macro!$D$52),Macro!$D59*AVERAGE(OFFSET(F119,0,0,1,-12))*Macro!$E59,0),"NA")</f>
        <v>0</v>
      </c>
      <c r="F218" s="284">
        <f>IFERROR(Macro!$D59*Team!F119/12+IF(AND(YEAR(F$5)&gt;2020,MONTH(F$5)=Macro!$D$52),Macro!$D59*AVERAGE(OFFSET(G119,0,0,1,-12))*Macro!$E59,0),"NA")</f>
        <v>0</v>
      </c>
      <c r="G218" s="283">
        <f>IFERROR(Macro!$D59*Team!G119/12+IF(AND(YEAR(G$5)&gt;2020,MONTH(G$5)=Macro!$D$52),Macro!$D59*AVERAGE(OFFSET(H119,0,0,1,-12))*Macro!$E59,0),"NA")</f>
        <v>0</v>
      </c>
      <c r="H218" s="284">
        <f>IFERROR(Macro!$D59*Team!H119/12+IF(AND(YEAR(H$5)&gt;2020,MONTH(H$5)=Macro!$D$52),Macro!$D59*AVERAGE(OFFSET(I119,0,0,1,-12))*Macro!$E59,0),"NA")</f>
        <v>0</v>
      </c>
      <c r="I218" s="285">
        <f>IFERROR(Macro!$D59*Team!I119/12+IF(AND(YEAR(I$5)&gt;2020,MONTH(I$5)=Macro!$D$52),Macro!$D59*AVERAGE(OFFSET(J119,0,0,1,-12))*Macro!$E59,0),"NA")</f>
        <v>0</v>
      </c>
      <c r="J218" s="286">
        <f>IFERROR(Macro!$D59*Team!J119/12+IF(AND(YEAR(J$5)&gt;2020,MONTH(J$5)=Macro!$D$52),Macro!$D59*AVERAGE(OFFSET(K119,0,0,1,-12))*Macro!$E59,0),"NA")</f>
        <v>0</v>
      </c>
      <c r="K218" s="287">
        <f>IFERROR(Macro!$D59*Team!K119/12+IF(AND(YEAR(K$5)&gt;2020,MONTH(K$5)=Macro!$D$52),Macro!$D59*AVERAGE(OFFSET(L119,0,0,1,-12))*Macro!$E59,0),"NA")</f>
        <v>0</v>
      </c>
      <c r="L218" s="288">
        <f>IFERROR(Macro!$D59*Team!L119/12+IF(AND(YEAR(L$5)&gt;2020,MONTH(L$5)=Macro!$D$52),Macro!$D59*AVERAGE(OFFSET(M119,0,0,1,-12))*Macro!$E59,0),"NA")</f>
        <v>0</v>
      </c>
      <c r="M218" s="38">
        <f>IFERROR(Macro!$D59*Team!M119/12+IF(AND(YEAR(M$5)&gt;2020,MONTH(M$5)=Macro!$D$52),Macro!$D59*AVERAGE(OFFSET(N119,0,0,1,-12))*Macro!$E59,0),"NA")</f>
        <v>0</v>
      </c>
      <c r="N218" s="39">
        <f>IFERROR(Macro!$D59*Team!N119/12+IF(AND(YEAR(N$5)&gt;2020,MONTH(N$5)=Macro!$D$52),Macro!$D59*AVERAGE(OFFSET(O119,0,0,1,-12))*Macro!$E59,0),"NA")</f>
        <v>0</v>
      </c>
      <c r="O218" s="40">
        <f>IFERROR(Macro!$D59*Team!O119/12+IF(AND(YEAR(O$5)&gt;2020,MONTH(O$5)=Macro!$D$52),Macro!$D59*AVERAGE(OFFSET(P119,0,0,1,-12))*Macro!$E59,0),"NA")</f>
        <v>0</v>
      </c>
      <c r="P218" s="38">
        <f>IFERROR(Macro!$D59*Team!P119/12+IF(AND(YEAR(P$5)&gt;2020,MONTH(P$5)=Macro!$D$52),Macro!$D59*AVERAGE(OFFSET(Q119,0,0,1,-12))*Macro!$E59,0),"NA")</f>
        <v>0</v>
      </c>
      <c r="Q218" s="39">
        <f>IFERROR(Macro!$D59*Team!Q119/12+IF(AND(YEAR(Q$5)&gt;2020,MONTH(Q$5)=Macro!$D$52),Macro!$D59*AVERAGE(OFFSET(R119,0,0,1,-12))*Macro!$E59,0),"NA")</f>
        <v>0</v>
      </c>
      <c r="R218" s="40">
        <f>IFERROR(Macro!$D59*Team!R119/12+IF(AND(YEAR(R$5)&gt;2020,MONTH(R$5)=Macro!$D$52),Macro!$D59*AVERAGE(OFFSET(S119,0,0,1,-12))*Macro!$E59,0),"NA")</f>
        <v>0</v>
      </c>
      <c r="S218" s="38">
        <f>IFERROR(Macro!$D59*Team!S119/12+IF(AND(YEAR(S$5)&gt;2020,MONTH(S$5)=Macro!$D$52),Macro!$D59*AVERAGE(OFFSET(T119,0,0,1,-12))*Macro!$E59,0),"NA")</f>
        <v>0</v>
      </c>
      <c r="T218" s="39">
        <f>IFERROR(Macro!$D59*Team!T119/12+IF(AND(YEAR(T$5)&gt;2020,MONTH(T$5)=Macro!$D$52),Macro!$D59*AVERAGE(OFFSET(U119,0,0,1,-12))*Macro!$E59,0),"NA")</f>
        <v>0</v>
      </c>
      <c r="U218" s="40">
        <f>IFERROR(Macro!$D59*Team!U119/12+IF(AND(YEAR(U$5)&gt;2020,MONTH(U$5)=Macro!$D$52),Macro!$D59*AVERAGE(OFFSET(V119,0,0,1,-12))*Macro!$E59,0),"NA")</f>
        <v>0</v>
      </c>
      <c r="V218" s="38" t="str">
        <f>IFERROR(Macro!$D59*Team!V119/12+IF(AND(YEAR(V$5)&gt;2020,MONTH(V$5)=Macro!$D$52),Macro!$D59*AVERAGE(OFFSET(W119,0,0,1,-12))*Macro!$E59,0),"NA")</f>
        <v>NA</v>
      </c>
      <c r="W218" s="39">
        <f>IFERROR(Macro!$D59*Team!W119/12+IF(AND(YEAR(W$5)&gt;2020,MONTH(W$5)=Macro!$D$52),Macro!$D59*AVERAGE(OFFSET(X119,0,0,1,-12))*Macro!$E59,0),"NA")</f>
        <v>0</v>
      </c>
      <c r="X218" s="40">
        <f>IFERROR(Macro!$D59*Team!X119/12+IF(AND(YEAR(X$5)&gt;2020,MONTH(X$5)=Macro!$D$52),Macro!$D59*AVERAGE(OFFSET(Y119,0,0,1,-12))*Macro!$E59,0),"NA")</f>
        <v>0</v>
      </c>
      <c r="Y218" s="38">
        <f>IFERROR(Macro!$D59*Team!Y119/12+IF(AND(YEAR(Y$5)&gt;2020,MONTH(Y$5)=Macro!$D$52),Macro!$D59*AVERAGE(OFFSET(Z119,0,0,1,-12))*Macro!$E59,0),"NA")</f>
        <v>0</v>
      </c>
      <c r="Z218" s="39">
        <f>IFERROR(Macro!$D59*Team!Z119/12+IF(AND(YEAR(Z$5)&gt;2020,MONTH(Z$5)=Macro!$D$52),Macro!$D59*AVERAGE(OFFSET(AA119,0,0,1,-12))*Macro!$E59,0),"NA")</f>
        <v>0</v>
      </c>
      <c r="AA218" s="40">
        <f>IFERROR(Macro!$D59*Team!AA119/12+IF(AND(YEAR(AA$5)&gt;2020,MONTH(AA$5)=Macro!$D$52),Macro!$D59*AVERAGE(OFFSET(AB119,0,0,1,-12))*Macro!$E59,0),"NA")</f>
        <v>0</v>
      </c>
      <c r="AB218" s="38">
        <f>IFERROR(Macro!$D59*Team!AB119/12+IF(AND(YEAR(AB$5)&gt;2020,MONTH(AB$5)=Macro!$D$52),Macro!$D59*AVERAGE(OFFSET(AC119,0,0,1,-12))*Macro!$E59,0),"NA")</f>
        <v>0</v>
      </c>
      <c r="AC218" s="39">
        <f>IFERROR(Macro!$D59*Team!AC119/12+IF(AND(YEAR(AC$5)&gt;2020,MONTH(AC$5)=Macro!$D$52),Macro!$D59*AVERAGE(OFFSET(AD119,0,0,1,-12))*Macro!$E59,0),"NA")</f>
        <v>0</v>
      </c>
      <c r="AD218" s="40">
        <f>IFERROR(Macro!$D59*Team!AD119/12+IF(AND(YEAR(AD$5)&gt;2020,MONTH(AD$5)=Macro!$D$52),Macro!$D59*AVERAGE(OFFSET(AE119,0,0,1,-12))*Macro!$E59,0),"NA")</f>
        <v>0</v>
      </c>
      <c r="AE218" s="38">
        <f>IFERROR(Macro!$D59*Team!AE119/12+IF(AND(YEAR(AE$5)&gt;2020,MONTH(AE$5)=Macro!$D$52),Macro!$D59*AVERAGE(OFFSET(AF119,0,0,1,-12))*Macro!$E59,0),"NA")</f>
        <v>0</v>
      </c>
      <c r="AF218" s="39">
        <f>IFERROR(Macro!$D59*Team!AF119/12+IF(AND(YEAR(AF$5)&gt;2020,MONTH(AF$5)=Macro!$D$52),Macro!$D59*AVERAGE(OFFSET(AG119,0,0,1,-12))*Macro!$E59,0),"NA")</f>
        <v>0</v>
      </c>
      <c r="AG218" s="40">
        <f>IFERROR(Macro!$D59*Team!AG119/12+IF(AND(YEAR(AG$5)&gt;2020,MONTH(AG$5)=Macro!$D$52),Macro!$D59*AVERAGE(OFFSET(AH119,0,0,1,-12))*Macro!$E59,0),"NA")</f>
        <v>0</v>
      </c>
      <c r="AH218" s="38" t="str">
        <f>IFERROR(Macro!$D59*Team!AH119/12+IF(AND(YEAR(AH$5)&gt;2020,MONTH(AH$5)=Macro!$D$52),Macro!$D59*AVERAGE(OFFSET(AI119,0,0,1,-12))*Macro!$E59,0),"NA")</f>
        <v>NA</v>
      </c>
      <c r="AI218" s="39">
        <f>IFERROR(Macro!$D59*Team!AI119/12+IF(AND(YEAR(AI$5)&gt;2020,MONTH(AI$5)=Macro!$D$52),Macro!$D59*AVERAGE(OFFSET(AJ119,0,0,1,-12))*Macro!$E59,0),"NA")</f>
        <v>12500</v>
      </c>
      <c r="AJ218" s="40">
        <f>IFERROR(Macro!$D59*Team!AJ119/12+IF(AND(YEAR(AJ$5)&gt;2020,MONTH(AJ$5)=Macro!$D$52),Macro!$D59*AVERAGE(OFFSET(AK119,0,0,1,-12))*Macro!$E59,0),"NA")</f>
        <v>12500</v>
      </c>
      <c r="AK218" s="38">
        <f>IFERROR(Macro!$D59*Team!AK119/12+IF(AND(YEAR(AK$5)&gt;2020,MONTH(AK$5)=Macro!$D$52),Macro!$D59*AVERAGE(OFFSET(AL119,0,0,1,-12))*Macro!$E59,0),"NA")</f>
        <v>12500</v>
      </c>
      <c r="AL218" s="39">
        <f>IFERROR(Macro!$D59*Team!AL119/12+IF(AND(YEAR(AL$5)&gt;2020,MONTH(AL$5)=Macro!$D$52),Macro!$D59*AVERAGE(OFFSET(AM119,0,0,1,-12))*Macro!$E59,0),"NA")</f>
        <v>12500</v>
      </c>
      <c r="AM218" s="40">
        <f>IFERROR(Macro!$D59*Team!AM119/12+IF(AND(YEAR(AM$5)&gt;2020,MONTH(AM$5)=Macro!$D$52),Macro!$D59*AVERAGE(OFFSET(AN119,0,0,1,-12))*Macro!$E59,0),"NA")</f>
        <v>12500</v>
      </c>
      <c r="AN218" s="38">
        <f>IFERROR(Macro!$D59*Team!AN119/12+IF(AND(YEAR(AN$5)&gt;2020,MONTH(AN$5)=Macro!$D$52),Macro!$D59*AVERAGE(OFFSET(AO119,0,0,1,-12))*Macro!$E59,0),"NA")</f>
        <v>12500</v>
      </c>
      <c r="AO218" s="39">
        <f>IFERROR(Macro!$D59*Team!AO119/12+IF(AND(YEAR(AO$5)&gt;2020,MONTH(AO$5)=Macro!$D$52),Macro!$D59*AVERAGE(OFFSET(AP119,0,0,1,-12))*Macro!$E59,0),"NA")</f>
        <v>12500</v>
      </c>
      <c r="AP218" s="40">
        <f>IFERROR(Macro!$D59*Team!AP119/12+IF(AND(YEAR(AP$5)&gt;2020,MONTH(AP$5)=Macro!$D$52),Macro!$D59*AVERAGE(OFFSET(AQ119,0,0,1,-12))*Macro!$E59,0),"NA")</f>
        <v>12500</v>
      </c>
      <c r="AQ218" s="38">
        <f>IFERROR(Macro!$D59*Team!AQ119/12+IF(AND(YEAR(AQ$5)&gt;2020,MONTH(AQ$5)=Macro!$D$52),Macro!$D59*AVERAGE(OFFSET(AR119,0,0,1,-12))*Macro!$E59,0),"NA")</f>
        <v>12500</v>
      </c>
      <c r="AR218" s="39">
        <f>IFERROR(Macro!$D59*Team!AR119/12+IF(AND(YEAR(AR$5)&gt;2020,MONTH(AR$5)=Macro!$D$52),Macro!$D59*AVERAGE(OFFSET(AS119,0,0,1,-12))*Macro!$E59,0),"NA")</f>
        <v>12500</v>
      </c>
      <c r="AS218" s="40">
        <f>IFERROR(Macro!$D59*Team!AS119/12+IF(AND(YEAR(AS$5)&gt;2020,MONTH(AS$5)=Macro!$D$52),Macro!$D59*AVERAGE(OFFSET(AT119,0,0,1,-12))*Macro!$E59,0),"NA")</f>
        <v>12500</v>
      </c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</row>
    <row r="219" ht="12.0" customHeight="1">
      <c r="A219" s="282"/>
      <c r="B219" s="4"/>
      <c r="C219" s="37" t="str">
        <f t="shared" si="96"/>
        <v>SE</v>
      </c>
      <c r="D219" s="283">
        <f>IFERROR(Macro!$D60*Team!D120/12+IF(AND(YEAR(D$5)&gt;2020,MONTH(D$5)=Macro!$D$52),Macro!$D60*AVERAGE(OFFSET(E120,0,0,1,-12))*Macro!$E60,0),"NA")</f>
        <v>6666.666667</v>
      </c>
      <c r="E219" s="284">
        <f>IFERROR(Macro!$D60*Team!E120/12+IF(AND(YEAR(E$5)&gt;2020,MONTH(E$5)=Macro!$D$52),Macro!$D60*AVERAGE(OFFSET(F120,0,0,1,-12))*Macro!$E60,0),"NA")</f>
        <v>6666.666667</v>
      </c>
      <c r="F219" s="284">
        <f>IFERROR(Macro!$D60*Team!F120/12+IF(AND(YEAR(F$5)&gt;2020,MONTH(F$5)=Macro!$D$52),Macro!$D60*AVERAGE(OFFSET(G120,0,0,1,-12))*Macro!$E60,0),"NA")</f>
        <v>6666.666667</v>
      </c>
      <c r="G219" s="283">
        <f>IFERROR(Macro!$D60*Team!G120/12+IF(AND(YEAR(G$5)&gt;2020,MONTH(G$5)=Macro!$D$52),Macro!$D60*AVERAGE(OFFSET(H120,0,0,1,-12))*Macro!$E60,0),"NA")</f>
        <v>6666.666667</v>
      </c>
      <c r="H219" s="284">
        <f>IFERROR(Macro!$D60*Team!H120/12+IF(AND(YEAR(H$5)&gt;2020,MONTH(H$5)=Macro!$D$52),Macro!$D60*AVERAGE(OFFSET(I120,0,0,1,-12))*Macro!$E60,0),"NA")</f>
        <v>6666.666667</v>
      </c>
      <c r="I219" s="285">
        <f>IFERROR(Macro!$D60*Team!I120/12+IF(AND(YEAR(I$5)&gt;2020,MONTH(I$5)=Macro!$D$52),Macro!$D60*AVERAGE(OFFSET(J120,0,0,1,-12))*Macro!$E60,0),"NA")</f>
        <v>6666.666667</v>
      </c>
      <c r="J219" s="286">
        <f>IFERROR(Macro!$D60*Team!J120/12+IF(AND(YEAR(J$5)&gt;2020,MONTH(J$5)=Macro!$D$52),Macro!$D60*AVERAGE(OFFSET(K120,0,0,1,-12))*Macro!$E60,0),"NA")</f>
        <v>6666.666667</v>
      </c>
      <c r="K219" s="287">
        <f>IFERROR(Macro!$D60*Team!K120/12+IF(AND(YEAR(K$5)&gt;2020,MONTH(K$5)=Macro!$D$52),Macro!$D60*AVERAGE(OFFSET(L120,0,0,1,-12))*Macro!$E60,0),"NA")</f>
        <v>6666.666667</v>
      </c>
      <c r="L219" s="288">
        <f>IFERROR(Macro!$D60*Team!L120/12+IF(AND(YEAR(L$5)&gt;2020,MONTH(L$5)=Macro!$D$52),Macro!$D60*AVERAGE(OFFSET(M120,0,0,1,-12))*Macro!$E60,0),"NA")</f>
        <v>6666.666667</v>
      </c>
      <c r="M219" s="38">
        <f>IFERROR(Macro!$D60*Team!M120/12+IF(AND(YEAR(M$5)&gt;2020,MONTH(M$5)=Macro!$D$52),Macro!$D60*AVERAGE(OFFSET(N120,0,0,1,-12))*Macro!$E60,0),"NA")</f>
        <v>6666.666667</v>
      </c>
      <c r="N219" s="39">
        <f>IFERROR(Macro!$D60*Team!N120/12+IF(AND(YEAR(N$5)&gt;2020,MONTH(N$5)=Macro!$D$52),Macro!$D60*AVERAGE(OFFSET(O120,0,0,1,-12))*Macro!$E60,0),"NA")</f>
        <v>6666.666667</v>
      </c>
      <c r="O219" s="40">
        <f>IFERROR(Macro!$D60*Team!O120/12+IF(AND(YEAR(O$5)&gt;2020,MONTH(O$5)=Macro!$D$52),Macro!$D60*AVERAGE(OFFSET(P120,0,0,1,-12))*Macro!$E60,0),"NA")</f>
        <v>6666.666667</v>
      </c>
      <c r="P219" s="38">
        <f>IFERROR(Macro!$D60*Team!P120/12+IF(AND(YEAR(P$5)&gt;2020,MONTH(P$5)=Macro!$D$52),Macro!$D60*AVERAGE(OFFSET(Q120,0,0,1,-12))*Macro!$E60,0),"NA")</f>
        <v>13333.33333</v>
      </c>
      <c r="Q219" s="39">
        <f>IFERROR(Macro!$D60*Team!Q120/12+IF(AND(YEAR(Q$5)&gt;2020,MONTH(Q$5)=Macro!$D$52),Macro!$D60*AVERAGE(OFFSET(R120,0,0,1,-12))*Macro!$E60,0),"NA")</f>
        <v>13333.33333</v>
      </c>
      <c r="R219" s="40">
        <f>IFERROR(Macro!$D60*Team!R120/12+IF(AND(YEAR(R$5)&gt;2020,MONTH(R$5)=Macro!$D$52),Macro!$D60*AVERAGE(OFFSET(S120,0,0,1,-12))*Macro!$E60,0),"NA")</f>
        <v>13333.33333</v>
      </c>
      <c r="S219" s="38">
        <f>IFERROR(Macro!$D60*Team!S120/12+IF(AND(YEAR(S$5)&gt;2020,MONTH(S$5)=Macro!$D$52),Macro!$D60*AVERAGE(OFFSET(T120,0,0,1,-12))*Macro!$E60,0),"NA")</f>
        <v>13333.33333</v>
      </c>
      <c r="T219" s="39">
        <f>IFERROR(Macro!$D60*Team!T120/12+IF(AND(YEAR(T$5)&gt;2020,MONTH(T$5)=Macro!$D$52),Macro!$D60*AVERAGE(OFFSET(U120,0,0,1,-12))*Macro!$E60,0),"NA")</f>
        <v>13333.33333</v>
      </c>
      <c r="U219" s="40">
        <f>IFERROR(Macro!$D60*Team!U120/12+IF(AND(YEAR(U$5)&gt;2020,MONTH(U$5)=Macro!$D$52),Macro!$D60*AVERAGE(OFFSET(V120,0,0,1,-12))*Macro!$E60,0),"NA")</f>
        <v>13333.33333</v>
      </c>
      <c r="V219" s="38" t="str">
        <f>IFERROR(Macro!$D60*Team!V120/12+IF(AND(YEAR(V$5)&gt;2020,MONTH(V$5)=Macro!$D$52),Macro!$D60*AVERAGE(OFFSET(W120,0,0,1,-12))*Macro!$E60,0),"NA")</f>
        <v>NA</v>
      </c>
      <c r="W219" s="39">
        <f>IFERROR(Macro!$D60*Team!W120/12+IF(AND(YEAR(W$5)&gt;2020,MONTH(W$5)=Macro!$D$52),Macro!$D60*AVERAGE(OFFSET(X120,0,0,1,-12))*Macro!$E60,0),"NA")</f>
        <v>13333.33333</v>
      </c>
      <c r="X219" s="40">
        <f>IFERROR(Macro!$D60*Team!X120/12+IF(AND(YEAR(X$5)&gt;2020,MONTH(X$5)=Macro!$D$52),Macro!$D60*AVERAGE(OFFSET(Y120,0,0,1,-12))*Macro!$E60,0),"NA")</f>
        <v>13333.33333</v>
      </c>
      <c r="Y219" s="38">
        <f>IFERROR(Macro!$D60*Team!Y120/12+IF(AND(YEAR(Y$5)&gt;2020,MONTH(Y$5)=Macro!$D$52),Macro!$D60*AVERAGE(OFFSET(Z120,0,0,1,-12))*Macro!$E60,0),"NA")</f>
        <v>13333.33333</v>
      </c>
      <c r="Z219" s="39">
        <f>IFERROR(Macro!$D60*Team!Z120/12+IF(AND(YEAR(Z$5)&gt;2020,MONTH(Z$5)=Macro!$D$52),Macro!$D60*AVERAGE(OFFSET(AA120,0,0,1,-12))*Macro!$E60,0),"NA")</f>
        <v>13333.33333</v>
      </c>
      <c r="AA219" s="40">
        <f>IFERROR(Macro!$D60*Team!AA120/12+IF(AND(YEAR(AA$5)&gt;2020,MONTH(AA$5)=Macro!$D$52),Macro!$D60*AVERAGE(OFFSET(AB120,0,0,1,-12))*Macro!$E60,0),"NA")</f>
        <v>13333.33333</v>
      </c>
      <c r="AB219" s="38">
        <f>IFERROR(Macro!$D60*Team!AB120/12+IF(AND(YEAR(AB$5)&gt;2020,MONTH(AB$5)=Macro!$D$52),Macro!$D60*AVERAGE(OFFSET(AC120,0,0,1,-12))*Macro!$E60,0),"NA")</f>
        <v>20000</v>
      </c>
      <c r="AC219" s="39">
        <f>IFERROR(Macro!$D60*Team!AC120/12+IF(AND(YEAR(AC$5)&gt;2020,MONTH(AC$5)=Macro!$D$52),Macro!$D60*AVERAGE(OFFSET(AD120,0,0,1,-12))*Macro!$E60,0),"NA")</f>
        <v>20000</v>
      </c>
      <c r="AD219" s="40">
        <f>IFERROR(Macro!$D60*Team!AD120/12+IF(AND(YEAR(AD$5)&gt;2020,MONTH(AD$5)=Macro!$D$52),Macro!$D60*AVERAGE(OFFSET(AE120,0,0,1,-12))*Macro!$E60,0),"NA")</f>
        <v>20000</v>
      </c>
      <c r="AE219" s="38">
        <f>IFERROR(Macro!$D60*Team!AE120/12+IF(AND(YEAR(AE$5)&gt;2020,MONTH(AE$5)=Macro!$D$52),Macro!$D60*AVERAGE(OFFSET(AF120,0,0,1,-12))*Macro!$E60,0),"NA")</f>
        <v>20000</v>
      </c>
      <c r="AF219" s="39">
        <f>IFERROR(Macro!$D60*Team!AF120/12+IF(AND(YEAR(AF$5)&gt;2020,MONTH(AF$5)=Macro!$D$52),Macro!$D60*AVERAGE(OFFSET(AG120,0,0,1,-12))*Macro!$E60,0),"NA")</f>
        <v>20000</v>
      </c>
      <c r="AG219" s="40">
        <f>IFERROR(Macro!$D60*Team!AG120/12+IF(AND(YEAR(AG$5)&gt;2020,MONTH(AG$5)=Macro!$D$52),Macro!$D60*AVERAGE(OFFSET(AH120,0,0,1,-12))*Macro!$E60,0),"NA")</f>
        <v>20000</v>
      </c>
      <c r="AH219" s="38" t="str">
        <f>IFERROR(Macro!$D60*Team!AH120/12+IF(AND(YEAR(AH$5)&gt;2020,MONTH(AH$5)=Macro!$D$52),Macro!$D60*AVERAGE(OFFSET(AI120,0,0,1,-12))*Macro!$E60,0),"NA")</f>
        <v>NA</v>
      </c>
      <c r="AI219" s="39">
        <f>IFERROR(Macro!$D60*Team!AI120/12+IF(AND(YEAR(AI$5)&gt;2020,MONTH(AI$5)=Macro!$D$52),Macro!$D60*AVERAGE(OFFSET(AJ120,0,0,1,-12))*Macro!$E60,0),"NA")</f>
        <v>20000</v>
      </c>
      <c r="AJ219" s="40">
        <f>IFERROR(Macro!$D60*Team!AJ120/12+IF(AND(YEAR(AJ$5)&gt;2020,MONTH(AJ$5)=Macro!$D$52),Macro!$D60*AVERAGE(OFFSET(AK120,0,0,1,-12))*Macro!$E60,0),"NA")</f>
        <v>20000</v>
      </c>
      <c r="AK219" s="38">
        <f>IFERROR(Macro!$D60*Team!AK120/12+IF(AND(YEAR(AK$5)&gt;2020,MONTH(AK$5)=Macro!$D$52),Macro!$D60*AVERAGE(OFFSET(AL120,0,0,1,-12))*Macro!$E60,0),"NA")</f>
        <v>20000</v>
      </c>
      <c r="AL219" s="39">
        <f>IFERROR(Macro!$D60*Team!AL120/12+IF(AND(YEAR(AL$5)&gt;2020,MONTH(AL$5)=Macro!$D$52),Macro!$D60*AVERAGE(OFFSET(AM120,0,0,1,-12))*Macro!$E60,0),"NA")</f>
        <v>20000</v>
      </c>
      <c r="AM219" s="40">
        <f>IFERROR(Macro!$D60*Team!AM120/12+IF(AND(YEAR(AM$5)&gt;2020,MONTH(AM$5)=Macro!$D$52),Macro!$D60*AVERAGE(OFFSET(AN120,0,0,1,-12))*Macro!$E60,0),"NA")</f>
        <v>20000</v>
      </c>
      <c r="AN219" s="38">
        <f>IFERROR(Macro!$D60*Team!AN120/12+IF(AND(YEAR(AN$5)&gt;2020,MONTH(AN$5)=Macro!$D$52),Macro!$D60*AVERAGE(OFFSET(AO120,0,0,1,-12))*Macro!$E60,0),"NA")</f>
        <v>26666.66667</v>
      </c>
      <c r="AO219" s="39">
        <f>IFERROR(Macro!$D60*Team!AO120/12+IF(AND(YEAR(AO$5)&gt;2020,MONTH(AO$5)=Macro!$D$52),Macro!$D60*AVERAGE(OFFSET(AP120,0,0,1,-12))*Macro!$E60,0),"NA")</f>
        <v>26666.66667</v>
      </c>
      <c r="AP219" s="40">
        <f>IFERROR(Macro!$D60*Team!AP120/12+IF(AND(YEAR(AP$5)&gt;2020,MONTH(AP$5)=Macro!$D$52),Macro!$D60*AVERAGE(OFFSET(AQ120,0,0,1,-12))*Macro!$E60,0),"NA")</f>
        <v>26666.66667</v>
      </c>
      <c r="AQ219" s="38">
        <f>IFERROR(Macro!$D60*Team!AQ120/12+IF(AND(YEAR(AQ$5)&gt;2020,MONTH(AQ$5)=Macro!$D$52),Macro!$D60*AVERAGE(OFFSET(AR120,0,0,1,-12))*Macro!$E60,0),"NA")</f>
        <v>26666.66667</v>
      </c>
      <c r="AR219" s="39">
        <f>IFERROR(Macro!$D60*Team!AR120/12+IF(AND(YEAR(AR$5)&gt;2020,MONTH(AR$5)=Macro!$D$52),Macro!$D60*AVERAGE(OFFSET(AS120,0,0,1,-12))*Macro!$E60,0),"NA")</f>
        <v>26666.66667</v>
      </c>
      <c r="AS219" s="40">
        <f>IFERROR(Macro!$D60*Team!AS120/12+IF(AND(YEAR(AS$5)&gt;2020,MONTH(AS$5)=Macro!$D$52),Macro!$D60*AVERAGE(OFFSET(AT120,0,0,1,-12))*Macro!$E60,0),"NA")</f>
        <v>26666.66667</v>
      </c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</row>
    <row r="220" ht="12.0" customHeight="1">
      <c r="A220" s="282"/>
      <c r="B220" s="4"/>
      <c r="C220" s="37" t="str">
        <f t="shared" si="96"/>
        <v>SE manager</v>
      </c>
      <c r="D220" s="283">
        <f>IFERROR(Macro!$D61*Team!D121/12+IF(AND(YEAR(D$5)&gt;2020,MONTH(D$5)=Macro!$D$52),Macro!$D61*AVERAGE(OFFSET(E121,0,0,1,-12))*Macro!$E61,0),"NA")</f>
        <v>0</v>
      </c>
      <c r="E220" s="284">
        <f>IFERROR(Macro!$D61*Team!E121/12+IF(AND(YEAR(E$5)&gt;2020,MONTH(E$5)=Macro!$D$52),Macro!$D61*AVERAGE(OFFSET(F121,0,0,1,-12))*Macro!$E61,0),"NA")</f>
        <v>0</v>
      </c>
      <c r="F220" s="284">
        <f>IFERROR(Macro!$D61*Team!F121/12+IF(AND(YEAR(F$5)&gt;2020,MONTH(F$5)=Macro!$D$52),Macro!$D61*AVERAGE(OFFSET(G121,0,0,1,-12))*Macro!$E61,0),"NA")</f>
        <v>0</v>
      </c>
      <c r="G220" s="283">
        <f>IFERROR(Macro!$D61*Team!G121/12+IF(AND(YEAR(G$5)&gt;2020,MONTH(G$5)=Macro!$D$52),Macro!$D61*AVERAGE(OFFSET(H121,0,0,1,-12))*Macro!$E61,0),"NA")</f>
        <v>0</v>
      </c>
      <c r="H220" s="284">
        <f>IFERROR(Macro!$D61*Team!H121/12+IF(AND(YEAR(H$5)&gt;2020,MONTH(H$5)=Macro!$D$52),Macro!$D61*AVERAGE(OFFSET(I121,0,0,1,-12))*Macro!$E61,0),"NA")</f>
        <v>0</v>
      </c>
      <c r="I220" s="285">
        <f>IFERROR(Macro!$D61*Team!I121/12+IF(AND(YEAR(I$5)&gt;2020,MONTH(I$5)=Macro!$D$52),Macro!$D61*AVERAGE(OFFSET(J121,0,0,1,-12))*Macro!$E61,0),"NA")</f>
        <v>0</v>
      </c>
      <c r="J220" s="286">
        <f>IFERROR(Macro!$D61*Team!J121/12+IF(AND(YEAR(J$5)&gt;2020,MONTH(J$5)=Macro!$D$52),Macro!$D61*AVERAGE(OFFSET(K121,0,0,1,-12))*Macro!$E61,0),"NA")</f>
        <v>0</v>
      </c>
      <c r="K220" s="287">
        <f>IFERROR(Macro!$D61*Team!K121/12+IF(AND(YEAR(K$5)&gt;2020,MONTH(K$5)=Macro!$D$52),Macro!$D61*AVERAGE(OFFSET(L121,0,0,1,-12))*Macro!$E61,0),"NA")</f>
        <v>0</v>
      </c>
      <c r="L220" s="288">
        <f>IFERROR(Macro!$D61*Team!L121/12+IF(AND(YEAR(L$5)&gt;2020,MONTH(L$5)=Macro!$D$52),Macro!$D61*AVERAGE(OFFSET(M121,0,0,1,-12))*Macro!$E61,0),"NA")</f>
        <v>0</v>
      </c>
      <c r="M220" s="38">
        <f>IFERROR(Macro!$D61*Team!M121/12+IF(AND(YEAR(M$5)&gt;2020,MONTH(M$5)=Macro!$D$52),Macro!$D61*AVERAGE(OFFSET(N121,0,0,1,-12))*Macro!$E61,0),"NA")</f>
        <v>0</v>
      </c>
      <c r="N220" s="39">
        <f>IFERROR(Macro!$D61*Team!N121/12+IF(AND(YEAR(N$5)&gt;2020,MONTH(N$5)=Macro!$D$52),Macro!$D61*AVERAGE(OFFSET(O121,0,0,1,-12))*Macro!$E61,0),"NA")</f>
        <v>0</v>
      </c>
      <c r="O220" s="40">
        <f>IFERROR(Macro!$D61*Team!O121/12+IF(AND(YEAR(O$5)&gt;2020,MONTH(O$5)=Macro!$D$52),Macro!$D61*AVERAGE(OFFSET(P121,0,0,1,-12))*Macro!$E61,0),"NA")</f>
        <v>0</v>
      </c>
      <c r="P220" s="38">
        <f>IFERROR(Macro!$D61*Team!P121/12+IF(AND(YEAR(P$5)&gt;2020,MONTH(P$5)=Macro!$D$52),Macro!$D61*AVERAGE(OFFSET(Q121,0,0,1,-12))*Macro!$E61,0),"NA")</f>
        <v>0</v>
      </c>
      <c r="Q220" s="39">
        <f>IFERROR(Macro!$D61*Team!Q121/12+IF(AND(YEAR(Q$5)&gt;2020,MONTH(Q$5)=Macro!$D$52),Macro!$D61*AVERAGE(OFFSET(R121,0,0,1,-12))*Macro!$E61,0),"NA")</f>
        <v>0</v>
      </c>
      <c r="R220" s="40">
        <f>IFERROR(Macro!$D61*Team!R121/12+IF(AND(YEAR(R$5)&gt;2020,MONTH(R$5)=Macro!$D$52),Macro!$D61*AVERAGE(OFFSET(S121,0,0,1,-12))*Macro!$E61,0),"NA")</f>
        <v>0</v>
      </c>
      <c r="S220" s="38">
        <f>IFERROR(Macro!$D61*Team!S121/12+IF(AND(YEAR(S$5)&gt;2020,MONTH(S$5)=Macro!$D$52),Macro!$D61*AVERAGE(OFFSET(T121,0,0,1,-12))*Macro!$E61,0),"NA")</f>
        <v>0</v>
      </c>
      <c r="T220" s="39">
        <f>IFERROR(Macro!$D61*Team!T121/12+IF(AND(YEAR(T$5)&gt;2020,MONTH(T$5)=Macro!$D$52),Macro!$D61*AVERAGE(OFFSET(U121,0,0,1,-12))*Macro!$E61,0),"NA")</f>
        <v>0</v>
      </c>
      <c r="U220" s="40">
        <f>IFERROR(Macro!$D61*Team!U121/12+IF(AND(YEAR(U$5)&gt;2020,MONTH(U$5)=Macro!$D$52),Macro!$D61*AVERAGE(OFFSET(V121,0,0,1,-12))*Macro!$E61,0),"NA")</f>
        <v>0</v>
      </c>
      <c r="V220" s="38" t="str">
        <f>IFERROR(Macro!$D61*Team!V121/12+IF(AND(YEAR(V$5)&gt;2020,MONTH(V$5)=Macro!$D$52),Macro!$D61*AVERAGE(OFFSET(W121,0,0,1,-12))*Macro!$E61,0),"NA")</f>
        <v>NA</v>
      </c>
      <c r="W220" s="39">
        <f>IFERROR(Macro!$D61*Team!W121/12+IF(AND(YEAR(W$5)&gt;2020,MONTH(W$5)=Macro!$D$52),Macro!$D61*AVERAGE(OFFSET(X121,0,0,1,-12))*Macro!$E61,0),"NA")</f>
        <v>0</v>
      </c>
      <c r="X220" s="40">
        <f>IFERROR(Macro!$D61*Team!X121/12+IF(AND(YEAR(X$5)&gt;2020,MONTH(X$5)=Macro!$D$52),Macro!$D61*AVERAGE(OFFSET(Y121,0,0,1,-12))*Macro!$E61,0),"NA")</f>
        <v>0</v>
      </c>
      <c r="Y220" s="38">
        <f>IFERROR(Macro!$D61*Team!Y121/12+IF(AND(YEAR(Y$5)&gt;2020,MONTH(Y$5)=Macro!$D$52),Macro!$D61*AVERAGE(OFFSET(Z121,0,0,1,-12))*Macro!$E61,0),"NA")</f>
        <v>0</v>
      </c>
      <c r="Z220" s="39">
        <f>IFERROR(Macro!$D61*Team!Z121/12+IF(AND(YEAR(Z$5)&gt;2020,MONTH(Z$5)=Macro!$D$52),Macro!$D61*AVERAGE(OFFSET(AA121,0,0,1,-12))*Macro!$E61,0),"NA")</f>
        <v>0</v>
      </c>
      <c r="AA220" s="40">
        <f>IFERROR(Macro!$D61*Team!AA121/12+IF(AND(YEAR(AA$5)&gt;2020,MONTH(AA$5)=Macro!$D$52),Macro!$D61*AVERAGE(OFFSET(AB121,0,0,1,-12))*Macro!$E61,0),"NA")</f>
        <v>0</v>
      </c>
      <c r="AB220" s="38">
        <f>IFERROR(Macro!$D61*Team!AB121/12+IF(AND(YEAR(AB$5)&gt;2020,MONTH(AB$5)=Macro!$D$52),Macro!$D61*AVERAGE(OFFSET(AC121,0,0,1,-12))*Macro!$E61,0),"NA")</f>
        <v>0</v>
      </c>
      <c r="AC220" s="39">
        <f>IFERROR(Macro!$D61*Team!AC121/12+IF(AND(YEAR(AC$5)&gt;2020,MONTH(AC$5)=Macro!$D$52),Macro!$D61*AVERAGE(OFFSET(AD121,0,0,1,-12))*Macro!$E61,0),"NA")</f>
        <v>0</v>
      </c>
      <c r="AD220" s="40">
        <f>IFERROR(Macro!$D61*Team!AD121/12+IF(AND(YEAR(AD$5)&gt;2020,MONTH(AD$5)=Macro!$D$52),Macro!$D61*AVERAGE(OFFSET(AE121,0,0,1,-12))*Macro!$E61,0),"NA")</f>
        <v>0</v>
      </c>
      <c r="AE220" s="38">
        <f>IFERROR(Macro!$D61*Team!AE121/12+IF(AND(YEAR(AE$5)&gt;2020,MONTH(AE$5)=Macro!$D$52),Macro!$D61*AVERAGE(OFFSET(AF121,0,0,1,-12))*Macro!$E61,0),"NA")</f>
        <v>0</v>
      </c>
      <c r="AF220" s="39">
        <f>IFERROR(Macro!$D61*Team!AF121/12+IF(AND(YEAR(AF$5)&gt;2020,MONTH(AF$5)=Macro!$D$52),Macro!$D61*AVERAGE(OFFSET(AG121,0,0,1,-12))*Macro!$E61,0),"NA")</f>
        <v>0</v>
      </c>
      <c r="AG220" s="40">
        <f>IFERROR(Macro!$D61*Team!AG121/12+IF(AND(YEAR(AG$5)&gt;2020,MONTH(AG$5)=Macro!$D$52),Macro!$D61*AVERAGE(OFFSET(AH121,0,0,1,-12))*Macro!$E61,0),"NA")</f>
        <v>0</v>
      </c>
      <c r="AH220" s="38" t="str">
        <f>IFERROR(Macro!$D61*Team!AH121/12+IF(AND(YEAR(AH$5)&gt;2020,MONTH(AH$5)=Macro!$D$52),Macro!$D61*AVERAGE(OFFSET(AI121,0,0,1,-12))*Macro!$E61,0),"NA")</f>
        <v>NA</v>
      </c>
      <c r="AI220" s="39">
        <f>IFERROR(Macro!$D61*Team!AI121/12+IF(AND(YEAR(AI$5)&gt;2020,MONTH(AI$5)=Macro!$D$52),Macro!$D61*AVERAGE(OFFSET(AJ121,0,0,1,-12))*Macro!$E61,0),"NA")</f>
        <v>0</v>
      </c>
      <c r="AJ220" s="40">
        <f>IFERROR(Macro!$D61*Team!AJ121/12+IF(AND(YEAR(AJ$5)&gt;2020,MONTH(AJ$5)=Macro!$D$52),Macro!$D61*AVERAGE(OFFSET(AK121,0,0,1,-12))*Macro!$E61,0),"NA")</f>
        <v>0</v>
      </c>
      <c r="AK220" s="38">
        <f>IFERROR(Macro!$D61*Team!AK121/12+IF(AND(YEAR(AK$5)&gt;2020,MONTH(AK$5)=Macro!$D$52),Macro!$D61*AVERAGE(OFFSET(AL121,0,0,1,-12))*Macro!$E61,0),"NA")</f>
        <v>0</v>
      </c>
      <c r="AL220" s="39">
        <f>IFERROR(Macro!$D61*Team!AL121/12+IF(AND(YEAR(AL$5)&gt;2020,MONTH(AL$5)=Macro!$D$52),Macro!$D61*AVERAGE(OFFSET(AM121,0,0,1,-12))*Macro!$E61,0),"NA")</f>
        <v>0</v>
      </c>
      <c r="AM220" s="40">
        <f>IFERROR(Macro!$D61*Team!AM121/12+IF(AND(YEAR(AM$5)&gt;2020,MONTH(AM$5)=Macro!$D$52),Macro!$D61*AVERAGE(OFFSET(AN121,0,0,1,-12))*Macro!$E61,0),"NA")</f>
        <v>0</v>
      </c>
      <c r="AN220" s="38">
        <f>IFERROR(Macro!$D61*Team!AN121/12+IF(AND(YEAR(AN$5)&gt;2020,MONTH(AN$5)=Macro!$D$52),Macro!$D61*AVERAGE(OFFSET(AO121,0,0,1,-12))*Macro!$E61,0),"NA")</f>
        <v>0</v>
      </c>
      <c r="AO220" s="39">
        <f>IFERROR(Macro!$D61*Team!AO121/12+IF(AND(YEAR(AO$5)&gt;2020,MONTH(AO$5)=Macro!$D$52),Macro!$D61*AVERAGE(OFFSET(AP121,0,0,1,-12))*Macro!$E61,0),"NA")</f>
        <v>0</v>
      </c>
      <c r="AP220" s="40">
        <f>IFERROR(Macro!$D61*Team!AP121/12+IF(AND(YEAR(AP$5)&gt;2020,MONTH(AP$5)=Macro!$D$52),Macro!$D61*AVERAGE(OFFSET(AQ121,0,0,1,-12))*Macro!$E61,0),"NA")</f>
        <v>0</v>
      </c>
      <c r="AQ220" s="38">
        <f>IFERROR(Macro!$D61*Team!AQ121/12+IF(AND(YEAR(AQ$5)&gt;2020,MONTH(AQ$5)=Macro!$D$52),Macro!$D61*AVERAGE(OFFSET(AR121,0,0,1,-12))*Macro!$E61,0),"NA")</f>
        <v>0</v>
      </c>
      <c r="AR220" s="39">
        <f>IFERROR(Macro!$D61*Team!AR121/12+IF(AND(YEAR(AR$5)&gt;2020,MONTH(AR$5)=Macro!$D$52),Macro!$D61*AVERAGE(OFFSET(AS121,0,0,1,-12))*Macro!$E61,0),"NA")</f>
        <v>0</v>
      </c>
      <c r="AS220" s="40">
        <f>IFERROR(Macro!$D61*Team!AS121/12+IF(AND(YEAR(AS$5)&gt;2020,MONTH(AS$5)=Macro!$D$52),Macro!$D61*AVERAGE(OFFSET(AT121,0,0,1,-12))*Macro!$E61,0),"NA")</f>
        <v>0</v>
      </c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</row>
    <row r="221" ht="12.0" customHeight="1">
      <c r="A221" s="282"/>
      <c r="B221" s="4"/>
      <c r="C221" s="37" t="str">
        <f t="shared" si="96"/>
        <v>Sales Ops</v>
      </c>
      <c r="D221" s="283">
        <f>IFERROR(Macro!$D62*Team!D122/12+IF(AND(YEAR(D$5)&gt;2020,MONTH(D$5)=Macro!$D$52),Macro!$D62*AVERAGE(OFFSET(E122,0,0,1,-12))*Macro!$E62,0),"NA")</f>
        <v>0</v>
      </c>
      <c r="E221" s="284">
        <f>IFERROR(Macro!$D62*Team!E122/12+IF(AND(YEAR(E$5)&gt;2020,MONTH(E$5)=Macro!$D$52),Macro!$D62*AVERAGE(OFFSET(F122,0,0,1,-12))*Macro!$E62,0),"NA")</f>
        <v>0</v>
      </c>
      <c r="F221" s="284">
        <f>IFERROR(Macro!$D62*Team!F122/12+IF(AND(YEAR(F$5)&gt;2020,MONTH(F$5)=Macro!$D$52),Macro!$D62*AVERAGE(OFFSET(G122,0,0,1,-12))*Macro!$E62,0),"NA")</f>
        <v>0</v>
      </c>
      <c r="G221" s="283">
        <f>IFERROR(Macro!$D62*Team!G122/12+IF(AND(YEAR(G$5)&gt;2020,MONTH(G$5)=Macro!$D$52),Macro!$D62*AVERAGE(OFFSET(H122,0,0,1,-12))*Macro!$E62,0),"NA")</f>
        <v>0</v>
      </c>
      <c r="H221" s="284">
        <f>IFERROR(Macro!$D62*Team!H122/12+IF(AND(YEAR(H$5)&gt;2020,MONTH(H$5)=Macro!$D$52),Macro!$D62*AVERAGE(OFFSET(I122,0,0,1,-12))*Macro!$E62,0),"NA")</f>
        <v>0</v>
      </c>
      <c r="I221" s="285">
        <f>IFERROR(Macro!$D62*Team!I122/12+IF(AND(YEAR(I$5)&gt;2020,MONTH(I$5)=Macro!$D$52),Macro!$D62*AVERAGE(OFFSET(J122,0,0,1,-12))*Macro!$E62,0),"NA")</f>
        <v>0</v>
      </c>
      <c r="J221" s="286">
        <f>IFERROR(Macro!$D62*Team!J122/12+IF(AND(YEAR(J$5)&gt;2020,MONTH(J$5)=Macro!$D$52),Macro!$D62*AVERAGE(OFFSET(K122,0,0,1,-12))*Macro!$E62,0),"NA")</f>
        <v>0</v>
      </c>
      <c r="K221" s="287">
        <f>IFERROR(Macro!$D62*Team!K122/12+IF(AND(YEAR(K$5)&gt;2020,MONTH(K$5)=Macro!$D$52),Macro!$D62*AVERAGE(OFFSET(L122,0,0,1,-12))*Macro!$E62,0),"NA")</f>
        <v>0</v>
      </c>
      <c r="L221" s="288">
        <f>IFERROR(Macro!$D62*Team!L122/12+IF(AND(YEAR(L$5)&gt;2020,MONTH(L$5)=Macro!$D$52),Macro!$D62*AVERAGE(OFFSET(M122,0,0,1,-12))*Macro!$E62,0),"NA")</f>
        <v>0</v>
      </c>
      <c r="M221" s="38">
        <f>IFERROR(Macro!$D62*Team!M122/12+IF(AND(YEAR(M$5)&gt;2020,MONTH(M$5)=Macro!$D$52),Macro!$D62*AVERAGE(OFFSET(N122,0,0,1,-12))*Macro!$E62,0),"NA")</f>
        <v>0</v>
      </c>
      <c r="N221" s="39">
        <f>IFERROR(Macro!$D62*Team!N122/12+IF(AND(YEAR(N$5)&gt;2020,MONTH(N$5)=Macro!$D$52),Macro!$D62*AVERAGE(OFFSET(O122,0,0,1,-12))*Macro!$E62,0),"NA")</f>
        <v>0</v>
      </c>
      <c r="O221" s="40">
        <f>IFERROR(Macro!$D62*Team!O122/12+IF(AND(YEAR(O$5)&gt;2020,MONTH(O$5)=Macro!$D$52),Macro!$D62*AVERAGE(OFFSET(P122,0,0,1,-12))*Macro!$E62,0),"NA")</f>
        <v>0</v>
      </c>
      <c r="P221" s="38">
        <f>IFERROR(Macro!$D62*Team!P122/12+IF(AND(YEAR(P$5)&gt;2020,MONTH(P$5)=Macro!$D$52),Macro!$D62*AVERAGE(OFFSET(Q122,0,0,1,-12))*Macro!$E62,0),"NA")</f>
        <v>0</v>
      </c>
      <c r="Q221" s="39">
        <f>IFERROR(Macro!$D62*Team!Q122/12+IF(AND(YEAR(Q$5)&gt;2020,MONTH(Q$5)=Macro!$D$52),Macro!$D62*AVERAGE(OFFSET(R122,0,0,1,-12))*Macro!$E62,0),"NA")</f>
        <v>0</v>
      </c>
      <c r="R221" s="40">
        <f>IFERROR(Macro!$D62*Team!R122/12+IF(AND(YEAR(R$5)&gt;2020,MONTH(R$5)=Macro!$D$52),Macro!$D62*AVERAGE(OFFSET(S122,0,0,1,-12))*Macro!$E62,0),"NA")</f>
        <v>12500</v>
      </c>
      <c r="S221" s="38">
        <f>IFERROR(Macro!$D62*Team!S122/12+IF(AND(YEAR(S$5)&gt;2020,MONTH(S$5)=Macro!$D$52),Macro!$D62*AVERAGE(OFFSET(T122,0,0,1,-12))*Macro!$E62,0),"NA")</f>
        <v>12500</v>
      </c>
      <c r="T221" s="39">
        <f>IFERROR(Macro!$D62*Team!T122/12+IF(AND(YEAR(T$5)&gt;2020,MONTH(T$5)=Macro!$D$52),Macro!$D62*AVERAGE(OFFSET(U122,0,0,1,-12))*Macro!$E62,0),"NA")</f>
        <v>12500</v>
      </c>
      <c r="U221" s="40">
        <f>IFERROR(Macro!$D62*Team!U122/12+IF(AND(YEAR(U$5)&gt;2020,MONTH(U$5)=Macro!$D$52),Macro!$D62*AVERAGE(OFFSET(V122,0,0,1,-12))*Macro!$E62,0),"NA")</f>
        <v>12500</v>
      </c>
      <c r="V221" s="38" t="str">
        <f>IFERROR(Macro!$D62*Team!V122/12+IF(AND(YEAR(V$5)&gt;2020,MONTH(V$5)=Macro!$D$52),Macro!$D62*AVERAGE(OFFSET(W122,0,0,1,-12))*Macro!$E62,0),"NA")</f>
        <v>NA</v>
      </c>
      <c r="W221" s="39">
        <f>IFERROR(Macro!$D62*Team!W122/12+IF(AND(YEAR(W$5)&gt;2020,MONTH(W$5)=Macro!$D$52),Macro!$D62*AVERAGE(OFFSET(X122,0,0,1,-12))*Macro!$E62,0),"NA")</f>
        <v>12500</v>
      </c>
      <c r="X221" s="40">
        <f>IFERROR(Macro!$D62*Team!X122/12+IF(AND(YEAR(X$5)&gt;2020,MONTH(X$5)=Macro!$D$52),Macro!$D62*AVERAGE(OFFSET(Y122,0,0,1,-12))*Macro!$E62,0),"NA")</f>
        <v>12500</v>
      </c>
      <c r="Y221" s="38">
        <f>IFERROR(Macro!$D62*Team!Y122/12+IF(AND(YEAR(Y$5)&gt;2020,MONTH(Y$5)=Macro!$D$52),Macro!$D62*AVERAGE(OFFSET(Z122,0,0,1,-12))*Macro!$E62,0),"NA")</f>
        <v>12500</v>
      </c>
      <c r="Z221" s="39">
        <f>IFERROR(Macro!$D62*Team!Z122/12+IF(AND(YEAR(Z$5)&gt;2020,MONTH(Z$5)=Macro!$D$52),Macro!$D62*AVERAGE(OFFSET(AA122,0,0,1,-12))*Macro!$E62,0),"NA")</f>
        <v>12500</v>
      </c>
      <c r="AA221" s="40">
        <f>IFERROR(Macro!$D62*Team!AA122/12+IF(AND(YEAR(AA$5)&gt;2020,MONTH(AA$5)=Macro!$D$52),Macro!$D62*AVERAGE(OFFSET(AB122,0,0,1,-12))*Macro!$E62,0),"NA")</f>
        <v>12500</v>
      </c>
      <c r="AB221" s="38">
        <f>IFERROR(Macro!$D62*Team!AB122/12+IF(AND(YEAR(AB$5)&gt;2020,MONTH(AB$5)=Macro!$D$52),Macro!$D62*AVERAGE(OFFSET(AC122,0,0,1,-12))*Macro!$E62,0),"NA")</f>
        <v>12500</v>
      </c>
      <c r="AC221" s="39">
        <f>IFERROR(Macro!$D62*Team!AC122/12+IF(AND(YEAR(AC$5)&gt;2020,MONTH(AC$5)=Macro!$D$52),Macro!$D62*AVERAGE(OFFSET(AD122,0,0,1,-12))*Macro!$E62,0),"NA")</f>
        <v>12500</v>
      </c>
      <c r="AD221" s="40">
        <f>IFERROR(Macro!$D62*Team!AD122/12+IF(AND(YEAR(AD$5)&gt;2020,MONTH(AD$5)=Macro!$D$52),Macro!$D62*AVERAGE(OFFSET(AE122,0,0,1,-12))*Macro!$E62,0),"NA")</f>
        <v>12500</v>
      </c>
      <c r="AE221" s="38">
        <f>IFERROR(Macro!$D62*Team!AE122/12+IF(AND(YEAR(AE$5)&gt;2020,MONTH(AE$5)=Macro!$D$52),Macro!$D62*AVERAGE(OFFSET(AF122,0,0,1,-12))*Macro!$E62,0),"NA")</f>
        <v>12500</v>
      </c>
      <c r="AF221" s="39">
        <f>IFERROR(Macro!$D62*Team!AF122/12+IF(AND(YEAR(AF$5)&gt;2020,MONTH(AF$5)=Macro!$D$52),Macro!$D62*AVERAGE(OFFSET(AG122,0,0,1,-12))*Macro!$E62,0),"NA")</f>
        <v>12500</v>
      </c>
      <c r="AG221" s="40">
        <f>IFERROR(Macro!$D62*Team!AG122/12+IF(AND(YEAR(AG$5)&gt;2020,MONTH(AG$5)=Macro!$D$52),Macro!$D62*AVERAGE(OFFSET(AH122,0,0,1,-12))*Macro!$E62,0),"NA")</f>
        <v>12500</v>
      </c>
      <c r="AH221" s="38" t="str">
        <f>IFERROR(Macro!$D62*Team!AH122/12+IF(AND(YEAR(AH$5)&gt;2020,MONTH(AH$5)=Macro!$D$52),Macro!$D62*AVERAGE(OFFSET(AI122,0,0,1,-12))*Macro!$E62,0),"NA")</f>
        <v>NA</v>
      </c>
      <c r="AI221" s="39">
        <f>IFERROR(Macro!$D62*Team!AI122/12+IF(AND(YEAR(AI$5)&gt;2020,MONTH(AI$5)=Macro!$D$52),Macro!$D62*AVERAGE(OFFSET(AJ122,0,0,1,-12))*Macro!$E62,0),"NA")</f>
        <v>12500</v>
      </c>
      <c r="AJ221" s="40">
        <f>IFERROR(Macro!$D62*Team!AJ122/12+IF(AND(YEAR(AJ$5)&gt;2020,MONTH(AJ$5)=Macro!$D$52),Macro!$D62*AVERAGE(OFFSET(AK122,0,0,1,-12))*Macro!$E62,0),"NA")</f>
        <v>12500</v>
      </c>
      <c r="AK221" s="38">
        <f>IFERROR(Macro!$D62*Team!AK122/12+IF(AND(YEAR(AK$5)&gt;2020,MONTH(AK$5)=Macro!$D$52),Macro!$D62*AVERAGE(OFFSET(AL122,0,0,1,-12))*Macro!$E62,0),"NA")</f>
        <v>12500</v>
      </c>
      <c r="AL221" s="39">
        <f>IFERROR(Macro!$D62*Team!AL122/12+IF(AND(YEAR(AL$5)&gt;2020,MONTH(AL$5)=Macro!$D$52),Macro!$D62*AVERAGE(OFFSET(AM122,0,0,1,-12))*Macro!$E62,0),"NA")</f>
        <v>12500</v>
      </c>
      <c r="AM221" s="40">
        <f>IFERROR(Macro!$D62*Team!AM122/12+IF(AND(YEAR(AM$5)&gt;2020,MONTH(AM$5)=Macro!$D$52),Macro!$D62*AVERAGE(OFFSET(AN122,0,0,1,-12))*Macro!$E62,0),"NA")</f>
        <v>12500</v>
      </c>
      <c r="AN221" s="38">
        <f>IFERROR(Macro!$D62*Team!AN122/12+IF(AND(YEAR(AN$5)&gt;2020,MONTH(AN$5)=Macro!$D$52),Macro!$D62*AVERAGE(OFFSET(AO122,0,0,1,-12))*Macro!$E62,0),"NA")</f>
        <v>25000</v>
      </c>
      <c r="AO221" s="39">
        <f>IFERROR(Macro!$D62*Team!AO122/12+IF(AND(YEAR(AO$5)&gt;2020,MONTH(AO$5)=Macro!$D$52),Macro!$D62*AVERAGE(OFFSET(AP122,0,0,1,-12))*Macro!$E62,0),"NA")</f>
        <v>25000</v>
      </c>
      <c r="AP221" s="40">
        <f>IFERROR(Macro!$D62*Team!AP122/12+IF(AND(YEAR(AP$5)&gt;2020,MONTH(AP$5)=Macro!$D$52),Macro!$D62*AVERAGE(OFFSET(AQ122,0,0,1,-12))*Macro!$E62,0),"NA")</f>
        <v>25000</v>
      </c>
      <c r="AQ221" s="38">
        <f>IFERROR(Macro!$D62*Team!AQ122/12+IF(AND(YEAR(AQ$5)&gt;2020,MONTH(AQ$5)=Macro!$D$52),Macro!$D62*AVERAGE(OFFSET(AR122,0,0,1,-12))*Macro!$E62,0),"NA")</f>
        <v>25000</v>
      </c>
      <c r="AR221" s="39">
        <f>IFERROR(Macro!$D62*Team!AR122/12+IF(AND(YEAR(AR$5)&gt;2020,MONTH(AR$5)=Macro!$D$52),Macro!$D62*AVERAGE(OFFSET(AS122,0,0,1,-12))*Macro!$E62,0),"NA")</f>
        <v>25000</v>
      </c>
      <c r="AS221" s="40">
        <f>IFERROR(Macro!$D62*Team!AS122/12+IF(AND(YEAR(AS$5)&gt;2020,MONTH(AS$5)=Macro!$D$52),Macro!$D62*AVERAGE(OFFSET(AT122,0,0,1,-12))*Macro!$E62,0),"NA")</f>
        <v>25000</v>
      </c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</row>
    <row r="222" ht="12.0" customHeight="1">
      <c r="A222" s="282"/>
      <c r="B222" s="4"/>
      <c r="C222" s="37" t="str">
        <f t="shared" si="96"/>
        <v>[XX]</v>
      </c>
      <c r="D222" s="283">
        <f>IFERROR(Macro!$D63*Team!D123/12+IF(AND(YEAR(D$5)&gt;2020,MONTH(D$5)=Macro!$D$52),Macro!$D63*AVERAGE(OFFSET(E123,0,0,1,-12))*Macro!$E63,0),"NA")</f>
        <v>0</v>
      </c>
      <c r="E222" s="284">
        <f>IFERROR(Macro!$D63*Team!E123/12+IF(AND(YEAR(E$5)&gt;2020,MONTH(E$5)=Macro!$D$52),Macro!$D63*AVERAGE(OFFSET(F123,0,0,1,-12))*Macro!$E63,0),"NA")</f>
        <v>0</v>
      </c>
      <c r="F222" s="284">
        <f>IFERROR(Macro!$D63*Team!F123/12+IF(AND(YEAR(F$5)&gt;2020,MONTH(F$5)=Macro!$D$52),Macro!$D63*AVERAGE(OFFSET(G123,0,0,1,-12))*Macro!$E63,0),"NA")</f>
        <v>0</v>
      </c>
      <c r="G222" s="283">
        <f>IFERROR(Macro!$D63*Team!G123/12+IF(AND(YEAR(G$5)&gt;2020,MONTH(G$5)=Macro!$D$52),Macro!$D63*AVERAGE(OFFSET(H123,0,0,1,-12))*Macro!$E63,0),"NA")</f>
        <v>0</v>
      </c>
      <c r="H222" s="284">
        <f>IFERROR(Macro!$D63*Team!H123/12+IF(AND(YEAR(H$5)&gt;2020,MONTH(H$5)=Macro!$D$52),Macro!$D63*AVERAGE(OFFSET(I123,0,0,1,-12))*Macro!$E63,0),"NA")</f>
        <v>0</v>
      </c>
      <c r="I222" s="285">
        <f>IFERROR(Macro!$D63*Team!I123/12+IF(AND(YEAR(I$5)&gt;2020,MONTH(I$5)=Macro!$D$52),Macro!$D63*AVERAGE(OFFSET(J123,0,0,1,-12))*Macro!$E63,0),"NA")</f>
        <v>0</v>
      </c>
      <c r="J222" s="286">
        <f>IFERROR(Macro!$D63*Team!J123/12+IF(AND(YEAR(J$5)&gt;2020,MONTH(J$5)=Macro!$D$52),Macro!$D63*AVERAGE(OFFSET(K123,0,0,1,-12))*Macro!$E63,0),"NA")</f>
        <v>0</v>
      </c>
      <c r="K222" s="287">
        <f>IFERROR(Macro!$D63*Team!K123/12+IF(AND(YEAR(K$5)&gt;2020,MONTH(K$5)=Macro!$D$52),Macro!$D63*AVERAGE(OFFSET(L123,0,0,1,-12))*Macro!$E63,0),"NA")</f>
        <v>0</v>
      </c>
      <c r="L222" s="288">
        <f>IFERROR(Macro!$D63*Team!L123/12+IF(AND(YEAR(L$5)&gt;2020,MONTH(L$5)=Macro!$D$52),Macro!$D63*AVERAGE(OFFSET(M123,0,0,1,-12))*Macro!$E63,0),"NA")</f>
        <v>0</v>
      </c>
      <c r="M222" s="38">
        <f>IFERROR(Macro!$D63*Team!M123/12+IF(AND(YEAR(M$5)&gt;2020,MONTH(M$5)=Macro!$D$52),Macro!$D63*AVERAGE(OFFSET(N123,0,0,1,-12))*Macro!$E63,0),"NA")</f>
        <v>0</v>
      </c>
      <c r="N222" s="39">
        <f>IFERROR(Macro!$D63*Team!N123/12+IF(AND(YEAR(N$5)&gt;2020,MONTH(N$5)=Macro!$D$52),Macro!$D63*AVERAGE(OFFSET(O123,0,0,1,-12))*Macro!$E63,0),"NA")</f>
        <v>0</v>
      </c>
      <c r="O222" s="40">
        <f>IFERROR(Macro!$D63*Team!O123/12+IF(AND(YEAR(O$5)&gt;2020,MONTH(O$5)=Macro!$D$52),Macro!$D63*AVERAGE(OFFSET(P123,0,0,1,-12))*Macro!$E63,0),"NA")</f>
        <v>0</v>
      </c>
      <c r="P222" s="38">
        <f>IFERROR(Macro!$D63*Team!P123/12+IF(AND(YEAR(P$5)&gt;2020,MONTH(P$5)=Macro!$D$52),Macro!$D63*AVERAGE(OFFSET(Q123,0,0,1,-12))*Macro!$E63,0),"NA")</f>
        <v>0</v>
      </c>
      <c r="Q222" s="39">
        <f>IFERROR(Macro!$D63*Team!Q123/12+IF(AND(YEAR(Q$5)&gt;2020,MONTH(Q$5)=Macro!$D$52),Macro!$D63*AVERAGE(OFFSET(R123,0,0,1,-12))*Macro!$E63,0),"NA")</f>
        <v>0</v>
      </c>
      <c r="R222" s="40">
        <f>IFERROR(Macro!$D63*Team!R123/12+IF(AND(YEAR(R$5)&gt;2020,MONTH(R$5)=Macro!$D$52),Macro!$D63*AVERAGE(OFFSET(S123,0,0,1,-12))*Macro!$E63,0),"NA")</f>
        <v>0</v>
      </c>
      <c r="S222" s="38">
        <f>IFERROR(Macro!$D63*Team!S123/12+IF(AND(YEAR(S$5)&gt;2020,MONTH(S$5)=Macro!$D$52),Macro!$D63*AVERAGE(OFFSET(T123,0,0,1,-12))*Macro!$E63,0),"NA")</f>
        <v>0</v>
      </c>
      <c r="T222" s="39">
        <f>IFERROR(Macro!$D63*Team!T123/12+IF(AND(YEAR(T$5)&gt;2020,MONTH(T$5)=Macro!$D$52),Macro!$D63*AVERAGE(OFFSET(U123,0,0,1,-12))*Macro!$E63,0),"NA")</f>
        <v>0</v>
      </c>
      <c r="U222" s="40">
        <f>IFERROR(Macro!$D63*Team!U123/12+IF(AND(YEAR(U$5)&gt;2020,MONTH(U$5)=Macro!$D$52),Macro!$D63*AVERAGE(OFFSET(V123,0,0,1,-12))*Macro!$E63,0),"NA")</f>
        <v>0</v>
      </c>
      <c r="V222" s="38" t="str">
        <f>IFERROR(Macro!$D63*Team!V123/12+IF(AND(YEAR(V$5)&gt;2020,MONTH(V$5)=Macro!$D$52),Macro!$D63*AVERAGE(OFFSET(W123,0,0,1,-12))*Macro!$E63,0),"NA")</f>
        <v>NA</v>
      </c>
      <c r="W222" s="39">
        <f>IFERROR(Macro!$D63*Team!W123/12+IF(AND(YEAR(W$5)&gt;2020,MONTH(W$5)=Macro!$D$52),Macro!$D63*AVERAGE(OFFSET(X123,0,0,1,-12))*Macro!$E63,0),"NA")</f>
        <v>0</v>
      </c>
      <c r="X222" s="40">
        <f>IFERROR(Macro!$D63*Team!X123/12+IF(AND(YEAR(X$5)&gt;2020,MONTH(X$5)=Macro!$D$52),Macro!$D63*AVERAGE(OFFSET(Y123,0,0,1,-12))*Macro!$E63,0),"NA")</f>
        <v>0</v>
      </c>
      <c r="Y222" s="38">
        <f>IFERROR(Macro!$D63*Team!Y123/12+IF(AND(YEAR(Y$5)&gt;2020,MONTH(Y$5)=Macro!$D$52),Macro!$D63*AVERAGE(OFFSET(Z123,0,0,1,-12))*Macro!$E63,0),"NA")</f>
        <v>0</v>
      </c>
      <c r="Z222" s="39">
        <f>IFERROR(Macro!$D63*Team!Z123/12+IF(AND(YEAR(Z$5)&gt;2020,MONTH(Z$5)=Macro!$D$52),Macro!$D63*AVERAGE(OFFSET(AA123,0,0,1,-12))*Macro!$E63,0),"NA")</f>
        <v>0</v>
      </c>
      <c r="AA222" s="40">
        <f>IFERROR(Macro!$D63*Team!AA123/12+IF(AND(YEAR(AA$5)&gt;2020,MONTH(AA$5)=Macro!$D$52),Macro!$D63*AVERAGE(OFFSET(AB123,0,0,1,-12))*Macro!$E63,0),"NA")</f>
        <v>0</v>
      </c>
      <c r="AB222" s="38">
        <f>IFERROR(Macro!$D63*Team!AB123/12+IF(AND(YEAR(AB$5)&gt;2020,MONTH(AB$5)=Macro!$D$52),Macro!$D63*AVERAGE(OFFSET(AC123,0,0,1,-12))*Macro!$E63,0),"NA")</f>
        <v>0</v>
      </c>
      <c r="AC222" s="39">
        <f>IFERROR(Macro!$D63*Team!AC123/12+IF(AND(YEAR(AC$5)&gt;2020,MONTH(AC$5)=Macro!$D$52),Macro!$D63*AVERAGE(OFFSET(AD123,0,0,1,-12))*Macro!$E63,0),"NA")</f>
        <v>0</v>
      </c>
      <c r="AD222" s="40">
        <f>IFERROR(Macro!$D63*Team!AD123/12+IF(AND(YEAR(AD$5)&gt;2020,MONTH(AD$5)=Macro!$D$52),Macro!$D63*AVERAGE(OFFSET(AE123,0,0,1,-12))*Macro!$E63,0),"NA")</f>
        <v>0</v>
      </c>
      <c r="AE222" s="38">
        <f>IFERROR(Macro!$D63*Team!AE123/12+IF(AND(YEAR(AE$5)&gt;2020,MONTH(AE$5)=Macro!$D$52),Macro!$D63*AVERAGE(OFFSET(AF123,0,0,1,-12))*Macro!$E63,0),"NA")</f>
        <v>0</v>
      </c>
      <c r="AF222" s="39">
        <f>IFERROR(Macro!$D63*Team!AF123/12+IF(AND(YEAR(AF$5)&gt;2020,MONTH(AF$5)=Macro!$D$52),Macro!$D63*AVERAGE(OFFSET(AG123,0,0,1,-12))*Macro!$E63,0),"NA")</f>
        <v>0</v>
      </c>
      <c r="AG222" s="40">
        <f>IFERROR(Macro!$D63*Team!AG123/12+IF(AND(YEAR(AG$5)&gt;2020,MONTH(AG$5)=Macro!$D$52),Macro!$D63*AVERAGE(OFFSET(AH123,0,0,1,-12))*Macro!$E63,0),"NA")</f>
        <v>0</v>
      </c>
      <c r="AH222" s="38" t="str">
        <f>IFERROR(Macro!$D63*Team!AH123/12+IF(AND(YEAR(AH$5)&gt;2020,MONTH(AH$5)=Macro!$D$52),Macro!$D63*AVERAGE(OFFSET(AI123,0,0,1,-12))*Macro!$E63,0),"NA")</f>
        <v>NA</v>
      </c>
      <c r="AI222" s="39">
        <f>IFERROR(Macro!$D63*Team!AI123/12+IF(AND(YEAR(AI$5)&gt;2020,MONTH(AI$5)=Macro!$D$52),Macro!$D63*AVERAGE(OFFSET(AJ123,0,0,1,-12))*Macro!$E63,0),"NA")</f>
        <v>0</v>
      </c>
      <c r="AJ222" s="40">
        <f>IFERROR(Macro!$D63*Team!AJ123/12+IF(AND(YEAR(AJ$5)&gt;2020,MONTH(AJ$5)=Macro!$D$52),Macro!$D63*AVERAGE(OFFSET(AK123,0,0,1,-12))*Macro!$E63,0),"NA")</f>
        <v>0</v>
      </c>
      <c r="AK222" s="38">
        <f>IFERROR(Macro!$D63*Team!AK123/12+IF(AND(YEAR(AK$5)&gt;2020,MONTH(AK$5)=Macro!$D$52),Macro!$D63*AVERAGE(OFFSET(AL123,0,0,1,-12))*Macro!$E63,0),"NA")</f>
        <v>0</v>
      </c>
      <c r="AL222" s="39">
        <f>IFERROR(Macro!$D63*Team!AL123/12+IF(AND(YEAR(AL$5)&gt;2020,MONTH(AL$5)=Macro!$D$52),Macro!$D63*AVERAGE(OFFSET(AM123,0,0,1,-12))*Macro!$E63,0),"NA")</f>
        <v>0</v>
      </c>
      <c r="AM222" s="40">
        <f>IFERROR(Macro!$D63*Team!AM123/12+IF(AND(YEAR(AM$5)&gt;2020,MONTH(AM$5)=Macro!$D$52),Macro!$D63*AVERAGE(OFFSET(AN123,0,0,1,-12))*Macro!$E63,0),"NA")</f>
        <v>0</v>
      </c>
      <c r="AN222" s="38">
        <f>IFERROR(Macro!$D63*Team!AN123/12+IF(AND(YEAR(AN$5)&gt;2020,MONTH(AN$5)=Macro!$D$52),Macro!$D63*AVERAGE(OFFSET(AO123,0,0,1,-12))*Macro!$E63,0),"NA")</f>
        <v>0</v>
      </c>
      <c r="AO222" s="39">
        <f>IFERROR(Macro!$D63*Team!AO123/12+IF(AND(YEAR(AO$5)&gt;2020,MONTH(AO$5)=Macro!$D$52),Macro!$D63*AVERAGE(OFFSET(AP123,0,0,1,-12))*Macro!$E63,0),"NA")</f>
        <v>0</v>
      </c>
      <c r="AP222" s="40">
        <f>IFERROR(Macro!$D63*Team!AP123/12+IF(AND(YEAR(AP$5)&gt;2020,MONTH(AP$5)=Macro!$D$52),Macro!$D63*AVERAGE(OFFSET(AQ123,0,0,1,-12))*Macro!$E63,0),"NA")</f>
        <v>0</v>
      </c>
      <c r="AQ222" s="38">
        <f>IFERROR(Macro!$D63*Team!AQ123/12+IF(AND(YEAR(AQ$5)&gt;2020,MONTH(AQ$5)=Macro!$D$52),Macro!$D63*AVERAGE(OFFSET(AR123,0,0,1,-12))*Macro!$E63,0),"NA")</f>
        <v>0</v>
      </c>
      <c r="AR222" s="39">
        <f>IFERROR(Macro!$D63*Team!AR123/12+IF(AND(YEAR(AR$5)&gt;2020,MONTH(AR$5)=Macro!$D$52),Macro!$D63*AVERAGE(OFFSET(AS123,0,0,1,-12))*Macro!$E63,0),"NA")</f>
        <v>0</v>
      </c>
      <c r="AS222" s="40">
        <f>IFERROR(Macro!$D63*Team!AS123/12+IF(AND(YEAR(AS$5)&gt;2020,MONTH(AS$5)=Macro!$D$52),Macro!$D63*AVERAGE(OFFSET(AT123,0,0,1,-12))*Macro!$E63,0),"NA")</f>
        <v>0</v>
      </c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</row>
    <row r="223" ht="12.0" customHeight="1">
      <c r="A223" s="282"/>
      <c r="B223" s="4"/>
      <c r="C223" s="37" t="str">
        <f t="shared" si="96"/>
        <v>[XX]</v>
      </c>
      <c r="D223" s="283">
        <f>IFERROR(Macro!$D64*Team!D124/12+IF(AND(YEAR(D$5)&gt;2020,MONTH(D$5)=Macro!$D$52),Macro!$D64*AVERAGE(OFFSET(E124,0,0,1,-12))*Macro!$E64,0),"NA")</f>
        <v>0</v>
      </c>
      <c r="E223" s="284">
        <f>IFERROR(Macro!$D64*Team!E124/12+IF(AND(YEAR(E$5)&gt;2020,MONTH(E$5)=Macro!$D$52),Macro!$D64*AVERAGE(OFFSET(F124,0,0,1,-12))*Macro!$E64,0),"NA")</f>
        <v>0</v>
      </c>
      <c r="F223" s="284">
        <f>IFERROR(Macro!$D64*Team!F124/12+IF(AND(YEAR(F$5)&gt;2020,MONTH(F$5)=Macro!$D$52),Macro!$D64*AVERAGE(OFFSET(G124,0,0,1,-12))*Macro!$E64,0),"NA")</f>
        <v>0</v>
      </c>
      <c r="G223" s="283">
        <f>IFERROR(Macro!$D64*Team!G124/12+IF(AND(YEAR(G$5)&gt;2020,MONTH(G$5)=Macro!$D$52),Macro!$D64*AVERAGE(OFFSET(H124,0,0,1,-12))*Macro!$E64,0),"NA")</f>
        <v>0</v>
      </c>
      <c r="H223" s="284">
        <f>IFERROR(Macro!$D64*Team!H124/12+IF(AND(YEAR(H$5)&gt;2020,MONTH(H$5)=Macro!$D$52),Macro!$D64*AVERAGE(OFFSET(I124,0,0,1,-12))*Macro!$E64,0),"NA")</f>
        <v>0</v>
      </c>
      <c r="I223" s="285">
        <f>IFERROR(Macro!$D64*Team!I124/12+IF(AND(YEAR(I$5)&gt;2020,MONTH(I$5)=Macro!$D$52),Macro!$D64*AVERAGE(OFFSET(J124,0,0,1,-12))*Macro!$E64,0),"NA")</f>
        <v>0</v>
      </c>
      <c r="J223" s="286">
        <f>IFERROR(Macro!$D64*Team!J124/12+IF(AND(YEAR(J$5)&gt;2020,MONTH(J$5)=Macro!$D$52),Macro!$D64*AVERAGE(OFFSET(K124,0,0,1,-12))*Macro!$E64,0),"NA")</f>
        <v>0</v>
      </c>
      <c r="K223" s="287">
        <f>IFERROR(Macro!$D64*Team!K124/12+IF(AND(YEAR(K$5)&gt;2020,MONTH(K$5)=Macro!$D$52),Macro!$D64*AVERAGE(OFFSET(L124,0,0,1,-12))*Macro!$E64,0),"NA")</f>
        <v>0</v>
      </c>
      <c r="L223" s="288">
        <f>IFERROR(Macro!$D64*Team!L124/12+IF(AND(YEAR(L$5)&gt;2020,MONTH(L$5)=Macro!$D$52),Macro!$D64*AVERAGE(OFFSET(M124,0,0,1,-12))*Macro!$E64,0),"NA")</f>
        <v>0</v>
      </c>
      <c r="M223" s="38">
        <f>IFERROR(Macro!$D64*Team!M124/12+IF(AND(YEAR(M$5)&gt;2020,MONTH(M$5)=Macro!$D$52),Macro!$D64*AVERAGE(OFFSET(N124,0,0,1,-12))*Macro!$E64,0),"NA")</f>
        <v>0</v>
      </c>
      <c r="N223" s="39">
        <f>IFERROR(Macro!$D64*Team!N124/12+IF(AND(YEAR(N$5)&gt;2020,MONTH(N$5)=Macro!$D$52),Macro!$D64*AVERAGE(OFFSET(O124,0,0,1,-12))*Macro!$E64,0),"NA")</f>
        <v>0</v>
      </c>
      <c r="O223" s="40">
        <f>IFERROR(Macro!$D64*Team!O124/12+IF(AND(YEAR(O$5)&gt;2020,MONTH(O$5)=Macro!$D$52),Macro!$D64*AVERAGE(OFFSET(P124,0,0,1,-12))*Macro!$E64,0),"NA")</f>
        <v>0</v>
      </c>
      <c r="P223" s="38">
        <f>IFERROR(Macro!$D64*Team!P124/12+IF(AND(YEAR(P$5)&gt;2020,MONTH(P$5)=Macro!$D$52),Macro!$D64*AVERAGE(OFFSET(Q124,0,0,1,-12))*Macro!$E64,0),"NA")</f>
        <v>0</v>
      </c>
      <c r="Q223" s="39">
        <f>IFERROR(Macro!$D64*Team!Q124/12+IF(AND(YEAR(Q$5)&gt;2020,MONTH(Q$5)=Macro!$D$52),Macro!$D64*AVERAGE(OFFSET(R124,0,0,1,-12))*Macro!$E64,0),"NA")</f>
        <v>0</v>
      </c>
      <c r="R223" s="40">
        <f>IFERROR(Macro!$D64*Team!R124/12+IF(AND(YEAR(R$5)&gt;2020,MONTH(R$5)=Macro!$D$52),Macro!$D64*AVERAGE(OFFSET(S124,0,0,1,-12))*Macro!$E64,0),"NA")</f>
        <v>0</v>
      </c>
      <c r="S223" s="38">
        <f>IFERROR(Macro!$D64*Team!S124/12+IF(AND(YEAR(S$5)&gt;2020,MONTH(S$5)=Macro!$D$52),Macro!$D64*AVERAGE(OFFSET(T124,0,0,1,-12))*Macro!$E64,0),"NA")</f>
        <v>0</v>
      </c>
      <c r="T223" s="39">
        <f>IFERROR(Macro!$D64*Team!T124/12+IF(AND(YEAR(T$5)&gt;2020,MONTH(T$5)=Macro!$D$52),Macro!$D64*AVERAGE(OFFSET(U124,0,0,1,-12))*Macro!$E64,0),"NA")</f>
        <v>0</v>
      </c>
      <c r="U223" s="40">
        <f>IFERROR(Macro!$D64*Team!U124/12+IF(AND(YEAR(U$5)&gt;2020,MONTH(U$5)=Macro!$D$52),Macro!$D64*AVERAGE(OFFSET(V124,0,0,1,-12))*Macro!$E64,0),"NA")</f>
        <v>0</v>
      </c>
      <c r="V223" s="38" t="str">
        <f>IFERROR(Macro!$D64*Team!V124/12+IF(AND(YEAR(V$5)&gt;2020,MONTH(V$5)=Macro!$D$52),Macro!$D64*AVERAGE(OFFSET(W124,0,0,1,-12))*Macro!$E64,0),"NA")</f>
        <v>NA</v>
      </c>
      <c r="W223" s="39">
        <f>IFERROR(Macro!$D64*Team!W124/12+IF(AND(YEAR(W$5)&gt;2020,MONTH(W$5)=Macro!$D$52),Macro!$D64*AVERAGE(OFFSET(X124,0,0,1,-12))*Macro!$E64,0),"NA")</f>
        <v>0</v>
      </c>
      <c r="X223" s="40">
        <f>IFERROR(Macro!$D64*Team!X124/12+IF(AND(YEAR(X$5)&gt;2020,MONTH(X$5)=Macro!$D$52),Macro!$D64*AVERAGE(OFFSET(Y124,0,0,1,-12))*Macro!$E64,0),"NA")</f>
        <v>0</v>
      </c>
      <c r="Y223" s="38">
        <f>IFERROR(Macro!$D64*Team!Y124/12+IF(AND(YEAR(Y$5)&gt;2020,MONTH(Y$5)=Macro!$D$52),Macro!$D64*AVERAGE(OFFSET(Z124,0,0,1,-12))*Macro!$E64,0),"NA")</f>
        <v>0</v>
      </c>
      <c r="Z223" s="39">
        <f>IFERROR(Macro!$D64*Team!Z124/12+IF(AND(YEAR(Z$5)&gt;2020,MONTH(Z$5)=Macro!$D$52),Macro!$D64*AVERAGE(OFFSET(AA124,0,0,1,-12))*Macro!$E64,0),"NA")</f>
        <v>0</v>
      </c>
      <c r="AA223" s="40">
        <f>IFERROR(Macro!$D64*Team!AA124/12+IF(AND(YEAR(AA$5)&gt;2020,MONTH(AA$5)=Macro!$D$52),Macro!$D64*AVERAGE(OFFSET(AB124,0,0,1,-12))*Macro!$E64,0),"NA")</f>
        <v>0</v>
      </c>
      <c r="AB223" s="38">
        <f>IFERROR(Macro!$D64*Team!AB124/12+IF(AND(YEAR(AB$5)&gt;2020,MONTH(AB$5)=Macro!$D$52),Macro!$D64*AVERAGE(OFFSET(AC124,0,0,1,-12))*Macro!$E64,0),"NA")</f>
        <v>0</v>
      </c>
      <c r="AC223" s="39">
        <f>IFERROR(Macro!$D64*Team!AC124/12+IF(AND(YEAR(AC$5)&gt;2020,MONTH(AC$5)=Macro!$D$52),Macro!$D64*AVERAGE(OFFSET(AD124,0,0,1,-12))*Macro!$E64,0),"NA")</f>
        <v>0</v>
      </c>
      <c r="AD223" s="40">
        <f>IFERROR(Macro!$D64*Team!AD124/12+IF(AND(YEAR(AD$5)&gt;2020,MONTH(AD$5)=Macro!$D$52),Macro!$D64*AVERAGE(OFFSET(AE124,0,0,1,-12))*Macro!$E64,0),"NA")</f>
        <v>0</v>
      </c>
      <c r="AE223" s="38">
        <f>IFERROR(Macro!$D64*Team!AE124/12+IF(AND(YEAR(AE$5)&gt;2020,MONTH(AE$5)=Macro!$D$52),Macro!$D64*AVERAGE(OFFSET(AF124,0,0,1,-12))*Macro!$E64,0),"NA")</f>
        <v>0</v>
      </c>
      <c r="AF223" s="39">
        <f>IFERROR(Macro!$D64*Team!AF124/12+IF(AND(YEAR(AF$5)&gt;2020,MONTH(AF$5)=Macro!$D$52),Macro!$D64*AVERAGE(OFFSET(AG124,0,0,1,-12))*Macro!$E64,0),"NA")</f>
        <v>0</v>
      </c>
      <c r="AG223" s="40">
        <f>IFERROR(Macro!$D64*Team!AG124/12+IF(AND(YEAR(AG$5)&gt;2020,MONTH(AG$5)=Macro!$D$52),Macro!$D64*AVERAGE(OFFSET(AH124,0,0,1,-12))*Macro!$E64,0),"NA")</f>
        <v>0</v>
      </c>
      <c r="AH223" s="38" t="str">
        <f>IFERROR(Macro!$D64*Team!AH124/12+IF(AND(YEAR(AH$5)&gt;2020,MONTH(AH$5)=Macro!$D$52),Macro!$D64*AVERAGE(OFFSET(AI124,0,0,1,-12))*Macro!$E64,0),"NA")</f>
        <v>NA</v>
      </c>
      <c r="AI223" s="39">
        <f>IFERROR(Macro!$D64*Team!AI124/12+IF(AND(YEAR(AI$5)&gt;2020,MONTH(AI$5)=Macro!$D$52),Macro!$D64*AVERAGE(OFFSET(AJ124,0,0,1,-12))*Macro!$E64,0),"NA")</f>
        <v>0</v>
      </c>
      <c r="AJ223" s="40">
        <f>IFERROR(Macro!$D64*Team!AJ124/12+IF(AND(YEAR(AJ$5)&gt;2020,MONTH(AJ$5)=Macro!$D$52),Macro!$D64*AVERAGE(OFFSET(AK124,0,0,1,-12))*Macro!$E64,0),"NA")</f>
        <v>0</v>
      </c>
      <c r="AK223" s="38">
        <f>IFERROR(Macro!$D64*Team!AK124/12+IF(AND(YEAR(AK$5)&gt;2020,MONTH(AK$5)=Macro!$D$52),Macro!$D64*AVERAGE(OFFSET(AL124,0,0,1,-12))*Macro!$E64,0),"NA")</f>
        <v>0</v>
      </c>
      <c r="AL223" s="39">
        <f>IFERROR(Macro!$D64*Team!AL124/12+IF(AND(YEAR(AL$5)&gt;2020,MONTH(AL$5)=Macro!$D$52),Macro!$D64*AVERAGE(OFFSET(AM124,0,0,1,-12))*Macro!$E64,0),"NA")</f>
        <v>0</v>
      </c>
      <c r="AM223" s="40">
        <f>IFERROR(Macro!$D64*Team!AM124/12+IF(AND(YEAR(AM$5)&gt;2020,MONTH(AM$5)=Macro!$D$52),Macro!$D64*AVERAGE(OFFSET(AN124,0,0,1,-12))*Macro!$E64,0),"NA")</f>
        <v>0</v>
      </c>
      <c r="AN223" s="38">
        <f>IFERROR(Macro!$D64*Team!AN124/12+IF(AND(YEAR(AN$5)&gt;2020,MONTH(AN$5)=Macro!$D$52),Macro!$D64*AVERAGE(OFFSET(AO124,0,0,1,-12))*Macro!$E64,0),"NA")</f>
        <v>0</v>
      </c>
      <c r="AO223" s="39">
        <f>IFERROR(Macro!$D64*Team!AO124/12+IF(AND(YEAR(AO$5)&gt;2020,MONTH(AO$5)=Macro!$D$52),Macro!$D64*AVERAGE(OFFSET(AP124,0,0,1,-12))*Macro!$E64,0),"NA")</f>
        <v>0</v>
      </c>
      <c r="AP223" s="40">
        <f>IFERROR(Macro!$D64*Team!AP124/12+IF(AND(YEAR(AP$5)&gt;2020,MONTH(AP$5)=Macro!$D$52),Macro!$D64*AVERAGE(OFFSET(AQ124,0,0,1,-12))*Macro!$E64,0),"NA")</f>
        <v>0</v>
      </c>
      <c r="AQ223" s="38">
        <f>IFERROR(Macro!$D64*Team!AQ124/12+IF(AND(YEAR(AQ$5)&gt;2020,MONTH(AQ$5)=Macro!$D$52),Macro!$D64*AVERAGE(OFFSET(AR124,0,0,1,-12))*Macro!$E64,0),"NA")</f>
        <v>0</v>
      </c>
      <c r="AR223" s="39">
        <f>IFERROR(Macro!$D64*Team!AR124/12+IF(AND(YEAR(AR$5)&gt;2020,MONTH(AR$5)=Macro!$D$52),Macro!$D64*AVERAGE(OFFSET(AS124,0,0,1,-12))*Macro!$E64,0),"NA")</f>
        <v>0</v>
      </c>
      <c r="AS223" s="40">
        <f>IFERROR(Macro!$D64*Team!AS124/12+IF(AND(YEAR(AS$5)&gt;2020,MONTH(AS$5)=Macro!$D$52),Macro!$D64*AVERAGE(OFFSET(AT124,0,0,1,-12))*Macro!$E64,0),"NA")</f>
        <v>0</v>
      </c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</row>
    <row r="224" ht="12.0" customHeight="1">
      <c r="A224" s="282"/>
      <c r="B224" s="4"/>
      <c r="C224" s="37" t="str">
        <f t="shared" si="96"/>
        <v>[XX]</v>
      </c>
      <c r="D224" s="283">
        <f>IFERROR(Macro!$D65*Team!D125/12+IF(AND(YEAR(D$5)&gt;2020,MONTH(D$5)=Macro!$D$52),Macro!$D65*AVERAGE(OFFSET(E125,0,0,1,-12))*Macro!$E65,0),"NA")</f>
        <v>0</v>
      </c>
      <c r="E224" s="284">
        <f>IFERROR(Macro!$D65*Team!E125/12+IF(AND(YEAR(E$5)&gt;2020,MONTH(E$5)=Macro!$D$52),Macro!$D65*AVERAGE(OFFSET(F125,0,0,1,-12))*Macro!$E65,0),"NA")</f>
        <v>0</v>
      </c>
      <c r="F224" s="284">
        <f>IFERROR(Macro!$D65*Team!F125/12+IF(AND(YEAR(F$5)&gt;2020,MONTH(F$5)=Macro!$D$52),Macro!$D65*AVERAGE(OFFSET(G125,0,0,1,-12))*Macro!$E65,0),"NA")</f>
        <v>0</v>
      </c>
      <c r="G224" s="283">
        <f>IFERROR(Macro!$D65*Team!G125/12+IF(AND(YEAR(G$5)&gt;2020,MONTH(G$5)=Macro!$D$52),Macro!$D65*AVERAGE(OFFSET(H125,0,0,1,-12))*Macro!$E65,0),"NA")</f>
        <v>0</v>
      </c>
      <c r="H224" s="284">
        <f>IFERROR(Macro!$D65*Team!H125/12+IF(AND(YEAR(H$5)&gt;2020,MONTH(H$5)=Macro!$D$52),Macro!$D65*AVERAGE(OFFSET(I125,0,0,1,-12))*Macro!$E65,0),"NA")</f>
        <v>0</v>
      </c>
      <c r="I224" s="285">
        <f>IFERROR(Macro!$D65*Team!I125/12+IF(AND(YEAR(I$5)&gt;2020,MONTH(I$5)=Macro!$D$52),Macro!$D65*AVERAGE(OFFSET(J125,0,0,1,-12))*Macro!$E65,0),"NA")</f>
        <v>0</v>
      </c>
      <c r="J224" s="286">
        <f>IFERROR(Macro!$D65*Team!J125/12+IF(AND(YEAR(J$5)&gt;2020,MONTH(J$5)=Macro!$D$52),Macro!$D65*AVERAGE(OFFSET(K125,0,0,1,-12))*Macro!$E65,0),"NA")</f>
        <v>0</v>
      </c>
      <c r="K224" s="287">
        <f>IFERROR(Macro!$D65*Team!K125/12+IF(AND(YEAR(K$5)&gt;2020,MONTH(K$5)=Macro!$D$52),Macro!$D65*AVERAGE(OFFSET(L125,0,0,1,-12))*Macro!$E65,0),"NA")</f>
        <v>0</v>
      </c>
      <c r="L224" s="288">
        <f>IFERROR(Macro!$D65*Team!L125/12+IF(AND(YEAR(L$5)&gt;2020,MONTH(L$5)=Macro!$D$52),Macro!$D65*AVERAGE(OFFSET(M125,0,0,1,-12))*Macro!$E65,0),"NA")</f>
        <v>0</v>
      </c>
      <c r="M224" s="38">
        <f>IFERROR(Macro!$D65*Team!M125/12+IF(AND(YEAR(M$5)&gt;2020,MONTH(M$5)=Macro!$D$52),Macro!$D65*AVERAGE(OFFSET(N125,0,0,1,-12))*Macro!$E65,0),"NA")</f>
        <v>0</v>
      </c>
      <c r="N224" s="39">
        <f>IFERROR(Macro!$D65*Team!N125/12+IF(AND(YEAR(N$5)&gt;2020,MONTH(N$5)=Macro!$D$52),Macro!$D65*AVERAGE(OFFSET(O125,0,0,1,-12))*Macro!$E65,0),"NA")</f>
        <v>0</v>
      </c>
      <c r="O224" s="40">
        <f>IFERROR(Macro!$D65*Team!O125/12+IF(AND(YEAR(O$5)&gt;2020,MONTH(O$5)=Macro!$D$52),Macro!$D65*AVERAGE(OFFSET(P125,0,0,1,-12))*Macro!$E65,0),"NA")</f>
        <v>0</v>
      </c>
      <c r="P224" s="38">
        <f>IFERROR(Macro!$D65*Team!P125/12+IF(AND(YEAR(P$5)&gt;2020,MONTH(P$5)=Macro!$D$52),Macro!$D65*AVERAGE(OFFSET(Q125,0,0,1,-12))*Macro!$E65,0),"NA")</f>
        <v>0</v>
      </c>
      <c r="Q224" s="39">
        <f>IFERROR(Macro!$D65*Team!Q125/12+IF(AND(YEAR(Q$5)&gt;2020,MONTH(Q$5)=Macro!$D$52),Macro!$D65*AVERAGE(OFFSET(R125,0,0,1,-12))*Macro!$E65,0),"NA")</f>
        <v>0</v>
      </c>
      <c r="R224" s="40">
        <f>IFERROR(Macro!$D65*Team!R125/12+IF(AND(YEAR(R$5)&gt;2020,MONTH(R$5)=Macro!$D$52),Macro!$D65*AVERAGE(OFFSET(S125,0,0,1,-12))*Macro!$E65,0),"NA")</f>
        <v>0</v>
      </c>
      <c r="S224" s="38">
        <f>IFERROR(Macro!$D65*Team!S125/12+IF(AND(YEAR(S$5)&gt;2020,MONTH(S$5)=Macro!$D$52),Macro!$D65*AVERAGE(OFFSET(T125,0,0,1,-12))*Macro!$E65,0),"NA")</f>
        <v>0</v>
      </c>
      <c r="T224" s="39">
        <f>IFERROR(Macro!$D65*Team!T125/12+IF(AND(YEAR(T$5)&gt;2020,MONTH(T$5)=Macro!$D$52),Macro!$D65*AVERAGE(OFFSET(U125,0,0,1,-12))*Macro!$E65,0),"NA")</f>
        <v>0</v>
      </c>
      <c r="U224" s="40">
        <f>IFERROR(Macro!$D65*Team!U125/12+IF(AND(YEAR(U$5)&gt;2020,MONTH(U$5)=Macro!$D$52),Macro!$D65*AVERAGE(OFFSET(V125,0,0,1,-12))*Macro!$E65,0),"NA")</f>
        <v>0</v>
      </c>
      <c r="V224" s="38" t="str">
        <f>IFERROR(Macro!$D65*Team!V125/12+IF(AND(YEAR(V$5)&gt;2020,MONTH(V$5)=Macro!$D$52),Macro!$D65*AVERAGE(OFFSET(W125,0,0,1,-12))*Macro!$E65,0),"NA")</f>
        <v>NA</v>
      </c>
      <c r="W224" s="39">
        <f>IFERROR(Macro!$D65*Team!W125/12+IF(AND(YEAR(W$5)&gt;2020,MONTH(W$5)=Macro!$D$52),Macro!$D65*AVERAGE(OFFSET(X125,0,0,1,-12))*Macro!$E65,0),"NA")</f>
        <v>0</v>
      </c>
      <c r="X224" s="40">
        <f>IFERROR(Macro!$D65*Team!X125/12+IF(AND(YEAR(X$5)&gt;2020,MONTH(X$5)=Macro!$D$52),Macro!$D65*AVERAGE(OFFSET(Y125,0,0,1,-12))*Macro!$E65,0),"NA")</f>
        <v>0</v>
      </c>
      <c r="Y224" s="38">
        <f>IFERROR(Macro!$D65*Team!Y125/12+IF(AND(YEAR(Y$5)&gt;2020,MONTH(Y$5)=Macro!$D$52),Macro!$D65*AVERAGE(OFFSET(Z125,0,0,1,-12))*Macro!$E65,0),"NA")</f>
        <v>0</v>
      </c>
      <c r="Z224" s="39">
        <f>IFERROR(Macro!$D65*Team!Z125/12+IF(AND(YEAR(Z$5)&gt;2020,MONTH(Z$5)=Macro!$D$52),Macro!$D65*AVERAGE(OFFSET(AA125,0,0,1,-12))*Macro!$E65,0),"NA")</f>
        <v>0</v>
      </c>
      <c r="AA224" s="40">
        <f>IFERROR(Macro!$D65*Team!AA125/12+IF(AND(YEAR(AA$5)&gt;2020,MONTH(AA$5)=Macro!$D$52),Macro!$D65*AVERAGE(OFFSET(AB125,0,0,1,-12))*Macro!$E65,0),"NA")</f>
        <v>0</v>
      </c>
      <c r="AB224" s="38">
        <f>IFERROR(Macro!$D65*Team!AB125/12+IF(AND(YEAR(AB$5)&gt;2020,MONTH(AB$5)=Macro!$D$52),Macro!$D65*AVERAGE(OFFSET(AC125,0,0,1,-12))*Macro!$E65,0),"NA")</f>
        <v>0</v>
      </c>
      <c r="AC224" s="39">
        <f>IFERROR(Macro!$D65*Team!AC125/12+IF(AND(YEAR(AC$5)&gt;2020,MONTH(AC$5)=Macro!$D$52),Macro!$D65*AVERAGE(OFFSET(AD125,0,0,1,-12))*Macro!$E65,0),"NA")</f>
        <v>0</v>
      </c>
      <c r="AD224" s="40">
        <f>IFERROR(Macro!$D65*Team!AD125/12+IF(AND(YEAR(AD$5)&gt;2020,MONTH(AD$5)=Macro!$D$52),Macro!$D65*AVERAGE(OFFSET(AE125,0,0,1,-12))*Macro!$E65,0),"NA")</f>
        <v>0</v>
      </c>
      <c r="AE224" s="38">
        <f>IFERROR(Macro!$D65*Team!AE125/12+IF(AND(YEAR(AE$5)&gt;2020,MONTH(AE$5)=Macro!$D$52),Macro!$D65*AVERAGE(OFFSET(AF125,0,0,1,-12))*Macro!$E65,0),"NA")</f>
        <v>0</v>
      </c>
      <c r="AF224" s="39">
        <f>IFERROR(Macro!$D65*Team!AF125/12+IF(AND(YEAR(AF$5)&gt;2020,MONTH(AF$5)=Macro!$D$52),Macro!$D65*AVERAGE(OFFSET(AG125,0,0,1,-12))*Macro!$E65,0),"NA")</f>
        <v>0</v>
      </c>
      <c r="AG224" s="40">
        <f>IFERROR(Macro!$D65*Team!AG125/12+IF(AND(YEAR(AG$5)&gt;2020,MONTH(AG$5)=Macro!$D$52),Macro!$D65*AVERAGE(OFFSET(AH125,0,0,1,-12))*Macro!$E65,0),"NA")</f>
        <v>0</v>
      </c>
      <c r="AH224" s="38" t="str">
        <f>IFERROR(Macro!$D65*Team!AH125/12+IF(AND(YEAR(AH$5)&gt;2020,MONTH(AH$5)=Macro!$D$52),Macro!$D65*AVERAGE(OFFSET(AI125,0,0,1,-12))*Macro!$E65,0),"NA")</f>
        <v>NA</v>
      </c>
      <c r="AI224" s="39">
        <f>IFERROR(Macro!$D65*Team!AI125/12+IF(AND(YEAR(AI$5)&gt;2020,MONTH(AI$5)=Macro!$D$52),Macro!$D65*AVERAGE(OFFSET(AJ125,0,0,1,-12))*Macro!$E65,0),"NA")</f>
        <v>0</v>
      </c>
      <c r="AJ224" s="40">
        <f>IFERROR(Macro!$D65*Team!AJ125/12+IF(AND(YEAR(AJ$5)&gt;2020,MONTH(AJ$5)=Macro!$D$52),Macro!$D65*AVERAGE(OFFSET(AK125,0,0,1,-12))*Macro!$E65,0),"NA")</f>
        <v>0</v>
      </c>
      <c r="AK224" s="38">
        <f>IFERROR(Macro!$D65*Team!AK125/12+IF(AND(YEAR(AK$5)&gt;2020,MONTH(AK$5)=Macro!$D$52),Macro!$D65*AVERAGE(OFFSET(AL125,0,0,1,-12))*Macro!$E65,0),"NA")</f>
        <v>0</v>
      </c>
      <c r="AL224" s="39">
        <f>IFERROR(Macro!$D65*Team!AL125/12+IF(AND(YEAR(AL$5)&gt;2020,MONTH(AL$5)=Macro!$D$52),Macro!$D65*AVERAGE(OFFSET(AM125,0,0,1,-12))*Macro!$E65,0),"NA")</f>
        <v>0</v>
      </c>
      <c r="AM224" s="40">
        <f>IFERROR(Macro!$D65*Team!AM125/12+IF(AND(YEAR(AM$5)&gt;2020,MONTH(AM$5)=Macro!$D$52),Macro!$D65*AVERAGE(OFFSET(AN125,0,0,1,-12))*Macro!$E65,0),"NA")</f>
        <v>0</v>
      </c>
      <c r="AN224" s="38">
        <f>IFERROR(Macro!$D65*Team!AN125/12+IF(AND(YEAR(AN$5)&gt;2020,MONTH(AN$5)=Macro!$D$52),Macro!$D65*AVERAGE(OFFSET(AO125,0,0,1,-12))*Macro!$E65,0),"NA")</f>
        <v>0</v>
      </c>
      <c r="AO224" s="39">
        <f>IFERROR(Macro!$D65*Team!AO125/12+IF(AND(YEAR(AO$5)&gt;2020,MONTH(AO$5)=Macro!$D$52),Macro!$D65*AVERAGE(OFFSET(AP125,0,0,1,-12))*Macro!$E65,0),"NA")</f>
        <v>0</v>
      </c>
      <c r="AP224" s="40">
        <f>IFERROR(Macro!$D65*Team!AP125/12+IF(AND(YEAR(AP$5)&gt;2020,MONTH(AP$5)=Macro!$D$52),Macro!$D65*AVERAGE(OFFSET(AQ125,0,0,1,-12))*Macro!$E65,0),"NA")</f>
        <v>0</v>
      </c>
      <c r="AQ224" s="38">
        <f>IFERROR(Macro!$D65*Team!AQ125/12+IF(AND(YEAR(AQ$5)&gt;2020,MONTH(AQ$5)=Macro!$D$52),Macro!$D65*AVERAGE(OFFSET(AR125,0,0,1,-12))*Macro!$E65,0),"NA")</f>
        <v>0</v>
      </c>
      <c r="AR224" s="39">
        <f>IFERROR(Macro!$D65*Team!AR125/12+IF(AND(YEAR(AR$5)&gt;2020,MONTH(AR$5)=Macro!$D$52),Macro!$D65*AVERAGE(OFFSET(AS125,0,0,1,-12))*Macro!$E65,0),"NA")</f>
        <v>0</v>
      </c>
      <c r="AS224" s="40">
        <f>IFERROR(Macro!$D65*Team!AS125/12+IF(AND(YEAR(AS$5)&gt;2020,MONTH(AS$5)=Macro!$D$52),Macro!$D65*AVERAGE(OFFSET(AT125,0,0,1,-12))*Macro!$E65,0),"NA")</f>
        <v>0</v>
      </c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</row>
    <row r="225" ht="12.0" customHeight="1">
      <c r="A225" s="282"/>
      <c r="B225" s="4"/>
      <c r="C225" s="37" t="str">
        <f t="shared" si="96"/>
        <v>[XX]</v>
      </c>
      <c r="D225" s="283">
        <f>IFERROR(Macro!$D66*Team!D126/12+IF(AND(YEAR(D$5)&gt;2020,MONTH(D$5)=Macro!$D$52),Macro!$D66*AVERAGE(OFFSET(E126,0,0,1,-12))*Macro!$E66,0),"NA")</f>
        <v>0</v>
      </c>
      <c r="E225" s="284">
        <f>IFERROR(Macro!$D66*Team!E126/12+IF(AND(YEAR(E$5)&gt;2020,MONTH(E$5)=Macro!$D$52),Macro!$D66*AVERAGE(OFFSET(F126,0,0,1,-12))*Macro!$E66,0),"NA")</f>
        <v>0</v>
      </c>
      <c r="F225" s="284">
        <f>IFERROR(Macro!$D66*Team!F126/12+IF(AND(YEAR(F$5)&gt;2020,MONTH(F$5)=Macro!$D$52),Macro!$D66*AVERAGE(OFFSET(G126,0,0,1,-12))*Macro!$E66,0),"NA")</f>
        <v>0</v>
      </c>
      <c r="G225" s="283">
        <f>IFERROR(Macro!$D66*Team!G126/12+IF(AND(YEAR(G$5)&gt;2020,MONTH(G$5)=Macro!$D$52),Macro!$D66*AVERAGE(OFFSET(H126,0,0,1,-12))*Macro!$E66,0),"NA")</f>
        <v>0</v>
      </c>
      <c r="H225" s="284">
        <f>IFERROR(Macro!$D66*Team!H126/12+IF(AND(YEAR(H$5)&gt;2020,MONTH(H$5)=Macro!$D$52),Macro!$D66*AVERAGE(OFFSET(I126,0,0,1,-12))*Macro!$E66,0),"NA")</f>
        <v>0</v>
      </c>
      <c r="I225" s="285">
        <f>IFERROR(Macro!$D66*Team!I126/12+IF(AND(YEAR(I$5)&gt;2020,MONTH(I$5)=Macro!$D$52),Macro!$D66*AVERAGE(OFFSET(J126,0,0,1,-12))*Macro!$E66,0),"NA")</f>
        <v>0</v>
      </c>
      <c r="J225" s="286">
        <f>IFERROR(Macro!$D66*Team!J126/12+IF(AND(YEAR(J$5)&gt;2020,MONTH(J$5)=Macro!$D$52),Macro!$D66*AVERAGE(OFFSET(K126,0,0,1,-12))*Macro!$E66,0),"NA")</f>
        <v>0</v>
      </c>
      <c r="K225" s="287">
        <f>IFERROR(Macro!$D66*Team!K126/12+IF(AND(YEAR(K$5)&gt;2020,MONTH(K$5)=Macro!$D$52),Macro!$D66*AVERAGE(OFFSET(L126,0,0,1,-12))*Macro!$E66,0),"NA")</f>
        <v>0</v>
      </c>
      <c r="L225" s="288">
        <f>IFERROR(Macro!$D66*Team!L126/12+IF(AND(YEAR(L$5)&gt;2020,MONTH(L$5)=Macro!$D$52),Macro!$D66*AVERAGE(OFFSET(M126,0,0,1,-12))*Macro!$E66,0),"NA")</f>
        <v>0</v>
      </c>
      <c r="M225" s="38">
        <f>IFERROR(Macro!$D66*Team!M126/12+IF(AND(YEAR(M$5)&gt;2020,MONTH(M$5)=Macro!$D$52),Macro!$D66*AVERAGE(OFFSET(N126,0,0,1,-12))*Macro!$E66,0),"NA")</f>
        <v>0</v>
      </c>
      <c r="N225" s="39">
        <f>IFERROR(Macro!$D66*Team!N126/12+IF(AND(YEAR(N$5)&gt;2020,MONTH(N$5)=Macro!$D$52),Macro!$D66*AVERAGE(OFFSET(O126,0,0,1,-12))*Macro!$E66,0),"NA")</f>
        <v>0</v>
      </c>
      <c r="O225" s="40">
        <f>IFERROR(Macro!$D66*Team!O126/12+IF(AND(YEAR(O$5)&gt;2020,MONTH(O$5)=Macro!$D$52),Macro!$D66*AVERAGE(OFFSET(P126,0,0,1,-12))*Macro!$E66,0),"NA")</f>
        <v>0</v>
      </c>
      <c r="P225" s="38">
        <f>IFERROR(Macro!$D66*Team!P126/12+IF(AND(YEAR(P$5)&gt;2020,MONTH(P$5)=Macro!$D$52),Macro!$D66*AVERAGE(OFFSET(Q126,0,0,1,-12))*Macro!$E66,0),"NA")</f>
        <v>0</v>
      </c>
      <c r="Q225" s="39">
        <f>IFERROR(Macro!$D66*Team!Q126/12+IF(AND(YEAR(Q$5)&gt;2020,MONTH(Q$5)=Macro!$D$52),Macro!$D66*AVERAGE(OFFSET(R126,0,0,1,-12))*Macro!$E66,0),"NA")</f>
        <v>0</v>
      </c>
      <c r="R225" s="40">
        <f>IFERROR(Macro!$D66*Team!R126/12+IF(AND(YEAR(R$5)&gt;2020,MONTH(R$5)=Macro!$D$52),Macro!$D66*AVERAGE(OFFSET(S126,0,0,1,-12))*Macro!$E66,0),"NA")</f>
        <v>0</v>
      </c>
      <c r="S225" s="38">
        <f>IFERROR(Macro!$D66*Team!S126/12+IF(AND(YEAR(S$5)&gt;2020,MONTH(S$5)=Macro!$D$52),Macro!$D66*AVERAGE(OFFSET(T126,0,0,1,-12))*Macro!$E66,0),"NA")</f>
        <v>0</v>
      </c>
      <c r="T225" s="39">
        <f>IFERROR(Macro!$D66*Team!T126/12+IF(AND(YEAR(T$5)&gt;2020,MONTH(T$5)=Macro!$D$52),Macro!$D66*AVERAGE(OFFSET(U126,0,0,1,-12))*Macro!$E66,0),"NA")</f>
        <v>0</v>
      </c>
      <c r="U225" s="40">
        <f>IFERROR(Macro!$D66*Team!U126/12+IF(AND(YEAR(U$5)&gt;2020,MONTH(U$5)=Macro!$D$52),Macro!$D66*AVERAGE(OFFSET(V126,0,0,1,-12))*Macro!$E66,0),"NA")</f>
        <v>0</v>
      </c>
      <c r="V225" s="38" t="str">
        <f>IFERROR(Macro!$D66*Team!V126/12+IF(AND(YEAR(V$5)&gt;2020,MONTH(V$5)=Macro!$D$52),Macro!$D66*AVERAGE(OFFSET(W126,0,0,1,-12))*Macro!$E66,0),"NA")</f>
        <v>NA</v>
      </c>
      <c r="W225" s="39">
        <f>IFERROR(Macro!$D66*Team!W126/12+IF(AND(YEAR(W$5)&gt;2020,MONTH(W$5)=Macro!$D$52),Macro!$D66*AVERAGE(OFFSET(X126,0,0,1,-12))*Macro!$E66,0),"NA")</f>
        <v>0</v>
      </c>
      <c r="X225" s="40">
        <f>IFERROR(Macro!$D66*Team!X126/12+IF(AND(YEAR(X$5)&gt;2020,MONTH(X$5)=Macro!$D$52),Macro!$D66*AVERAGE(OFFSET(Y126,0,0,1,-12))*Macro!$E66,0),"NA")</f>
        <v>0</v>
      </c>
      <c r="Y225" s="38">
        <f>IFERROR(Macro!$D66*Team!Y126/12+IF(AND(YEAR(Y$5)&gt;2020,MONTH(Y$5)=Macro!$D$52),Macro!$D66*AVERAGE(OFFSET(Z126,0,0,1,-12))*Macro!$E66,0),"NA")</f>
        <v>0</v>
      </c>
      <c r="Z225" s="39">
        <f>IFERROR(Macro!$D66*Team!Z126/12+IF(AND(YEAR(Z$5)&gt;2020,MONTH(Z$5)=Macro!$D$52),Macro!$D66*AVERAGE(OFFSET(AA126,0,0,1,-12))*Macro!$E66,0),"NA")</f>
        <v>0</v>
      </c>
      <c r="AA225" s="40">
        <f>IFERROR(Macro!$D66*Team!AA126/12+IF(AND(YEAR(AA$5)&gt;2020,MONTH(AA$5)=Macro!$D$52),Macro!$D66*AVERAGE(OFFSET(AB126,0,0,1,-12))*Macro!$E66,0),"NA")</f>
        <v>0</v>
      </c>
      <c r="AB225" s="38">
        <f>IFERROR(Macro!$D66*Team!AB126/12+IF(AND(YEAR(AB$5)&gt;2020,MONTH(AB$5)=Macro!$D$52),Macro!$D66*AVERAGE(OFFSET(AC126,0,0,1,-12))*Macro!$E66,0),"NA")</f>
        <v>0</v>
      </c>
      <c r="AC225" s="39">
        <f>IFERROR(Macro!$D66*Team!AC126/12+IF(AND(YEAR(AC$5)&gt;2020,MONTH(AC$5)=Macro!$D$52),Macro!$D66*AVERAGE(OFFSET(AD126,0,0,1,-12))*Macro!$E66,0),"NA")</f>
        <v>0</v>
      </c>
      <c r="AD225" s="40">
        <f>IFERROR(Macro!$D66*Team!AD126/12+IF(AND(YEAR(AD$5)&gt;2020,MONTH(AD$5)=Macro!$D$52),Macro!$D66*AVERAGE(OFFSET(AE126,0,0,1,-12))*Macro!$E66,0),"NA")</f>
        <v>0</v>
      </c>
      <c r="AE225" s="38">
        <f>IFERROR(Macro!$D66*Team!AE126/12+IF(AND(YEAR(AE$5)&gt;2020,MONTH(AE$5)=Macro!$D$52),Macro!$D66*AVERAGE(OFFSET(AF126,0,0,1,-12))*Macro!$E66,0),"NA")</f>
        <v>0</v>
      </c>
      <c r="AF225" s="39">
        <f>IFERROR(Macro!$D66*Team!AF126/12+IF(AND(YEAR(AF$5)&gt;2020,MONTH(AF$5)=Macro!$D$52),Macro!$D66*AVERAGE(OFFSET(AG126,0,0,1,-12))*Macro!$E66,0),"NA")</f>
        <v>0</v>
      </c>
      <c r="AG225" s="40">
        <f>IFERROR(Macro!$D66*Team!AG126/12+IF(AND(YEAR(AG$5)&gt;2020,MONTH(AG$5)=Macro!$D$52),Macro!$D66*AVERAGE(OFFSET(AH126,0,0,1,-12))*Macro!$E66,0),"NA")</f>
        <v>0</v>
      </c>
      <c r="AH225" s="38" t="str">
        <f>IFERROR(Macro!$D66*Team!AH126/12+IF(AND(YEAR(AH$5)&gt;2020,MONTH(AH$5)=Macro!$D$52),Macro!$D66*AVERAGE(OFFSET(AI126,0,0,1,-12))*Macro!$E66,0),"NA")</f>
        <v>NA</v>
      </c>
      <c r="AI225" s="39">
        <f>IFERROR(Macro!$D66*Team!AI126/12+IF(AND(YEAR(AI$5)&gt;2020,MONTH(AI$5)=Macro!$D$52),Macro!$D66*AVERAGE(OFFSET(AJ126,0,0,1,-12))*Macro!$E66,0),"NA")</f>
        <v>0</v>
      </c>
      <c r="AJ225" s="40">
        <f>IFERROR(Macro!$D66*Team!AJ126/12+IF(AND(YEAR(AJ$5)&gt;2020,MONTH(AJ$5)=Macro!$D$52),Macro!$D66*AVERAGE(OFFSET(AK126,0,0,1,-12))*Macro!$E66,0),"NA")</f>
        <v>0</v>
      </c>
      <c r="AK225" s="38">
        <f>IFERROR(Macro!$D66*Team!AK126/12+IF(AND(YEAR(AK$5)&gt;2020,MONTH(AK$5)=Macro!$D$52),Macro!$D66*AVERAGE(OFFSET(AL126,0,0,1,-12))*Macro!$E66,0),"NA")</f>
        <v>0</v>
      </c>
      <c r="AL225" s="39">
        <f>IFERROR(Macro!$D66*Team!AL126/12+IF(AND(YEAR(AL$5)&gt;2020,MONTH(AL$5)=Macro!$D$52),Macro!$D66*AVERAGE(OFFSET(AM126,0,0,1,-12))*Macro!$E66,0),"NA")</f>
        <v>0</v>
      </c>
      <c r="AM225" s="40">
        <f>IFERROR(Macro!$D66*Team!AM126/12+IF(AND(YEAR(AM$5)&gt;2020,MONTH(AM$5)=Macro!$D$52),Macro!$D66*AVERAGE(OFFSET(AN126,0,0,1,-12))*Macro!$E66,0),"NA")</f>
        <v>0</v>
      </c>
      <c r="AN225" s="38">
        <f>IFERROR(Macro!$D66*Team!AN126/12+IF(AND(YEAR(AN$5)&gt;2020,MONTH(AN$5)=Macro!$D$52),Macro!$D66*AVERAGE(OFFSET(AO126,0,0,1,-12))*Macro!$E66,0),"NA")</f>
        <v>0</v>
      </c>
      <c r="AO225" s="39">
        <f>IFERROR(Macro!$D66*Team!AO126/12+IF(AND(YEAR(AO$5)&gt;2020,MONTH(AO$5)=Macro!$D$52),Macro!$D66*AVERAGE(OFFSET(AP126,0,0,1,-12))*Macro!$E66,0),"NA")</f>
        <v>0</v>
      </c>
      <c r="AP225" s="40">
        <f>IFERROR(Macro!$D66*Team!AP126/12+IF(AND(YEAR(AP$5)&gt;2020,MONTH(AP$5)=Macro!$D$52),Macro!$D66*AVERAGE(OFFSET(AQ126,0,0,1,-12))*Macro!$E66,0),"NA")</f>
        <v>0</v>
      </c>
      <c r="AQ225" s="38">
        <f>IFERROR(Macro!$D66*Team!AQ126/12+IF(AND(YEAR(AQ$5)&gt;2020,MONTH(AQ$5)=Macro!$D$52),Macro!$D66*AVERAGE(OFFSET(AR126,0,0,1,-12))*Macro!$E66,0),"NA")</f>
        <v>0</v>
      </c>
      <c r="AR225" s="39">
        <f>IFERROR(Macro!$D66*Team!AR126/12+IF(AND(YEAR(AR$5)&gt;2020,MONTH(AR$5)=Macro!$D$52),Macro!$D66*AVERAGE(OFFSET(AS126,0,0,1,-12))*Macro!$E66,0),"NA")</f>
        <v>0</v>
      </c>
      <c r="AS225" s="40">
        <f>IFERROR(Macro!$D66*Team!AS126/12+IF(AND(YEAR(AS$5)&gt;2020,MONTH(AS$5)=Macro!$D$52),Macro!$D66*AVERAGE(OFFSET(AT126,0,0,1,-12))*Macro!$E66,0),"NA")</f>
        <v>0</v>
      </c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</row>
    <row r="226" ht="12.0" customHeight="1">
      <c r="A226" s="282"/>
      <c r="B226" s="4"/>
      <c r="C226" s="37" t="str">
        <f t="shared" si="96"/>
        <v>[XX]</v>
      </c>
      <c r="D226" s="283">
        <f>IFERROR(Macro!$D67*Team!D127/12+IF(AND(YEAR(D$5)&gt;2020,MONTH(D$5)=Macro!$D$52),Macro!$D67*AVERAGE(OFFSET(E127,0,0,1,-12))*Macro!$E67,0),"NA")</f>
        <v>0</v>
      </c>
      <c r="E226" s="284">
        <f>IFERROR(Macro!$D67*Team!E127/12+IF(AND(YEAR(E$5)&gt;2020,MONTH(E$5)=Macro!$D$52),Macro!$D67*AVERAGE(OFFSET(F127,0,0,1,-12))*Macro!$E67,0),"NA")</f>
        <v>0</v>
      </c>
      <c r="F226" s="284">
        <f>IFERROR(Macro!$D67*Team!F127/12+IF(AND(YEAR(F$5)&gt;2020,MONTH(F$5)=Macro!$D$52),Macro!$D67*AVERAGE(OFFSET(G127,0,0,1,-12))*Macro!$E67,0),"NA")</f>
        <v>0</v>
      </c>
      <c r="G226" s="283">
        <f>IFERROR(Macro!$D67*Team!G127/12+IF(AND(YEAR(G$5)&gt;2020,MONTH(G$5)=Macro!$D$52),Macro!$D67*AVERAGE(OFFSET(H127,0,0,1,-12))*Macro!$E67,0),"NA")</f>
        <v>0</v>
      </c>
      <c r="H226" s="284">
        <f>IFERROR(Macro!$D67*Team!H127/12+IF(AND(YEAR(H$5)&gt;2020,MONTH(H$5)=Macro!$D$52),Macro!$D67*AVERAGE(OFFSET(I127,0,0,1,-12))*Macro!$E67,0),"NA")</f>
        <v>0</v>
      </c>
      <c r="I226" s="285">
        <f>IFERROR(Macro!$D67*Team!I127/12+IF(AND(YEAR(I$5)&gt;2020,MONTH(I$5)=Macro!$D$52),Macro!$D67*AVERAGE(OFFSET(J127,0,0,1,-12))*Macro!$E67,0),"NA")</f>
        <v>0</v>
      </c>
      <c r="J226" s="286">
        <f>IFERROR(Macro!$D67*Team!J127/12+IF(AND(YEAR(J$5)&gt;2020,MONTH(J$5)=Macro!$D$52),Macro!$D67*AVERAGE(OFFSET(K127,0,0,1,-12))*Macro!$E67,0),"NA")</f>
        <v>0</v>
      </c>
      <c r="K226" s="287">
        <f>IFERROR(Macro!$D67*Team!K127/12+IF(AND(YEAR(K$5)&gt;2020,MONTH(K$5)=Macro!$D$52),Macro!$D67*AVERAGE(OFFSET(L127,0,0,1,-12))*Macro!$E67,0),"NA")</f>
        <v>0</v>
      </c>
      <c r="L226" s="288">
        <f>IFERROR(Macro!$D67*Team!L127/12+IF(AND(YEAR(L$5)&gt;2020,MONTH(L$5)=Macro!$D$52),Macro!$D67*AVERAGE(OFFSET(M127,0,0,1,-12))*Macro!$E67,0),"NA")</f>
        <v>0</v>
      </c>
      <c r="M226" s="38">
        <f>IFERROR(Macro!$D67*Team!M127/12+IF(AND(YEAR(M$5)&gt;2020,MONTH(M$5)=Macro!$D$52),Macro!$D67*AVERAGE(OFFSET(N127,0,0,1,-12))*Macro!$E67,0),"NA")</f>
        <v>0</v>
      </c>
      <c r="N226" s="39">
        <f>IFERROR(Macro!$D67*Team!N127/12+IF(AND(YEAR(N$5)&gt;2020,MONTH(N$5)=Macro!$D$52),Macro!$D67*AVERAGE(OFFSET(O127,0,0,1,-12))*Macro!$E67,0),"NA")</f>
        <v>0</v>
      </c>
      <c r="O226" s="40">
        <f>IFERROR(Macro!$D67*Team!O127/12+IF(AND(YEAR(O$5)&gt;2020,MONTH(O$5)=Macro!$D$52),Macro!$D67*AVERAGE(OFFSET(P127,0,0,1,-12))*Macro!$E67,0),"NA")</f>
        <v>0</v>
      </c>
      <c r="P226" s="38">
        <f>IFERROR(Macro!$D67*Team!P127/12+IF(AND(YEAR(P$5)&gt;2020,MONTH(P$5)=Macro!$D$52),Macro!$D67*AVERAGE(OFFSET(Q127,0,0,1,-12))*Macro!$E67,0),"NA")</f>
        <v>0</v>
      </c>
      <c r="Q226" s="39">
        <f>IFERROR(Macro!$D67*Team!Q127/12+IF(AND(YEAR(Q$5)&gt;2020,MONTH(Q$5)=Macro!$D$52),Macro!$D67*AVERAGE(OFFSET(R127,0,0,1,-12))*Macro!$E67,0),"NA")</f>
        <v>0</v>
      </c>
      <c r="R226" s="40">
        <f>IFERROR(Macro!$D67*Team!R127/12+IF(AND(YEAR(R$5)&gt;2020,MONTH(R$5)=Macro!$D$52),Macro!$D67*AVERAGE(OFFSET(S127,0,0,1,-12))*Macro!$E67,0),"NA")</f>
        <v>0</v>
      </c>
      <c r="S226" s="38">
        <f>IFERROR(Macro!$D67*Team!S127/12+IF(AND(YEAR(S$5)&gt;2020,MONTH(S$5)=Macro!$D$52),Macro!$D67*AVERAGE(OFFSET(T127,0,0,1,-12))*Macro!$E67,0),"NA")</f>
        <v>0</v>
      </c>
      <c r="T226" s="39">
        <f>IFERROR(Macro!$D67*Team!T127/12+IF(AND(YEAR(T$5)&gt;2020,MONTH(T$5)=Macro!$D$52),Macro!$D67*AVERAGE(OFFSET(U127,0,0,1,-12))*Macro!$E67,0),"NA")</f>
        <v>0</v>
      </c>
      <c r="U226" s="40">
        <f>IFERROR(Macro!$D67*Team!U127/12+IF(AND(YEAR(U$5)&gt;2020,MONTH(U$5)=Macro!$D$52),Macro!$D67*AVERAGE(OFFSET(V127,0,0,1,-12))*Macro!$E67,0),"NA")</f>
        <v>0</v>
      </c>
      <c r="V226" s="38" t="str">
        <f>IFERROR(Macro!$D67*Team!V127/12+IF(AND(YEAR(V$5)&gt;2020,MONTH(V$5)=Macro!$D$52),Macro!$D67*AVERAGE(OFFSET(W127,0,0,1,-12))*Macro!$E67,0),"NA")</f>
        <v>NA</v>
      </c>
      <c r="W226" s="39">
        <f>IFERROR(Macro!$D67*Team!W127/12+IF(AND(YEAR(W$5)&gt;2020,MONTH(W$5)=Macro!$D$52),Macro!$D67*AVERAGE(OFFSET(X127,0,0,1,-12))*Macro!$E67,0),"NA")</f>
        <v>0</v>
      </c>
      <c r="X226" s="40">
        <f>IFERROR(Macro!$D67*Team!X127/12+IF(AND(YEAR(X$5)&gt;2020,MONTH(X$5)=Macro!$D$52),Macro!$D67*AVERAGE(OFFSET(Y127,0,0,1,-12))*Macro!$E67,0),"NA")</f>
        <v>0</v>
      </c>
      <c r="Y226" s="38">
        <f>IFERROR(Macro!$D67*Team!Y127/12+IF(AND(YEAR(Y$5)&gt;2020,MONTH(Y$5)=Macro!$D$52),Macro!$D67*AVERAGE(OFFSET(Z127,0,0,1,-12))*Macro!$E67,0),"NA")</f>
        <v>0</v>
      </c>
      <c r="Z226" s="39">
        <f>IFERROR(Macro!$D67*Team!Z127/12+IF(AND(YEAR(Z$5)&gt;2020,MONTH(Z$5)=Macro!$D$52),Macro!$D67*AVERAGE(OFFSET(AA127,0,0,1,-12))*Macro!$E67,0),"NA")</f>
        <v>0</v>
      </c>
      <c r="AA226" s="40">
        <f>IFERROR(Macro!$D67*Team!AA127/12+IF(AND(YEAR(AA$5)&gt;2020,MONTH(AA$5)=Macro!$D$52),Macro!$D67*AVERAGE(OFFSET(AB127,0,0,1,-12))*Macro!$E67,0),"NA")</f>
        <v>0</v>
      </c>
      <c r="AB226" s="38">
        <f>IFERROR(Macro!$D67*Team!AB127/12+IF(AND(YEAR(AB$5)&gt;2020,MONTH(AB$5)=Macro!$D$52),Macro!$D67*AVERAGE(OFFSET(AC127,0,0,1,-12))*Macro!$E67,0),"NA")</f>
        <v>0</v>
      </c>
      <c r="AC226" s="39">
        <f>IFERROR(Macro!$D67*Team!AC127/12+IF(AND(YEAR(AC$5)&gt;2020,MONTH(AC$5)=Macro!$D$52),Macro!$D67*AVERAGE(OFFSET(AD127,0,0,1,-12))*Macro!$E67,0),"NA")</f>
        <v>0</v>
      </c>
      <c r="AD226" s="40">
        <f>IFERROR(Macro!$D67*Team!AD127/12+IF(AND(YEAR(AD$5)&gt;2020,MONTH(AD$5)=Macro!$D$52),Macro!$D67*AVERAGE(OFFSET(AE127,0,0,1,-12))*Macro!$E67,0),"NA")</f>
        <v>0</v>
      </c>
      <c r="AE226" s="38">
        <f>IFERROR(Macro!$D67*Team!AE127/12+IF(AND(YEAR(AE$5)&gt;2020,MONTH(AE$5)=Macro!$D$52),Macro!$D67*AVERAGE(OFFSET(AF127,0,0,1,-12))*Macro!$E67,0),"NA")</f>
        <v>0</v>
      </c>
      <c r="AF226" s="39">
        <f>IFERROR(Macro!$D67*Team!AF127/12+IF(AND(YEAR(AF$5)&gt;2020,MONTH(AF$5)=Macro!$D$52),Macro!$D67*AVERAGE(OFFSET(AG127,0,0,1,-12))*Macro!$E67,0),"NA")</f>
        <v>0</v>
      </c>
      <c r="AG226" s="40">
        <f>IFERROR(Macro!$D67*Team!AG127/12+IF(AND(YEAR(AG$5)&gt;2020,MONTH(AG$5)=Macro!$D$52),Macro!$D67*AVERAGE(OFFSET(AH127,0,0,1,-12))*Macro!$E67,0),"NA")</f>
        <v>0</v>
      </c>
      <c r="AH226" s="38" t="str">
        <f>IFERROR(Macro!$D67*Team!AH127/12+IF(AND(YEAR(AH$5)&gt;2020,MONTH(AH$5)=Macro!$D$52),Macro!$D67*AVERAGE(OFFSET(AI127,0,0,1,-12))*Macro!$E67,0),"NA")</f>
        <v>NA</v>
      </c>
      <c r="AI226" s="39">
        <f>IFERROR(Macro!$D67*Team!AI127/12+IF(AND(YEAR(AI$5)&gt;2020,MONTH(AI$5)=Macro!$D$52),Macro!$D67*AVERAGE(OFFSET(AJ127,0,0,1,-12))*Macro!$E67,0),"NA")</f>
        <v>0</v>
      </c>
      <c r="AJ226" s="40">
        <f>IFERROR(Macro!$D67*Team!AJ127/12+IF(AND(YEAR(AJ$5)&gt;2020,MONTH(AJ$5)=Macro!$D$52),Macro!$D67*AVERAGE(OFFSET(AK127,0,0,1,-12))*Macro!$E67,0),"NA")</f>
        <v>0</v>
      </c>
      <c r="AK226" s="38">
        <f>IFERROR(Macro!$D67*Team!AK127/12+IF(AND(YEAR(AK$5)&gt;2020,MONTH(AK$5)=Macro!$D$52),Macro!$D67*AVERAGE(OFFSET(AL127,0,0,1,-12))*Macro!$E67,0),"NA")</f>
        <v>0</v>
      </c>
      <c r="AL226" s="39">
        <f>IFERROR(Macro!$D67*Team!AL127/12+IF(AND(YEAR(AL$5)&gt;2020,MONTH(AL$5)=Macro!$D$52),Macro!$D67*AVERAGE(OFFSET(AM127,0,0,1,-12))*Macro!$E67,0),"NA")</f>
        <v>0</v>
      </c>
      <c r="AM226" s="40">
        <f>IFERROR(Macro!$D67*Team!AM127/12+IF(AND(YEAR(AM$5)&gt;2020,MONTH(AM$5)=Macro!$D$52),Macro!$D67*AVERAGE(OFFSET(AN127,0,0,1,-12))*Macro!$E67,0),"NA")</f>
        <v>0</v>
      </c>
      <c r="AN226" s="38">
        <f>IFERROR(Macro!$D67*Team!AN127/12+IF(AND(YEAR(AN$5)&gt;2020,MONTH(AN$5)=Macro!$D$52),Macro!$D67*AVERAGE(OFFSET(AO127,0,0,1,-12))*Macro!$E67,0),"NA")</f>
        <v>0</v>
      </c>
      <c r="AO226" s="39">
        <f>IFERROR(Macro!$D67*Team!AO127/12+IF(AND(YEAR(AO$5)&gt;2020,MONTH(AO$5)=Macro!$D$52),Macro!$D67*AVERAGE(OFFSET(AP127,0,0,1,-12))*Macro!$E67,0),"NA")</f>
        <v>0</v>
      </c>
      <c r="AP226" s="40">
        <f>IFERROR(Macro!$D67*Team!AP127/12+IF(AND(YEAR(AP$5)&gt;2020,MONTH(AP$5)=Macro!$D$52),Macro!$D67*AVERAGE(OFFSET(AQ127,0,0,1,-12))*Macro!$E67,0),"NA")</f>
        <v>0</v>
      </c>
      <c r="AQ226" s="38">
        <f>IFERROR(Macro!$D67*Team!AQ127/12+IF(AND(YEAR(AQ$5)&gt;2020,MONTH(AQ$5)=Macro!$D$52),Macro!$D67*AVERAGE(OFFSET(AR127,0,0,1,-12))*Macro!$E67,0),"NA")</f>
        <v>0</v>
      </c>
      <c r="AR226" s="39">
        <f>IFERROR(Macro!$D67*Team!AR127/12+IF(AND(YEAR(AR$5)&gt;2020,MONTH(AR$5)=Macro!$D$52),Macro!$D67*AVERAGE(OFFSET(AS127,0,0,1,-12))*Macro!$E67,0),"NA")</f>
        <v>0</v>
      </c>
      <c r="AS226" s="40">
        <f>IFERROR(Macro!$D67*Team!AS127/12+IF(AND(YEAR(AS$5)&gt;2020,MONTH(AS$5)=Macro!$D$52),Macro!$D67*AVERAGE(OFFSET(AT127,0,0,1,-12))*Macro!$E67,0),"NA")</f>
        <v>0</v>
      </c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</row>
    <row r="227" ht="12.0" customHeight="1">
      <c r="A227" s="282"/>
      <c r="B227" s="4"/>
      <c r="C227" s="277" t="str">
        <f t="shared" si="96"/>
        <v>[XX]</v>
      </c>
      <c r="D227" s="289">
        <f>IFERROR(Macro!$D68*Team!D128/12+IF(AND(YEAR(D$5)&gt;2020,MONTH(D$5)=Macro!$D$52),Macro!$D68*AVERAGE(OFFSET(E128,0,0,1,-12))*Macro!$E68,0),"NA")</f>
        <v>0</v>
      </c>
      <c r="E227" s="290">
        <f>IFERROR(Macro!$D68*Team!E128/12+IF(AND(YEAR(E$5)&gt;2020,MONTH(E$5)=Macro!$D$52),Macro!$D68*AVERAGE(OFFSET(F128,0,0,1,-12))*Macro!$E68,0),"NA")</f>
        <v>0</v>
      </c>
      <c r="F227" s="290">
        <f>IFERROR(Macro!$D68*Team!F128/12+IF(AND(YEAR(F$5)&gt;2020,MONTH(F$5)=Macro!$D$52),Macro!$D68*AVERAGE(OFFSET(G128,0,0,1,-12))*Macro!$E68,0),"NA")</f>
        <v>0</v>
      </c>
      <c r="G227" s="289">
        <f>IFERROR(Macro!$D68*Team!G128/12+IF(AND(YEAR(G$5)&gt;2020,MONTH(G$5)=Macro!$D$52),Macro!$D68*AVERAGE(OFFSET(H128,0,0,1,-12))*Macro!$E68,0),"NA")</f>
        <v>0</v>
      </c>
      <c r="H227" s="290">
        <f>IFERROR(Macro!$D68*Team!H128/12+IF(AND(YEAR(H$5)&gt;2020,MONTH(H$5)=Macro!$D$52),Macro!$D68*AVERAGE(OFFSET(I128,0,0,1,-12))*Macro!$E68,0),"NA")</f>
        <v>0</v>
      </c>
      <c r="I227" s="291">
        <f>IFERROR(Macro!$D68*Team!I128/12+IF(AND(YEAR(I$5)&gt;2020,MONTH(I$5)=Macro!$D$52),Macro!$D68*AVERAGE(OFFSET(J128,0,0,1,-12))*Macro!$E68,0),"NA")</f>
        <v>0</v>
      </c>
      <c r="J227" s="292">
        <f>IFERROR(Macro!$D68*Team!J128/12+IF(AND(YEAR(J$5)&gt;2020,MONTH(J$5)=Macro!$D$52),Macro!$D68*AVERAGE(OFFSET(K128,0,0,1,-12))*Macro!$E68,0),"NA")</f>
        <v>0</v>
      </c>
      <c r="K227" s="293">
        <f>IFERROR(Macro!$D68*Team!K128/12+IF(AND(YEAR(K$5)&gt;2020,MONTH(K$5)=Macro!$D$52),Macro!$D68*AVERAGE(OFFSET(L128,0,0,1,-12))*Macro!$E68,0),"NA")</f>
        <v>0</v>
      </c>
      <c r="L227" s="294">
        <f>IFERROR(Macro!$D68*Team!L128/12+IF(AND(YEAR(L$5)&gt;2020,MONTH(L$5)=Macro!$D$52),Macro!$D68*AVERAGE(OFFSET(M128,0,0,1,-12))*Macro!$E68,0),"NA")</f>
        <v>0</v>
      </c>
      <c r="M227" s="241">
        <f>IFERROR(Macro!$D68*Team!M128/12+IF(AND(YEAR(M$5)&gt;2020,MONTH(M$5)=Macro!$D$52),Macro!$D68*AVERAGE(OFFSET(N128,0,0,1,-12))*Macro!$E68,0),"NA")</f>
        <v>0</v>
      </c>
      <c r="N227" s="242">
        <f>IFERROR(Macro!$D68*Team!N128/12+IF(AND(YEAR(N$5)&gt;2020,MONTH(N$5)=Macro!$D$52),Macro!$D68*AVERAGE(OFFSET(O128,0,0,1,-12))*Macro!$E68,0),"NA")</f>
        <v>0</v>
      </c>
      <c r="O227" s="243">
        <f>IFERROR(Macro!$D68*Team!O128/12+IF(AND(YEAR(O$5)&gt;2020,MONTH(O$5)=Macro!$D$52),Macro!$D68*AVERAGE(OFFSET(P128,0,0,1,-12))*Macro!$E68,0),"NA")</f>
        <v>0</v>
      </c>
      <c r="P227" s="241">
        <f>IFERROR(Macro!$D68*Team!P128/12+IF(AND(YEAR(P$5)&gt;2020,MONTH(P$5)=Macro!$D$52),Macro!$D68*AVERAGE(OFFSET(Q128,0,0,1,-12))*Macro!$E68,0),"NA")</f>
        <v>0</v>
      </c>
      <c r="Q227" s="242">
        <f>IFERROR(Macro!$D68*Team!Q128/12+IF(AND(YEAR(Q$5)&gt;2020,MONTH(Q$5)=Macro!$D$52),Macro!$D68*AVERAGE(OFFSET(R128,0,0,1,-12))*Macro!$E68,0),"NA")</f>
        <v>0</v>
      </c>
      <c r="R227" s="243">
        <f>IFERROR(Macro!$D68*Team!R128/12+IF(AND(YEAR(R$5)&gt;2020,MONTH(R$5)=Macro!$D$52),Macro!$D68*AVERAGE(OFFSET(S128,0,0,1,-12))*Macro!$E68,0),"NA")</f>
        <v>0</v>
      </c>
      <c r="S227" s="241">
        <f>IFERROR(Macro!$D68*Team!S128/12+IF(AND(YEAR(S$5)&gt;2020,MONTH(S$5)=Macro!$D$52),Macro!$D68*AVERAGE(OFFSET(T128,0,0,1,-12))*Macro!$E68,0),"NA")</f>
        <v>0</v>
      </c>
      <c r="T227" s="242">
        <f>IFERROR(Macro!$D68*Team!T128/12+IF(AND(YEAR(T$5)&gt;2020,MONTH(T$5)=Macro!$D$52),Macro!$D68*AVERAGE(OFFSET(U128,0,0,1,-12))*Macro!$E68,0),"NA")</f>
        <v>0</v>
      </c>
      <c r="U227" s="243">
        <f>IFERROR(Macro!$D68*Team!U128/12+IF(AND(YEAR(U$5)&gt;2020,MONTH(U$5)=Macro!$D$52),Macro!$D68*AVERAGE(OFFSET(V128,0,0,1,-12))*Macro!$E68,0),"NA")</f>
        <v>0</v>
      </c>
      <c r="V227" s="241" t="str">
        <f>IFERROR(Macro!$D68*Team!V128/12+IF(AND(YEAR(V$5)&gt;2020,MONTH(V$5)=Macro!$D$52),Macro!$D68*AVERAGE(OFFSET(W128,0,0,1,-12))*Macro!$E68,0),"NA")</f>
        <v>NA</v>
      </c>
      <c r="W227" s="242">
        <f>IFERROR(Macro!$D68*Team!W128/12+IF(AND(YEAR(W$5)&gt;2020,MONTH(W$5)=Macro!$D$52),Macro!$D68*AVERAGE(OFFSET(X128,0,0,1,-12))*Macro!$E68,0),"NA")</f>
        <v>0</v>
      </c>
      <c r="X227" s="243">
        <f>IFERROR(Macro!$D68*Team!X128/12+IF(AND(YEAR(X$5)&gt;2020,MONTH(X$5)=Macro!$D$52),Macro!$D68*AVERAGE(OFFSET(Y128,0,0,1,-12))*Macro!$E68,0),"NA")</f>
        <v>0</v>
      </c>
      <c r="Y227" s="241">
        <f>IFERROR(Macro!$D68*Team!Y128/12+IF(AND(YEAR(Y$5)&gt;2020,MONTH(Y$5)=Macro!$D$52),Macro!$D68*AVERAGE(OFFSET(Z128,0,0,1,-12))*Macro!$E68,0),"NA")</f>
        <v>0</v>
      </c>
      <c r="Z227" s="242">
        <f>IFERROR(Macro!$D68*Team!Z128/12+IF(AND(YEAR(Z$5)&gt;2020,MONTH(Z$5)=Macro!$D$52),Macro!$D68*AVERAGE(OFFSET(AA128,0,0,1,-12))*Macro!$E68,0),"NA")</f>
        <v>0</v>
      </c>
      <c r="AA227" s="243">
        <f>IFERROR(Macro!$D68*Team!AA128/12+IF(AND(YEAR(AA$5)&gt;2020,MONTH(AA$5)=Macro!$D$52),Macro!$D68*AVERAGE(OFFSET(AB128,0,0,1,-12))*Macro!$E68,0),"NA")</f>
        <v>0</v>
      </c>
      <c r="AB227" s="241">
        <f>IFERROR(Macro!$D68*Team!AB128/12+IF(AND(YEAR(AB$5)&gt;2020,MONTH(AB$5)=Macro!$D$52),Macro!$D68*AVERAGE(OFFSET(AC128,0,0,1,-12))*Macro!$E68,0),"NA")</f>
        <v>0</v>
      </c>
      <c r="AC227" s="242">
        <f>IFERROR(Macro!$D68*Team!AC128/12+IF(AND(YEAR(AC$5)&gt;2020,MONTH(AC$5)=Macro!$D$52),Macro!$D68*AVERAGE(OFFSET(AD128,0,0,1,-12))*Macro!$E68,0),"NA")</f>
        <v>0</v>
      </c>
      <c r="AD227" s="243">
        <f>IFERROR(Macro!$D68*Team!AD128/12+IF(AND(YEAR(AD$5)&gt;2020,MONTH(AD$5)=Macro!$D$52),Macro!$D68*AVERAGE(OFFSET(AE128,0,0,1,-12))*Macro!$E68,0),"NA")</f>
        <v>0</v>
      </c>
      <c r="AE227" s="241">
        <f>IFERROR(Macro!$D68*Team!AE128/12+IF(AND(YEAR(AE$5)&gt;2020,MONTH(AE$5)=Macro!$D$52),Macro!$D68*AVERAGE(OFFSET(AF128,0,0,1,-12))*Macro!$E68,0),"NA")</f>
        <v>0</v>
      </c>
      <c r="AF227" s="242">
        <f>IFERROR(Macro!$D68*Team!AF128/12+IF(AND(YEAR(AF$5)&gt;2020,MONTH(AF$5)=Macro!$D$52),Macro!$D68*AVERAGE(OFFSET(AG128,0,0,1,-12))*Macro!$E68,0),"NA")</f>
        <v>0</v>
      </c>
      <c r="AG227" s="243">
        <f>IFERROR(Macro!$D68*Team!AG128/12+IF(AND(YEAR(AG$5)&gt;2020,MONTH(AG$5)=Macro!$D$52),Macro!$D68*AVERAGE(OFFSET(AH128,0,0,1,-12))*Macro!$E68,0),"NA")</f>
        <v>0</v>
      </c>
      <c r="AH227" s="241" t="str">
        <f>IFERROR(Macro!$D68*Team!AH128/12+IF(AND(YEAR(AH$5)&gt;2020,MONTH(AH$5)=Macro!$D$52),Macro!$D68*AVERAGE(OFFSET(AI128,0,0,1,-12))*Macro!$E68,0),"NA")</f>
        <v>NA</v>
      </c>
      <c r="AI227" s="242">
        <f>IFERROR(Macro!$D68*Team!AI128/12+IF(AND(YEAR(AI$5)&gt;2020,MONTH(AI$5)=Macro!$D$52),Macro!$D68*AVERAGE(OFFSET(AJ128,0,0,1,-12))*Macro!$E68,0),"NA")</f>
        <v>0</v>
      </c>
      <c r="AJ227" s="243">
        <f>IFERROR(Macro!$D68*Team!AJ128/12+IF(AND(YEAR(AJ$5)&gt;2020,MONTH(AJ$5)=Macro!$D$52),Macro!$D68*AVERAGE(OFFSET(AK128,0,0,1,-12))*Macro!$E68,0),"NA")</f>
        <v>0</v>
      </c>
      <c r="AK227" s="241">
        <f>IFERROR(Macro!$D68*Team!AK128/12+IF(AND(YEAR(AK$5)&gt;2020,MONTH(AK$5)=Macro!$D$52),Macro!$D68*AVERAGE(OFFSET(AL128,0,0,1,-12))*Macro!$E68,0),"NA")</f>
        <v>0</v>
      </c>
      <c r="AL227" s="242">
        <f>IFERROR(Macro!$D68*Team!AL128/12+IF(AND(YEAR(AL$5)&gt;2020,MONTH(AL$5)=Macro!$D$52),Macro!$D68*AVERAGE(OFFSET(AM128,0,0,1,-12))*Macro!$E68,0),"NA")</f>
        <v>0</v>
      </c>
      <c r="AM227" s="243">
        <f>IFERROR(Macro!$D68*Team!AM128/12+IF(AND(YEAR(AM$5)&gt;2020,MONTH(AM$5)=Macro!$D$52),Macro!$D68*AVERAGE(OFFSET(AN128,0,0,1,-12))*Macro!$E68,0),"NA")</f>
        <v>0</v>
      </c>
      <c r="AN227" s="241">
        <f>IFERROR(Macro!$D68*Team!AN128/12+IF(AND(YEAR(AN$5)&gt;2020,MONTH(AN$5)=Macro!$D$52),Macro!$D68*AVERAGE(OFFSET(AO128,0,0,1,-12))*Macro!$E68,0),"NA")</f>
        <v>0</v>
      </c>
      <c r="AO227" s="242">
        <f>IFERROR(Macro!$D68*Team!AO128/12+IF(AND(YEAR(AO$5)&gt;2020,MONTH(AO$5)=Macro!$D$52),Macro!$D68*AVERAGE(OFFSET(AP128,0,0,1,-12))*Macro!$E68,0),"NA")</f>
        <v>0</v>
      </c>
      <c r="AP227" s="243">
        <f>IFERROR(Macro!$D68*Team!AP128/12+IF(AND(YEAR(AP$5)&gt;2020,MONTH(AP$5)=Macro!$D$52),Macro!$D68*AVERAGE(OFFSET(AQ128,0,0,1,-12))*Macro!$E68,0),"NA")</f>
        <v>0</v>
      </c>
      <c r="AQ227" s="241">
        <f>IFERROR(Macro!$D68*Team!AQ128/12+IF(AND(YEAR(AQ$5)&gt;2020,MONTH(AQ$5)=Macro!$D$52),Macro!$D68*AVERAGE(OFFSET(AR128,0,0,1,-12))*Macro!$E68,0),"NA")</f>
        <v>0</v>
      </c>
      <c r="AR227" s="242">
        <f>IFERROR(Macro!$D68*Team!AR128/12+IF(AND(YEAR(AR$5)&gt;2020,MONTH(AR$5)=Macro!$D$52),Macro!$D68*AVERAGE(OFFSET(AS128,0,0,1,-12))*Macro!$E68,0),"NA")</f>
        <v>0</v>
      </c>
      <c r="AS227" s="243">
        <f>IFERROR(Macro!$D68*Team!AS128/12+IF(AND(YEAR(AS$5)&gt;2020,MONTH(AS$5)=Macro!$D$52),Macro!$D68*AVERAGE(OFFSET(AT128,0,0,1,-12))*Macro!$E68,0),"NA")</f>
        <v>0</v>
      </c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</row>
    <row r="228" ht="12.0" customHeight="1">
      <c r="A228" s="8"/>
      <c r="B228" s="8"/>
      <c r="C228" s="270" t="s">
        <v>73</v>
      </c>
      <c r="D228" s="51">
        <f t="shared" ref="D228:AS228" si="97">SUM(D216:D227)</f>
        <v>20000</v>
      </c>
      <c r="E228" s="52">
        <f t="shared" si="97"/>
        <v>20000</v>
      </c>
      <c r="F228" s="52">
        <f t="shared" si="97"/>
        <v>20000</v>
      </c>
      <c r="G228" s="51">
        <f t="shared" si="97"/>
        <v>20000</v>
      </c>
      <c r="H228" s="52">
        <f t="shared" si="97"/>
        <v>20000</v>
      </c>
      <c r="I228" s="53">
        <f t="shared" si="97"/>
        <v>20000</v>
      </c>
      <c r="J228" s="51">
        <f t="shared" si="97"/>
        <v>20000</v>
      </c>
      <c r="K228" s="52">
        <f t="shared" si="97"/>
        <v>20000</v>
      </c>
      <c r="L228" s="53">
        <f t="shared" si="97"/>
        <v>20000</v>
      </c>
      <c r="M228" s="51">
        <f t="shared" si="97"/>
        <v>36666.66667</v>
      </c>
      <c r="N228" s="52">
        <f t="shared" si="97"/>
        <v>36666.66667</v>
      </c>
      <c r="O228" s="53">
        <f t="shared" si="97"/>
        <v>36666.66667</v>
      </c>
      <c r="P228" s="51">
        <f t="shared" si="97"/>
        <v>50000</v>
      </c>
      <c r="Q228" s="52">
        <f t="shared" si="97"/>
        <v>50000</v>
      </c>
      <c r="R228" s="53">
        <f t="shared" si="97"/>
        <v>62500</v>
      </c>
      <c r="S228" s="51">
        <f t="shared" si="97"/>
        <v>62500</v>
      </c>
      <c r="T228" s="52">
        <f t="shared" si="97"/>
        <v>62500</v>
      </c>
      <c r="U228" s="53">
        <f t="shared" si="97"/>
        <v>62500</v>
      </c>
      <c r="V228" s="51">
        <f t="shared" si="97"/>
        <v>0</v>
      </c>
      <c r="W228" s="52">
        <f t="shared" si="97"/>
        <v>69166.66667</v>
      </c>
      <c r="X228" s="53">
        <f t="shared" si="97"/>
        <v>69166.66667</v>
      </c>
      <c r="Y228" s="51">
        <f t="shared" si="97"/>
        <v>69166.66667</v>
      </c>
      <c r="Z228" s="52">
        <f t="shared" si="97"/>
        <v>69166.66667</v>
      </c>
      <c r="AA228" s="53">
        <f t="shared" si="97"/>
        <v>69166.66667</v>
      </c>
      <c r="AB228" s="51">
        <f t="shared" si="97"/>
        <v>82500</v>
      </c>
      <c r="AC228" s="52">
        <f t="shared" si="97"/>
        <v>82500</v>
      </c>
      <c r="AD228" s="53">
        <f t="shared" si="97"/>
        <v>82500</v>
      </c>
      <c r="AE228" s="51">
        <f t="shared" si="97"/>
        <v>82500</v>
      </c>
      <c r="AF228" s="52">
        <f t="shared" si="97"/>
        <v>82500</v>
      </c>
      <c r="AG228" s="53">
        <f t="shared" si="97"/>
        <v>82500</v>
      </c>
      <c r="AH228" s="51">
        <f t="shared" si="97"/>
        <v>0</v>
      </c>
      <c r="AI228" s="52">
        <f t="shared" si="97"/>
        <v>101666.6667</v>
      </c>
      <c r="AJ228" s="53">
        <f t="shared" si="97"/>
        <v>101666.6667</v>
      </c>
      <c r="AK228" s="51">
        <f t="shared" si="97"/>
        <v>101666.6667</v>
      </c>
      <c r="AL228" s="52">
        <f t="shared" si="97"/>
        <v>101666.6667</v>
      </c>
      <c r="AM228" s="53">
        <f t="shared" si="97"/>
        <v>101666.6667</v>
      </c>
      <c r="AN228" s="51">
        <f t="shared" si="97"/>
        <v>127500</v>
      </c>
      <c r="AO228" s="52">
        <f t="shared" si="97"/>
        <v>127500</v>
      </c>
      <c r="AP228" s="53">
        <f t="shared" si="97"/>
        <v>127500</v>
      </c>
      <c r="AQ228" s="51">
        <f t="shared" si="97"/>
        <v>127500</v>
      </c>
      <c r="AR228" s="52">
        <f t="shared" si="97"/>
        <v>127500</v>
      </c>
      <c r="AS228" s="53">
        <f t="shared" si="97"/>
        <v>127500</v>
      </c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</row>
    <row r="229" ht="12.0" customHeight="1">
      <c r="A229" s="4"/>
      <c r="B229" s="4"/>
      <c r="C229" s="4"/>
      <c r="D229" s="64"/>
      <c r="E229" s="4"/>
      <c r="F229" s="4"/>
      <c r="G229" s="64"/>
      <c r="H229" s="4"/>
      <c r="I229" s="65"/>
      <c r="J229" s="64"/>
      <c r="K229" s="4"/>
      <c r="L229" s="65"/>
      <c r="M229" s="64"/>
      <c r="N229" s="4"/>
      <c r="O229" s="65"/>
      <c r="P229" s="64"/>
      <c r="Q229" s="4"/>
      <c r="R229" s="65"/>
      <c r="S229" s="64"/>
      <c r="T229" s="4"/>
      <c r="U229" s="65"/>
      <c r="V229" s="64"/>
      <c r="W229" s="4"/>
      <c r="X229" s="65"/>
      <c r="Y229" s="64"/>
      <c r="Z229" s="4"/>
      <c r="AA229" s="65"/>
      <c r="AB229" s="64"/>
      <c r="AC229" s="4"/>
      <c r="AD229" s="65"/>
      <c r="AE229" s="64"/>
      <c r="AF229" s="4"/>
      <c r="AG229" s="65"/>
      <c r="AH229" s="64"/>
      <c r="AI229" s="4"/>
      <c r="AJ229" s="65"/>
      <c r="AK229" s="64"/>
      <c r="AL229" s="4"/>
      <c r="AM229" s="65"/>
      <c r="AN229" s="64"/>
      <c r="AO229" s="4"/>
      <c r="AP229" s="65"/>
      <c r="AQ229" s="64"/>
      <c r="AR229" s="4"/>
      <c r="AS229" s="65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</row>
    <row r="230" ht="12.0" customHeight="1">
      <c r="A230" s="54"/>
      <c r="B230" s="270" t="s">
        <v>20</v>
      </c>
      <c r="C230" s="4"/>
      <c r="D230" s="64"/>
      <c r="E230" s="4"/>
      <c r="F230" s="4"/>
      <c r="G230" s="64"/>
      <c r="H230" s="4"/>
      <c r="I230" s="65"/>
      <c r="J230" s="64"/>
      <c r="K230" s="4"/>
      <c r="L230" s="65"/>
      <c r="M230" s="64"/>
      <c r="N230" s="4"/>
      <c r="O230" s="65"/>
      <c r="P230" s="64"/>
      <c r="Q230" s="4"/>
      <c r="R230" s="65"/>
      <c r="S230" s="64"/>
      <c r="T230" s="4"/>
      <c r="U230" s="65"/>
      <c r="V230" s="64"/>
      <c r="W230" s="4"/>
      <c r="X230" s="65"/>
      <c r="Y230" s="64"/>
      <c r="Z230" s="4"/>
      <c r="AA230" s="65"/>
      <c r="AB230" s="64"/>
      <c r="AC230" s="4"/>
      <c r="AD230" s="65"/>
      <c r="AE230" s="64"/>
      <c r="AF230" s="4"/>
      <c r="AG230" s="65"/>
      <c r="AH230" s="64"/>
      <c r="AI230" s="4"/>
      <c r="AJ230" s="65"/>
      <c r="AK230" s="64"/>
      <c r="AL230" s="4"/>
      <c r="AM230" s="65"/>
      <c r="AN230" s="64"/>
      <c r="AO230" s="4"/>
      <c r="AP230" s="65"/>
      <c r="AQ230" s="64"/>
      <c r="AR230" s="4"/>
      <c r="AS230" s="65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</row>
    <row r="231" ht="12.0" customHeight="1">
      <c r="A231" s="282"/>
      <c r="B231" s="8"/>
      <c r="C231" s="37" t="str">
        <f t="shared" ref="C231:C242" si="98">C132</f>
        <v>CMO</v>
      </c>
      <c r="D231" s="283">
        <f>IFERROR(Macro!$D71*Team!D132/12+IF(AND(YEAR(D$5)&gt;2020,MONTH(D$5)=Macro!$D$52),Macro!$D71*AVERAGE(OFFSET(E132,0,0,1,-12))*Macro!$E71,0),"NA")</f>
        <v>0</v>
      </c>
      <c r="E231" s="284">
        <f>IFERROR(Macro!$D71*Team!E132/12+IF(AND(YEAR(E$5)&gt;2020,MONTH(E$5)=Macro!$D$52),Macro!$D71*AVERAGE(OFFSET(F132,0,0,1,-12))*Macro!$E71,0),"NA")</f>
        <v>0</v>
      </c>
      <c r="F231" s="284">
        <f>IFERROR(Macro!$D71*Team!F132/12+IF(AND(YEAR(F$5)&gt;2020,MONTH(F$5)=Macro!$D$52),Macro!$D71*AVERAGE(OFFSET(G132,0,0,1,-12))*Macro!$E71,0),"NA")</f>
        <v>0</v>
      </c>
      <c r="G231" s="283">
        <f>IFERROR(Macro!$D71*Team!G132/12+IF(AND(YEAR(G$5)&gt;2020,MONTH(G$5)=Macro!$D$52),Macro!$D71*AVERAGE(OFFSET(H132,0,0,1,-12))*Macro!$E71,0),"NA")</f>
        <v>0</v>
      </c>
      <c r="H231" s="284">
        <f>IFERROR(Macro!$D71*Team!H132/12+IF(AND(YEAR(H$5)&gt;2020,MONTH(H$5)=Macro!$D$52),Macro!$D71*AVERAGE(OFFSET(I132,0,0,1,-12))*Macro!$E71,0),"NA")</f>
        <v>0</v>
      </c>
      <c r="I231" s="285">
        <f>IFERROR(Macro!$D71*Team!I132/12+IF(AND(YEAR(I$5)&gt;2020,MONTH(I$5)=Macro!$D$52),Macro!$D71*AVERAGE(OFFSET(J132,0,0,1,-12))*Macro!$E71,0),"NA")</f>
        <v>0</v>
      </c>
      <c r="J231" s="286">
        <f>IFERROR(Macro!$D71*Team!J132/12+IF(AND(YEAR(J$5)&gt;2020,MONTH(J$5)=Macro!$D$52),Macro!$D71*AVERAGE(OFFSET(K132,0,0,1,-12))*Macro!$E71,0),"NA")</f>
        <v>0</v>
      </c>
      <c r="K231" s="287">
        <f>IFERROR(Macro!$D71*Team!K132/12+IF(AND(YEAR(K$5)&gt;2020,MONTH(K$5)=Macro!$D$52),Macro!$D71*AVERAGE(OFFSET(L132,0,0,1,-12))*Macro!$E71,0),"NA")</f>
        <v>0</v>
      </c>
      <c r="L231" s="288">
        <f>IFERROR(Macro!$D71*Team!L132/12+IF(AND(YEAR(L$5)&gt;2020,MONTH(L$5)=Macro!$D$52),Macro!$D71*AVERAGE(OFFSET(M132,0,0,1,-12))*Macro!$E71,0),"NA")</f>
        <v>0</v>
      </c>
      <c r="M231" s="38">
        <f>IFERROR(Macro!$D71*Team!M132/12+IF(AND(YEAR(M$5)&gt;2020,MONTH(M$5)=Macro!$D$52),Macro!$D71*AVERAGE(OFFSET(N132,0,0,1,-12))*Macro!$E71,0),"NA")</f>
        <v>0</v>
      </c>
      <c r="N231" s="39">
        <f>IFERROR(Macro!$D71*Team!N132/12+IF(AND(YEAR(N$5)&gt;2020,MONTH(N$5)=Macro!$D$52),Macro!$D71*AVERAGE(OFFSET(O132,0,0,1,-12))*Macro!$E71,0),"NA")</f>
        <v>0</v>
      </c>
      <c r="O231" s="40">
        <f>IFERROR(Macro!$D71*Team!O132/12+IF(AND(YEAR(O$5)&gt;2020,MONTH(O$5)=Macro!$D$52),Macro!$D71*AVERAGE(OFFSET(P132,0,0,1,-12))*Macro!$E71,0),"NA")</f>
        <v>0</v>
      </c>
      <c r="P231" s="38">
        <f>IFERROR(Macro!$D71*Team!P132/12+IF(AND(YEAR(P$5)&gt;2020,MONTH(P$5)=Macro!$D$52),Macro!$D71*AVERAGE(OFFSET(Q132,0,0,1,-12))*Macro!$E71,0),"NA")</f>
        <v>0</v>
      </c>
      <c r="Q231" s="39">
        <f>IFERROR(Macro!$D71*Team!Q132/12+IF(AND(YEAR(Q$5)&gt;2020,MONTH(Q$5)=Macro!$D$52),Macro!$D71*AVERAGE(OFFSET(R132,0,0,1,-12))*Macro!$E71,0),"NA")</f>
        <v>0</v>
      </c>
      <c r="R231" s="40">
        <f>IFERROR(Macro!$D71*Team!R132/12+IF(AND(YEAR(R$5)&gt;2020,MONTH(R$5)=Macro!$D$52),Macro!$D71*AVERAGE(OFFSET(S132,0,0,1,-12))*Macro!$E71,0),"NA")</f>
        <v>0</v>
      </c>
      <c r="S231" s="38">
        <f>IFERROR(Macro!$D71*Team!S132/12+IF(AND(YEAR(S$5)&gt;2020,MONTH(S$5)=Macro!$D$52),Macro!$D71*AVERAGE(OFFSET(T132,0,0,1,-12))*Macro!$E71,0),"NA")</f>
        <v>0</v>
      </c>
      <c r="T231" s="39">
        <f>IFERROR(Macro!$D71*Team!T132/12+IF(AND(YEAR(T$5)&gt;2020,MONTH(T$5)=Macro!$D$52),Macro!$D71*AVERAGE(OFFSET(U132,0,0,1,-12))*Macro!$E71,0),"NA")</f>
        <v>0</v>
      </c>
      <c r="U231" s="40">
        <f>IFERROR(Macro!$D71*Team!U132/12+IF(AND(YEAR(U$5)&gt;2020,MONTH(U$5)=Macro!$D$52),Macro!$D71*AVERAGE(OFFSET(V132,0,0,1,-12))*Macro!$E71,0),"NA")</f>
        <v>0</v>
      </c>
      <c r="V231" s="38" t="str">
        <f>IFERROR(Macro!$D71*Team!V132/12+IF(AND(YEAR(V$5)&gt;2020,MONTH(V$5)=Macro!$D$52),Macro!$D71*AVERAGE(OFFSET(W132,0,0,1,-12))*Macro!$E71,0),"NA")</f>
        <v>NA</v>
      </c>
      <c r="W231" s="39">
        <f>IFERROR(Macro!$D71*Team!W132/12+IF(AND(YEAR(W$5)&gt;2020,MONTH(W$5)=Macro!$D$52),Macro!$D71*AVERAGE(OFFSET(X132,0,0,1,-12))*Macro!$E71,0),"NA")</f>
        <v>0</v>
      </c>
      <c r="X231" s="40">
        <f>IFERROR(Macro!$D71*Team!X132/12+IF(AND(YEAR(X$5)&gt;2020,MONTH(X$5)=Macro!$D$52),Macro!$D71*AVERAGE(OFFSET(Y132,0,0,1,-12))*Macro!$E71,0),"NA")</f>
        <v>0</v>
      </c>
      <c r="Y231" s="38">
        <f>IFERROR(Macro!$D71*Team!Y132/12+IF(AND(YEAR(Y$5)&gt;2020,MONTH(Y$5)=Macro!$D$52),Macro!$D71*AVERAGE(OFFSET(Z132,0,0,1,-12))*Macro!$E71,0),"NA")</f>
        <v>0</v>
      </c>
      <c r="Z231" s="39">
        <f>IFERROR(Macro!$D71*Team!Z132/12+IF(AND(YEAR(Z$5)&gt;2020,MONTH(Z$5)=Macro!$D$52),Macro!$D71*AVERAGE(OFFSET(AA132,0,0,1,-12))*Macro!$E71,0),"NA")</f>
        <v>0</v>
      </c>
      <c r="AA231" s="40">
        <f>IFERROR(Macro!$D71*Team!AA132/12+IF(AND(YEAR(AA$5)&gt;2020,MONTH(AA$5)=Macro!$D$52),Macro!$D71*AVERAGE(OFFSET(AB132,0,0,1,-12))*Macro!$E71,0),"NA")</f>
        <v>0</v>
      </c>
      <c r="AB231" s="38">
        <f>IFERROR(Macro!$D71*Team!AB132/12+IF(AND(YEAR(AB$5)&gt;2020,MONTH(AB$5)=Macro!$D$52),Macro!$D71*AVERAGE(OFFSET(AC132,0,0,1,-12))*Macro!$E71,0),"NA")</f>
        <v>0</v>
      </c>
      <c r="AC231" s="39">
        <f>IFERROR(Macro!$D71*Team!AC132/12+IF(AND(YEAR(AC$5)&gt;2020,MONTH(AC$5)=Macro!$D$52),Macro!$D71*AVERAGE(OFFSET(AD132,0,0,1,-12))*Macro!$E71,0),"NA")</f>
        <v>0</v>
      </c>
      <c r="AD231" s="40">
        <f>IFERROR(Macro!$D71*Team!AD132/12+IF(AND(YEAR(AD$5)&gt;2020,MONTH(AD$5)=Macro!$D$52),Macro!$D71*AVERAGE(OFFSET(AE132,0,0,1,-12))*Macro!$E71,0),"NA")</f>
        <v>0</v>
      </c>
      <c r="AE231" s="38">
        <f>IFERROR(Macro!$D71*Team!AE132/12+IF(AND(YEAR(AE$5)&gt;2020,MONTH(AE$5)=Macro!$D$52),Macro!$D71*AVERAGE(OFFSET(AF132,0,0,1,-12))*Macro!$E71,0),"NA")</f>
        <v>0</v>
      </c>
      <c r="AF231" s="39">
        <f>IFERROR(Macro!$D71*Team!AF132/12+IF(AND(YEAR(AF$5)&gt;2020,MONTH(AF$5)=Macro!$D$52),Macro!$D71*AVERAGE(OFFSET(AG132,0,0,1,-12))*Macro!$E71,0),"NA")</f>
        <v>0</v>
      </c>
      <c r="AG231" s="40">
        <f>IFERROR(Macro!$D71*Team!AG132/12+IF(AND(YEAR(AG$5)&gt;2020,MONTH(AG$5)=Macro!$D$52),Macro!$D71*AVERAGE(OFFSET(AH132,0,0,1,-12))*Macro!$E71,0),"NA")</f>
        <v>0</v>
      </c>
      <c r="AH231" s="38" t="str">
        <f>IFERROR(Macro!$D71*Team!AH132/12+IF(AND(YEAR(AH$5)&gt;2020,MONTH(AH$5)=Macro!$D$52),Macro!$D71*AVERAGE(OFFSET(AI132,0,0,1,-12))*Macro!$E71,0),"NA")</f>
        <v>NA</v>
      </c>
      <c r="AI231" s="39">
        <f>IFERROR(Macro!$D71*Team!AI132/12+IF(AND(YEAR(AI$5)&gt;2020,MONTH(AI$5)=Macro!$D$52),Macro!$D71*AVERAGE(OFFSET(AJ132,0,0,1,-12))*Macro!$E71,0),"NA")</f>
        <v>16666.66667</v>
      </c>
      <c r="AJ231" s="40">
        <f>IFERROR(Macro!$D71*Team!AJ132/12+IF(AND(YEAR(AJ$5)&gt;2020,MONTH(AJ$5)=Macro!$D$52),Macro!$D71*AVERAGE(OFFSET(AK132,0,0,1,-12))*Macro!$E71,0),"NA")</f>
        <v>16666.66667</v>
      </c>
      <c r="AK231" s="38">
        <f>IFERROR(Macro!$D71*Team!AK132/12+IF(AND(YEAR(AK$5)&gt;2020,MONTH(AK$5)=Macro!$D$52),Macro!$D71*AVERAGE(OFFSET(AL132,0,0,1,-12))*Macro!$E71,0),"NA")</f>
        <v>16666.66667</v>
      </c>
      <c r="AL231" s="39">
        <f>IFERROR(Macro!$D71*Team!AL132/12+IF(AND(YEAR(AL$5)&gt;2020,MONTH(AL$5)=Macro!$D$52),Macro!$D71*AVERAGE(OFFSET(AM132,0,0,1,-12))*Macro!$E71,0),"NA")</f>
        <v>16666.66667</v>
      </c>
      <c r="AM231" s="40">
        <f>IFERROR(Macro!$D71*Team!AM132/12+IF(AND(YEAR(AM$5)&gt;2020,MONTH(AM$5)=Macro!$D$52),Macro!$D71*AVERAGE(OFFSET(AN132,0,0,1,-12))*Macro!$E71,0),"NA")</f>
        <v>16666.66667</v>
      </c>
      <c r="AN231" s="38">
        <f>IFERROR(Macro!$D71*Team!AN132/12+IF(AND(YEAR(AN$5)&gt;2020,MONTH(AN$5)=Macro!$D$52),Macro!$D71*AVERAGE(OFFSET(AO132,0,0,1,-12))*Macro!$E71,0),"NA")</f>
        <v>16666.66667</v>
      </c>
      <c r="AO231" s="39">
        <f>IFERROR(Macro!$D71*Team!AO132/12+IF(AND(YEAR(AO$5)&gt;2020,MONTH(AO$5)=Macro!$D$52),Macro!$D71*AVERAGE(OFFSET(AP132,0,0,1,-12))*Macro!$E71,0),"NA")</f>
        <v>16666.66667</v>
      </c>
      <c r="AP231" s="40">
        <f>IFERROR(Macro!$D71*Team!AP132/12+IF(AND(YEAR(AP$5)&gt;2020,MONTH(AP$5)=Macro!$D$52),Macro!$D71*AVERAGE(OFFSET(AQ132,0,0,1,-12))*Macro!$E71,0),"NA")</f>
        <v>16666.66667</v>
      </c>
      <c r="AQ231" s="38">
        <f>IFERROR(Macro!$D71*Team!AQ132/12+IF(AND(YEAR(AQ$5)&gt;2020,MONTH(AQ$5)=Macro!$D$52),Macro!$D71*AVERAGE(OFFSET(AR132,0,0,1,-12))*Macro!$E71,0),"NA")</f>
        <v>16666.66667</v>
      </c>
      <c r="AR231" s="39">
        <f>IFERROR(Macro!$D71*Team!AR132/12+IF(AND(YEAR(AR$5)&gt;2020,MONTH(AR$5)=Macro!$D$52),Macro!$D71*AVERAGE(OFFSET(AS132,0,0,1,-12))*Macro!$E71,0),"NA")</f>
        <v>16666.66667</v>
      </c>
      <c r="AS231" s="40">
        <f>IFERROR(Macro!$D71*Team!AS132/12+IF(AND(YEAR(AS$5)&gt;2020,MONTH(AS$5)=Macro!$D$52),Macro!$D71*AVERAGE(OFFSET(AT132,0,0,1,-12))*Macro!$E71,0),"NA")</f>
        <v>16666.66667</v>
      </c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</row>
    <row r="232" ht="12.0" customHeight="1">
      <c r="A232" s="282"/>
      <c r="B232" s="8"/>
      <c r="C232" s="37" t="str">
        <f t="shared" si="98"/>
        <v>Director of Demand</v>
      </c>
      <c r="D232" s="283">
        <f>IFERROR(Macro!$D72*Team!D133/12+IF(AND(YEAR(D$5)&gt;2020,MONTH(D$5)=Macro!$D$52),Macro!$D72*AVERAGE(OFFSET(E133,0,0,1,-12))*Macro!$E72,0),"NA")</f>
        <v>12500</v>
      </c>
      <c r="E232" s="284">
        <f>IFERROR(Macro!$D72*Team!E133/12+IF(AND(YEAR(E$5)&gt;2020,MONTH(E$5)=Macro!$D$52),Macro!$D72*AVERAGE(OFFSET(F133,0,0,1,-12))*Macro!$E72,0),"NA")</f>
        <v>12500</v>
      </c>
      <c r="F232" s="284">
        <f>IFERROR(Macro!$D72*Team!F133/12+IF(AND(YEAR(F$5)&gt;2020,MONTH(F$5)=Macro!$D$52),Macro!$D72*AVERAGE(OFFSET(G133,0,0,1,-12))*Macro!$E72,0),"NA")</f>
        <v>12500</v>
      </c>
      <c r="G232" s="283">
        <f>IFERROR(Macro!$D72*Team!G133/12+IF(AND(YEAR(G$5)&gt;2020,MONTH(G$5)=Macro!$D$52),Macro!$D72*AVERAGE(OFFSET(H133,0,0,1,-12))*Macro!$E72,0),"NA")</f>
        <v>12500</v>
      </c>
      <c r="H232" s="284">
        <f>IFERROR(Macro!$D72*Team!H133/12+IF(AND(YEAR(H$5)&gt;2020,MONTH(H$5)=Macro!$D$52),Macro!$D72*AVERAGE(OFFSET(I133,0,0,1,-12))*Macro!$E72,0),"NA")</f>
        <v>12500</v>
      </c>
      <c r="I232" s="285">
        <f>IFERROR(Macro!$D72*Team!I133/12+IF(AND(YEAR(I$5)&gt;2020,MONTH(I$5)=Macro!$D$52),Macro!$D72*AVERAGE(OFFSET(J133,0,0,1,-12))*Macro!$E72,0),"NA")</f>
        <v>12500</v>
      </c>
      <c r="J232" s="286">
        <f>IFERROR(Macro!$D72*Team!J133/12+IF(AND(YEAR(J$5)&gt;2020,MONTH(J$5)=Macro!$D$52),Macro!$D72*AVERAGE(OFFSET(K133,0,0,1,-12))*Macro!$E72,0),"NA")</f>
        <v>12500</v>
      </c>
      <c r="K232" s="287">
        <f>IFERROR(Macro!$D72*Team!K133/12+IF(AND(YEAR(K$5)&gt;2020,MONTH(K$5)=Macro!$D$52),Macro!$D72*AVERAGE(OFFSET(L133,0,0,1,-12))*Macro!$E72,0),"NA")</f>
        <v>12500</v>
      </c>
      <c r="L232" s="288">
        <f>IFERROR(Macro!$D72*Team!L133/12+IF(AND(YEAR(L$5)&gt;2020,MONTH(L$5)=Macro!$D$52),Macro!$D72*AVERAGE(OFFSET(M133,0,0,1,-12))*Macro!$E72,0),"NA")</f>
        <v>12500</v>
      </c>
      <c r="M232" s="38">
        <f>IFERROR(Macro!$D72*Team!M133/12+IF(AND(YEAR(M$5)&gt;2020,MONTH(M$5)=Macro!$D$52),Macro!$D72*AVERAGE(OFFSET(N133,0,0,1,-12))*Macro!$E72,0),"NA")</f>
        <v>0</v>
      </c>
      <c r="N232" s="39">
        <f>IFERROR(Macro!$D72*Team!N133/12+IF(AND(YEAR(N$5)&gt;2020,MONTH(N$5)=Macro!$D$52),Macro!$D72*AVERAGE(OFFSET(O133,0,0,1,-12))*Macro!$E72,0),"NA")</f>
        <v>0</v>
      </c>
      <c r="O232" s="40">
        <f>IFERROR(Macro!$D72*Team!O133/12+IF(AND(YEAR(O$5)&gt;2020,MONTH(O$5)=Macro!$D$52),Macro!$D72*AVERAGE(OFFSET(P133,0,0,1,-12))*Macro!$E72,0),"NA")</f>
        <v>0</v>
      </c>
      <c r="P232" s="38">
        <f>IFERROR(Macro!$D72*Team!P133/12+IF(AND(YEAR(P$5)&gt;2020,MONTH(P$5)=Macro!$D$52),Macro!$D72*AVERAGE(OFFSET(Q133,0,0,1,-12))*Macro!$E72,0),"NA")</f>
        <v>0</v>
      </c>
      <c r="Q232" s="39">
        <f>IFERROR(Macro!$D72*Team!Q133/12+IF(AND(YEAR(Q$5)&gt;2020,MONTH(Q$5)=Macro!$D$52),Macro!$D72*AVERAGE(OFFSET(R133,0,0,1,-12))*Macro!$E72,0),"NA")</f>
        <v>0</v>
      </c>
      <c r="R232" s="40">
        <f>IFERROR(Macro!$D72*Team!R133/12+IF(AND(YEAR(R$5)&gt;2020,MONTH(R$5)=Macro!$D$52),Macro!$D72*AVERAGE(OFFSET(S133,0,0,1,-12))*Macro!$E72,0),"NA")</f>
        <v>0</v>
      </c>
      <c r="S232" s="38">
        <f>IFERROR(Macro!$D72*Team!S133/12+IF(AND(YEAR(S$5)&gt;2020,MONTH(S$5)=Macro!$D$52),Macro!$D72*AVERAGE(OFFSET(T133,0,0,1,-12))*Macro!$E72,0),"NA")</f>
        <v>0</v>
      </c>
      <c r="T232" s="39">
        <f>IFERROR(Macro!$D72*Team!T133/12+IF(AND(YEAR(T$5)&gt;2020,MONTH(T$5)=Macro!$D$52),Macro!$D72*AVERAGE(OFFSET(U133,0,0,1,-12))*Macro!$E72,0),"NA")</f>
        <v>0</v>
      </c>
      <c r="U232" s="40">
        <f>IFERROR(Macro!$D72*Team!U133/12+IF(AND(YEAR(U$5)&gt;2020,MONTH(U$5)=Macro!$D$52),Macro!$D72*AVERAGE(OFFSET(V133,0,0,1,-12))*Macro!$E72,0),"NA")</f>
        <v>0</v>
      </c>
      <c r="V232" s="38" t="str">
        <f>IFERROR(Macro!$D72*Team!V133/12+IF(AND(YEAR(V$5)&gt;2020,MONTH(V$5)=Macro!$D$52),Macro!$D72*AVERAGE(OFFSET(W133,0,0,1,-12))*Macro!$E72,0),"NA")</f>
        <v>NA</v>
      </c>
      <c r="W232" s="39">
        <f>IFERROR(Macro!$D72*Team!W133/12+IF(AND(YEAR(W$5)&gt;2020,MONTH(W$5)=Macro!$D$52),Macro!$D72*AVERAGE(OFFSET(X133,0,0,1,-12))*Macro!$E72,0),"NA")</f>
        <v>0</v>
      </c>
      <c r="X232" s="40">
        <f>IFERROR(Macro!$D72*Team!X133/12+IF(AND(YEAR(X$5)&gt;2020,MONTH(X$5)=Macro!$D$52),Macro!$D72*AVERAGE(OFFSET(Y133,0,0,1,-12))*Macro!$E72,0),"NA")</f>
        <v>0</v>
      </c>
      <c r="Y232" s="38">
        <f>IFERROR(Macro!$D72*Team!Y133/12+IF(AND(YEAR(Y$5)&gt;2020,MONTH(Y$5)=Macro!$D$52),Macro!$D72*AVERAGE(OFFSET(Z133,0,0,1,-12))*Macro!$E72,0),"NA")</f>
        <v>0</v>
      </c>
      <c r="Z232" s="39">
        <f>IFERROR(Macro!$D72*Team!Z133/12+IF(AND(YEAR(Z$5)&gt;2020,MONTH(Z$5)=Macro!$D$52),Macro!$D72*AVERAGE(OFFSET(AA133,0,0,1,-12))*Macro!$E72,0),"NA")</f>
        <v>0</v>
      </c>
      <c r="AA232" s="40">
        <f>IFERROR(Macro!$D72*Team!AA133/12+IF(AND(YEAR(AA$5)&gt;2020,MONTH(AA$5)=Macro!$D$52),Macro!$D72*AVERAGE(OFFSET(AB133,0,0,1,-12))*Macro!$E72,0),"NA")</f>
        <v>0</v>
      </c>
      <c r="AB232" s="38">
        <f>IFERROR(Macro!$D72*Team!AB133/12+IF(AND(YEAR(AB$5)&gt;2020,MONTH(AB$5)=Macro!$D$52),Macro!$D72*AVERAGE(OFFSET(AC133,0,0,1,-12))*Macro!$E72,0),"NA")</f>
        <v>0</v>
      </c>
      <c r="AC232" s="39">
        <f>IFERROR(Macro!$D72*Team!AC133/12+IF(AND(YEAR(AC$5)&gt;2020,MONTH(AC$5)=Macro!$D$52),Macro!$D72*AVERAGE(OFFSET(AD133,0,0,1,-12))*Macro!$E72,0),"NA")</f>
        <v>0</v>
      </c>
      <c r="AD232" s="40">
        <f>IFERROR(Macro!$D72*Team!AD133/12+IF(AND(YEAR(AD$5)&gt;2020,MONTH(AD$5)=Macro!$D$52),Macro!$D72*AVERAGE(OFFSET(AE133,0,0,1,-12))*Macro!$E72,0),"NA")</f>
        <v>0</v>
      </c>
      <c r="AE232" s="38">
        <f>IFERROR(Macro!$D72*Team!AE133/12+IF(AND(YEAR(AE$5)&gt;2020,MONTH(AE$5)=Macro!$D$52),Macro!$D72*AVERAGE(OFFSET(AF133,0,0,1,-12))*Macro!$E72,0),"NA")</f>
        <v>0</v>
      </c>
      <c r="AF232" s="39">
        <f>IFERROR(Macro!$D72*Team!AF133/12+IF(AND(YEAR(AF$5)&gt;2020,MONTH(AF$5)=Macro!$D$52),Macro!$D72*AVERAGE(OFFSET(AG133,0,0,1,-12))*Macro!$E72,0),"NA")</f>
        <v>0</v>
      </c>
      <c r="AG232" s="40">
        <f>IFERROR(Macro!$D72*Team!AG133/12+IF(AND(YEAR(AG$5)&gt;2020,MONTH(AG$5)=Macro!$D$52),Macro!$D72*AVERAGE(OFFSET(AH133,0,0,1,-12))*Macro!$E72,0),"NA")</f>
        <v>0</v>
      </c>
      <c r="AH232" s="38" t="str">
        <f>IFERROR(Macro!$D72*Team!AH133/12+IF(AND(YEAR(AH$5)&gt;2020,MONTH(AH$5)=Macro!$D$52),Macro!$D72*AVERAGE(OFFSET(AI133,0,0,1,-12))*Macro!$E72,0),"NA")</f>
        <v>NA</v>
      </c>
      <c r="AI232" s="39">
        <f>IFERROR(Macro!$D72*Team!AI133/12+IF(AND(YEAR(AI$5)&gt;2020,MONTH(AI$5)=Macro!$D$52),Macro!$D72*AVERAGE(OFFSET(AJ133,0,0,1,-12))*Macro!$E72,0),"NA")</f>
        <v>0</v>
      </c>
      <c r="AJ232" s="40">
        <f>IFERROR(Macro!$D72*Team!AJ133/12+IF(AND(YEAR(AJ$5)&gt;2020,MONTH(AJ$5)=Macro!$D$52),Macro!$D72*AVERAGE(OFFSET(AK133,0,0,1,-12))*Macro!$E72,0),"NA")</f>
        <v>0</v>
      </c>
      <c r="AK232" s="38">
        <f>IFERROR(Macro!$D72*Team!AK133/12+IF(AND(YEAR(AK$5)&gt;2020,MONTH(AK$5)=Macro!$D$52),Macro!$D72*AVERAGE(OFFSET(AL133,0,0,1,-12))*Macro!$E72,0),"NA")</f>
        <v>0</v>
      </c>
      <c r="AL232" s="39">
        <f>IFERROR(Macro!$D72*Team!AL133/12+IF(AND(YEAR(AL$5)&gt;2020,MONTH(AL$5)=Macro!$D$52),Macro!$D72*AVERAGE(OFFSET(AM133,0,0,1,-12))*Macro!$E72,0),"NA")</f>
        <v>0</v>
      </c>
      <c r="AM232" s="40">
        <f>IFERROR(Macro!$D72*Team!AM133/12+IF(AND(YEAR(AM$5)&gt;2020,MONTH(AM$5)=Macro!$D$52),Macro!$D72*AVERAGE(OFFSET(AN133,0,0,1,-12))*Macro!$E72,0),"NA")</f>
        <v>0</v>
      </c>
      <c r="AN232" s="38">
        <f>IFERROR(Macro!$D72*Team!AN133/12+IF(AND(YEAR(AN$5)&gt;2020,MONTH(AN$5)=Macro!$D$52),Macro!$D72*AVERAGE(OFFSET(AO133,0,0,1,-12))*Macro!$E72,0),"NA")</f>
        <v>0</v>
      </c>
      <c r="AO232" s="39">
        <f>IFERROR(Macro!$D72*Team!AO133/12+IF(AND(YEAR(AO$5)&gt;2020,MONTH(AO$5)=Macro!$D$52),Macro!$D72*AVERAGE(OFFSET(AP133,0,0,1,-12))*Macro!$E72,0),"NA")</f>
        <v>0</v>
      </c>
      <c r="AP232" s="40">
        <f>IFERROR(Macro!$D72*Team!AP133/12+IF(AND(YEAR(AP$5)&gt;2020,MONTH(AP$5)=Macro!$D$52),Macro!$D72*AVERAGE(OFFSET(AQ133,0,0,1,-12))*Macro!$E72,0),"NA")</f>
        <v>0</v>
      </c>
      <c r="AQ232" s="38">
        <f>IFERROR(Macro!$D72*Team!AQ133/12+IF(AND(YEAR(AQ$5)&gt;2020,MONTH(AQ$5)=Macro!$D$52),Macro!$D72*AVERAGE(OFFSET(AR133,0,0,1,-12))*Macro!$E72,0),"NA")</f>
        <v>0</v>
      </c>
      <c r="AR232" s="39">
        <f>IFERROR(Macro!$D72*Team!AR133/12+IF(AND(YEAR(AR$5)&gt;2020,MONTH(AR$5)=Macro!$D$52),Macro!$D72*AVERAGE(OFFSET(AS133,0,0,1,-12))*Macro!$E72,0),"NA")</f>
        <v>0</v>
      </c>
      <c r="AS232" s="40">
        <f>IFERROR(Macro!$D72*Team!AS133/12+IF(AND(YEAR(AS$5)&gt;2020,MONTH(AS$5)=Macro!$D$52),Macro!$D72*AVERAGE(OFFSET(AT133,0,0,1,-12))*Macro!$E72,0),"NA")</f>
        <v>0</v>
      </c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</row>
    <row r="233" ht="12.0" customHeight="1">
      <c r="A233" s="282"/>
      <c r="B233" s="8"/>
      <c r="C233" s="37" t="str">
        <f t="shared" si="98"/>
        <v>SDR</v>
      </c>
      <c r="D233" s="283">
        <f>IFERROR(Macro!$D73*Team!D134/12+IF(AND(YEAR(D$5)&gt;2020,MONTH(D$5)=Macro!$D$52),Macro!$D73*AVERAGE(OFFSET(E134,0,0,1,-12))*Macro!$E73,0),"NA")</f>
        <v>12500</v>
      </c>
      <c r="E233" s="284">
        <f>IFERROR(Macro!$D73*Team!E134/12+IF(AND(YEAR(E$5)&gt;2020,MONTH(E$5)=Macro!$D$52),Macro!$D73*AVERAGE(OFFSET(F134,0,0,1,-12))*Macro!$E73,0),"NA")</f>
        <v>12500</v>
      </c>
      <c r="F233" s="284">
        <f>IFERROR(Macro!$D73*Team!F134/12+IF(AND(YEAR(F$5)&gt;2020,MONTH(F$5)=Macro!$D$52),Macro!$D73*AVERAGE(OFFSET(G134,0,0,1,-12))*Macro!$E73,0),"NA")</f>
        <v>12500</v>
      </c>
      <c r="G233" s="283">
        <f>IFERROR(Macro!$D73*Team!G134/12+IF(AND(YEAR(G$5)&gt;2020,MONTH(G$5)=Macro!$D$52),Macro!$D73*AVERAGE(OFFSET(H134,0,0,1,-12))*Macro!$E73,0),"NA")</f>
        <v>12500</v>
      </c>
      <c r="H233" s="284">
        <f>IFERROR(Macro!$D73*Team!H134/12+IF(AND(YEAR(H$5)&gt;2020,MONTH(H$5)=Macro!$D$52),Macro!$D73*AVERAGE(OFFSET(I134,0,0,1,-12))*Macro!$E73,0),"NA")</f>
        <v>12500</v>
      </c>
      <c r="I233" s="285">
        <f>IFERROR(Macro!$D73*Team!I134/12+IF(AND(YEAR(I$5)&gt;2020,MONTH(I$5)=Macro!$D$52),Macro!$D73*AVERAGE(OFFSET(J134,0,0,1,-12))*Macro!$E73,0),"NA")</f>
        <v>12500</v>
      </c>
      <c r="J233" s="286">
        <f>IFERROR(Macro!$D73*Team!J134/12+IF(AND(YEAR(J$5)&gt;2020,MONTH(J$5)=Macro!$D$52),Macro!$D73*AVERAGE(OFFSET(K134,0,0,1,-12))*Macro!$E73,0),"NA")</f>
        <v>12500</v>
      </c>
      <c r="K233" s="287">
        <f>IFERROR(Macro!$D73*Team!K134/12+IF(AND(YEAR(K$5)&gt;2020,MONTH(K$5)=Macro!$D$52),Macro!$D73*AVERAGE(OFFSET(L134,0,0,1,-12))*Macro!$E73,0),"NA")</f>
        <v>12500</v>
      </c>
      <c r="L233" s="288">
        <f>IFERROR(Macro!$D73*Team!L134/12+IF(AND(YEAR(L$5)&gt;2020,MONTH(L$5)=Macro!$D$52),Macro!$D73*AVERAGE(OFFSET(M134,0,0,1,-12))*Macro!$E73,0),"NA")</f>
        <v>12500</v>
      </c>
      <c r="M233" s="38">
        <f>IFERROR(Macro!$D73*Team!M134/12+IF(AND(YEAR(M$5)&gt;2020,MONTH(M$5)=Macro!$D$52),Macro!$D73*AVERAGE(OFFSET(N134,0,0,1,-12))*Macro!$E73,0),"NA")</f>
        <v>12500</v>
      </c>
      <c r="N233" s="39">
        <f>IFERROR(Macro!$D73*Team!N134/12+IF(AND(YEAR(N$5)&gt;2020,MONTH(N$5)=Macro!$D$52),Macro!$D73*AVERAGE(OFFSET(O134,0,0,1,-12))*Macro!$E73,0),"NA")</f>
        <v>12500</v>
      </c>
      <c r="O233" s="40">
        <f>IFERROR(Macro!$D73*Team!O134/12+IF(AND(YEAR(O$5)&gt;2020,MONTH(O$5)=Macro!$D$52),Macro!$D73*AVERAGE(OFFSET(P134,0,0,1,-12))*Macro!$E73,0),"NA")</f>
        <v>12500</v>
      </c>
      <c r="P233" s="38">
        <f>IFERROR(Macro!$D73*Team!P134/12+IF(AND(YEAR(P$5)&gt;2020,MONTH(P$5)=Macro!$D$52),Macro!$D73*AVERAGE(OFFSET(Q134,0,0,1,-12))*Macro!$E73,0),"NA")</f>
        <v>12500</v>
      </c>
      <c r="Q233" s="39">
        <f>IFERROR(Macro!$D73*Team!Q134/12+IF(AND(YEAR(Q$5)&gt;2020,MONTH(Q$5)=Macro!$D$52),Macro!$D73*AVERAGE(OFFSET(R134,0,0,1,-12))*Macro!$E73,0),"NA")</f>
        <v>12500</v>
      </c>
      <c r="R233" s="40">
        <f>IFERROR(Macro!$D73*Team!R134/12+IF(AND(YEAR(R$5)&gt;2020,MONTH(R$5)=Macro!$D$52),Macro!$D73*AVERAGE(OFFSET(S134,0,0,1,-12))*Macro!$E73,0),"NA")</f>
        <v>12500</v>
      </c>
      <c r="S233" s="38">
        <f>IFERROR(Macro!$D73*Team!S134/12+IF(AND(YEAR(S$5)&gt;2020,MONTH(S$5)=Macro!$D$52),Macro!$D73*AVERAGE(OFFSET(T134,0,0,1,-12))*Macro!$E73,0),"NA")</f>
        <v>12500</v>
      </c>
      <c r="T233" s="39">
        <f>IFERROR(Macro!$D73*Team!T134/12+IF(AND(YEAR(T$5)&gt;2020,MONTH(T$5)=Macro!$D$52),Macro!$D73*AVERAGE(OFFSET(U134,0,0,1,-12))*Macro!$E73,0),"NA")</f>
        <v>12500</v>
      </c>
      <c r="U233" s="40">
        <f>IFERROR(Macro!$D73*Team!U134/12+IF(AND(YEAR(U$5)&gt;2020,MONTH(U$5)=Macro!$D$52),Macro!$D73*AVERAGE(OFFSET(V134,0,0,1,-12))*Macro!$E73,0),"NA")</f>
        <v>12500</v>
      </c>
      <c r="V233" s="38" t="str">
        <f>IFERROR(Macro!$D73*Team!V134/12+IF(AND(YEAR(V$5)&gt;2020,MONTH(V$5)=Macro!$D$52),Macro!$D73*AVERAGE(OFFSET(W134,0,0,1,-12))*Macro!$E73,0),"NA")</f>
        <v>NA</v>
      </c>
      <c r="W233" s="39">
        <f>IFERROR(Macro!$D73*Team!W134/12+IF(AND(YEAR(W$5)&gt;2020,MONTH(W$5)=Macro!$D$52),Macro!$D73*AVERAGE(OFFSET(X134,0,0,1,-12))*Macro!$E73,0),"NA")</f>
        <v>12500</v>
      </c>
      <c r="X233" s="40">
        <f>IFERROR(Macro!$D73*Team!X134/12+IF(AND(YEAR(X$5)&gt;2020,MONTH(X$5)=Macro!$D$52),Macro!$D73*AVERAGE(OFFSET(Y134,0,0,1,-12))*Macro!$E73,0),"NA")</f>
        <v>12500</v>
      </c>
      <c r="Y233" s="38">
        <f>IFERROR(Macro!$D73*Team!Y134/12+IF(AND(YEAR(Y$5)&gt;2020,MONTH(Y$5)=Macro!$D$52),Macro!$D73*AVERAGE(OFFSET(Z134,0,0,1,-12))*Macro!$E73,0),"NA")</f>
        <v>12500</v>
      </c>
      <c r="Z233" s="39">
        <f>IFERROR(Macro!$D73*Team!Z134/12+IF(AND(YEAR(Z$5)&gt;2020,MONTH(Z$5)=Macro!$D$52),Macro!$D73*AVERAGE(OFFSET(AA134,0,0,1,-12))*Macro!$E73,0),"NA")</f>
        <v>12500</v>
      </c>
      <c r="AA233" s="40">
        <f>IFERROR(Macro!$D73*Team!AA134/12+IF(AND(YEAR(AA$5)&gt;2020,MONTH(AA$5)=Macro!$D$52),Macro!$D73*AVERAGE(OFFSET(AB134,0,0,1,-12))*Macro!$E73,0),"NA")</f>
        <v>12500</v>
      </c>
      <c r="AB233" s="38">
        <f>IFERROR(Macro!$D73*Team!AB134/12+IF(AND(YEAR(AB$5)&gt;2020,MONTH(AB$5)=Macro!$D$52),Macro!$D73*AVERAGE(OFFSET(AC134,0,0,1,-12))*Macro!$E73,0),"NA")</f>
        <v>12500</v>
      </c>
      <c r="AC233" s="39">
        <f>IFERROR(Macro!$D73*Team!AC134/12+IF(AND(YEAR(AC$5)&gt;2020,MONTH(AC$5)=Macro!$D$52),Macro!$D73*AVERAGE(OFFSET(AD134,0,0,1,-12))*Macro!$E73,0),"NA")</f>
        <v>12500</v>
      </c>
      <c r="AD233" s="40">
        <f>IFERROR(Macro!$D73*Team!AD134/12+IF(AND(YEAR(AD$5)&gt;2020,MONTH(AD$5)=Macro!$D$52),Macro!$D73*AVERAGE(OFFSET(AE134,0,0,1,-12))*Macro!$E73,0),"NA")</f>
        <v>12500</v>
      </c>
      <c r="AE233" s="38">
        <f>IFERROR(Macro!$D73*Team!AE134/12+IF(AND(YEAR(AE$5)&gt;2020,MONTH(AE$5)=Macro!$D$52),Macro!$D73*AVERAGE(OFFSET(AF134,0,0,1,-12))*Macro!$E73,0),"NA")</f>
        <v>12500</v>
      </c>
      <c r="AF233" s="39">
        <f>IFERROR(Macro!$D73*Team!AF134/12+IF(AND(YEAR(AF$5)&gt;2020,MONTH(AF$5)=Macro!$D$52),Macro!$D73*AVERAGE(OFFSET(AG134,0,0,1,-12))*Macro!$E73,0),"NA")</f>
        <v>12500</v>
      </c>
      <c r="AG233" s="40">
        <f>IFERROR(Macro!$D73*Team!AG134/12+IF(AND(YEAR(AG$5)&gt;2020,MONTH(AG$5)=Macro!$D$52),Macro!$D73*AVERAGE(OFFSET(AH134,0,0,1,-12))*Macro!$E73,0),"NA")</f>
        <v>12500</v>
      </c>
      <c r="AH233" s="38" t="str">
        <f>IFERROR(Macro!$D73*Team!AH134/12+IF(AND(YEAR(AH$5)&gt;2020,MONTH(AH$5)=Macro!$D$52),Macro!$D73*AVERAGE(OFFSET(AI134,0,0,1,-12))*Macro!$E73,0),"NA")</f>
        <v>NA</v>
      </c>
      <c r="AI233" s="39">
        <f>IFERROR(Macro!$D73*Team!AI134/12+IF(AND(YEAR(AI$5)&gt;2020,MONTH(AI$5)=Macro!$D$52),Macro!$D73*AVERAGE(OFFSET(AJ134,0,0,1,-12))*Macro!$E73,0),"NA")</f>
        <v>12500</v>
      </c>
      <c r="AJ233" s="40">
        <f>IFERROR(Macro!$D73*Team!AJ134/12+IF(AND(YEAR(AJ$5)&gt;2020,MONTH(AJ$5)=Macro!$D$52),Macro!$D73*AVERAGE(OFFSET(AK134,0,0,1,-12))*Macro!$E73,0),"NA")</f>
        <v>12500</v>
      </c>
      <c r="AK233" s="38">
        <f>IFERROR(Macro!$D73*Team!AK134/12+IF(AND(YEAR(AK$5)&gt;2020,MONTH(AK$5)=Macro!$D$52),Macro!$D73*AVERAGE(OFFSET(AL134,0,0,1,-12))*Macro!$E73,0),"NA")</f>
        <v>12500</v>
      </c>
      <c r="AL233" s="39">
        <f>IFERROR(Macro!$D73*Team!AL134/12+IF(AND(YEAR(AL$5)&gt;2020,MONTH(AL$5)=Macro!$D$52),Macro!$D73*AVERAGE(OFFSET(AM134,0,0,1,-12))*Macro!$E73,0),"NA")</f>
        <v>12500</v>
      </c>
      <c r="AM233" s="40">
        <f>IFERROR(Macro!$D73*Team!AM134/12+IF(AND(YEAR(AM$5)&gt;2020,MONTH(AM$5)=Macro!$D$52),Macro!$D73*AVERAGE(OFFSET(AN134,0,0,1,-12))*Macro!$E73,0),"NA")</f>
        <v>12500</v>
      </c>
      <c r="AN233" s="38">
        <f>IFERROR(Macro!$D73*Team!AN134/12+IF(AND(YEAR(AN$5)&gt;2020,MONTH(AN$5)=Macro!$D$52),Macro!$D73*AVERAGE(OFFSET(AO134,0,0,1,-12))*Macro!$E73,0),"NA")</f>
        <v>12500</v>
      </c>
      <c r="AO233" s="39">
        <f>IFERROR(Macro!$D73*Team!AO134/12+IF(AND(YEAR(AO$5)&gt;2020,MONTH(AO$5)=Macro!$D$52),Macro!$D73*AVERAGE(OFFSET(AP134,0,0,1,-12))*Macro!$E73,0),"NA")</f>
        <v>12500</v>
      </c>
      <c r="AP233" s="40">
        <f>IFERROR(Macro!$D73*Team!AP134/12+IF(AND(YEAR(AP$5)&gt;2020,MONTH(AP$5)=Macro!$D$52),Macro!$D73*AVERAGE(OFFSET(AQ134,0,0,1,-12))*Macro!$E73,0),"NA")</f>
        <v>12500</v>
      </c>
      <c r="AQ233" s="38">
        <f>IFERROR(Macro!$D73*Team!AQ134/12+IF(AND(YEAR(AQ$5)&gt;2020,MONTH(AQ$5)=Macro!$D$52),Macro!$D73*AVERAGE(OFFSET(AR134,0,0,1,-12))*Macro!$E73,0),"NA")</f>
        <v>12500</v>
      </c>
      <c r="AR233" s="39">
        <f>IFERROR(Macro!$D73*Team!AR134/12+IF(AND(YEAR(AR$5)&gt;2020,MONTH(AR$5)=Macro!$D$52),Macro!$D73*AVERAGE(OFFSET(AS134,0,0,1,-12))*Macro!$E73,0),"NA")</f>
        <v>12500</v>
      </c>
      <c r="AS233" s="40">
        <f>IFERROR(Macro!$D73*Team!AS134/12+IF(AND(YEAR(AS$5)&gt;2020,MONTH(AS$5)=Macro!$D$52),Macro!$D73*AVERAGE(OFFSET(AT134,0,0,1,-12))*Macro!$E73,0),"NA")</f>
        <v>12500</v>
      </c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</row>
    <row r="234" ht="12.0" customHeight="1">
      <c r="A234" s="282"/>
      <c r="B234" s="8"/>
      <c r="C234" s="37" t="str">
        <f t="shared" si="98"/>
        <v>Creative</v>
      </c>
      <c r="D234" s="283">
        <f>IFERROR(Macro!$D74*Team!D135/12+IF(AND(YEAR(D$5)&gt;2020,MONTH(D$5)=Macro!$D$52),Macro!$D74*AVERAGE(OFFSET(E135,0,0,1,-12))*Macro!$E74,0),"NA")</f>
        <v>0</v>
      </c>
      <c r="E234" s="284">
        <f>IFERROR(Macro!$D74*Team!E135/12+IF(AND(YEAR(E$5)&gt;2020,MONTH(E$5)=Macro!$D$52),Macro!$D74*AVERAGE(OFFSET(F135,0,0,1,-12))*Macro!$E74,0),"NA")</f>
        <v>0</v>
      </c>
      <c r="F234" s="284">
        <f>IFERROR(Macro!$D74*Team!F135/12+IF(AND(YEAR(F$5)&gt;2020,MONTH(F$5)=Macro!$D$52),Macro!$D74*AVERAGE(OFFSET(G135,0,0,1,-12))*Macro!$E74,0),"NA")</f>
        <v>0</v>
      </c>
      <c r="G234" s="283">
        <f>IFERROR(Macro!$D74*Team!G135/12+IF(AND(YEAR(G$5)&gt;2020,MONTH(G$5)=Macro!$D$52),Macro!$D74*AVERAGE(OFFSET(H135,0,0,1,-12))*Macro!$E74,0),"NA")</f>
        <v>0</v>
      </c>
      <c r="H234" s="284">
        <f>IFERROR(Macro!$D74*Team!H135/12+IF(AND(YEAR(H$5)&gt;2020,MONTH(H$5)=Macro!$D$52),Macro!$D74*AVERAGE(OFFSET(I135,0,0,1,-12))*Macro!$E74,0),"NA")</f>
        <v>0</v>
      </c>
      <c r="I234" s="285">
        <f>IFERROR(Macro!$D74*Team!I135/12+IF(AND(YEAR(I$5)&gt;2020,MONTH(I$5)=Macro!$D$52),Macro!$D74*AVERAGE(OFFSET(J135,0,0,1,-12))*Macro!$E74,0),"NA")</f>
        <v>0</v>
      </c>
      <c r="J234" s="286">
        <f>IFERROR(Macro!$D74*Team!J135/12+IF(AND(YEAR(J$5)&gt;2020,MONTH(J$5)=Macro!$D$52),Macro!$D74*AVERAGE(OFFSET(K135,0,0,1,-12))*Macro!$E74,0),"NA")</f>
        <v>0</v>
      </c>
      <c r="K234" s="287">
        <f>IFERROR(Macro!$D74*Team!K135/12+IF(AND(YEAR(K$5)&gt;2020,MONTH(K$5)=Macro!$D$52),Macro!$D74*AVERAGE(OFFSET(L135,0,0,1,-12))*Macro!$E74,0),"NA")</f>
        <v>0</v>
      </c>
      <c r="L234" s="288">
        <f>IFERROR(Macro!$D74*Team!L135/12+IF(AND(YEAR(L$5)&gt;2020,MONTH(L$5)=Macro!$D$52),Macro!$D74*AVERAGE(OFFSET(M135,0,0,1,-12))*Macro!$E74,0),"NA")</f>
        <v>0</v>
      </c>
      <c r="M234" s="38">
        <f>IFERROR(Macro!$D74*Team!M135/12+IF(AND(YEAR(M$5)&gt;2020,MONTH(M$5)=Macro!$D$52),Macro!$D74*AVERAGE(OFFSET(N135,0,0,1,-12))*Macro!$E74,0),"NA")</f>
        <v>0</v>
      </c>
      <c r="N234" s="39">
        <f>IFERROR(Macro!$D74*Team!N135/12+IF(AND(YEAR(N$5)&gt;2020,MONTH(N$5)=Macro!$D$52),Macro!$D74*AVERAGE(OFFSET(O135,0,0,1,-12))*Macro!$E74,0),"NA")</f>
        <v>0</v>
      </c>
      <c r="O234" s="40">
        <f>IFERROR(Macro!$D74*Team!O135/12+IF(AND(YEAR(O$5)&gt;2020,MONTH(O$5)=Macro!$D$52),Macro!$D74*AVERAGE(OFFSET(P135,0,0,1,-12))*Macro!$E74,0),"NA")</f>
        <v>12500</v>
      </c>
      <c r="P234" s="38">
        <f>IFERROR(Macro!$D74*Team!P135/12+IF(AND(YEAR(P$5)&gt;2020,MONTH(P$5)=Macro!$D$52),Macro!$D74*AVERAGE(OFFSET(Q135,0,0,1,-12))*Macro!$E74,0),"NA")</f>
        <v>12500</v>
      </c>
      <c r="Q234" s="39">
        <f>IFERROR(Macro!$D74*Team!Q135/12+IF(AND(YEAR(Q$5)&gt;2020,MONTH(Q$5)=Macro!$D$52),Macro!$D74*AVERAGE(OFFSET(R135,0,0,1,-12))*Macro!$E74,0),"NA")</f>
        <v>12500</v>
      </c>
      <c r="R234" s="40">
        <f>IFERROR(Macro!$D74*Team!R135/12+IF(AND(YEAR(R$5)&gt;2020,MONTH(R$5)=Macro!$D$52),Macro!$D74*AVERAGE(OFFSET(S135,0,0,1,-12))*Macro!$E74,0),"NA")</f>
        <v>12500</v>
      </c>
      <c r="S234" s="38">
        <f>IFERROR(Macro!$D74*Team!S135/12+IF(AND(YEAR(S$5)&gt;2020,MONTH(S$5)=Macro!$D$52),Macro!$D74*AVERAGE(OFFSET(T135,0,0,1,-12))*Macro!$E74,0),"NA")</f>
        <v>12500</v>
      </c>
      <c r="T234" s="39">
        <f>IFERROR(Macro!$D74*Team!T135/12+IF(AND(YEAR(T$5)&gt;2020,MONTH(T$5)=Macro!$D$52),Macro!$D74*AVERAGE(OFFSET(U135,0,0,1,-12))*Macro!$E74,0),"NA")</f>
        <v>12500</v>
      </c>
      <c r="U234" s="40">
        <f>IFERROR(Macro!$D74*Team!U135/12+IF(AND(YEAR(U$5)&gt;2020,MONTH(U$5)=Macro!$D$52),Macro!$D74*AVERAGE(OFFSET(V135,0,0,1,-12))*Macro!$E74,0),"NA")</f>
        <v>12500</v>
      </c>
      <c r="V234" s="38" t="str">
        <f>IFERROR(Macro!$D74*Team!V135/12+IF(AND(YEAR(V$5)&gt;2020,MONTH(V$5)=Macro!$D$52),Macro!$D74*AVERAGE(OFFSET(W135,0,0,1,-12))*Macro!$E74,0),"NA")</f>
        <v>NA</v>
      </c>
      <c r="W234" s="39">
        <f>IFERROR(Macro!$D74*Team!W135/12+IF(AND(YEAR(W$5)&gt;2020,MONTH(W$5)=Macro!$D$52),Macro!$D74*AVERAGE(OFFSET(X135,0,0,1,-12))*Macro!$E74,0),"NA")</f>
        <v>12500</v>
      </c>
      <c r="X234" s="40">
        <f>IFERROR(Macro!$D74*Team!X135/12+IF(AND(YEAR(X$5)&gt;2020,MONTH(X$5)=Macro!$D$52),Macro!$D74*AVERAGE(OFFSET(Y135,0,0,1,-12))*Macro!$E74,0),"NA")</f>
        <v>12500</v>
      </c>
      <c r="Y234" s="38">
        <f>IFERROR(Macro!$D74*Team!Y135/12+IF(AND(YEAR(Y$5)&gt;2020,MONTH(Y$5)=Macro!$D$52),Macro!$D74*AVERAGE(OFFSET(Z135,0,0,1,-12))*Macro!$E74,0),"NA")</f>
        <v>12500</v>
      </c>
      <c r="Z234" s="39">
        <f>IFERROR(Macro!$D74*Team!Z135/12+IF(AND(YEAR(Z$5)&gt;2020,MONTH(Z$5)=Macro!$D$52),Macro!$D74*AVERAGE(OFFSET(AA135,0,0,1,-12))*Macro!$E74,0),"NA")</f>
        <v>12500</v>
      </c>
      <c r="AA234" s="40">
        <f>IFERROR(Macro!$D74*Team!AA135/12+IF(AND(YEAR(AA$5)&gt;2020,MONTH(AA$5)=Macro!$D$52),Macro!$D74*AVERAGE(OFFSET(AB135,0,0,1,-12))*Macro!$E74,0),"NA")</f>
        <v>12500</v>
      </c>
      <c r="AB234" s="38">
        <f>IFERROR(Macro!$D74*Team!AB135/12+IF(AND(YEAR(AB$5)&gt;2020,MONTH(AB$5)=Macro!$D$52),Macro!$D74*AVERAGE(OFFSET(AC135,0,0,1,-12))*Macro!$E74,0),"NA")</f>
        <v>12500</v>
      </c>
      <c r="AC234" s="39">
        <f>IFERROR(Macro!$D74*Team!AC135/12+IF(AND(YEAR(AC$5)&gt;2020,MONTH(AC$5)=Macro!$D$52),Macro!$D74*AVERAGE(OFFSET(AD135,0,0,1,-12))*Macro!$E74,0),"NA")</f>
        <v>12500</v>
      </c>
      <c r="AD234" s="40">
        <f>IFERROR(Macro!$D74*Team!AD135/12+IF(AND(YEAR(AD$5)&gt;2020,MONTH(AD$5)=Macro!$D$52),Macro!$D74*AVERAGE(OFFSET(AE135,0,0,1,-12))*Macro!$E74,0),"NA")</f>
        <v>12500</v>
      </c>
      <c r="AE234" s="38">
        <f>IFERROR(Macro!$D74*Team!AE135/12+IF(AND(YEAR(AE$5)&gt;2020,MONTH(AE$5)=Macro!$D$52),Macro!$D74*AVERAGE(OFFSET(AF135,0,0,1,-12))*Macro!$E74,0),"NA")</f>
        <v>12500</v>
      </c>
      <c r="AF234" s="39">
        <f>IFERROR(Macro!$D74*Team!AF135/12+IF(AND(YEAR(AF$5)&gt;2020,MONTH(AF$5)=Macro!$D$52),Macro!$D74*AVERAGE(OFFSET(AG135,0,0,1,-12))*Macro!$E74,0),"NA")</f>
        <v>12500</v>
      </c>
      <c r="AG234" s="40">
        <f>IFERROR(Macro!$D74*Team!AG135/12+IF(AND(YEAR(AG$5)&gt;2020,MONTH(AG$5)=Macro!$D$52),Macro!$D74*AVERAGE(OFFSET(AH135,0,0,1,-12))*Macro!$E74,0),"NA")</f>
        <v>12500</v>
      </c>
      <c r="AH234" s="38" t="str">
        <f>IFERROR(Macro!$D74*Team!AH135/12+IF(AND(YEAR(AH$5)&gt;2020,MONTH(AH$5)=Macro!$D$52),Macro!$D74*AVERAGE(OFFSET(AI135,0,0,1,-12))*Macro!$E74,0),"NA")</f>
        <v>NA</v>
      </c>
      <c r="AI234" s="39">
        <f>IFERROR(Macro!$D74*Team!AI135/12+IF(AND(YEAR(AI$5)&gt;2020,MONTH(AI$5)=Macro!$D$52),Macro!$D74*AVERAGE(OFFSET(AJ135,0,0,1,-12))*Macro!$E74,0),"NA")</f>
        <v>12500</v>
      </c>
      <c r="AJ234" s="40">
        <f>IFERROR(Macro!$D74*Team!AJ135/12+IF(AND(YEAR(AJ$5)&gt;2020,MONTH(AJ$5)=Macro!$D$52),Macro!$D74*AVERAGE(OFFSET(AK135,0,0,1,-12))*Macro!$E74,0),"NA")</f>
        <v>12500</v>
      </c>
      <c r="AK234" s="38">
        <f>IFERROR(Macro!$D74*Team!AK135/12+IF(AND(YEAR(AK$5)&gt;2020,MONTH(AK$5)=Macro!$D$52),Macro!$D74*AVERAGE(OFFSET(AL135,0,0,1,-12))*Macro!$E74,0),"NA")</f>
        <v>12500</v>
      </c>
      <c r="AL234" s="39">
        <f>IFERROR(Macro!$D74*Team!AL135/12+IF(AND(YEAR(AL$5)&gt;2020,MONTH(AL$5)=Macro!$D$52),Macro!$D74*AVERAGE(OFFSET(AM135,0,0,1,-12))*Macro!$E74,0),"NA")</f>
        <v>12500</v>
      </c>
      <c r="AM234" s="40">
        <f>IFERROR(Macro!$D74*Team!AM135/12+IF(AND(YEAR(AM$5)&gt;2020,MONTH(AM$5)=Macro!$D$52),Macro!$D74*AVERAGE(OFFSET(AN135,0,0,1,-12))*Macro!$E74,0),"NA")</f>
        <v>12500</v>
      </c>
      <c r="AN234" s="38">
        <f>IFERROR(Macro!$D74*Team!AN135/12+IF(AND(YEAR(AN$5)&gt;2020,MONTH(AN$5)=Macro!$D$52),Macro!$D74*AVERAGE(OFFSET(AO135,0,0,1,-12))*Macro!$E74,0),"NA")</f>
        <v>12500</v>
      </c>
      <c r="AO234" s="39">
        <f>IFERROR(Macro!$D74*Team!AO135/12+IF(AND(YEAR(AO$5)&gt;2020,MONTH(AO$5)=Macro!$D$52),Macro!$D74*AVERAGE(OFFSET(AP135,0,0,1,-12))*Macro!$E74,0),"NA")</f>
        <v>12500</v>
      </c>
      <c r="AP234" s="40">
        <f>IFERROR(Macro!$D74*Team!AP135/12+IF(AND(YEAR(AP$5)&gt;2020,MONTH(AP$5)=Macro!$D$52),Macro!$D74*AVERAGE(OFFSET(AQ135,0,0,1,-12))*Macro!$E74,0),"NA")</f>
        <v>12500</v>
      </c>
      <c r="AQ234" s="38">
        <f>IFERROR(Macro!$D74*Team!AQ135/12+IF(AND(YEAR(AQ$5)&gt;2020,MONTH(AQ$5)=Macro!$D$52),Macro!$D74*AVERAGE(OFFSET(AR135,0,0,1,-12))*Macro!$E74,0),"NA")</f>
        <v>12500</v>
      </c>
      <c r="AR234" s="39">
        <f>IFERROR(Macro!$D74*Team!AR135/12+IF(AND(YEAR(AR$5)&gt;2020,MONTH(AR$5)=Macro!$D$52),Macro!$D74*AVERAGE(OFFSET(AS135,0,0,1,-12))*Macro!$E74,0),"NA")</f>
        <v>12500</v>
      </c>
      <c r="AS234" s="40">
        <f>IFERROR(Macro!$D74*Team!AS135/12+IF(AND(YEAR(AS$5)&gt;2020,MONTH(AS$5)=Macro!$D$52),Macro!$D74*AVERAGE(OFFSET(AT135,0,0,1,-12))*Macro!$E74,0),"NA")</f>
        <v>12500</v>
      </c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</row>
    <row r="235" ht="12.0" customHeight="1">
      <c r="A235" s="282"/>
      <c r="B235" s="8"/>
      <c r="C235" s="37" t="str">
        <f t="shared" si="98"/>
        <v>PMM / VP Marketing</v>
      </c>
      <c r="D235" s="283">
        <f>IFERROR(Macro!$D75*Team!D136/12+IF(AND(YEAR(D$5)&gt;2020,MONTH(D$5)=Macro!$D$52),Macro!$D75*AVERAGE(OFFSET(E136,0,0,1,-12))*Macro!$E75,0),"NA")</f>
        <v>0</v>
      </c>
      <c r="E235" s="284">
        <f>IFERROR(Macro!$D75*Team!E136/12+IF(AND(YEAR(E$5)&gt;2020,MONTH(E$5)=Macro!$D$52),Macro!$D75*AVERAGE(OFFSET(F136,0,0,1,-12))*Macro!$E75,0),"NA")</f>
        <v>0</v>
      </c>
      <c r="F235" s="284">
        <f>IFERROR(Macro!$D75*Team!F136/12+IF(AND(YEAR(F$5)&gt;2020,MONTH(F$5)=Macro!$D$52),Macro!$D75*AVERAGE(OFFSET(G136,0,0,1,-12))*Macro!$E75,0),"NA")</f>
        <v>0</v>
      </c>
      <c r="G235" s="283">
        <f>IFERROR(Macro!$D75*Team!G136/12+IF(AND(YEAR(G$5)&gt;2020,MONTH(G$5)=Macro!$D$52),Macro!$D75*AVERAGE(OFFSET(H136,0,0,1,-12))*Macro!$E75,0),"NA")</f>
        <v>0</v>
      </c>
      <c r="H235" s="284">
        <f>IFERROR(Macro!$D75*Team!H136/12+IF(AND(YEAR(H$5)&gt;2020,MONTH(H$5)=Macro!$D$52),Macro!$D75*AVERAGE(OFFSET(I136,0,0,1,-12))*Macro!$E75,0),"NA")</f>
        <v>0</v>
      </c>
      <c r="I235" s="285">
        <f>IFERROR(Macro!$D75*Team!I136/12+IF(AND(YEAR(I$5)&gt;2020,MONTH(I$5)=Macro!$D$52),Macro!$D75*AVERAGE(OFFSET(J136,0,0,1,-12))*Macro!$E75,0),"NA")</f>
        <v>0</v>
      </c>
      <c r="J235" s="286">
        <f>IFERROR(Macro!$D75*Team!J136/12+IF(AND(YEAR(J$5)&gt;2020,MONTH(J$5)=Macro!$D$52),Macro!$D75*AVERAGE(OFFSET(K136,0,0,1,-12))*Macro!$E75,0),"NA")</f>
        <v>0</v>
      </c>
      <c r="K235" s="287">
        <f>IFERROR(Macro!$D75*Team!K136/12+IF(AND(YEAR(K$5)&gt;2020,MONTH(K$5)=Macro!$D$52),Macro!$D75*AVERAGE(OFFSET(L136,0,0,1,-12))*Macro!$E75,0),"NA")</f>
        <v>0</v>
      </c>
      <c r="L235" s="288">
        <f>IFERROR(Macro!$D75*Team!L136/12+IF(AND(YEAR(L$5)&gt;2020,MONTH(L$5)=Macro!$D$52),Macro!$D75*AVERAGE(OFFSET(M136,0,0,1,-12))*Macro!$E75,0),"NA")</f>
        <v>12500</v>
      </c>
      <c r="M235" s="38">
        <f>IFERROR(Macro!$D75*Team!M136/12+IF(AND(YEAR(M$5)&gt;2020,MONTH(M$5)=Macro!$D$52),Macro!$D75*AVERAGE(OFFSET(N136,0,0,1,-12))*Macro!$E75,0),"NA")</f>
        <v>12500</v>
      </c>
      <c r="N235" s="39">
        <f>IFERROR(Macro!$D75*Team!N136/12+IF(AND(YEAR(N$5)&gt;2020,MONTH(N$5)=Macro!$D$52),Macro!$D75*AVERAGE(OFFSET(O136,0,0,1,-12))*Macro!$E75,0),"NA")</f>
        <v>12500</v>
      </c>
      <c r="O235" s="40">
        <f>IFERROR(Macro!$D75*Team!O136/12+IF(AND(YEAR(O$5)&gt;2020,MONTH(O$5)=Macro!$D$52),Macro!$D75*AVERAGE(OFFSET(P136,0,0,1,-12))*Macro!$E75,0),"NA")</f>
        <v>12500</v>
      </c>
      <c r="P235" s="38">
        <f>IFERROR(Macro!$D75*Team!P136/12+IF(AND(YEAR(P$5)&gt;2020,MONTH(P$5)=Macro!$D$52),Macro!$D75*AVERAGE(OFFSET(Q136,0,0,1,-12))*Macro!$E75,0),"NA")</f>
        <v>12500</v>
      </c>
      <c r="Q235" s="39">
        <f>IFERROR(Macro!$D75*Team!Q136/12+IF(AND(YEAR(Q$5)&gt;2020,MONTH(Q$5)=Macro!$D$52),Macro!$D75*AVERAGE(OFFSET(R136,0,0,1,-12))*Macro!$E75,0),"NA")</f>
        <v>12500</v>
      </c>
      <c r="R235" s="40">
        <f>IFERROR(Macro!$D75*Team!R136/12+IF(AND(YEAR(R$5)&gt;2020,MONTH(R$5)=Macro!$D$52),Macro!$D75*AVERAGE(OFFSET(S136,0,0,1,-12))*Macro!$E75,0),"NA")</f>
        <v>12500</v>
      </c>
      <c r="S235" s="38">
        <f>IFERROR(Macro!$D75*Team!S136/12+IF(AND(YEAR(S$5)&gt;2020,MONTH(S$5)=Macro!$D$52),Macro!$D75*AVERAGE(OFFSET(T136,0,0,1,-12))*Macro!$E75,0),"NA")</f>
        <v>12500</v>
      </c>
      <c r="T235" s="39">
        <f>IFERROR(Macro!$D75*Team!T136/12+IF(AND(YEAR(T$5)&gt;2020,MONTH(T$5)=Macro!$D$52),Macro!$D75*AVERAGE(OFFSET(U136,0,0,1,-12))*Macro!$E75,0),"NA")</f>
        <v>12500</v>
      </c>
      <c r="U235" s="40">
        <f>IFERROR(Macro!$D75*Team!U136/12+IF(AND(YEAR(U$5)&gt;2020,MONTH(U$5)=Macro!$D$52),Macro!$D75*AVERAGE(OFFSET(V136,0,0,1,-12))*Macro!$E75,0),"NA")</f>
        <v>12500</v>
      </c>
      <c r="V235" s="38" t="str">
        <f>IFERROR(Macro!$D75*Team!V136/12+IF(AND(YEAR(V$5)&gt;2020,MONTH(V$5)=Macro!$D$52),Macro!$D75*AVERAGE(OFFSET(W136,0,0,1,-12))*Macro!$E75,0),"NA")</f>
        <v>NA</v>
      </c>
      <c r="W235" s="39">
        <f>IFERROR(Macro!$D75*Team!W136/12+IF(AND(YEAR(W$5)&gt;2020,MONTH(W$5)=Macro!$D$52),Macro!$D75*AVERAGE(OFFSET(X136,0,0,1,-12))*Macro!$E75,0),"NA")</f>
        <v>12500</v>
      </c>
      <c r="X235" s="40">
        <f>IFERROR(Macro!$D75*Team!X136/12+IF(AND(YEAR(X$5)&gt;2020,MONTH(X$5)=Macro!$D$52),Macro!$D75*AVERAGE(OFFSET(Y136,0,0,1,-12))*Macro!$E75,0),"NA")</f>
        <v>12500</v>
      </c>
      <c r="Y235" s="38">
        <f>IFERROR(Macro!$D75*Team!Y136/12+IF(AND(YEAR(Y$5)&gt;2020,MONTH(Y$5)=Macro!$D$52),Macro!$D75*AVERAGE(OFFSET(Z136,0,0,1,-12))*Macro!$E75,0),"NA")</f>
        <v>12500</v>
      </c>
      <c r="Z235" s="39">
        <f>IFERROR(Macro!$D75*Team!Z136/12+IF(AND(YEAR(Z$5)&gt;2020,MONTH(Z$5)=Macro!$D$52),Macro!$D75*AVERAGE(OFFSET(AA136,0,0,1,-12))*Macro!$E75,0),"NA")</f>
        <v>12500</v>
      </c>
      <c r="AA235" s="40">
        <f>IFERROR(Macro!$D75*Team!AA136/12+IF(AND(YEAR(AA$5)&gt;2020,MONTH(AA$5)=Macro!$D$52),Macro!$D75*AVERAGE(OFFSET(AB136,0,0,1,-12))*Macro!$E75,0),"NA")</f>
        <v>12500</v>
      </c>
      <c r="AB235" s="38">
        <f>IFERROR(Macro!$D75*Team!AB136/12+IF(AND(YEAR(AB$5)&gt;2020,MONTH(AB$5)=Macro!$D$52),Macro!$D75*AVERAGE(OFFSET(AC136,0,0,1,-12))*Macro!$E75,0),"NA")</f>
        <v>12500</v>
      </c>
      <c r="AC235" s="39">
        <f>IFERROR(Macro!$D75*Team!AC136/12+IF(AND(YEAR(AC$5)&gt;2020,MONTH(AC$5)=Macro!$D$52),Macro!$D75*AVERAGE(OFFSET(AD136,0,0,1,-12))*Macro!$E75,0),"NA")</f>
        <v>12500</v>
      </c>
      <c r="AD235" s="40">
        <f>IFERROR(Macro!$D75*Team!AD136/12+IF(AND(YEAR(AD$5)&gt;2020,MONTH(AD$5)=Macro!$D$52),Macro!$D75*AVERAGE(OFFSET(AE136,0,0,1,-12))*Macro!$E75,0),"NA")</f>
        <v>12500</v>
      </c>
      <c r="AE235" s="38">
        <f>IFERROR(Macro!$D75*Team!AE136/12+IF(AND(YEAR(AE$5)&gt;2020,MONTH(AE$5)=Macro!$D$52),Macro!$D75*AVERAGE(OFFSET(AF136,0,0,1,-12))*Macro!$E75,0),"NA")</f>
        <v>12500</v>
      </c>
      <c r="AF235" s="39">
        <f>IFERROR(Macro!$D75*Team!AF136/12+IF(AND(YEAR(AF$5)&gt;2020,MONTH(AF$5)=Macro!$D$52),Macro!$D75*AVERAGE(OFFSET(AG136,0,0,1,-12))*Macro!$E75,0),"NA")</f>
        <v>12500</v>
      </c>
      <c r="AG235" s="40">
        <f>IFERROR(Macro!$D75*Team!AG136/12+IF(AND(YEAR(AG$5)&gt;2020,MONTH(AG$5)=Macro!$D$52),Macro!$D75*AVERAGE(OFFSET(AH136,0,0,1,-12))*Macro!$E75,0),"NA")</f>
        <v>12500</v>
      </c>
      <c r="AH235" s="38" t="str">
        <f>IFERROR(Macro!$D75*Team!AH136/12+IF(AND(YEAR(AH$5)&gt;2020,MONTH(AH$5)=Macro!$D$52),Macro!$D75*AVERAGE(OFFSET(AI136,0,0,1,-12))*Macro!$E75,0),"NA")</f>
        <v>NA</v>
      </c>
      <c r="AI235" s="39">
        <f>IFERROR(Macro!$D75*Team!AI136/12+IF(AND(YEAR(AI$5)&gt;2020,MONTH(AI$5)=Macro!$D$52),Macro!$D75*AVERAGE(OFFSET(AJ136,0,0,1,-12))*Macro!$E75,0),"NA")</f>
        <v>12500</v>
      </c>
      <c r="AJ235" s="40">
        <f>IFERROR(Macro!$D75*Team!AJ136/12+IF(AND(YEAR(AJ$5)&gt;2020,MONTH(AJ$5)=Macro!$D$52),Macro!$D75*AVERAGE(OFFSET(AK136,0,0,1,-12))*Macro!$E75,0),"NA")</f>
        <v>12500</v>
      </c>
      <c r="AK235" s="38">
        <f>IFERROR(Macro!$D75*Team!AK136/12+IF(AND(YEAR(AK$5)&gt;2020,MONTH(AK$5)=Macro!$D$52),Macro!$D75*AVERAGE(OFFSET(AL136,0,0,1,-12))*Macro!$E75,0),"NA")</f>
        <v>12500</v>
      </c>
      <c r="AL235" s="39">
        <f>IFERROR(Macro!$D75*Team!AL136/12+IF(AND(YEAR(AL$5)&gt;2020,MONTH(AL$5)=Macro!$D$52),Macro!$D75*AVERAGE(OFFSET(AM136,0,0,1,-12))*Macro!$E75,0),"NA")</f>
        <v>12500</v>
      </c>
      <c r="AM235" s="40">
        <f>IFERROR(Macro!$D75*Team!AM136/12+IF(AND(YEAR(AM$5)&gt;2020,MONTH(AM$5)=Macro!$D$52),Macro!$D75*AVERAGE(OFFSET(AN136,0,0,1,-12))*Macro!$E75,0),"NA")</f>
        <v>12500</v>
      </c>
      <c r="AN235" s="38">
        <f>IFERROR(Macro!$D75*Team!AN136/12+IF(AND(YEAR(AN$5)&gt;2020,MONTH(AN$5)=Macro!$D$52),Macro!$D75*AVERAGE(OFFSET(AO136,0,0,1,-12))*Macro!$E75,0),"NA")</f>
        <v>12500</v>
      </c>
      <c r="AO235" s="39">
        <f>IFERROR(Macro!$D75*Team!AO136/12+IF(AND(YEAR(AO$5)&gt;2020,MONTH(AO$5)=Macro!$D$52),Macro!$D75*AVERAGE(OFFSET(AP136,0,0,1,-12))*Macro!$E75,0),"NA")</f>
        <v>12500</v>
      </c>
      <c r="AP235" s="40">
        <f>IFERROR(Macro!$D75*Team!AP136/12+IF(AND(YEAR(AP$5)&gt;2020,MONTH(AP$5)=Macro!$D$52),Macro!$D75*AVERAGE(OFFSET(AQ136,0,0,1,-12))*Macro!$E75,0),"NA")</f>
        <v>12500</v>
      </c>
      <c r="AQ235" s="38">
        <f>IFERROR(Macro!$D75*Team!AQ136/12+IF(AND(YEAR(AQ$5)&gt;2020,MONTH(AQ$5)=Macro!$D$52),Macro!$D75*AVERAGE(OFFSET(AR136,0,0,1,-12))*Macro!$E75,0),"NA")</f>
        <v>12500</v>
      </c>
      <c r="AR235" s="39">
        <f>IFERROR(Macro!$D75*Team!AR136/12+IF(AND(YEAR(AR$5)&gt;2020,MONTH(AR$5)=Macro!$D$52),Macro!$D75*AVERAGE(OFFSET(AS136,0,0,1,-12))*Macro!$E75,0),"NA")</f>
        <v>12500</v>
      </c>
      <c r="AS235" s="40">
        <f>IFERROR(Macro!$D75*Team!AS136/12+IF(AND(YEAR(AS$5)&gt;2020,MONTH(AS$5)=Macro!$D$52),Macro!$D75*AVERAGE(OFFSET(AT136,0,0,1,-12))*Macro!$E75,0),"NA")</f>
        <v>12500</v>
      </c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</row>
    <row r="236" ht="12.0" customHeight="1">
      <c r="A236" s="282"/>
      <c r="B236" s="8"/>
      <c r="C236" s="37" t="str">
        <f t="shared" si="98"/>
        <v>Field</v>
      </c>
      <c r="D236" s="283">
        <f>IFERROR(Macro!$D76*Team!D137/12+IF(AND(YEAR(D$5)&gt;2020,MONTH(D$5)=Macro!$D$52),Macro!$D76*AVERAGE(OFFSET(E137,0,0,1,-12))*Macro!$E76,0),"NA")</f>
        <v>0</v>
      </c>
      <c r="E236" s="284">
        <f>IFERROR(Macro!$D76*Team!E137/12+IF(AND(YEAR(E$5)&gt;2020,MONTH(E$5)=Macro!$D$52),Macro!$D76*AVERAGE(OFFSET(F137,0,0,1,-12))*Macro!$E76,0),"NA")</f>
        <v>0</v>
      </c>
      <c r="F236" s="284">
        <f>IFERROR(Macro!$D76*Team!F137/12+IF(AND(YEAR(F$5)&gt;2020,MONTH(F$5)=Macro!$D$52),Macro!$D76*AVERAGE(OFFSET(G137,0,0,1,-12))*Macro!$E76,0),"NA")</f>
        <v>0</v>
      </c>
      <c r="G236" s="283">
        <f>IFERROR(Macro!$D76*Team!G137/12+IF(AND(YEAR(G$5)&gt;2020,MONTH(G$5)=Macro!$D$52),Macro!$D76*AVERAGE(OFFSET(H137,0,0,1,-12))*Macro!$E76,0),"NA")</f>
        <v>0</v>
      </c>
      <c r="H236" s="284">
        <f>IFERROR(Macro!$D76*Team!H137/12+IF(AND(YEAR(H$5)&gt;2020,MONTH(H$5)=Macro!$D$52),Macro!$D76*AVERAGE(OFFSET(I137,0,0,1,-12))*Macro!$E76,0),"NA")</f>
        <v>0</v>
      </c>
      <c r="I236" s="285">
        <f>IFERROR(Macro!$D76*Team!I137/12+IF(AND(YEAR(I$5)&gt;2020,MONTH(I$5)=Macro!$D$52),Macro!$D76*AVERAGE(OFFSET(J137,0,0,1,-12))*Macro!$E76,0),"NA")</f>
        <v>0</v>
      </c>
      <c r="J236" s="286">
        <f>IFERROR(Macro!$D76*Team!J137/12+IF(AND(YEAR(J$5)&gt;2020,MONTH(J$5)=Macro!$D$52),Macro!$D76*AVERAGE(OFFSET(K137,0,0,1,-12))*Macro!$E76,0),"NA")</f>
        <v>0</v>
      </c>
      <c r="K236" s="287">
        <f>IFERROR(Macro!$D76*Team!K137/12+IF(AND(YEAR(K$5)&gt;2020,MONTH(K$5)=Macro!$D$52),Macro!$D76*AVERAGE(OFFSET(L137,0,0,1,-12))*Macro!$E76,0),"NA")</f>
        <v>0</v>
      </c>
      <c r="L236" s="288">
        <f>IFERROR(Macro!$D76*Team!L137/12+IF(AND(YEAR(L$5)&gt;2020,MONTH(L$5)=Macro!$D$52),Macro!$D76*AVERAGE(OFFSET(M137,0,0,1,-12))*Macro!$E76,0),"NA")</f>
        <v>0</v>
      </c>
      <c r="M236" s="38">
        <f>IFERROR(Macro!$D76*Team!M137/12+IF(AND(YEAR(M$5)&gt;2020,MONTH(M$5)=Macro!$D$52),Macro!$D76*AVERAGE(OFFSET(N137,0,0,1,-12))*Macro!$E76,0),"NA")</f>
        <v>0</v>
      </c>
      <c r="N236" s="39">
        <f>IFERROR(Macro!$D76*Team!N137/12+IF(AND(YEAR(N$5)&gt;2020,MONTH(N$5)=Macro!$D$52),Macro!$D76*AVERAGE(OFFSET(O137,0,0,1,-12))*Macro!$E76,0),"NA")</f>
        <v>0</v>
      </c>
      <c r="O236" s="40">
        <f>IFERROR(Macro!$D76*Team!O137/12+IF(AND(YEAR(O$5)&gt;2020,MONTH(O$5)=Macro!$D$52),Macro!$D76*AVERAGE(OFFSET(P137,0,0,1,-12))*Macro!$E76,0),"NA")</f>
        <v>0</v>
      </c>
      <c r="P236" s="38">
        <f>IFERROR(Macro!$D76*Team!P137/12+IF(AND(YEAR(P$5)&gt;2020,MONTH(P$5)=Macro!$D$52),Macro!$D76*AVERAGE(OFFSET(Q137,0,0,1,-12))*Macro!$E76,0),"NA")</f>
        <v>0</v>
      </c>
      <c r="Q236" s="39">
        <f>IFERROR(Macro!$D76*Team!Q137/12+IF(AND(YEAR(Q$5)&gt;2020,MONTH(Q$5)=Macro!$D$52),Macro!$D76*AVERAGE(OFFSET(R137,0,0,1,-12))*Macro!$E76,0),"NA")</f>
        <v>0</v>
      </c>
      <c r="R236" s="40">
        <f>IFERROR(Macro!$D76*Team!R137/12+IF(AND(YEAR(R$5)&gt;2020,MONTH(R$5)=Macro!$D$52),Macro!$D76*AVERAGE(OFFSET(S137,0,0,1,-12))*Macro!$E76,0),"NA")</f>
        <v>0</v>
      </c>
      <c r="S236" s="38">
        <f>IFERROR(Macro!$D76*Team!S137/12+IF(AND(YEAR(S$5)&gt;2020,MONTH(S$5)=Macro!$D$52),Macro!$D76*AVERAGE(OFFSET(T137,0,0,1,-12))*Macro!$E76,0),"NA")</f>
        <v>0</v>
      </c>
      <c r="T236" s="39">
        <f>IFERROR(Macro!$D76*Team!T137/12+IF(AND(YEAR(T$5)&gt;2020,MONTH(T$5)=Macro!$D$52),Macro!$D76*AVERAGE(OFFSET(U137,0,0,1,-12))*Macro!$E76,0),"NA")</f>
        <v>0</v>
      </c>
      <c r="U236" s="40">
        <f>IFERROR(Macro!$D76*Team!U137/12+IF(AND(YEAR(U$5)&gt;2020,MONTH(U$5)=Macro!$D$52),Macro!$D76*AVERAGE(OFFSET(V137,0,0,1,-12))*Macro!$E76,0),"NA")</f>
        <v>0</v>
      </c>
      <c r="V236" s="38" t="str">
        <f>IFERROR(Macro!$D76*Team!V137/12+IF(AND(YEAR(V$5)&gt;2020,MONTH(V$5)=Macro!$D$52),Macro!$D76*AVERAGE(OFFSET(W137,0,0,1,-12))*Macro!$E76,0),"NA")</f>
        <v>NA</v>
      </c>
      <c r="W236" s="39">
        <f>IFERROR(Macro!$D76*Team!W137/12+IF(AND(YEAR(W$5)&gt;2020,MONTH(W$5)=Macro!$D$52),Macro!$D76*AVERAGE(OFFSET(X137,0,0,1,-12))*Macro!$E76,0),"NA")</f>
        <v>0</v>
      </c>
      <c r="X236" s="40">
        <f>IFERROR(Macro!$D76*Team!X137/12+IF(AND(YEAR(X$5)&gt;2020,MONTH(X$5)=Macro!$D$52),Macro!$D76*AVERAGE(OFFSET(Y137,0,0,1,-12))*Macro!$E76,0),"NA")</f>
        <v>0</v>
      </c>
      <c r="Y236" s="38">
        <f>IFERROR(Macro!$D76*Team!Y137/12+IF(AND(YEAR(Y$5)&gt;2020,MONTH(Y$5)=Macro!$D$52),Macro!$D76*AVERAGE(OFFSET(Z137,0,0,1,-12))*Macro!$E76,0),"NA")</f>
        <v>0</v>
      </c>
      <c r="Z236" s="39">
        <f>IFERROR(Macro!$D76*Team!Z137/12+IF(AND(YEAR(Z$5)&gt;2020,MONTH(Z$5)=Macro!$D$52),Macro!$D76*AVERAGE(OFFSET(AA137,0,0,1,-12))*Macro!$E76,0),"NA")</f>
        <v>12500</v>
      </c>
      <c r="AA236" s="40">
        <f>IFERROR(Macro!$D76*Team!AA137/12+IF(AND(YEAR(AA$5)&gt;2020,MONTH(AA$5)=Macro!$D$52),Macro!$D76*AVERAGE(OFFSET(AB137,0,0,1,-12))*Macro!$E76,0),"NA")</f>
        <v>12500</v>
      </c>
      <c r="AB236" s="38">
        <f>IFERROR(Macro!$D76*Team!AB137/12+IF(AND(YEAR(AB$5)&gt;2020,MONTH(AB$5)=Macro!$D$52),Macro!$D76*AVERAGE(OFFSET(AC137,0,0,1,-12))*Macro!$E76,0),"NA")</f>
        <v>12500</v>
      </c>
      <c r="AC236" s="39">
        <f>IFERROR(Macro!$D76*Team!AC137/12+IF(AND(YEAR(AC$5)&gt;2020,MONTH(AC$5)=Macro!$D$52),Macro!$D76*AVERAGE(OFFSET(AD137,0,0,1,-12))*Macro!$E76,0),"NA")</f>
        <v>12500</v>
      </c>
      <c r="AD236" s="40">
        <f>IFERROR(Macro!$D76*Team!AD137/12+IF(AND(YEAR(AD$5)&gt;2020,MONTH(AD$5)=Macro!$D$52),Macro!$D76*AVERAGE(OFFSET(AE137,0,0,1,-12))*Macro!$E76,0),"NA")</f>
        <v>12500</v>
      </c>
      <c r="AE236" s="38">
        <f>IFERROR(Macro!$D76*Team!AE137/12+IF(AND(YEAR(AE$5)&gt;2020,MONTH(AE$5)=Macro!$D$52),Macro!$D76*AVERAGE(OFFSET(AF137,0,0,1,-12))*Macro!$E76,0),"NA")</f>
        <v>12500</v>
      </c>
      <c r="AF236" s="39">
        <f>IFERROR(Macro!$D76*Team!AF137/12+IF(AND(YEAR(AF$5)&gt;2020,MONTH(AF$5)=Macro!$D$52),Macro!$D76*AVERAGE(OFFSET(AG137,0,0,1,-12))*Macro!$E76,0),"NA")</f>
        <v>12500</v>
      </c>
      <c r="AG236" s="40">
        <f>IFERROR(Macro!$D76*Team!AG137/12+IF(AND(YEAR(AG$5)&gt;2020,MONTH(AG$5)=Macro!$D$52),Macro!$D76*AVERAGE(OFFSET(AH137,0,0,1,-12))*Macro!$E76,0),"NA")</f>
        <v>12500</v>
      </c>
      <c r="AH236" s="38" t="str">
        <f>IFERROR(Macro!$D76*Team!AH137/12+IF(AND(YEAR(AH$5)&gt;2020,MONTH(AH$5)=Macro!$D$52),Macro!$D76*AVERAGE(OFFSET(AI137,0,0,1,-12))*Macro!$E76,0),"NA")</f>
        <v>NA</v>
      </c>
      <c r="AI236" s="39">
        <f>IFERROR(Macro!$D76*Team!AI137/12+IF(AND(YEAR(AI$5)&gt;2020,MONTH(AI$5)=Macro!$D$52),Macro!$D76*AVERAGE(OFFSET(AJ137,0,0,1,-12))*Macro!$E76,0),"NA")</f>
        <v>12500</v>
      </c>
      <c r="AJ236" s="40">
        <f>IFERROR(Macro!$D76*Team!AJ137/12+IF(AND(YEAR(AJ$5)&gt;2020,MONTH(AJ$5)=Macro!$D$52),Macro!$D76*AVERAGE(OFFSET(AK137,0,0,1,-12))*Macro!$E76,0),"NA")</f>
        <v>12500</v>
      </c>
      <c r="AK236" s="38">
        <f>IFERROR(Macro!$D76*Team!AK137/12+IF(AND(YEAR(AK$5)&gt;2020,MONTH(AK$5)=Macro!$D$52),Macro!$D76*AVERAGE(OFFSET(AL137,0,0,1,-12))*Macro!$E76,0),"NA")</f>
        <v>12500</v>
      </c>
      <c r="AL236" s="39">
        <f>IFERROR(Macro!$D76*Team!AL137/12+IF(AND(YEAR(AL$5)&gt;2020,MONTH(AL$5)=Macro!$D$52),Macro!$D76*AVERAGE(OFFSET(AM137,0,0,1,-12))*Macro!$E76,0),"NA")</f>
        <v>12500</v>
      </c>
      <c r="AM236" s="40">
        <f>IFERROR(Macro!$D76*Team!AM137/12+IF(AND(YEAR(AM$5)&gt;2020,MONTH(AM$5)=Macro!$D$52),Macro!$D76*AVERAGE(OFFSET(AN137,0,0,1,-12))*Macro!$E76,0),"NA")</f>
        <v>12500</v>
      </c>
      <c r="AN236" s="38">
        <f>IFERROR(Macro!$D76*Team!AN137/12+IF(AND(YEAR(AN$5)&gt;2020,MONTH(AN$5)=Macro!$D$52),Macro!$D76*AVERAGE(OFFSET(AO137,0,0,1,-12))*Macro!$E76,0),"NA")</f>
        <v>12500</v>
      </c>
      <c r="AO236" s="39">
        <f>IFERROR(Macro!$D76*Team!AO137/12+IF(AND(YEAR(AO$5)&gt;2020,MONTH(AO$5)=Macro!$D$52),Macro!$D76*AVERAGE(OFFSET(AP137,0,0,1,-12))*Macro!$E76,0),"NA")</f>
        <v>12500</v>
      </c>
      <c r="AP236" s="40">
        <f>IFERROR(Macro!$D76*Team!AP137/12+IF(AND(YEAR(AP$5)&gt;2020,MONTH(AP$5)=Macro!$D$52),Macro!$D76*AVERAGE(OFFSET(AQ137,0,0,1,-12))*Macro!$E76,0),"NA")</f>
        <v>12500</v>
      </c>
      <c r="AQ236" s="38">
        <f>IFERROR(Macro!$D76*Team!AQ137/12+IF(AND(YEAR(AQ$5)&gt;2020,MONTH(AQ$5)=Macro!$D$52),Macro!$D76*AVERAGE(OFFSET(AR137,0,0,1,-12))*Macro!$E76,0),"NA")</f>
        <v>12500</v>
      </c>
      <c r="AR236" s="39">
        <f>IFERROR(Macro!$D76*Team!AR137/12+IF(AND(YEAR(AR$5)&gt;2020,MONTH(AR$5)=Macro!$D$52),Macro!$D76*AVERAGE(OFFSET(AS137,0,0,1,-12))*Macro!$E76,0),"NA")</f>
        <v>12500</v>
      </c>
      <c r="AS236" s="40">
        <f>IFERROR(Macro!$D76*Team!AS137/12+IF(AND(YEAR(AS$5)&gt;2020,MONTH(AS$5)=Macro!$D$52),Macro!$D76*AVERAGE(OFFSET(AT137,0,0,1,-12))*Macro!$E76,0),"NA")</f>
        <v>12500</v>
      </c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</row>
    <row r="237" ht="12.0" customHeight="1">
      <c r="A237" s="282"/>
      <c r="B237" s="8"/>
      <c r="C237" s="37" t="str">
        <f t="shared" si="98"/>
        <v>[XX]</v>
      </c>
      <c r="D237" s="283">
        <f>IFERROR(Macro!$D77*Team!D138/12+IF(AND(YEAR(D$5)&gt;2020,MONTH(D$5)=Macro!$D$52),Macro!$D77*AVERAGE(OFFSET(E138,0,0,1,-12))*Macro!$E77,0),"NA")</f>
        <v>0</v>
      </c>
      <c r="E237" s="284">
        <f>IFERROR(Macro!$D77*Team!E138/12+IF(AND(YEAR(E$5)&gt;2020,MONTH(E$5)=Macro!$D$52),Macro!$D77*AVERAGE(OFFSET(F138,0,0,1,-12))*Macro!$E77,0),"NA")</f>
        <v>0</v>
      </c>
      <c r="F237" s="284">
        <f>IFERROR(Macro!$D77*Team!F138/12+IF(AND(YEAR(F$5)&gt;2020,MONTH(F$5)=Macro!$D$52),Macro!$D77*AVERAGE(OFFSET(G138,0,0,1,-12))*Macro!$E77,0),"NA")</f>
        <v>0</v>
      </c>
      <c r="G237" s="283">
        <f>IFERROR(Macro!$D77*Team!G138/12+IF(AND(YEAR(G$5)&gt;2020,MONTH(G$5)=Macro!$D$52),Macro!$D77*AVERAGE(OFFSET(H138,0,0,1,-12))*Macro!$E77,0),"NA")</f>
        <v>0</v>
      </c>
      <c r="H237" s="284">
        <f>IFERROR(Macro!$D77*Team!H138/12+IF(AND(YEAR(H$5)&gt;2020,MONTH(H$5)=Macro!$D$52),Macro!$D77*AVERAGE(OFFSET(I138,0,0,1,-12))*Macro!$E77,0),"NA")</f>
        <v>0</v>
      </c>
      <c r="I237" s="285">
        <f>IFERROR(Macro!$D77*Team!I138/12+IF(AND(YEAR(I$5)&gt;2020,MONTH(I$5)=Macro!$D$52),Macro!$D77*AVERAGE(OFFSET(J138,0,0,1,-12))*Macro!$E77,0),"NA")</f>
        <v>0</v>
      </c>
      <c r="J237" s="286">
        <f>IFERROR(Macro!$D77*Team!J138/12+IF(AND(YEAR(J$5)&gt;2020,MONTH(J$5)=Macro!$D$52),Macro!$D77*AVERAGE(OFFSET(K138,0,0,1,-12))*Macro!$E77,0),"NA")</f>
        <v>0</v>
      </c>
      <c r="K237" s="287">
        <f>IFERROR(Macro!$D77*Team!K138/12+IF(AND(YEAR(K$5)&gt;2020,MONTH(K$5)=Macro!$D$52),Macro!$D77*AVERAGE(OFFSET(L138,0,0,1,-12))*Macro!$E77,0),"NA")</f>
        <v>0</v>
      </c>
      <c r="L237" s="288">
        <f>IFERROR(Macro!$D77*Team!L138/12+IF(AND(YEAR(L$5)&gt;2020,MONTH(L$5)=Macro!$D$52),Macro!$D77*AVERAGE(OFFSET(M138,0,0,1,-12))*Macro!$E77,0),"NA")</f>
        <v>0</v>
      </c>
      <c r="M237" s="38">
        <f>IFERROR(Macro!$D77*Team!M138/12+IF(AND(YEAR(M$5)&gt;2020,MONTH(M$5)=Macro!$D$52),Macro!$D77*AVERAGE(OFFSET(N138,0,0,1,-12))*Macro!$E77,0),"NA")</f>
        <v>0</v>
      </c>
      <c r="N237" s="39">
        <f>IFERROR(Macro!$D77*Team!N138/12+IF(AND(YEAR(N$5)&gt;2020,MONTH(N$5)=Macro!$D$52),Macro!$D77*AVERAGE(OFFSET(O138,0,0,1,-12))*Macro!$E77,0),"NA")</f>
        <v>0</v>
      </c>
      <c r="O237" s="40">
        <f>IFERROR(Macro!$D77*Team!O138/12+IF(AND(YEAR(O$5)&gt;2020,MONTH(O$5)=Macro!$D$52),Macro!$D77*AVERAGE(OFFSET(P138,0,0,1,-12))*Macro!$E77,0),"NA")</f>
        <v>0</v>
      </c>
      <c r="P237" s="38">
        <f>IFERROR(Macro!$D77*Team!P138/12+IF(AND(YEAR(P$5)&gt;2020,MONTH(P$5)=Macro!$D$52),Macro!$D77*AVERAGE(OFFSET(Q138,0,0,1,-12))*Macro!$E77,0),"NA")</f>
        <v>0</v>
      </c>
      <c r="Q237" s="39">
        <f>IFERROR(Macro!$D77*Team!Q138/12+IF(AND(YEAR(Q$5)&gt;2020,MONTH(Q$5)=Macro!$D$52),Macro!$D77*AVERAGE(OFFSET(R138,0,0,1,-12))*Macro!$E77,0),"NA")</f>
        <v>0</v>
      </c>
      <c r="R237" s="40">
        <f>IFERROR(Macro!$D77*Team!R138/12+IF(AND(YEAR(R$5)&gt;2020,MONTH(R$5)=Macro!$D$52),Macro!$D77*AVERAGE(OFFSET(S138,0,0,1,-12))*Macro!$E77,0),"NA")</f>
        <v>0</v>
      </c>
      <c r="S237" s="38">
        <f>IFERROR(Macro!$D77*Team!S138/12+IF(AND(YEAR(S$5)&gt;2020,MONTH(S$5)=Macro!$D$52),Macro!$D77*AVERAGE(OFFSET(T138,0,0,1,-12))*Macro!$E77,0),"NA")</f>
        <v>0</v>
      </c>
      <c r="T237" s="39">
        <f>IFERROR(Macro!$D77*Team!T138/12+IF(AND(YEAR(T$5)&gt;2020,MONTH(T$5)=Macro!$D$52),Macro!$D77*AVERAGE(OFFSET(U138,0,0,1,-12))*Macro!$E77,0),"NA")</f>
        <v>0</v>
      </c>
      <c r="U237" s="40">
        <f>IFERROR(Macro!$D77*Team!U138/12+IF(AND(YEAR(U$5)&gt;2020,MONTH(U$5)=Macro!$D$52),Macro!$D77*AVERAGE(OFFSET(V138,0,0,1,-12))*Macro!$E77,0),"NA")</f>
        <v>0</v>
      </c>
      <c r="V237" s="38" t="str">
        <f>IFERROR(Macro!$D77*Team!V138/12+IF(AND(YEAR(V$5)&gt;2020,MONTH(V$5)=Macro!$D$52),Macro!$D77*AVERAGE(OFFSET(W138,0,0,1,-12))*Macro!$E77,0),"NA")</f>
        <v>NA</v>
      </c>
      <c r="W237" s="39">
        <f>IFERROR(Macro!$D77*Team!W138/12+IF(AND(YEAR(W$5)&gt;2020,MONTH(W$5)=Macro!$D$52),Macro!$D77*AVERAGE(OFFSET(X138,0,0,1,-12))*Macro!$E77,0),"NA")</f>
        <v>0</v>
      </c>
      <c r="X237" s="40">
        <f>IFERROR(Macro!$D77*Team!X138/12+IF(AND(YEAR(X$5)&gt;2020,MONTH(X$5)=Macro!$D$52),Macro!$D77*AVERAGE(OFFSET(Y138,0,0,1,-12))*Macro!$E77,0),"NA")</f>
        <v>0</v>
      </c>
      <c r="Y237" s="38">
        <f>IFERROR(Macro!$D77*Team!Y138/12+IF(AND(YEAR(Y$5)&gt;2020,MONTH(Y$5)=Macro!$D$52),Macro!$D77*AVERAGE(OFFSET(Z138,0,0,1,-12))*Macro!$E77,0),"NA")</f>
        <v>0</v>
      </c>
      <c r="Z237" s="39">
        <f>IFERROR(Macro!$D77*Team!Z138/12+IF(AND(YEAR(Z$5)&gt;2020,MONTH(Z$5)=Macro!$D$52),Macro!$D77*AVERAGE(OFFSET(AA138,0,0,1,-12))*Macro!$E77,0),"NA")</f>
        <v>0</v>
      </c>
      <c r="AA237" s="40">
        <f>IFERROR(Macro!$D77*Team!AA138/12+IF(AND(YEAR(AA$5)&gt;2020,MONTH(AA$5)=Macro!$D$52),Macro!$D77*AVERAGE(OFFSET(AB138,0,0,1,-12))*Macro!$E77,0),"NA")</f>
        <v>0</v>
      </c>
      <c r="AB237" s="38">
        <f>IFERROR(Macro!$D77*Team!AB138/12+IF(AND(YEAR(AB$5)&gt;2020,MONTH(AB$5)=Macro!$D$52),Macro!$D77*AVERAGE(OFFSET(AC138,0,0,1,-12))*Macro!$E77,0),"NA")</f>
        <v>0</v>
      </c>
      <c r="AC237" s="39">
        <f>IFERROR(Macro!$D77*Team!AC138/12+IF(AND(YEAR(AC$5)&gt;2020,MONTH(AC$5)=Macro!$D$52),Macro!$D77*AVERAGE(OFFSET(AD138,0,0,1,-12))*Macro!$E77,0),"NA")</f>
        <v>0</v>
      </c>
      <c r="AD237" s="40">
        <f>IFERROR(Macro!$D77*Team!AD138/12+IF(AND(YEAR(AD$5)&gt;2020,MONTH(AD$5)=Macro!$D$52),Macro!$D77*AVERAGE(OFFSET(AE138,0,0,1,-12))*Macro!$E77,0),"NA")</f>
        <v>0</v>
      </c>
      <c r="AE237" s="38">
        <f>IFERROR(Macro!$D77*Team!AE138/12+IF(AND(YEAR(AE$5)&gt;2020,MONTH(AE$5)=Macro!$D$52),Macro!$D77*AVERAGE(OFFSET(AF138,0,0,1,-12))*Macro!$E77,0),"NA")</f>
        <v>0</v>
      </c>
      <c r="AF237" s="39">
        <f>IFERROR(Macro!$D77*Team!AF138/12+IF(AND(YEAR(AF$5)&gt;2020,MONTH(AF$5)=Macro!$D$52),Macro!$D77*AVERAGE(OFFSET(AG138,0,0,1,-12))*Macro!$E77,0),"NA")</f>
        <v>0</v>
      </c>
      <c r="AG237" s="40">
        <f>IFERROR(Macro!$D77*Team!AG138/12+IF(AND(YEAR(AG$5)&gt;2020,MONTH(AG$5)=Macro!$D$52),Macro!$D77*AVERAGE(OFFSET(AH138,0,0,1,-12))*Macro!$E77,0),"NA")</f>
        <v>0</v>
      </c>
      <c r="AH237" s="38" t="str">
        <f>IFERROR(Macro!$D77*Team!AH138/12+IF(AND(YEAR(AH$5)&gt;2020,MONTH(AH$5)=Macro!$D$52),Macro!$D77*AVERAGE(OFFSET(AI138,0,0,1,-12))*Macro!$E77,0),"NA")</f>
        <v>NA</v>
      </c>
      <c r="AI237" s="39">
        <f>IFERROR(Macro!$D77*Team!AI138/12+IF(AND(YEAR(AI$5)&gt;2020,MONTH(AI$5)=Macro!$D$52),Macro!$D77*AVERAGE(OFFSET(AJ138,0,0,1,-12))*Macro!$E77,0),"NA")</f>
        <v>0</v>
      </c>
      <c r="AJ237" s="40">
        <f>IFERROR(Macro!$D77*Team!AJ138/12+IF(AND(YEAR(AJ$5)&gt;2020,MONTH(AJ$5)=Macro!$D$52),Macro!$D77*AVERAGE(OFFSET(AK138,0,0,1,-12))*Macro!$E77,0),"NA")</f>
        <v>0</v>
      </c>
      <c r="AK237" s="38">
        <f>IFERROR(Macro!$D77*Team!AK138/12+IF(AND(YEAR(AK$5)&gt;2020,MONTH(AK$5)=Macro!$D$52),Macro!$D77*AVERAGE(OFFSET(AL138,0,0,1,-12))*Macro!$E77,0),"NA")</f>
        <v>0</v>
      </c>
      <c r="AL237" s="39">
        <f>IFERROR(Macro!$D77*Team!AL138/12+IF(AND(YEAR(AL$5)&gt;2020,MONTH(AL$5)=Macro!$D$52),Macro!$D77*AVERAGE(OFFSET(AM138,0,0,1,-12))*Macro!$E77,0),"NA")</f>
        <v>0</v>
      </c>
      <c r="AM237" s="40">
        <f>IFERROR(Macro!$D77*Team!AM138/12+IF(AND(YEAR(AM$5)&gt;2020,MONTH(AM$5)=Macro!$D$52),Macro!$D77*AVERAGE(OFFSET(AN138,0,0,1,-12))*Macro!$E77,0),"NA")</f>
        <v>0</v>
      </c>
      <c r="AN237" s="38">
        <f>IFERROR(Macro!$D77*Team!AN138/12+IF(AND(YEAR(AN$5)&gt;2020,MONTH(AN$5)=Macro!$D$52),Macro!$D77*AVERAGE(OFFSET(AO138,0,0,1,-12))*Macro!$E77,0),"NA")</f>
        <v>0</v>
      </c>
      <c r="AO237" s="39">
        <f>IFERROR(Macro!$D77*Team!AO138/12+IF(AND(YEAR(AO$5)&gt;2020,MONTH(AO$5)=Macro!$D$52),Macro!$D77*AVERAGE(OFFSET(AP138,0,0,1,-12))*Macro!$E77,0),"NA")</f>
        <v>0</v>
      </c>
      <c r="AP237" s="40">
        <f>IFERROR(Macro!$D77*Team!AP138/12+IF(AND(YEAR(AP$5)&gt;2020,MONTH(AP$5)=Macro!$D$52),Macro!$D77*AVERAGE(OFFSET(AQ138,0,0,1,-12))*Macro!$E77,0),"NA")</f>
        <v>0</v>
      </c>
      <c r="AQ237" s="38">
        <f>IFERROR(Macro!$D77*Team!AQ138/12+IF(AND(YEAR(AQ$5)&gt;2020,MONTH(AQ$5)=Macro!$D$52),Macro!$D77*AVERAGE(OFFSET(AR138,0,0,1,-12))*Macro!$E77,0),"NA")</f>
        <v>0</v>
      </c>
      <c r="AR237" s="39">
        <f>IFERROR(Macro!$D77*Team!AR138/12+IF(AND(YEAR(AR$5)&gt;2020,MONTH(AR$5)=Macro!$D$52),Macro!$D77*AVERAGE(OFFSET(AS138,0,0,1,-12))*Macro!$E77,0),"NA")</f>
        <v>0</v>
      </c>
      <c r="AS237" s="40">
        <f>IFERROR(Macro!$D77*Team!AS138/12+IF(AND(YEAR(AS$5)&gt;2020,MONTH(AS$5)=Macro!$D$52),Macro!$D77*AVERAGE(OFFSET(AT138,0,0,1,-12))*Macro!$E77,0),"NA")</f>
        <v>0</v>
      </c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</row>
    <row r="238" ht="12.0" customHeight="1">
      <c r="A238" s="282"/>
      <c r="B238" s="8"/>
      <c r="C238" s="37" t="str">
        <f t="shared" si="98"/>
        <v>[XX]</v>
      </c>
      <c r="D238" s="283">
        <f>IFERROR(Macro!$D78*Team!D139/12+IF(AND(YEAR(D$5)&gt;2020,MONTH(D$5)=Macro!$D$52),Macro!$D78*AVERAGE(OFFSET(E139,0,0,1,-12))*Macro!$E78,0),"NA")</f>
        <v>0</v>
      </c>
      <c r="E238" s="284">
        <f>IFERROR(Macro!$D78*Team!E139/12+IF(AND(YEAR(E$5)&gt;2020,MONTH(E$5)=Macro!$D$52),Macro!$D78*AVERAGE(OFFSET(F139,0,0,1,-12))*Macro!$E78,0),"NA")</f>
        <v>0</v>
      </c>
      <c r="F238" s="284">
        <f>IFERROR(Macro!$D78*Team!F139/12+IF(AND(YEAR(F$5)&gt;2020,MONTH(F$5)=Macro!$D$52),Macro!$D78*AVERAGE(OFFSET(G139,0,0,1,-12))*Macro!$E78,0),"NA")</f>
        <v>0</v>
      </c>
      <c r="G238" s="283">
        <f>IFERROR(Macro!$D78*Team!G139/12+IF(AND(YEAR(G$5)&gt;2020,MONTH(G$5)=Macro!$D$52),Macro!$D78*AVERAGE(OFFSET(H139,0,0,1,-12))*Macro!$E78,0),"NA")</f>
        <v>0</v>
      </c>
      <c r="H238" s="284">
        <f>IFERROR(Macro!$D78*Team!H139/12+IF(AND(YEAR(H$5)&gt;2020,MONTH(H$5)=Macro!$D$52),Macro!$D78*AVERAGE(OFFSET(I139,0,0,1,-12))*Macro!$E78,0),"NA")</f>
        <v>0</v>
      </c>
      <c r="I238" s="285">
        <f>IFERROR(Macro!$D78*Team!I139/12+IF(AND(YEAR(I$5)&gt;2020,MONTH(I$5)=Macro!$D$52),Macro!$D78*AVERAGE(OFFSET(J139,0,0,1,-12))*Macro!$E78,0),"NA")</f>
        <v>0</v>
      </c>
      <c r="J238" s="286">
        <f>IFERROR(Macro!$D78*Team!J139/12+IF(AND(YEAR(J$5)&gt;2020,MONTH(J$5)=Macro!$D$52),Macro!$D78*AVERAGE(OFFSET(K139,0,0,1,-12))*Macro!$E78,0),"NA")</f>
        <v>0</v>
      </c>
      <c r="K238" s="287">
        <f>IFERROR(Macro!$D78*Team!K139/12+IF(AND(YEAR(K$5)&gt;2020,MONTH(K$5)=Macro!$D$52),Macro!$D78*AVERAGE(OFFSET(L139,0,0,1,-12))*Macro!$E78,0),"NA")</f>
        <v>0</v>
      </c>
      <c r="L238" s="288">
        <f>IFERROR(Macro!$D78*Team!L139/12+IF(AND(YEAR(L$5)&gt;2020,MONTH(L$5)=Macro!$D$52),Macro!$D78*AVERAGE(OFFSET(M139,0,0,1,-12))*Macro!$E78,0),"NA")</f>
        <v>0</v>
      </c>
      <c r="M238" s="38">
        <f>IFERROR(Macro!$D78*Team!M139/12+IF(AND(YEAR(M$5)&gt;2020,MONTH(M$5)=Macro!$D$52),Macro!$D78*AVERAGE(OFFSET(N139,0,0,1,-12))*Macro!$E78,0),"NA")</f>
        <v>0</v>
      </c>
      <c r="N238" s="39">
        <f>IFERROR(Macro!$D78*Team!N139/12+IF(AND(YEAR(N$5)&gt;2020,MONTH(N$5)=Macro!$D$52),Macro!$D78*AVERAGE(OFFSET(O139,0,0,1,-12))*Macro!$E78,0),"NA")</f>
        <v>0</v>
      </c>
      <c r="O238" s="40">
        <f>IFERROR(Macro!$D78*Team!O139/12+IF(AND(YEAR(O$5)&gt;2020,MONTH(O$5)=Macro!$D$52),Macro!$D78*AVERAGE(OFFSET(P139,0,0,1,-12))*Macro!$E78,0),"NA")</f>
        <v>0</v>
      </c>
      <c r="P238" s="38">
        <f>IFERROR(Macro!$D78*Team!P139/12+IF(AND(YEAR(P$5)&gt;2020,MONTH(P$5)=Macro!$D$52),Macro!$D78*AVERAGE(OFFSET(Q139,0,0,1,-12))*Macro!$E78,0),"NA")</f>
        <v>0</v>
      </c>
      <c r="Q238" s="39">
        <f>IFERROR(Macro!$D78*Team!Q139/12+IF(AND(YEAR(Q$5)&gt;2020,MONTH(Q$5)=Macro!$D$52),Macro!$D78*AVERAGE(OFFSET(R139,0,0,1,-12))*Macro!$E78,0),"NA")</f>
        <v>0</v>
      </c>
      <c r="R238" s="40">
        <f>IFERROR(Macro!$D78*Team!R139/12+IF(AND(YEAR(R$5)&gt;2020,MONTH(R$5)=Macro!$D$52),Macro!$D78*AVERAGE(OFFSET(S139,0,0,1,-12))*Macro!$E78,0),"NA")</f>
        <v>0</v>
      </c>
      <c r="S238" s="38">
        <f>IFERROR(Macro!$D78*Team!S139/12+IF(AND(YEAR(S$5)&gt;2020,MONTH(S$5)=Macro!$D$52),Macro!$D78*AVERAGE(OFFSET(T139,0,0,1,-12))*Macro!$E78,0),"NA")</f>
        <v>0</v>
      </c>
      <c r="T238" s="39">
        <f>IFERROR(Macro!$D78*Team!T139/12+IF(AND(YEAR(T$5)&gt;2020,MONTH(T$5)=Macro!$D$52),Macro!$D78*AVERAGE(OFFSET(U139,0,0,1,-12))*Macro!$E78,0),"NA")</f>
        <v>0</v>
      </c>
      <c r="U238" s="40">
        <f>IFERROR(Macro!$D78*Team!U139/12+IF(AND(YEAR(U$5)&gt;2020,MONTH(U$5)=Macro!$D$52),Macro!$D78*AVERAGE(OFFSET(V139,0,0,1,-12))*Macro!$E78,0),"NA")</f>
        <v>0</v>
      </c>
      <c r="V238" s="38" t="str">
        <f>IFERROR(Macro!$D78*Team!V139/12+IF(AND(YEAR(V$5)&gt;2020,MONTH(V$5)=Macro!$D$52),Macro!$D78*AVERAGE(OFFSET(W139,0,0,1,-12))*Macro!$E78,0),"NA")</f>
        <v>NA</v>
      </c>
      <c r="W238" s="39">
        <f>IFERROR(Macro!$D78*Team!W139/12+IF(AND(YEAR(W$5)&gt;2020,MONTH(W$5)=Macro!$D$52),Macro!$D78*AVERAGE(OFFSET(X139,0,0,1,-12))*Macro!$E78,0),"NA")</f>
        <v>0</v>
      </c>
      <c r="X238" s="40">
        <f>IFERROR(Macro!$D78*Team!X139/12+IF(AND(YEAR(X$5)&gt;2020,MONTH(X$5)=Macro!$D$52),Macro!$D78*AVERAGE(OFFSET(Y139,0,0,1,-12))*Macro!$E78,0),"NA")</f>
        <v>0</v>
      </c>
      <c r="Y238" s="38">
        <f>IFERROR(Macro!$D78*Team!Y139/12+IF(AND(YEAR(Y$5)&gt;2020,MONTH(Y$5)=Macro!$D$52),Macro!$D78*AVERAGE(OFFSET(Z139,0,0,1,-12))*Macro!$E78,0),"NA")</f>
        <v>0</v>
      </c>
      <c r="Z238" s="39">
        <f>IFERROR(Macro!$D78*Team!Z139/12+IF(AND(YEAR(Z$5)&gt;2020,MONTH(Z$5)=Macro!$D$52),Macro!$D78*AVERAGE(OFFSET(AA139,0,0,1,-12))*Macro!$E78,0),"NA")</f>
        <v>0</v>
      </c>
      <c r="AA238" s="40">
        <f>IFERROR(Macro!$D78*Team!AA139/12+IF(AND(YEAR(AA$5)&gt;2020,MONTH(AA$5)=Macro!$D$52),Macro!$D78*AVERAGE(OFFSET(AB139,0,0,1,-12))*Macro!$E78,0),"NA")</f>
        <v>0</v>
      </c>
      <c r="AB238" s="38">
        <f>IFERROR(Macro!$D78*Team!AB139/12+IF(AND(YEAR(AB$5)&gt;2020,MONTH(AB$5)=Macro!$D$52),Macro!$D78*AVERAGE(OFFSET(AC139,0,0,1,-12))*Macro!$E78,0),"NA")</f>
        <v>0</v>
      </c>
      <c r="AC238" s="39">
        <f>IFERROR(Macro!$D78*Team!AC139/12+IF(AND(YEAR(AC$5)&gt;2020,MONTH(AC$5)=Macro!$D$52),Macro!$D78*AVERAGE(OFFSET(AD139,0,0,1,-12))*Macro!$E78,0),"NA")</f>
        <v>0</v>
      </c>
      <c r="AD238" s="40">
        <f>IFERROR(Macro!$D78*Team!AD139/12+IF(AND(YEAR(AD$5)&gt;2020,MONTH(AD$5)=Macro!$D$52),Macro!$D78*AVERAGE(OFFSET(AE139,0,0,1,-12))*Macro!$E78,0),"NA")</f>
        <v>0</v>
      </c>
      <c r="AE238" s="38">
        <f>IFERROR(Macro!$D78*Team!AE139/12+IF(AND(YEAR(AE$5)&gt;2020,MONTH(AE$5)=Macro!$D$52),Macro!$D78*AVERAGE(OFFSET(AF139,0,0,1,-12))*Macro!$E78,0),"NA")</f>
        <v>0</v>
      </c>
      <c r="AF238" s="39">
        <f>IFERROR(Macro!$D78*Team!AF139/12+IF(AND(YEAR(AF$5)&gt;2020,MONTH(AF$5)=Macro!$D$52),Macro!$D78*AVERAGE(OFFSET(AG139,0,0,1,-12))*Macro!$E78,0),"NA")</f>
        <v>0</v>
      </c>
      <c r="AG238" s="40">
        <f>IFERROR(Macro!$D78*Team!AG139/12+IF(AND(YEAR(AG$5)&gt;2020,MONTH(AG$5)=Macro!$D$52),Macro!$D78*AVERAGE(OFFSET(AH139,0,0,1,-12))*Macro!$E78,0),"NA")</f>
        <v>0</v>
      </c>
      <c r="AH238" s="38" t="str">
        <f>IFERROR(Macro!$D78*Team!AH139/12+IF(AND(YEAR(AH$5)&gt;2020,MONTH(AH$5)=Macro!$D$52),Macro!$D78*AVERAGE(OFFSET(AI139,0,0,1,-12))*Macro!$E78,0),"NA")</f>
        <v>NA</v>
      </c>
      <c r="AI238" s="39">
        <f>IFERROR(Macro!$D78*Team!AI139/12+IF(AND(YEAR(AI$5)&gt;2020,MONTH(AI$5)=Macro!$D$52),Macro!$D78*AVERAGE(OFFSET(AJ139,0,0,1,-12))*Macro!$E78,0),"NA")</f>
        <v>0</v>
      </c>
      <c r="AJ238" s="40">
        <f>IFERROR(Macro!$D78*Team!AJ139/12+IF(AND(YEAR(AJ$5)&gt;2020,MONTH(AJ$5)=Macro!$D$52),Macro!$D78*AVERAGE(OFFSET(AK139,0,0,1,-12))*Macro!$E78,0),"NA")</f>
        <v>0</v>
      </c>
      <c r="AK238" s="38">
        <f>IFERROR(Macro!$D78*Team!AK139/12+IF(AND(YEAR(AK$5)&gt;2020,MONTH(AK$5)=Macro!$D$52),Macro!$D78*AVERAGE(OFFSET(AL139,0,0,1,-12))*Macro!$E78,0),"NA")</f>
        <v>0</v>
      </c>
      <c r="AL238" s="39">
        <f>IFERROR(Macro!$D78*Team!AL139/12+IF(AND(YEAR(AL$5)&gt;2020,MONTH(AL$5)=Macro!$D$52),Macro!$D78*AVERAGE(OFFSET(AM139,0,0,1,-12))*Macro!$E78,0),"NA")</f>
        <v>0</v>
      </c>
      <c r="AM238" s="40">
        <f>IFERROR(Macro!$D78*Team!AM139/12+IF(AND(YEAR(AM$5)&gt;2020,MONTH(AM$5)=Macro!$D$52),Macro!$D78*AVERAGE(OFFSET(AN139,0,0,1,-12))*Macro!$E78,0),"NA")</f>
        <v>0</v>
      </c>
      <c r="AN238" s="38">
        <f>IFERROR(Macro!$D78*Team!AN139/12+IF(AND(YEAR(AN$5)&gt;2020,MONTH(AN$5)=Macro!$D$52),Macro!$D78*AVERAGE(OFFSET(AO139,0,0,1,-12))*Macro!$E78,0),"NA")</f>
        <v>0</v>
      </c>
      <c r="AO238" s="39">
        <f>IFERROR(Macro!$D78*Team!AO139/12+IF(AND(YEAR(AO$5)&gt;2020,MONTH(AO$5)=Macro!$D$52),Macro!$D78*AVERAGE(OFFSET(AP139,0,0,1,-12))*Macro!$E78,0),"NA")</f>
        <v>0</v>
      </c>
      <c r="AP238" s="40">
        <f>IFERROR(Macro!$D78*Team!AP139/12+IF(AND(YEAR(AP$5)&gt;2020,MONTH(AP$5)=Macro!$D$52),Macro!$D78*AVERAGE(OFFSET(AQ139,0,0,1,-12))*Macro!$E78,0),"NA")</f>
        <v>0</v>
      </c>
      <c r="AQ238" s="38">
        <f>IFERROR(Macro!$D78*Team!AQ139/12+IF(AND(YEAR(AQ$5)&gt;2020,MONTH(AQ$5)=Macro!$D$52),Macro!$D78*AVERAGE(OFFSET(AR139,0,0,1,-12))*Macro!$E78,0),"NA")</f>
        <v>0</v>
      </c>
      <c r="AR238" s="39">
        <f>IFERROR(Macro!$D78*Team!AR139/12+IF(AND(YEAR(AR$5)&gt;2020,MONTH(AR$5)=Macro!$D$52),Macro!$D78*AVERAGE(OFFSET(AS139,0,0,1,-12))*Macro!$E78,0),"NA")</f>
        <v>0</v>
      </c>
      <c r="AS238" s="40">
        <f>IFERROR(Macro!$D78*Team!AS139/12+IF(AND(YEAR(AS$5)&gt;2020,MONTH(AS$5)=Macro!$D$52),Macro!$D78*AVERAGE(OFFSET(AT139,0,0,1,-12))*Macro!$E78,0),"NA")</f>
        <v>0</v>
      </c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</row>
    <row r="239" ht="12.0" customHeight="1">
      <c r="A239" s="282"/>
      <c r="B239" s="8"/>
      <c r="C239" s="37" t="str">
        <f t="shared" si="98"/>
        <v>[XX]</v>
      </c>
      <c r="D239" s="283">
        <f>IFERROR(Macro!$D79*Team!D140/12+IF(AND(YEAR(D$5)&gt;2020,MONTH(D$5)=Macro!$D$52),Macro!$D79*AVERAGE(OFFSET(E140,0,0,1,-12))*Macro!$E79,0),"NA")</f>
        <v>0</v>
      </c>
      <c r="E239" s="284">
        <f>IFERROR(Macro!$D79*Team!E140/12+IF(AND(YEAR(E$5)&gt;2020,MONTH(E$5)=Macro!$D$52),Macro!$D79*AVERAGE(OFFSET(F140,0,0,1,-12))*Macro!$E79,0),"NA")</f>
        <v>0</v>
      </c>
      <c r="F239" s="284">
        <f>IFERROR(Macro!$D79*Team!F140/12+IF(AND(YEAR(F$5)&gt;2020,MONTH(F$5)=Macro!$D$52),Macro!$D79*AVERAGE(OFFSET(G140,0,0,1,-12))*Macro!$E79,0),"NA")</f>
        <v>0</v>
      </c>
      <c r="G239" s="283">
        <f>IFERROR(Macro!$D79*Team!G140/12+IF(AND(YEAR(G$5)&gt;2020,MONTH(G$5)=Macro!$D$52),Macro!$D79*AVERAGE(OFFSET(H140,0,0,1,-12))*Macro!$E79,0),"NA")</f>
        <v>0</v>
      </c>
      <c r="H239" s="284">
        <f>IFERROR(Macro!$D79*Team!H140/12+IF(AND(YEAR(H$5)&gt;2020,MONTH(H$5)=Macro!$D$52),Macro!$D79*AVERAGE(OFFSET(I140,0,0,1,-12))*Macro!$E79,0),"NA")</f>
        <v>0</v>
      </c>
      <c r="I239" s="285">
        <f>IFERROR(Macro!$D79*Team!I140/12+IF(AND(YEAR(I$5)&gt;2020,MONTH(I$5)=Macro!$D$52),Macro!$D79*AVERAGE(OFFSET(J140,0,0,1,-12))*Macro!$E79,0),"NA")</f>
        <v>0</v>
      </c>
      <c r="J239" s="286">
        <f>IFERROR(Macro!$D79*Team!J140/12+IF(AND(YEAR(J$5)&gt;2020,MONTH(J$5)=Macro!$D$52),Macro!$D79*AVERAGE(OFFSET(K140,0,0,1,-12))*Macro!$E79,0),"NA")</f>
        <v>0</v>
      </c>
      <c r="K239" s="287">
        <f>IFERROR(Macro!$D79*Team!K140/12+IF(AND(YEAR(K$5)&gt;2020,MONTH(K$5)=Macro!$D$52),Macro!$D79*AVERAGE(OFFSET(L140,0,0,1,-12))*Macro!$E79,0),"NA")</f>
        <v>0</v>
      </c>
      <c r="L239" s="288">
        <f>IFERROR(Macro!$D79*Team!L140/12+IF(AND(YEAR(L$5)&gt;2020,MONTH(L$5)=Macro!$D$52),Macro!$D79*AVERAGE(OFFSET(M140,0,0,1,-12))*Macro!$E79,0),"NA")</f>
        <v>0</v>
      </c>
      <c r="M239" s="38">
        <f>IFERROR(Macro!$D79*Team!M140/12+IF(AND(YEAR(M$5)&gt;2020,MONTH(M$5)=Macro!$D$52),Macro!$D79*AVERAGE(OFFSET(N140,0,0,1,-12))*Macro!$E79,0),"NA")</f>
        <v>0</v>
      </c>
      <c r="N239" s="39">
        <f>IFERROR(Macro!$D79*Team!N140/12+IF(AND(YEAR(N$5)&gt;2020,MONTH(N$5)=Macro!$D$52),Macro!$D79*AVERAGE(OFFSET(O140,0,0,1,-12))*Macro!$E79,0),"NA")</f>
        <v>0</v>
      </c>
      <c r="O239" s="40">
        <f>IFERROR(Macro!$D79*Team!O140/12+IF(AND(YEAR(O$5)&gt;2020,MONTH(O$5)=Macro!$D$52),Macro!$D79*AVERAGE(OFFSET(P140,0,0,1,-12))*Macro!$E79,0),"NA")</f>
        <v>0</v>
      </c>
      <c r="P239" s="38">
        <f>IFERROR(Macro!$D79*Team!P140/12+IF(AND(YEAR(P$5)&gt;2020,MONTH(P$5)=Macro!$D$52),Macro!$D79*AVERAGE(OFFSET(Q140,0,0,1,-12))*Macro!$E79,0),"NA")</f>
        <v>0</v>
      </c>
      <c r="Q239" s="39">
        <f>IFERROR(Macro!$D79*Team!Q140/12+IF(AND(YEAR(Q$5)&gt;2020,MONTH(Q$5)=Macro!$D$52),Macro!$D79*AVERAGE(OFFSET(R140,0,0,1,-12))*Macro!$E79,0),"NA")</f>
        <v>0</v>
      </c>
      <c r="R239" s="40">
        <f>IFERROR(Macro!$D79*Team!R140/12+IF(AND(YEAR(R$5)&gt;2020,MONTH(R$5)=Macro!$D$52),Macro!$D79*AVERAGE(OFFSET(S140,0,0,1,-12))*Macro!$E79,0),"NA")</f>
        <v>0</v>
      </c>
      <c r="S239" s="38">
        <f>IFERROR(Macro!$D79*Team!S140/12+IF(AND(YEAR(S$5)&gt;2020,MONTH(S$5)=Macro!$D$52),Macro!$D79*AVERAGE(OFFSET(T140,0,0,1,-12))*Macro!$E79,0),"NA")</f>
        <v>0</v>
      </c>
      <c r="T239" s="39">
        <f>IFERROR(Macro!$D79*Team!T140/12+IF(AND(YEAR(T$5)&gt;2020,MONTH(T$5)=Macro!$D$52),Macro!$D79*AVERAGE(OFFSET(U140,0,0,1,-12))*Macro!$E79,0),"NA")</f>
        <v>0</v>
      </c>
      <c r="U239" s="40">
        <f>IFERROR(Macro!$D79*Team!U140/12+IF(AND(YEAR(U$5)&gt;2020,MONTH(U$5)=Macro!$D$52),Macro!$D79*AVERAGE(OFFSET(V140,0,0,1,-12))*Macro!$E79,0),"NA")</f>
        <v>0</v>
      </c>
      <c r="V239" s="38" t="str">
        <f>IFERROR(Macro!$D79*Team!V140/12+IF(AND(YEAR(V$5)&gt;2020,MONTH(V$5)=Macro!$D$52),Macro!$D79*AVERAGE(OFFSET(W140,0,0,1,-12))*Macro!$E79,0),"NA")</f>
        <v>NA</v>
      </c>
      <c r="W239" s="39">
        <f>IFERROR(Macro!$D79*Team!W140/12+IF(AND(YEAR(W$5)&gt;2020,MONTH(W$5)=Macro!$D$52),Macro!$D79*AVERAGE(OFFSET(X140,0,0,1,-12))*Macro!$E79,0),"NA")</f>
        <v>0</v>
      </c>
      <c r="X239" s="40">
        <f>IFERROR(Macro!$D79*Team!X140/12+IF(AND(YEAR(X$5)&gt;2020,MONTH(X$5)=Macro!$D$52),Macro!$D79*AVERAGE(OFFSET(Y140,0,0,1,-12))*Macro!$E79,0),"NA")</f>
        <v>0</v>
      </c>
      <c r="Y239" s="38">
        <f>IFERROR(Macro!$D79*Team!Y140/12+IF(AND(YEAR(Y$5)&gt;2020,MONTH(Y$5)=Macro!$D$52),Macro!$D79*AVERAGE(OFFSET(Z140,0,0,1,-12))*Macro!$E79,0),"NA")</f>
        <v>0</v>
      </c>
      <c r="Z239" s="39">
        <f>IFERROR(Macro!$D79*Team!Z140/12+IF(AND(YEAR(Z$5)&gt;2020,MONTH(Z$5)=Macro!$D$52),Macro!$D79*AVERAGE(OFFSET(AA140,0,0,1,-12))*Macro!$E79,0),"NA")</f>
        <v>0</v>
      </c>
      <c r="AA239" s="40">
        <f>IFERROR(Macro!$D79*Team!AA140/12+IF(AND(YEAR(AA$5)&gt;2020,MONTH(AA$5)=Macro!$D$52),Macro!$D79*AVERAGE(OFFSET(AB140,0,0,1,-12))*Macro!$E79,0),"NA")</f>
        <v>0</v>
      </c>
      <c r="AB239" s="38">
        <f>IFERROR(Macro!$D79*Team!AB140/12+IF(AND(YEAR(AB$5)&gt;2020,MONTH(AB$5)=Macro!$D$52),Macro!$D79*AVERAGE(OFFSET(AC140,0,0,1,-12))*Macro!$E79,0),"NA")</f>
        <v>0</v>
      </c>
      <c r="AC239" s="39">
        <f>IFERROR(Macro!$D79*Team!AC140/12+IF(AND(YEAR(AC$5)&gt;2020,MONTH(AC$5)=Macro!$D$52),Macro!$D79*AVERAGE(OFFSET(AD140,0,0,1,-12))*Macro!$E79,0),"NA")</f>
        <v>0</v>
      </c>
      <c r="AD239" s="40">
        <f>IFERROR(Macro!$D79*Team!AD140/12+IF(AND(YEAR(AD$5)&gt;2020,MONTH(AD$5)=Macro!$D$52),Macro!$D79*AVERAGE(OFFSET(AE140,0,0,1,-12))*Macro!$E79,0),"NA")</f>
        <v>0</v>
      </c>
      <c r="AE239" s="38">
        <f>IFERROR(Macro!$D79*Team!AE140/12+IF(AND(YEAR(AE$5)&gt;2020,MONTH(AE$5)=Macro!$D$52),Macro!$D79*AVERAGE(OFFSET(AF140,0,0,1,-12))*Macro!$E79,0),"NA")</f>
        <v>0</v>
      </c>
      <c r="AF239" s="39">
        <f>IFERROR(Macro!$D79*Team!AF140/12+IF(AND(YEAR(AF$5)&gt;2020,MONTH(AF$5)=Macro!$D$52),Macro!$D79*AVERAGE(OFFSET(AG140,0,0,1,-12))*Macro!$E79,0),"NA")</f>
        <v>0</v>
      </c>
      <c r="AG239" s="40">
        <f>IFERROR(Macro!$D79*Team!AG140/12+IF(AND(YEAR(AG$5)&gt;2020,MONTH(AG$5)=Macro!$D$52),Macro!$D79*AVERAGE(OFFSET(AH140,0,0,1,-12))*Macro!$E79,0),"NA")</f>
        <v>0</v>
      </c>
      <c r="AH239" s="38" t="str">
        <f>IFERROR(Macro!$D79*Team!AH140/12+IF(AND(YEAR(AH$5)&gt;2020,MONTH(AH$5)=Macro!$D$52),Macro!$D79*AVERAGE(OFFSET(AI140,0,0,1,-12))*Macro!$E79,0),"NA")</f>
        <v>NA</v>
      </c>
      <c r="AI239" s="39">
        <f>IFERROR(Macro!$D79*Team!AI140/12+IF(AND(YEAR(AI$5)&gt;2020,MONTH(AI$5)=Macro!$D$52),Macro!$D79*AVERAGE(OFFSET(AJ140,0,0,1,-12))*Macro!$E79,0),"NA")</f>
        <v>0</v>
      </c>
      <c r="AJ239" s="40">
        <f>IFERROR(Macro!$D79*Team!AJ140/12+IF(AND(YEAR(AJ$5)&gt;2020,MONTH(AJ$5)=Macro!$D$52),Macro!$D79*AVERAGE(OFFSET(AK140,0,0,1,-12))*Macro!$E79,0),"NA")</f>
        <v>0</v>
      </c>
      <c r="AK239" s="38">
        <f>IFERROR(Macro!$D79*Team!AK140/12+IF(AND(YEAR(AK$5)&gt;2020,MONTH(AK$5)=Macro!$D$52),Macro!$D79*AVERAGE(OFFSET(AL140,0,0,1,-12))*Macro!$E79,0),"NA")</f>
        <v>0</v>
      </c>
      <c r="AL239" s="39">
        <f>IFERROR(Macro!$D79*Team!AL140/12+IF(AND(YEAR(AL$5)&gt;2020,MONTH(AL$5)=Macro!$D$52),Macro!$D79*AVERAGE(OFFSET(AM140,0,0,1,-12))*Macro!$E79,0),"NA")</f>
        <v>0</v>
      </c>
      <c r="AM239" s="40">
        <f>IFERROR(Macro!$D79*Team!AM140/12+IF(AND(YEAR(AM$5)&gt;2020,MONTH(AM$5)=Macro!$D$52),Macro!$D79*AVERAGE(OFFSET(AN140,0,0,1,-12))*Macro!$E79,0),"NA")</f>
        <v>0</v>
      </c>
      <c r="AN239" s="38">
        <f>IFERROR(Macro!$D79*Team!AN140/12+IF(AND(YEAR(AN$5)&gt;2020,MONTH(AN$5)=Macro!$D$52),Macro!$D79*AVERAGE(OFFSET(AO140,0,0,1,-12))*Macro!$E79,0),"NA")</f>
        <v>0</v>
      </c>
      <c r="AO239" s="39">
        <f>IFERROR(Macro!$D79*Team!AO140/12+IF(AND(YEAR(AO$5)&gt;2020,MONTH(AO$5)=Macro!$D$52),Macro!$D79*AVERAGE(OFFSET(AP140,0,0,1,-12))*Macro!$E79,0),"NA")</f>
        <v>0</v>
      </c>
      <c r="AP239" s="40">
        <f>IFERROR(Macro!$D79*Team!AP140/12+IF(AND(YEAR(AP$5)&gt;2020,MONTH(AP$5)=Macro!$D$52),Macro!$D79*AVERAGE(OFFSET(AQ140,0,0,1,-12))*Macro!$E79,0),"NA")</f>
        <v>0</v>
      </c>
      <c r="AQ239" s="38">
        <f>IFERROR(Macro!$D79*Team!AQ140/12+IF(AND(YEAR(AQ$5)&gt;2020,MONTH(AQ$5)=Macro!$D$52),Macro!$D79*AVERAGE(OFFSET(AR140,0,0,1,-12))*Macro!$E79,0),"NA")</f>
        <v>0</v>
      </c>
      <c r="AR239" s="39">
        <f>IFERROR(Macro!$D79*Team!AR140/12+IF(AND(YEAR(AR$5)&gt;2020,MONTH(AR$5)=Macro!$D$52),Macro!$D79*AVERAGE(OFFSET(AS140,0,0,1,-12))*Macro!$E79,0),"NA")</f>
        <v>0</v>
      </c>
      <c r="AS239" s="40">
        <f>IFERROR(Macro!$D79*Team!AS140/12+IF(AND(YEAR(AS$5)&gt;2020,MONTH(AS$5)=Macro!$D$52),Macro!$D79*AVERAGE(OFFSET(AT140,0,0,1,-12))*Macro!$E79,0),"NA")</f>
        <v>0</v>
      </c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</row>
    <row r="240" ht="12.0" customHeight="1">
      <c r="A240" s="282"/>
      <c r="B240" s="8"/>
      <c r="C240" s="37" t="str">
        <f t="shared" si="98"/>
        <v>[XX]</v>
      </c>
      <c r="D240" s="283">
        <f>IFERROR(Macro!$D80*Team!D141/12+IF(AND(YEAR(D$5)&gt;2020,MONTH(D$5)=Macro!$D$52),Macro!$D80*AVERAGE(OFFSET(E141,0,0,1,-12))*Macro!$E80,0),"NA")</f>
        <v>0</v>
      </c>
      <c r="E240" s="284">
        <f>IFERROR(Macro!$D80*Team!E141/12+IF(AND(YEAR(E$5)&gt;2020,MONTH(E$5)=Macro!$D$52),Macro!$D80*AVERAGE(OFFSET(F141,0,0,1,-12))*Macro!$E80,0),"NA")</f>
        <v>0</v>
      </c>
      <c r="F240" s="284">
        <f>IFERROR(Macro!$D80*Team!F141/12+IF(AND(YEAR(F$5)&gt;2020,MONTH(F$5)=Macro!$D$52),Macro!$D80*AVERAGE(OFFSET(G141,0,0,1,-12))*Macro!$E80,0),"NA")</f>
        <v>0</v>
      </c>
      <c r="G240" s="283">
        <f>IFERROR(Macro!$D80*Team!G141/12+IF(AND(YEAR(G$5)&gt;2020,MONTH(G$5)=Macro!$D$52),Macro!$D80*AVERAGE(OFFSET(H141,0,0,1,-12))*Macro!$E80,0),"NA")</f>
        <v>0</v>
      </c>
      <c r="H240" s="284">
        <f>IFERROR(Macro!$D80*Team!H141/12+IF(AND(YEAR(H$5)&gt;2020,MONTH(H$5)=Macro!$D$52),Macro!$D80*AVERAGE(OFFSET(I141,0,0,1,-12))*Macro!$E80,0),"NA")</f>
        <v>0</v>
      </c>
      <c r="I240" s="285">
        <f>IFERROR(Macro!$D80*Team!I141/12+IF(AND(YEAR(I$5)&gt;2020,MONTH(I$5)=Macro!$D$52),Macro!$D80*AVERAGE(OFFSET(J141,0,0,1,-12))*Macro!$E80,0),"NA")</f>
        <v>0</v>
      </c>
      <c r="J240" s="286">
        <f>IFERROR(Macro!$D80*Team!J141/12+IF(AND(YEAR(J$5)&gt;2020,MONTH(J$5)=Macro!$D$52),Macro!$D80*AVERAGE(OFFSET(K141,0,0,1,-12))*Macro!$E80,0),"NA")</f>
        <v>0</v>
      </c>
      <c r="K240" s="287">
        <f>IFERROR(Macro!$D80*Team!K141/12+IF(AND(YEAR(K$5)&gt;2020,MONTH(K$5)=Macro!$D$52),Macro!$D80*AVERAGE(OFFSET(L141,0,0,1,-12))*Macro!$E80,0),"NA")</f>
        <v>0</v>
      </c>
      <c r="L240" s="288">
        <f>IFERROR(Macro!$D80*Team!L141/12+IF(AND(YEAR(L$5)&gt;2020,MONTH(L$5)=Macro!$D$52),Macro!$D80*AVERAGE(OFFSET(M141,0,0,1,-12))*Macro!$E80,0),"NA")</f>
        <v>0</v>
      </c>
      <c r="M240" s="38">
        <f>IFERROR(Macro!$D80*Team!M141/12+IF(AND(YEAR(M$5)&gt;2020,MONTH(M$5)=Macro!$D$52),Macro!$D80*AVERAGE(OFFSET(N141,0,0,1,-12))*Macro!$E80,0),"NA")</f>
        <v>0</v>
      </c>
      <c r="N240" s="39">
        <f>IFERROR(Macro!$D80*Team!N141/12+IF(AND(YEAR(N$5)&gt;2020,MONTH(N$5)=Macro!$D$52),Macro!$D80*AVERAGE(OFFSET(O141,0,0,1,-12))*Macro!$E80,0),"NA")</f>
        <v>0</v>
      </c>
      <c r="O240" s="40">
        <f>IFERROR(Macro!$D80*Team!O141/12+IF(AND(YEAR(O$5)&gt;2020,MONTH(O$5)=Macro!$D$52),Macro!$D80*AVERAGE(OFFSET(P141,0,0,1,-12))*Macro!$E80,0),"NA")</f>
        <v>0</v>
      </c>
      <c r="P240" s="38">
        <f>IFERROR(Macro!$D80*Team!P141/12+IF(AND(YEAR(P$5)&gt;2020,MONTH(P$5)=Macro!$D$52),Macro!$D80*AVERAGE(OFFSET(Q141,0,0,1,-12))*Macro!$E80,0),"NA")</f>
        <v>0</v>
      </c>
      <c r="Q240" s="39">
        <f>IFERROR(Macro!$D80*Team!Q141/12+IF(AND(YEAR(Q$5)&gt;2020,MONTH(Q$5)=Macro!$D$52),Macro!$D80*AVERAGE(OFFSET(R141,0,0,1,-12))*Macro!$E80,0),"NA")</f>
        <v>0</v>
      </c>
      <c r="R240" s="40">
        <f>IFERROR(Macro!$D80*Team!R141/12+IF(AND(YEAR(R$5)&gt;2020,MONTH(R$5)=Macro!$D$52),Macro!$D80*AVERAGE(OFFSET(S141,0,0,1,-12))*Macro!$E80,0),"NA")</f>
        <v>0</v>
      </c>
      <c r="S240" s="38">
        <f>IFERROR(Macro!$D80*Team!S141/12+IF(AND(YEAR(S$5)&gt;2020,MONTH(S$5)=Macro!$D$52),Macro!$D80*AVERAGE(OFFSET(T141,0,0,1,-12))*Macro!$E80,0),"NA")</f>
        <v>0</v>
      </c>
      <c r="T240" s="39">
        <f>IFERROR(Macro!$D80*Team!T141/12+IF(AND(YEAR(T$5)&gt;2020,MONTH(T$5)=Macro!$D$52),Macro!$D80*AVERAGE(OFFSET(U141,0,0,1,-12))*Macro!$E80,0),"NA")</f>
        <v>0</v>
      </c>
      <c r="U240" s="40">
        <f>IFERROR(Macro!$D80*Team!U141/12+IF(AND(YEAR(U$5)&gt;2020,MONTH(U$5)=Macro!$D$52),Macro!$D80*AVERAGE(OFFSET(V141,0,0,1,-12))*Macro!$E80,0),"NA")</f>
        <v>0</v>
      </c>
      <c r="V240" s="38" t="str">
        <f>IFERROR(Macro!$D80*Team!V141/12+IF(AND(YEAR(V$5)&gt;2020,MONTH(V$5)=Macro!$D$52),Macro!$D80*AVERAGE(OFFSET(W141,0,0,1,-12))*Macro!$E80,0),"NA")</f>
        <v>NA</v>
      </c>
      <c r="W240" s="39">
        <f>IFERROR(Macro!$D80*Team!W141/12+IF(AND(YEAR(W$5)&gt;2020,MONTH(W$5)=Macro!$D$52),Macro!$D80*AVERAGE(OFFSET(X141,0,0,1,-12))*Macro!$E80,0),"NA")</f>
        <v>0</v>
      </c>
      <c r="X240" s="40">
        <f>IFERROR(Macro!$D80*Team!X141/12+IF(AND(YEAR(X$5)&gt;2020,MONTH(X$5)=Macro!$D$52),Macro!$D80*AVERAGE(OFFSET(Y141,0,0,1,-12))*Macro!$E80,0),"NA")</f>
        <v>0</v>
      </c>
      <c r="Y240" s="38">
        <f>IFERROR(Macro!$D80*Team!Y141/12+IF(AND(YEAR(Y$5)&gt;2020,MONTH(Y$5)=Macro!$D$52),Macro!$D80*AVERAGE(OFFSET(Z141,0,0,1,-12))*Macro!$E80,0),"NA")</f>
        <v>0</v>
      </c>
      <c r="Z240" s="39">
        <f>IFERROR(Macro!$D80*Team!Z141/12+IF(AND(YEAR(Z$5)&gt;2020,MONTH(Z$5)=Macro!$D$52),Macro!$D80*AVERAGE(OFFSET(AA141,0,0,1,-12))*Macro!$E80,0),"NA")</f>
        <v>0</v>
      </c>
      <c r="AA240" s="40">
        <f>IFERROR(Macro!$D80*Team!AA141/12+IF(AND(YEAR(AA$5)&gt;2020,MONTH(AA$5)=Macro!$D$52),Macro!$D80*AVERAGE(OFFSET(AB141,0,0,1,-12))*Macro!$E80,0),"NA")</f>
        <v>0</v>
      </c>
      <c r="AB240" s="38">
        <f>IFERROR(Macro!$D80*Team!AB141/12+IF(AND(YEAR(AB$5)&gt;2020,MONTH(AB$5)=Macro!$D$52),Macro!$D80*AVERAGE(OFFSET(AC141,0,0,1,-12))*Macro!$E80,0),"NA")</f>
        <v>0</v>
      </c>
      <c r="AC240" s="39">
        <f>IFERROR(Macro!$D80*Team!AC141/12+IF(AND(YEAR(AC$5)&gt;2020,MONTH(AC$5)=Macro!$D$52),Macro!$D80*AVERAGE(OFFSET(AD141,0,0,1,-12))*Macro!$E80,0),"NA")</f>
        <v>0</v>
      </c>
      <c r="AD240" s="40">
        <f>IFERROR(Macro!$D80*Team!AD141/12+IF(AND(YEAR(AD$5)&gt;2020,MONTH(AD$5)=Macro!$D$52),Macro!$D80*AVERAGE(OFFSET(AE141,0,0,1,-12))*Macro!$E80,0),"NA")</f>
        <v>0</v>
      </c>
      <c r="AE240" s="38">
        <f>IFERROR(Macro!$D80*Team!AE141/12+IF(AND(YEAR(AE$5)&gt;2020,MONTH(AE$5)=Macro!$D$52),Macro!$D80*AVERAGE(OFFSET(AF141,0,0,1,-12))*Macro!$E80,0),"NA")</f>
        <v>0</v>
      </c>
      <c r="AF240" s="39">
        <f>IFERROR(Macro!$D80*Team!AF141/12+IF(AND(YEAR(AF$5)&gt;2020,MONTH(AF$5)=Macro!$D$52),Macro!$D80*AVERAGE(OFFSET(AG141,0,0,1,-12))*Macro!$E80,0),"NA")</f>
        <v>0</v>
      </c>
      <c r="AG240" s="40">
        <f>IFERROR(Macro!$D80*Team!AG141/12+IF(AND(YEAR(AG$5)&gt;2020,MONTH(AG$5)=Macro!$D$52),Macro!$D80*AVERAGE(OFFSET(AH141,0,0,1,-12))*Macro!$E80,0),"NA")</f>
        <v>0</v>
      </c>
      <c r="AH240" s="38" t="str">
        <f>IFERROR(Macro!$D80*Team!AH141/12+IF(AND(YEAR(AH$5)&gt;2020,MONTH(AH$5)=Macro!$D$52),Macro!$D80*AVERAGE(OFFSET(AI141,0,0,1,-12))*Macro!$E80,0),"NA")</f>
        <v>NA</v>
      </c>
      <c r="AI240" s="39">
        <f>IFERROR(Macro!$D80*Team!AI141/12+IF(AND(YEAR(AI$5)&gt;2020,MONTH(AI$5)=Macro!$D$52),Macro!$D80*AVERAGE(OFFSET(AJ141,0,0,1,-12))*Macro!$E80,0),"NA")</f>
        <v>0</v>
      </c>
      <c r="AJ240" s="40">
        <f>IFERROR(Macro!$D80*Team!AJ141/12+IF(AND(YEAR(AJ$5)&gt;2020,MONTH(AJ$5)=Macro!$D$52),Macro!$D80*AVERAGE(OFFSET(AK141,0,0,1,-12))*Macro!$E80,0),"NA")</f>
        <v>0</v>
      </c>
      <c r="AK240" s="38">
        <f>IFERROR(Macro!$D80*Team!AK141/12+IF(AND(YEAR(AK$5)&gt;2020,MONTH(AK$5)=Macro!$D$52),Macro!$D80*AVERAGE(OFFSET(AL141,0,0,1,-12))*Macro!$E80,0),"NA")</f>
        <v>0</v>
      </c>
      <c r="AL240" s="39">
        <f>IFERROR(Macro!$D80*Team!AL141/12+IF(AND(YEAR(AL$5)&gt;2020,MONTH(AL$5)=Macro!$D$52),Macro!$D80*AVERAGE(OFFSET(AM141,0,0,1,-12))*Macro!$E80,0),"NA")</f>
        <v>0</v>
      </c>
      <c r="AM240" s="40">
        <f>IFERROR(Macro!$D80*Team!AM141/12+IF(AND(YEAR(AM$5)&gt;2020,MONTH(AM$5)=Macro!$D$52),Macro!$D80*AVERAGE(OFFSET(AN141,0,0,1,-12))*Macro!$E80,0),"NA")</f>
        <v>0</v>
      </c>
      <c r="AN240" s="38">
        <f>IFERROR(Macro!$D80*Team!AN141/12+IF(AND(YEAR(AN$5)&gt;2020,MONTH(AN$5)=Macro!$D$52),Macro!$D80*AVERAGE(OFFSET(AO141,0,0,1,-12))*Macro!$E80,0),"NA")</f>
        <v>0</v>
      </c>
      <c r="AO240" s="39">
        <f>IFERROR(Macro!$D80*Team!AO141/12+IF(AND(YEAR(AO$5)&gt;2020,MONTH(AO$5)=Macro!$D$52),Macro!$D80*AVERAGE(OFFSET(AP141,0,0,1,-12))*Macro!$E80,0),"NA")</f>
        <v>0</v>
      </c>
      <c r="AP240" s="40">
        <f>IFERROR(Macro!$D80*Team!AP141/12+IF(AND(YEAR(AP$5)&gt;2020,MONTH(AP$5)=Macro!$D$52),Macro!$D80*AVERAGE(OFFSET(AQ141,0,0,1,-12))*Macro!$E80,0),"NA")</f>
        <v>0</v>
      </c>
      <c r="AQ240" s="38">
        <f>IFERROR(Macro!$D80*Team!AQ141/12+IF(AND(YEAR(AQ$5)&gt;2020,MONTH(AQ$5)=Macro!$D$52),Macro!$D80*AVERAGE(OFFSET(AR141,0,0,1,-12))*Macro!$E80,0),"NA")</f>
        <v>0</v>
      </c>
      <c r="AR240" s="39">
        <f>IFERROR(Macro!$D80*Team!AR141/12+IF(AND(YEAR(AR$5)&gt;2020,MONTH(AR$5)=Macro!$D$52),Macro!$D80*AVERAGE(OFFSET(AS141,0,0,1,-12))*Macro!$E80,0),"NA")</f>
        <v>0</v>
      </c>
      <c r="AS240" s="40">
        <f>IFERROR(Macro!$D80*Team!AS141/12+IF(AND(YEAR(AS$5)&gt;2020,MONTH(AS$5)=Macro!$D$52),Macro!$D80*AVERAGE(OFFSET(AT141,0,0,1,-12))*Macro!$E80,0),"NA")</f>
        <v>0</v>
      </c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</row>
    <row r="241" ht="12.0" customHeight="1">
      <c r="A241" s="282"/>
      <c r="B241" s="8"/>
      <c r="C241" s="37" t="str">
        <f t="shared" si="98"/>
        <v>[XX]</v>
      </c>
      <c r="D241" s="283">
        <f>IFERROR(Macro!$D81*Team!D142/12+IF(AND(YEAR(D$5)&gt;2020,MONTH(D$5)=Macro!$D$52),Macro!$D81*AVERAGE(OFFSET(E142,0,0,1,-12))*Macro!$E81,0),"NA")</f>
        <v>0</v>
      </c>
      <c r="E241" s="284">
        <f>IFERROR(Macro!$D81*Team!E142/12+IF(AND(YEAR(E$5)&gt;2020,MONTH(E$5)=Macro!$D$52),Macro!$D81*AVERAGE(OFFSET(F142,0,0,1,-12))*Macro!$E81,0),"NA")</f>
        <v>0</v>
      </c>
      <c r="F241" s="284">
        <f>IFERROR(Macro!$D81*Team!F142/12+IF(AND(YEAR(F$5)&gt;2020,MONTH(F$5)=Macro!$D$52),Macro!$D81*AVERAGE(OFFSET(G142,0,0,1,-12))*Macro!$E81,0),"NA")</f>
        <v>0</v>
      </c>
      <c r="G241" s="283">
        <f>IFERROR(Macro!$D81*Team!G142/12+IF(AND(YEAR(G$5)&gt;2020,MONTH(G$5)=Macro!$D$52),Macro!$D81*AVERAGE(OFFSET(H142,0,0,1,-12))*Macro!$E81,0),"NA")</f>
        <v>0</v>
      </c>
      <c r="H241" s="284">
        <f>IFERROR(Macro!$D81*Team!H142/12+IF(AND(YEAR(H$5)&gt;2020,MONTH(H$5)=Macro!$D$52),Macro!$D81*AVERAGE(OFFSET(I142,0,0,1,-12))*Macro!$E81,0),"NA")</f>
        <v>0</v>
      </c>
      <c r="I241" s="285">
        <f>IFERROR(Macro!$D81*Team!I142/12+IF(AND(YEAR(I$5)&gt;2020,MONTH(I$5)=Macro!$D$52),Macro!$D81*AVERAGE(OFFSET(J142,0,0,1,-12))*Macro!$E81,0),"NA")</f>
        <v>0</v>
      </c>
      <c r="J241" s="286">
        <f>IFERROR(Macro!$D81*Team!J142/12+IF(AND(YEAR(J$5)&gt;2020,MONTH(J$5)=Macro!$D$52),Macro!$D81*AVERAGE(OFFSET(K142,0,0,1,-12))*Macro!$E81,0),"NA")</f>
        <v>0</v>
      </c>
      <c r="K241" s="287">
        <f>IFERROR(Macro!$D81*Team!K142/12+IF(AND(YEAR(K$5)&gt;2020,MONTH(K$5)=Macro!$D$52),Macro!$D81*AVERAGE(OFFSET(L142,0,0,1,-12))*Macro!$E81,0),"NA")</f>
        <v>0</v>
      </c>
      <c r="L241" s="288">
        <f>IFERROR(Macro!$D81*Team!L142/12+IF(AND(YEAR(L$5)&gt;2020,MONTH(L$5)=Macro!$D$52),Macro!$D81*AVERAGE(OFFSET(M142,0,0,1,-12))*Macro!$E81,0),"NA")</f>
        <v>0</v>
      </c>
      <c r="M241" s="38">
        <f>IFERROR(Macro!$D81*Team!M142/12+IF(AND(YEAR(M$5)&gt;2020,MONTH(M$5)=Macro!$D$52),Macro!$D81*AVERAGE(OFFSET(N142,0,0,1,-12))*Macro!$E81,0),"NA")</f>
        <v>0</v>
      </c>
      <c r="N241" s="39">
        <f>IFERROR(Macro!$D81*Team!N142/12+IF(AND(YEAR(N$5)&gt;2020,MONTH(N$5)=Macro!$D$52),Macro!$D81*AVERAGE(OFFSET(O142,0,0,1,-12))*Macro!$E81,0),"NA")</f>
        <v>0</v>
      </c>
      <c r="O241" s="40">
        <f>IFERROR(Macro!$D81*Team!O142/12+IF(AND(YEAR(O$5)&gt;2020,MONTH(O$5)=Macro!$D$52),Macro!$D81*AVERAGE(OFFSET(P142,0,0,1,-12))*Macro!$E81,0),"NA")</f>
        <v>0</v>
      </c>
      <c r="P241" s="38">
        <f>IFERROR(Macro!$D81*Team!P142/12+IF(AND(YEAR(P$5)&gt;2020,MONTH(P$5)=Macro!$D$52),Macro!$D81*AVERAGE(OFFSET(Q142,0,0,1,-12))*Macro!$E81,0),"NA")</f>
        <v>0</v>
      </c>
      <c r="Q241" s="39">
        <f>IFERROR(Macro!$D81*Team!Q142/12+IF(AND(YEAR(Q$5)&gt;2020,MONTH(Q$5)=Macro!$D$52),Macro!$D81*AVERAGE(OFFSET(R142,0,0,1,-12))*Macro!$E81,0),"NA")</f>
        <v>0</v>
      </c>
      <c r="R241" s="40">
        <f>IFERROR(Macro!$D81*Team!R142/12+IF(AND(YEAR(R$5)&gt;2020,MONTH(R$5)=Macro!$D$52),Macro!$D81*AVERAGE(OFFSET(S142,0,0,1,-12))*Macro!$E81,0),"NA")</f>
        <v>0</v>
      </c>
      <c r="S241" s="38">
        <f>IFERROR(Macro!$D81*Team!S142/12+IF(AND(YEAR(S$5)&gt;2020,MONTH(S$5)=Macro!$D$52),Macro!$D81*AVERAGE(OFFSET(T142,0,0,1,-12))*Macro!$E81,0),"NA")</f>
        <v>0</v>
      </c>
      <c r="T241" s="39">
        <f>IFERROR(Macro!$D81*Team!T142/12+IF(AND(YEAR(T$5)&gt;2020,MONTH(T$5)=Macro!$D$52),Macro!$D81*AVERAGE(OFFSET(U142,0,0,1,-12))*Macro!$E81,0),"NA")</f>
        <v>0</v>
      </c>
      <c r="U241" s="40">
        <f>IFERROR(Macro!$D81*Team!U142/12+IF(AND(YEAR(U$5)&gt;2020,MONTH(U$5)=Macro!$D$52),Macro!$D81*AVERAGE(OFFSET(V142,0,0,1,-12))*Macro!$E81,0),"NA")</f>
        <v>0</v>
      </c>
      <c r="V241" s="38" t="str">
        <f>IFERROR(Macro!$D81*Team!V142/12+IF(AND(YEAR(V$5)&gt;2020,MONTH(V$5)=Macro!$D$52),Macro!$D81*AVERAGE(OFFSET(W142,0,0,1,-12))*Macro!$E81,0),"NA")</f>
        <v>NA</v>
      </c>
      <c r="W241" s="39">
        <f>IFERROR(Macro!$D81*Team!W142/12+IF(AND(YEAR(W$5)&gt;2020,MONTH(W$5)=Macro!$D$52),Macro!$D81*AVERAGE(OFFSET(X142,0,0,1,-12))*Macro!$E81,0),"NA")</f>
        <v>0</v>
      </c>
      <c r="X241" s="40">
        <f>IFERROR(Macro!$D81*Team!X142/12+IF(AND(YEAR(X$5)&gt;2020,MONTH(X$5)=Macro!$D$52),Macro!$D81*AVERAGE(OFFSET(Y142,0,0,1,-12))*Macro!$E81,0),"NA")</f>
        <v>0</v>
      </c>
      <c r="Y241" s="38">
        <f>IFERROR(Macro!$D81*Team!Y142/12+IF(AND(YEAR(Y$5)&gt;2020,MONTH(Y$5)=Macro!$D$52),Macro!$D81*AVERAGE(OFFSET(Z142,0,0,1,-12))*Macro!$E81,0),"NA")</f>
        <v>0</v>
      </c>
      <c r="Z241" s="39">
        <f>IFERROR(Macro!$D81*Team!Z142/12+IF(AND(YEAR(Z$5)&gt;2020,MONTH(Z$5)=Macro!$D$52),Macro!$D81*AVERAGE(OFFSET(AA142,0,0,1,-12))*Macro!$E81,0),"NA")</f>
        <v>0</v>
      </c>
      <c r="AA241" s="40">
        <f>IFERROR(Macro!$D81*Team!AA142/12+IF(AND(YEAR(AA$5)&gt;2020,MONTH(AA$5)=Macro!$D$52),Macro!$D81*AVERAGE(OFFSET(AB142,0,0,1,-12))*Macro!$E81,0),"NA")</f>
        <v>0</v>
      </c>
      <c r="AB241" s="38">
        <f>IFERROR(Macro!$D81*Team!AB142/12+IF(AND(YEAR(AB$5)&gt;2020,MONTH(AB$5)=Macro!$D$52),Macro!$D81*AVERAGE(OFFSET(AC142,0,0,1,-12))*Macro!$E81,0),"NA")</f>
        <v>0</v>
      </c>
      <c r="AC241" s="39">
        <f>IFERROR(Macro!$D81*Team!AC142/12+IF(AND(YEAR(AC$5)&gt;2020,MONTH(AC$5)=Macro!$D$52),Macro!$D81*AVERAGE(OFFSET(AD142,0,0,1,-12))*Macro!$E81,0),"NA")</f>
        <v>0</v>
      </c>
      <c r="AD241" s="40">
        <f>IFERROR(Macro!$D81*Team!AD142/12+IF(AND(YEAR(AD$5)&gt;2020,MONTH(AD$5)=Macro!$D$52),Macro!$D81*AVERAGE(OFFSET(AE142,0,0,1,-12))*Macro!$E81,0),"NA")</f>
        <v>0</v>
      </c>
      <c r="AE241" s="38">
        <f>IFERROR(Macro!$D81*Team!AE142/12+IF(AND(YEAR(AE$5)&gt;2020,MONTH(AE$5)=Macro!$D$52),Macro!$D81*AVERAGE(OFFSET(AF142,0,0,1,-12))*Macro!$E81,0),"NA")</f>
        <v>0</v>
      </c>
      <c r="AF241" s="39">
        <f>IFERROR(Macro!$D81*Team!AF142/12+IF(AND(YEAR(AF$5)&gt;2020,MONTH(AF$5)=Macro!$D$52),Macro!$D81*AVERAGE(OFFSET(AG142,0,0,1,-12))*Macro!$E81,0),"NA")</f>
        <v>0</v>
      </c>
      <c r="AG241" s="40">
        <f>IFERROR(Macro!$D81*Team!AG142/12+IF(AND(YEAR(AG$5)&gt;2020,MONTH(AG$5)=Macro!$D$52),Macro!$D81*AVERAGE(OFFSET(AH142,0,0,1,-12))*Macro!$E81,0),"NA")</f>
        <v>0</v>
      </c>
      <c r="AH241" s="38" t="str">
        <f>IFERROR(Macro!$D81*Team!AH142/12+IF(AND(YEAR(AH$5)&gt;2020,MONTH(AH$5)=Macro!$D$52),Macro!$D81*AVERAGE(OFFSET(AI142,0,0,1,-12))*Macro!$E81,0),"NA")</f>
        <v>NA</v>
      </c>
      <c r="AI241" s="39">
        <f>IFERROR(Macro!$D81*Team!AI142/12+IF(AND(YEAR(AI$5)&gt;2020,MONTH(AI$5)=Macro!$D$52),Macro!$D81*AVERAGE(OFFSET(AJ142,0,0,1,-12))*Macro!$E81,0),"NA")</f>
        <v>0</v>
      </c>
      <c r="AJ241" s="40">
        <f>IFERROR(Macro!$D81*Team!AJ142/12+IF(AND(YEAR(AJ$5)&gt;2020,MONTH(AJ$5)=Macro!$D$52),Macro!$D81*AVERAGE(OFFSET(AK142,0,0,1,-12))*Macro!$E81,0),"NA")</f>
        <v>0</v>
      </c>
      <c r="AK241" s="38">
        <f>IFERROR(Macro!$D81*Team!AK142/12+IF(AND(YEAR(AK$5)&gt;2020,MONTH(AK$5)=Macro!$D$52),Macro!$D81*AVERAGE(OFFSET(AL142,0,0,1,-12))*Macro!$E81,0),"NA")</f>
        <v>0</v>
      </c>
      <c r="AL241" s="39">
        <f>IFERROR(Macro!$D81*Team!AL142/12+IF(AND(YEAR(AL$5)&gt;2020,MONTH(AL$5)=Macro!$D$52),Macro!$D81*AVERAGE(OFFSET(AM142,0,0,1,-12))*Macro!$E81,0),"NA")</f>
        <v>0</v>
      </c>
      <c r="AM241" s="40">
        <f>IFERROR(Macro!$D81*Team!AM142/12+IF(AND(YEAR(AM$5)&gt;2020,MONTH(AM$5)=Macro!$D$52),Macro!$D81*AVERAGE(OFFSET(AN142,0,0,1,-12))*Macro!$E81,0),"NA")</f>
        <v>0</v>
      </c>
      <c r="AN241" s="38">
        <f>IFERROR(Macro!$D81*Team!AN142/12+IF(AND(YEAR(AN$5)&gt;2020,MONTH(AN$5)=Macro!$D$52),Macro!$D81*AVERAGE(OFFSET(AO142,0,0,1,-12))*Macro!$E81,0),"NA")</f>
        <v>0</v>
      </c>
      <c r="AO241" s="39">
        <f>IFERROR(Macro!$D81*Team!AO142/12+IF(AND(YEAR(AO$5)&gt;2020,MONTH(AO$5)=Macro!$D$52),Macro!$D81*AVERAGE(OFFSET(AP142,0,0,1,-12))*Macro!$E81,0),"NA")</f>
        <v>0</v>
      </c>
      <c r="AP241" s="40">
        <f>IFERROR(Macro!$D81*Team!AP142/12+IF(AND(YEAR(AP$5)&gt;2020,MONTH(AP$5)=Macro!$D$52),Macro!$D81*AVERAGE(OFFSET(AQ142,0,0,1,-12))*Macro!$E81,0),"NA")</f>
        <v>0</v>
      </c>
      <c r="AQ241" s="38">
        <f>IFERROR(Macro!$D81*Team!AQ142/12+IF(AND(YEAR(AQ$5)&gt;2020,MONTH(AQ$5)=Macro!$D$52),Macro!$D81*AVERAGE(OFFSET(AR142,0,0,1,-12))*Macro!$E81,0),"NA")</f>
        <v>0</v>
      </c>
      <c r="AR241" s="39">
        <f>IFERROR(Macro!$D81*Team!AR142/12+IF(AND(YEAR(AR$5)&gt;2020,MONTH(AR$5)=Macro!$D$52),Macro!$D81*AVERAGE(OFFSET(AS142,0,0,1,-12))*Macro!$E81,0),"NA")</f>
        <v>0</v>
      </c>
      <c r="AS241" s="40">
        <f>IFERROR(Macro!$D81*Team!AS142/12+IF(AND(YEAR(AS$5)&gt;2020,MONTH(AS$5)=Macro!$D$52),Macro!$D81*AVERAGE(OFFSET(AT142,0,0,1,-12))*Macro!$E81,0),"NA")</f>
        <v>0</v>
      </c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</row>
    <row r="242" ht="12.0" customHeight="1">
      <c r="A242" s="282"/>
      <c r="B242" s="4"/>
      <c r="C242" s="277" t="str">
        <f t="shared" si="98"/>
        <v>[XX]</v>
      </c>
      <c r="D242" s="289">
        <f>IFERROR(Macro!$D82*Team!D143/12+IF(AND(YEAR(D$5)&gt;2020,MONTH(D$5)=Macro!$D$52),Macro!$D82*AVERAGE(OFFSET(E143,0,0,1,-12))*Macro!$E82,0),"NA")</f>
        <v>0</v>
      </c>
      <c r="E242" s="290">
        <f>IFERROR(Macro!$D82*Team!E143/12+IF(AND(YEAR(E$5)&gt;2020,MONTH(E$5)=Macro!$D$52),Macro!$D82*AVERAGE(OFFSET(F143,0,0,1,-12))*Macro!$E82,0),"NA")</f>
        <v>0</v>
      </c>
      <c r="F242" s="290">
        <f>IFERROR(Macro!$D82*Team!F143/12+IF(AND(YEAR(F$5)&gt;2020,MONTH(F$5)=Macro!$D$52),Macro!$D82*AVERAGE(OFFSET(G143,0,0,1,-12))*Macro!$E82,0),"NA")</f>
        <v>0</v>
      </c>
      <c r="G242" s="289">
        <f>IFERROR(Macro!$D82*Team!G143/12+IF(AND(YEAR(G$5)&gt;2020,MONTH(G$5)=Macro!$D$52),Macro!$D82*AVERAGE(OFFSET(H143,0,0,1,-12))*Macro!$E82,0),"NA")</f>
        <v>0</v>
      </c>
      <c r="H242" s="290">
        <f>IFERROR(Macro!$D82*Team!H143/12+IF(AND(YEAR(H$5)&gt;2020,MONTH(H$5)=Macro!$D$52),Macro!$D82*AVERAGE(OFFSET(I143,0,0,1,-12))*Macro!$E82,0),"NA")</f>
        <v>0</v>
      </c>
      <c r="I242" s="291">
        <f>IFERROR(Macro!$D82*Team!I143/12+IF(AND(YEAR(I$5)&gt;2020,MONTH(I$5)=Macro!$D$52),Macro!$D82*AVERAGE(OFFSET(J143,0,0,1,-12))*Macro!$E82,0),"NA")</f>
        <v>0</v>
      </c>
      <c r="J242" s="292">
        <f>IFERROR(Macro!$D82*Team!J143/12+IF(AND(YEAR(J$5)&gt;2020,MONTH(J$5)=Macro!$D$52),Macro!$D82*AVERAGE(OFFSET(K143,0,0,1,-12))*Macro!$E82,0),"NA")</f>
        <v>0</v>
      </c>
      <c r="K242" s="293">
        <f>IFERROR(Macro!$D82*Team!K143/12+IF(AND(YEAR(K$5)&gt;2020,MONTH(K$5)=Macro!$D$52),Macro!$D82*AVERAGE(OFFSET(L143,0,0,1,-12))*Macro!$E82,0),"NA")</f>
        <v>0</v>
      </c>
      <c r="L242" s="294">
        <f>IFERROR(Macro!$D82*Team!L143/12+IF(AND(YEAR(L$5)&gt;2020,MONTH(L$5)=Macro!$D$52),Macro!$D82*AVERAGE(OFFSET(M143,0,0,1,-12))*Macro!$E82,0),"NA")</f>
        <v>0</v>
      </c>
      <c r="M242" s="241">
        <f>IFERROR(Macro!$D82*Team!M143/12+IF(AND(YEAR(M$5)&gt;2020,MONTH(M$5)=Macro!$D$52),Macro!$D82*AVERAGE(OFFSET(N143,0,0,1,-12))*Macro!$E82,0),"NA")</f>
        <v>0</v>
      </c>
      <c r="N242" s="242">
        <f>IFERROR(Macro!$D82*Team!N143/12+IF(AND(YEAR(N$5)&gt;2020,MONTH(N$5)=Macro!$D$52),Macro!$D82*AVERAGE(OFFSET(O143,0,0,1,-12))*Macro!$E82,0),"NA")</f>
        <v>0</v>
      </c>
      <c r="O242" s="243">
        <f>IFERROR(Macro!$D82*Team!O143/12+IF(AND(YEAR(O$5)&gt;2020,MONTH(O$5)=Macro!$D$52),Macro!$D82*AVERAGE(OFFSET(P143,0,0,1,-12))*Macro!$E82,0),"NA")</f>
        <v>0</v>
      </c>
      <c r="P242" s="241">
        <f>IFERROR(Macro!$D82*Team!P143/12+IF(AND(YEAR(P$5)&gt;2020,MONTH(P$5)=Macro!$D$52),Macro!$D82*AVERAGE(OFFSET(Q143,0,0,1,-12))*Macro!$E82,0),"NA")</f>
        <v>0</v>
      </c>
      <c r="Q242" s="242">
        <f>IFERROR(Macro!$D82*Team!Q143/12+IF(AND(YEAR(Q$5)&gt;2020,MONTH(Q$5)=Macro!$D$52),Macro!$D82*AVERAGE(OFFSET(R143,0,0,1,-12))*Macro!$E82,0),"NA")</f>
        <v>0</v>
      </c>
      <c r="R242" s="243">
        <f>IFERROR(Macro!$D82*Team!R143/12+IF(AND(YEAR(R$5)&gt;2020,MONTH(R$5)=Macro!$D$52),Macro!$D82*AVERAGE(OFFSET(S143,0,0,1,-12))*Macro!$E82,0),"NA")</f>
        <v>0</v>
      </c>
      <c r="S242" s="241">
        <f>IFERROR(Macro!$D82*Team!S143/12+IF(AND(YEAR(S$5)&gt;2020,MONTH(S$5)=Macro!$D$52),Macro!$D82*AVERAGE(OFFSET(T143,0,0,1,-12))*Macro!$E82,0),"NA")</f>
        <v>0</v>
      </c>
      <c r="T242" s="242">
        <f>IFERROR(Macro!$D82*Team!T143/12+IF(AND(YEAR(T$5)&gt;2020,MONTH(T$5)=Macro!$D$52),Macro!$D82*AVERAGE(OFFSET(U143,0,0,1,-12))*Macro!$E82,0),"NA")</f>
        <v>0</v>
      </c>
      <c r="U242" s="243">
        <f>IFERROR(Macro!$D82*Team!U143/12+IF(AND(YEAR(U$5)&gt;2020,MONTH(U$5)=Macro!$D$52),Macro!$D82*AVERAGE(OFFSET(V143,0,0,1,-12))*Macro!$E82,0),"NA")</f>
        <v>0</v>
      </c>
      <c r="V242" s="241" t="str">
        <f>IFERROR(Macro!$D82*Team!V143/12+IF(AND(YEAR(V$5)&gt;2020,MONTH(V$5)=Macro!$D$52),Macro!$D82*AVERAGE(OFFSET(W143,0,0,1,-12))*Macro!$E82,0),"NA")</f>
        <v>NA</v>
      </c>
      <c r="W242" s="242">
        <f>IFERROR(Macro!$D82*Team!W143/12+IF(AND(YEAR(W$5)&gt;2020,MONTH(W$5)=Macro!$D$52),Macro!$D82*AVERAGE(OFFSET(X143,0,0,1,-12))*Macro!$E82,0),"NA")</f>
        <v>0</v>
      </c>
      <c r="X242" s="243">
        <f>IFERROR(Macro!$D82*Team!X143/12+IF(AND(YEAR(X$5)&gt;2020,MONTH(X$5)=Macro!$D$52),Macro!$D82*AVERAGE(OFFSET(Y143,0,0,1,-12))*Macro!$E82,0),"NA")</f>
        <v>0</v>
      </c>
      <c r="Y242" s="241">
        <f>IFERROR(Macro!$D82*Team!Y143/12+IF(AND(YEAR(Y$5)&gt;2020,MONTH(Y$5)=Macro!$D$52),Macro!$D82*AVERAGE(OFFSET(Z143,0,0,1,-12))*Macro!$E82,0),"NA")</f>
        <v>0</v>
      </c>
      <c r="Z242" s="242">
        <f>IFERROR(Macro!$D82*Team!Z143/12+IF(AND(YEAR(Z$5)&gt;2020,MONTH(Z$5)=Macro!$D$52),Macro!$D82*AVERAGE(OFFSET(AA143,0,0,1,-12))*Macro!$E82,0),"NA")</f>
        <v>0</v>
      </c>
      <c r="AA242" s="243">
        <f>IFERROR(Macro!$D82*Team!AA143/12+IF(AND(YEAR(AA$5)&gt;2020,MONTH(AA$5)=Macro!$D$52),Macro!$D82*AVERAGE(OFFSET(AB143,0,0,1,-12))*Macro!$E82,0),"NA")</f>
        <v>0</v>
      </c>
      <c r="AB242" s="241">
        <f>IFERROR(Macro!$D82*Team!AB143/12+IF(AND(YEAR(AB$5)&gt;2020,MONTH(AB$5)=Macro!$D$52),Macro!$D82*AVERAGE(OFFSET(AC143,0,0,1,-12))*Macro!$E82,0),"NA")</f>
        <v>0</v>
      </c>
      <c r="AC242" s="242">
        <f>IFERROR(Macro!$D82*Team!AC143/12+IF(AND(YEAR(AC$5)&gt;2020,MONTH(AC$5)=Macro!$D$52),Macro!$D82*AVERAGE(OFFSET(AD143,0,0,1,-12))*Macro!$E82,0),"NA")</f>
        <v>0</v>
      </c>
      <c r="AD242" s="243">
        <f>IFERROR(Macro!$D82*Team!AD143/12+IF(AND(YEAR(AD$5)&gt;2020,MONTH(AD$5)=Macro!$D$52),Macro!$D82*AVERAGE(OFFSET(AE143,0,0,1,-12))*Macro!$E82,0),"NA")</f>
        <v>0</v>
      </c>
      <c r="AE242" s="241">
        <f>IFERROR(Macro!$D82*Team!AE143/12+IF(AND(YEAR(AE$5)&gt;2020,MONTH(AE$5)=Macro!$D$52),Macro!$D82*AVERAGE(OFFSET(AF143,0,0,1,-12))*Macro!$E82,0),"NA")</f>
        <v>0</v>
      </c>
      <c r="AF242" s="242">
        <f>IFERROR(Macro!$D82*Team!AF143/12+IF(AND(YEAR(AF$5)&gt;2020,MONTH(AF$5)=Macro!$D$52),Macro!$D82*AVERAGE(OFFSET(AG143,0,0,1,-12))*Macro!$E82,0),"NA")</f>
        <v>0</v>
      </c>
      <c r="AG242" s="243">
        <f>IFERROR(Macro!$D82*Team!AG143/12+IF(AND(YEAR(AG$5)&gt;2020,MONTH(AG$5)=Macro!$D$52),Macro!$D82*AVERAGE(OFFSET(AH143,0,0,1,-12))*Macro!$E82,0),"NA")</f>
        <v>0</v>
      </c>
      <c r="AH242" s="241" t="str">
        <f>IFERROR(Macro!$D82*Team!AH143/12+IF(AND(YEAR(AH$5)&gt;2020,MONTH(AH$5)=Macro!$D$52),Macro!$D82*AVERAGE(OFFSET(AI143,0,0,1,-12))*Macro!$E82,0),"NA")</f>
        <v>NA</v>
      </c>
      <c r="AI242" s="242">
        <f>IFERROR(Macro!$D82*Team!AI143/12+IF(AND(YEAR(AI$5)&gt;2020,MONTH(AI$5)=Macro!$D$52),Macro!$D82*AVERAGE(OFFSET(AJ143,0,0,1,-12))*Macro!$E82,0),"NA")</f>
        <v>0</v>
      </c>
      <c r="AJ242" s="243">
        <f>IFERROR(Macro!$D82*Team!AJ143/12+IF(AND(YEAR(AJ$5)&gt;2020,MONTH(AJ$5)=Macro!$D$52),Macro!$D82*AVERAGE(OFFSET(AK143,0,0,1,-12))*Macro!$E82,0),"NA")</f>
        <v>0</v>
      </c>
      <c r="AK242" s="241">
        <f>IFERROR(Macro!$D82*Team!AK143/12+IF(AND(YEAR(AK$5)&gt;2020,MONTH(AK$5)=Macro!$D$52),Macro!$D82*AVERAGE(OFFSET(AL143,0,0,1,-12))*Macro!$E82,0),"NA")</f>
        <v>0</v>
      </c>
      <c r="AL242" s="242">
        <f>IFERROR(Macro!$D82*Team!AL143/12+IF(AND(YEAR(AL$5)&gt;2020,MONTH(AL$5)=Macro!$D$52),Macro!$D82*AVERAGE(OFFSET(AM143,0,0,1,-12))*Macro!$E82,0),"NA")</f>
        <v>0</v>
      </c>
      <c r="AM242" s="243">
        <f>IFERROR(Macro!$D82*Team!AM143/12+IF(AND(YEAR(AM$5)&gt;2020,MONTH(AM$5)=Macro!$D$52),Macro!$D82*AVERAGE(OFFSET(AN143,0,0,1,-12))*Macro!$E82,0),"NA")</f>
        <v>0</v>
      </c>
      <c r="AN242" s="241">
        <f>IFERROR(Macro!$D82*Team!AN143/12+IF(AND(YEAR(AN$5)&gt;2020,MONTH(AN$5)=Macro!$D$52),Macro!$D82*AVERAGE(OFFSET(AO143,0,0,1,-12))*Macro!$E82,0),"NA")</f>
        <v>0</v>
      </c>
      <c r="AO242" s="242">
        <f>IFERROR(Macro!$D82*Team!AO143/12+IF(AND(YEAR(AO$5)&gt;2020,MONTH(AO$5)=Macro!$D$52),Macro!$D82*AVERAGE(OFFSET(AP143,0,0,1,-12))*Macro!$E82,0),"NA")</f>
        <v>0</v>
      </c>
      <c r="AP242" s="243">
        <f>IFERROR(Macro!$D82*Team!AP143/12+IF(AND(YEAR(AP$5)&gt;2020,MONTH(AP$5)=Macro!$D$52),Macro!$D82*AVERAGE(OFFSET(AQ143,0,0,1,-12))*Macro!$E82,0),"NA")</f>
        <v>0</v>
      </c>
      <c r="AQ242" s="241">
        <f>IFERROR(Macro!$D82*Team!AQ143/12+IF(AND(YEAR(AQ$5)&gt;2020,MONTH(AQ$5)=Macro!$D$52),Macro!$D82*AVERAGE(OFFSET(AR143,0,0,1,-12))*Macro!$E82,0),"NA")</f>
        <v>0</v>
      </c>
      <c r="AR242" s="242">
        <f>IFERROR(Macro!$D82*Team!AR143/12+IF(AND(YEAR(AR$5)&gt;2020,MONTH(AR$5)=Macro!$D$52),Macro!$D82*AVERAGE(OFFSET(AS143,0,0,1,-12))*Macro!$E82,0),"NA")</f>
        <v>0</v>
      </c>
      <c r="AS242" s="243">
        <f>IFERROR(Macro!$D82*Team!AS143/12+IF(AND(YEAR(AS$5)&gt;2020,MONTH(AS$5)=Macro!$D$52),Macro!$D82*AVERAGE(OFFSET(AT143,0,0,1,-12))*Macro!$E82,0),"NA")</f>
        <v>0</v>
      </c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</row>
    <row r="243" ht="12.0" customHeight="1">
      <c r="A243" s="8"/>
      <c r="B243" s="8"/>
      <c r="C243" s="270" t="s">
        <v>73</v>
      </c>
      <c r="D243" s="51">
        <f t="shared" ref="D243:AS243" si="99">SUM(D231:D242)</f>
        <v>25000</v>
      </c>
      <c r="E243" s="52">
        <f t="shared" si="99"/>
        <v>25000</v>
      </c>
      <c r="F243" s="52">
        <f t="shared" si="99"/>
        <v>25000</v>
      </c>
      <c r="G243" s="51">
        <f t="shared" si="99"/>
        <v>25000</v>
      </c>
      <c r="H243" s="52">
        <f t="shared" si="99"/>
        <v>25000</v>
      </c>
      <c r="I243" s="53">
        <f t="shared" si="99"/>
        <v>25000</v>
      </c>
      <c r="J243" s="51">
        <f t="shared" si="99"/>
        <v>25000</v>
      </c>
      <c r="K243" s="52">
        <f t="shared" si="99"/>
        <v>25000</v>
      </c>
      <c r="L243" s="53">
        <f t="shared" si="99"/>
        <v>37500</v>
      </c>
      <c r="M243" s="51">
        <f t="shared" si="99"/>
        <v>25000</v>
      </c>
      <c r="N243" s="52">
        <f t="shared" si="99"/>
        <v>25000</v>
      </c>
      <c r="O243" s="53">
        <f t="shared" si="99"/>
        <v>37500</v>
      </c>
      <c r="P243" s="51">
        <f t="shared" si="99"/>
        <v>37500</v>
      </c>
      <c r="Q243" s="52">
        <f t="shared" si="99"/>
        <v>37500</v>
      </c>
      <c r="R243" s="53">
        <f t="shared" si="99"/>
        <v>37500</v>
      </c>
      <c r="S243" s="51">
        <f t="shared" si="99"/>
        <v>37500</v>
      </c>
      <c r="T243" s="52">
        <f t="shared" si="99"/>
        <v>37500</v>
      </c>
      <c r="U243" s="53">
        <f t="shared" si="99"/>
        <v>37500</v>
      </c>
      <c r="V243" s="51">
        <f t="shared" si="99"/>
        <v>0</v>
      </c>
      <c r="W243" s="52">
        <f t="shared" si="99"/>
        <v>37500</v>
      </c>
      <c r="X243" s="53">
        <f t="shared" si="99"/>
        <v>37500</v>
      </c>
      <c r="Y243" s="51">
        <f t="shared" si="99"/>
        <v>37500</v>
      </c>
      <c r="Z243" s="52">
        <f t="shared" si="99"/>
        <v>50000</v>
      </c>
      <c r="AA243" s="53">
        <f t="shared" si="99"/>
        <v>50000</v>
      </c>
      <c r="AB243" s="51">
        <f t="shared" si="99"/>
        <v>50000</v>
      </c>
      <c r="AC243" s="52">
        <f t="shared" si="99"/>
        <v>50000</v>
      </c>
      <c r="AD243" s="53">
        <f t="shared" si="99"/>
        <v>50000</v>
      </c>
      <c r="AE243" s="51">
        <f t="shared" si="99"/>
        <v>50000</v>
      </c>
      <c r="AF243" s="52">
        <f t="shared" si="99"/>
        <v>50000</v>
      </c>
      <c r="AG243" s="53">
        <f t="shared" si="99"/>
        <v>50000</v>
      </c>
      <c r="AH243" s="51">
        <f t="shared" si="99"/>
        <v>0</v>
      </c>
      <c r="AI243" s="52">
        <f t="shared" si="99"/>
        <v>66666.66667</v>
      </c>
      <c r="AJ243" s="53">
        <f t="shared" si="99"/>
        <v>66666.66667</v>
      </c>
      <c r="AK243" s="51">
        <f t="shared" si="99"/>
        <v>66666.66667</v>
      </c>
      <c r="AL243" s="52">
        <f t="shared" si="99"/>
        <v>66666.66667</v>
      </c>
      <c r="AM243" s="53">
        <f t="shared" si="99"/>
        <v>66666.66667</v>
      </c>
      <c r="AN243" s="51">
        <f t="shared" si="99"/>
        <v>66666.66667</v>
      </c>
      <c r="AO243" s="52">
        <f t="shared" si="99"/>
        <v>66666.66667</v>
      </c>
      <c r="AP243" s="53">
        <f t="shared" si="99"/>
        <v>66666.66667</v>
      </c>
      <c r="AQ243" s="51">
        <f t="shared" si="99"/>
        <v>66666.66667</v>
      </c>
      <c r="AR243" s="52">
        <f t="shared" si="99"/>
        <v>66666.66667</v>
      </c>
      <c r="AS243" s="53">
        <f t="shared" si="99"/>
        <v>66666.66667</v>
      </c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</row>
    <row r="244" ht="12.0" customHeight="1">
      <c r="A244" s="8"/>
      <c r="B244" s="8"/>
      <c r="C244" s="8"/>
      <c r="D244" s="51"/>
      <c r="E244" s="52"/>
      <c r="F244" s="52"/>
      <c r="G244" s="51"/>
      <c r="H244" s="52"/>
      <c r="I244" s="53"/>
      <c r="J244" s="51"/>
      <c r="K244" s="52"/>
      <c r="L244" s="53"/>
      <c r="M244" s="51"/>
      <c r="N244" s="52"/>
      <c r="O244" s="53"/>
      <c r="P244" s="51"/>
      <c r="Q244" s="52"/>
      <c r="R244" s="53"/>
      <c r="S244" s="51"/>
      <c r="T244" s="52"/>
      <c r="U244" s="53"/>
      <c r="V244" s="51"/>
      <c r="W244" s="52"/>
      <c r="X244" s="53"/>
      <c r="Y244" s="51"/>
      <c r="Z244" s="52"/>
      <c r="AA244" s="53"/>
      <c r="AB244" s="51"/>
      <c r="AC244" s="52"/>
      <c r="AD244" s="53"/>
      <c r="AE244" s="51"/>
      <c r="AF244" s="52"/>
      <c r="AG244" s="53"/>
      <c r="AH244" s="51"/>
      <c r="AI244" s="52"/>
      <c r="AJ244" s="53"/>
      <c r="AK244" s="51"/>
      <c r="AL244" s="52"/>
      <c r="AM244" s="53"/>
      <c r="AN244" s="51"/>
      <c r="AO244" s="52"/>
      <c r="AP244" s="53"/>
      <c r="AQ244" s="51"/>
      <c r="AR244" s="52"/>
      <c r="AS244" s="53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</row>
    <row r="245" ht="12.0" customHeight="1">
      <c r="A245" s="8"/>
      <c r="B245" s="270" t="s">
        <v>221</v>
      </c>
      <c r="C245" s="8"/>
      <c r="D245" s="51"/>
      <c r="E245" s="52"/>
      <c r="F245" s="52"/>
      <c r="G245" s="51"/>
      <c r="H245" s="52"/>
      <c r="I245" s="53"/>
      <c r="J245" s="51"/>
      <c r="K245" s="52"/>
      <c r="L245" s="53"/>
      <c r="M245" s="51"/>
      <c r="N245" s="52"/>
      <c r="O245" s="53"/>
      <c r="P245" s="51"/>
      <c r="Q245" s="52"/>
      <c r="R245" s="53"/>
      <c r="S245" s="51"/>
      <c r="T245" s="52"/>
      <c r="U245" s="53"/>
      <c r="V245" s="51"/>
      <c r="W245" s="52"/>
      <c r="X245" s="53"/>
      <c r="Y245" s="51"/>
      <c r="Z245" s="52"/>
      <c r="AA245" s="53"/>
      <c r="AB245" s="51"/>
      <c r="AC245" s="52"/>
      <c r="AD245" s="53"/>
      <c r="AE245" s="51"/>
      <c r="AF245" s="52"/>
      <c r="AG245" s="53"/>
      <c r="AH245" s="51"/>
      <c r="AI245" s="52"/>
      <c r="AJ245" s="53"/>
      <c r="AK245" s="51"/>
      <c r="AL245" s="52"/>
      <c r="AM245" s="53"/>
      <c r="AN245" s="51"/>
      <c r="AO245" s="52"/>
      <c r="AP245" s="53"/>
      <c r="AQ245" s="51"/>
      <c r="AR245" s="52"/>
      <c r="AS245" s="53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</row>
    <row r="246" ht="12.0" customHeight="1">
      <c r="A246" s="282"/>
      <c r="B246" s="8"/>
      <c r="C246" s="37" t="str">
        <f t="shared" ref="C246:C270" si="100">C147</f>
        <v>Chief Architect</v>
      </c>
      <c r="D246" s="283">
        <f>IFERROR(Macro!$D85*Team!D147/12+IF(AND(YEAR(D$5)&gt;2020,MONTH(D$5)=Macro!$D$52),Macro!$D85*AVERAGE(OFFSET(E147,0,0,1,-12))*Macro!$E85,0),"NA")</f>
        <v>16666.66667</v>
      </c>
      <c r="E246" s="284">
        <f>IFERROR(Macro!$D85*Team!E147/12+IF(AND(YEAR(E$5)&gt;2020,MONTH(E$5)=Macro!$D$52),Macro!$D85*AVERAGE(OFFSET(F147,0,0,1,-12))*Macro!$E85,0),"NA")</f>
        <v>16666.66667</v>
      </c>
      <c r="F246" s="284">
        <f>IFERROR(Macro!$D85*Team!F147/12+IF(AND(YEAR(F$5)&gt;2020,MONTH(F$5)=Macro!$D$52),Macro!$D85*AVERAGE(OFFSET(G147,0,0,1,-12))*Macro!$E85,0),"NA")</f>
        <v>16666.66667</v>
      </c>
      <c r="G246" s="283">
        <f>IFERROR(Macro!$D85*Team!G147/12+IF(AND(YEAR(G$5)&gt;2020,MONTH(G$5)=Macro!$D$52),Macro!$D85*AVERAGE(OFFSET(H147,0,0,1,-12))*Macro!$E85,0),"NA")</f>
        <v>16666.66667</v>
      </c>
      <c r="H246" s="284">
        <f>IFERROR(Macro!$D85*Team!H147/12+IF(AND(YEAR(H$5)&gt;2020,MONTH(H$5)=Macro!$D$52),Macro!$D85*AVERAGE(OFFSET(I147,0,0,1,-12))*Macro!$E85,0),"NA")</f>
        <v>16666.66667</v>
      </c>
      <c r="I246" s="285">
        <f>IFERROR(Macro!$D85*Team!I147/12+IF(AND(YEAR(I$5)&gt;2020,MONTH(I$5)=Macro!$D$52),Macro!$D85*AVERAGE(OFFSET(J147,0,0,1,-12))*Macro!$E85,0),"NA")</f>
        <v>16666.66667</v>
      </c>
      <c r="J246" s="286">
        <f>IFERROR(Macro!$D85*Team!J147/12+IF(AND(YEAR(J$5)&gt;2020,MONTH(J$5)=Macro!$D$52),Macro!$D85*AVERAGE(OFFSET(K147,0,0,1,-12))*Macro!$E85,0),"NA")</f>
        <v>16666.66667</v>
      </c>
      <c r="K246" s="287">
        <f>IFERROR(Macro!$D85*Team!K147/12+IF(AND(YEAR(K$5)&gt;2020,MONTH(K$5)=Macro!$D$52),Macro!$D85*AVERAGE(OFFSET(L147,0,0,1,-12))*Macro!$E85,0),"NA")</f>
        <v>16666.66667</v>
      </c>
      <c r="L246" s="288">
        <f>IFERROR(Macro!$D85*Team!L147/12+IF(AND(YEAR(L$5)&gt;2020,MONTH(L$5)=Macro!$D$52),Macro!$D85*AVERAGE(OFFSET(M147,0,0,1,-12))*Macro!$E85,0),"NA")</f>
        <v>16666.66667</v>
      </c>
      <c r="M246" s="38">
        <f>IFERROR(Macro!$D85*Team!M147/12+IF(AND(YEAR(M$5)&gt;2020,MONTH(M$5)=Macro!$D$52),Macro!$D85*AVERAGE(OFFSET(N147,0,0,1,-12))*Macro!$E85,0),"NA")</f>
        <v>16666.66667</v>
      </c>
      <c r="N246" s="39">
        <f>IFERROR(Macro!$D85*Team!N147/12+IF(AND(YEAR(N$5)&gt;2020,MONTH(N$5)=Macro!$D$52),Macro!$D85*AVERAGE(OFFSET(O147,0,0,1,-12))*Macro!$E85,0),"NA")</f>
        <v>16666.66667</v>
      </c>
      <c r="O246" s="40">
        <f>IFERROR(Macro!$D85*Team!O147/12+IF(AND(YEAR(O$5)&gt;2020,MONTH(O$5)=Macro!$D$52),Macro!$D85*AVERAGE(OFFSET(P147,0,0,1,-12))*Macro!$E85,0),"NA")</f>
        <v>16666.66667</v>
      </c>
      <c r="P246" s="38">
        <f>IFERROR(Macro!$D85*Team!P147/12+IF(AND(YEAR(P$5)&gt;2020,MONTH(P$5)=Macro!$D$52),Macro!$D85*AVERAGE(OFFSET(Q147,0,0,1,-12))*Macro!$E85,0),"NA")</f>
        <v>16666.66667</v>
      </c>
      <c r="Q246" s="39">
        <f>IFERROR(Macro!$D85*Team!Q147/12+IF(AND(YEAR(Q$5)&gt;2020,MONTH(Q$5)=Macro!$D$52),Macro!$D85*AVERAGE(OFFSET(R147,0,0,1,-12))*Macro!$E85,0),"NA")</f>
        <v>16666.66667</v>
      </c>
      <c r="R246" s="40">
        <f>IFERROR(Macro!$D85*Team!R147/12+IF(AND(YEAR(R$5)&gt;2020,MONTH(R$5)=Macro!$D$52),Macro!$D85*AVERAGE(OFFSET(S147,0,0,1,-12))*Macro!$E85,0),"NA")</f>
        <v>16666.66667</v>
      </c>
      <c r="S246" s="38">
        <f>IFERROR(Macro!$D85*Team!S147/12+IF(AND(YEAR(S$5)&gt;2020,MONTH(S$5)=Macro!$D$52),Macro!$D85*AVERAGE(OFFSET(T147,0,0,1,-12))*Macro!$E85,0),"NA")</f>
        <v>16666.66667</v>
      </c>
      <c r="T246" s="39">
        <f>IFERROR(Macro!$D85*Team!T147/12+IF(AND(YEAR(T$5)&gt;2020,MONTH(T$5)=Macro!$D$52),Macro!$D85*AVERAGE(OFFSET(U147,0,0,1,-12))*Macro!$E85,0),"NA")</f>
        <v>16666.66667</v>
      </c>
      <c r="U246" s="40">
        <f>IFERROR(Macro!$D85*Team!U147/12+IF(AND(YEAR(U$5)&gt;2020,MONTH(U$5)=Macro!$D$52),Macro!$D85*AVERAGE(OFFSET(V147,0,0,1,-12))*Macro!$E85,0),"NA")</f>
        <v>16666.66667</v>
      </c>
      <c r="V246" s="38" t="str">
        <f>IFERROR(Macro!$D85*Team!V147/12+IF(AND(YEAR(V$5)&gt;2020,MONTH(V$5)=Macro!$D$52),Macro!$D85*AVERAGE(OFFSET(W147,0,0,1,-12))*Macro!$E85,0),"NA")</f>
        <v>NA</v>
      </c>
      <c r="W246" s="39">
        <f>IFERROR(Macro!$D85*Team!W147/12+IF(AND(YEAR(W$5)&gt;2020,MONTH(W$5)=Macro!$D$52),Macro!$D85*AVERAGE(OFFSET(X147,0,0,1,-12))*Macro!$E85,0),"NA")</f>
        <v>16666.66667</v>
      </c>
      <c r="X246" s="40">
        <f>IFERROR(Macro!$D85*Team!X147/12+IF(AND(YEAR(X$5)&gt;2020,MONTH(X$5)=Macro!$D$52),Macro!$D85*AVERAGE(OFFSET(Y147,0,0,1,-12))*Macro!$E85,0),"NA")</f>
        <v>16666.66667</v>
      </c>
      <c r="Y246" s="38">
        <f>IFERROR(Macro!$D85*Team!Y147/12+IF(AND(YEAR(Y$5)&gt;2020,MONTH(Y$5)=Macro!$D$52),Macro!$D85*AVERAGE(OFFSET(Z147,0,0,1,-12))*Macro!$E85,0),"NA")</f>
        <v>16666.66667</v>
      </c>
      <c r="Z246" s="39">
        <f>IFERROR(Macro!$D85*Team!Z147/12+IF(AND(YEAR(Z$5)&gt;2020,MONTH(Z$5)=Macro!$D$52),Macro!$D85*AVERAGE(OFFSET(AA147,0,0,1,-12))*Macro!$E85,0),"NA")</f>
        <v>16666.66667</v>
      </c>
      <c r="AA246" s="40">
        <f>IFERROR(Macro!$D85*Team!AA147/12+IF(AND(YEAR(AA$5)&gt;2020,MONTH(AA$5)=Macro!$D$52),Macro!$D85*AVERAGE(OFFSET(AB147,0,0,1,-12))*Macro!$E85,0),"NA")</f>
        <v>16666.66667</v>
      </c>
      <c r="AB246" s="38">
        <f>IFERROR(Macro!$D85*Team!AB147/12+IF(AND(YEAR(AB$5)&gt;2020,MONTH(AB$5)=Macro!$D$52),Macro!$D85*AVERAGE(OFFSET(AC147,0,0,1,-12))*Macro!$E85,0),"NA")</f>
        <v>16666.66667</v>
      </c>
      <c r="AC246" s="39">
        <f>IFERROR(Macro!$D85*Team!AC147/12+IF(AND(YEAR(AC$5)&gt;2020,MONTH(AC$5)=Macro!$D$52),Macro!$D85*AVERAGE(OFFSET(AD147,0,0,1,-12))*Macro!$E85,0),"NA")</f>
        <v>16666.66667</v>
      </c>
      <c r="AD246" s="40">
        <f>IFERROR(Macro!$D85*Team!AD147/12+IF(AND(YEAR(AD$5)&gt;2020,MONTH(AD$5)=Macro!$D$52),Macro!$D85*AVERAGE(OFFSET(AE147,0,0,1,-12))*Macro!$E85,0),"NA")</f>
        <v>16666.66667</v>
      </c>
      <c r="AE246" s="38">
        <f>IFERROR(Macro!$D85*Team!AE147/12+IF(AND(YEAR(AE$5)&gt;2020,MONTH(AE$5)=Macro!$D$52),Macro!$D85*AVERAGE(OFFSET(AF147,0,0,1,-12))*Macro!$E85,0),"NA")</f>
        <v>16666.66667</v>
      </c>
      <c r="AF246" s="39">
        <f>IFERROR(Macro!$D85*Team!AF147/12+IF(AND(YEAR(AF$5)&gt;2020,MONTH(AF$5)=Macro!$D$52),Macro!$D85*AVERAGE(OFFSET(AG147,0,0,1,-12))*Macro!$E85,0),"NA")</f>
        <v>16666.66667</v>
      </c>
      <c r="AG246" s="40">
        <f>IFERROR(Macro!$D85*Team!AG147/12+IF(AND(YEAR(AG$5)&gt;2020,MONTH(AG$5)=Macro!$D$52),Macro!$D85*AVERAGE(OFFSET(AH147,0,0,1,-12))*Macro!$E85,0),"NA")</f>
        <v>16666.66667</v>
      </c>
      <c r="AH246" s="38" t="str">
        <f>IFERROR(Macro!$D85*Team!AH147/12+IF(AND(YEAR(AH$5)&gt;2020,MONTH(AH$5)=Macro!$D$52),Macro!$D85*AVERAGE(OFFSET(AI147,0,0,1,-12))*Macro!$E85,0),"NA")</f>
        <v>NA</v>
      </c>
      <c r="AI246" s="39">
        <f>IFERROR(Macro!$D85*Team!AI147/12+IF(AND(YEAR(AI$5)&gt;2020,MONTH(AI$5)=Macro!$D$52),Macro!$D85*AVERAGE(OFFSET(AJ147,0,0,1,-12))*Macro!$E85,0),"NA")</f>
        <v>16666.66667</v>
      </c>
      <c r="AJ246" s="40">
        <f>IFERROR(Macro!$D85*Team!AJ147/12+IF(AND(YEAR(AJ$5)&gt;2020,MONTH(AJ$5)=Macro!$D$52),Macro!$D85*AVERAGE(OFFSET(AK147,0,0,1,-12))*Macro!$E85,0),"NA")</f>
        <v>16666.66667</v>
      </c>
      <c r="AK246" s="38">
        <f>IFERROR(Macro!$D85*Team!AK147/12+IF(AND(YEAR(AK$5)&gt;2020,MONTH(AK$5)=Macro!$D$52),Macro!$D85*AVERAGE(OFFSET(AL147,0,0,1,-12))*Macro!$E85,0),"NA")</f>
        <v>16666.66667</v>
      </c>
      <c r="AL246" s="39">
        <f>IFERROR(Macro!$D85*Team!AL147/12+IF(AND(YEAR(AL$5)&gt;2020,MONTH(AL$5)=Macro!$D$52),Macro!$D85*AVERAGE(OFFSET(AM147,0,0,1,-12))*Macro!$E85,0),"NA")</f>
        <v>16666.66667</v>
      </c>
      <c r="AM246" s="40">
        <f>IFERROR(Macro!$D85*Team!AM147/12+IF(AND(YEAR(AM$5)&gt;2020,MONTH(AM$5)=Macro!$D$52),Macro!$D85*AVERAGE(OFFSET(AN147,0,0,1,-12))*Macro!$E85,0),"NA")</f>
        <v>16666.66667</v>
      </c>
      <c r="AN246" s="38">
        <f>IFERROR(Macro!$D85*Team!AN147/12+IF(AND(YEAR(AN$5)&gt;2020,MONTH(AN$5)=Macro!$D$52),Macro!$D85*AVERAGE(OFFSET(AO147,0,0,1,-12))*Macro!$E85,0),"NA")</f>
        <v>16666.66667</v>
      </c>
      <c r="AO246" s="39">
        <f>IFERROR(Macro!$D85*Team!AO147/12+IF(AND(YEAR(AO$5)&gt;2020,MONTH(AO$5)=Macro!$D$52),Macro!$D85*AVERAGE(OFFSET(AP147,0,0,1,-12))*Macro!$E85,0),"NA")</f>
        <v>16666.66667</v>
      </c>
      <c r="AP246" s="40">
        <f>IFERROR(Macro!$D85*Team!AP147/12+IF(AND(YEAR(AP$5)&gt;2020,MONTH(AP$5)=Macro!$D$52),Macro!$D85*AVERAGE(OFFSET(AQ147,0,0,1,-12))*Macro!$E85,0),"NA")</f>
        <v>16666.66667</v>
      </c>
      <c r="AQ246" s="38">
        <f>IFERROR(Macro!$D85*Team!AQ147/12+IF(AND(YEAR(AQ$5)&gt;2020,MONTH(AQ$5)=Macro!$D$52),Macro!$D85*AVERAGE(OFFSET(AR147,0,0,1,-12))*Macro!$E85,0),"NA")</f>
        <v>16666.66667</v>
      </c>
      <c r="AR246" s="39">
        <f>IFERROR(Macro!$D85*Team!AR147/12+IF(AND(YEAR(AR$5)&gt;2020,MONTH(AR$5)=Macro!$D$52),Macro!$D85*AVERAGE(OFFSET(AS147,0,0,1,-12))*Macro!$E85,0),"NA")</f>
        <v>16666.66667</v>
      </c>
      <c r="AS246" s="40">
        <f>IFERROR(Macro!$D85*Team!AS147/12+IF(AND(YEAR(AS$5)&gt;2020,MONTH(AS$5)=Macro!$D$52),Macro!$D85*AVERAGE(OFFSET(AT147,0,0,1,-12))*Macro!$E85,0),"NA")</f>
        <v>16666.66667</v>
      </c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</row>
    <row r="247" ht="12.0" customHeight="1">
      <c r="A247" s="282"/>
      <c r="B247" s="8"/>
      <c r="C247" s="37" t="str">
        <f t="shared" si="100"/>
        <v>VP Engineering</v>
      </c>
      <c r="D247" s="283">
        <f>IFERROR(Macro!$D86*Team!D148/12+IF(AND(YEAR(D$5)&gt;2020,MONTH(D$5)=Macro!$D$52),Macro!$D86*AVERAGE(OFFSET(E148,0,0,1,-12))*Macro!$E86,0),"NA")</f>
        <v>16666.66667</v>
      </c>
      <c r="E247" s="284">
        <f>IFERROR(Macro!$D86*Team!E148/12+IF(AND(YEAR(E$5)&gt;2020,MONTH(E$5)=Macro!$D$52),Macro!$D86*AVERAGE(OFFSET(F148,0,0,1,-12))*Macro!$E86,0),"NA")</f>
        <v>16666.66667</v>
      </c>
      <c r="F247" s="284">
        <f>IFERROR(Macro!$D86*Team!F148/12+IF(AND(YEAR(F$5)&gt;2020,MONTH(F$5)=Macro!$D$52),Macro!$D86*AVERAGE(OFFSET(G148,0,0,1,-12))*Macro!$E86,0),"NA")</f>
        <v>16666.66667</v>
      </c>
      <c r="G247" s="283">
        <f>IFERROR(Macro!$D86*Team!G148/12+IF(AND(YEAR(G$5)&gt;2020,MONTH(G$5)=Macro!$D$52),Macro!$D86*AVERAGE(OFFSET(H148,0,0,1,-12))*Macro!$E86,0),"NA")</f>
        <v>16666.66667</v>
      </c>
      <c r="H247" s="284">
        <f>IFERROR(Macro!$D86*Team!H148/12+IF(AND(YEAR(H$5)&gt;2020,MONTH(H$5)=Macro!$D$52),Macro!$D86*AVERAGE(OFFSET(I148,0,0,1,-12))*Macro!$E86,0),"NA")</f>
        <v>16666.66667</v>
      </c>
      <c r="I247" s="285">
        <f>IFERROR(Macro!$D86*Team!I148/12+IF(AND(YEAR(I$5)&gt;2020,MONTH(I$5)=Macro!$D$52),Macro!$D86*AVERAGE(OFFSET(J148,0,0,1,-12))*Macro!$E86,0),"NA")</f>
        <v>16666.66667</v>
      </c>
      <c r="J247" s="286">
        <f>IFERROR(Macro!$D86*Team!J148/12+IF(AND(YEAR(J$5)&gt;2020,MONTH(J$5)=Macro!$D$52),Macro!$D86*AVERAGE(OFFSET(K148,0,0,1,-12))*Macro!$E86,0),"NA")</f>
        <v>16666.66667</v>
      </c>
      <c r="K247" s="287">
        <f>IFERROR(Macro!$D86*Team!K148/12+IF(AND(YEAR(K$5)&gt;2020,MONTH(K$5)=Macro!$D$52),Macro!$D86*AVERAGE(OFFSET(L148,0,0,1,-12))*Macro!$E86,0),"NA")</f>
        <v>16666.66667</v>
      </c>
      <c r="L247" s="288">
        <f>IFERROR(Macro!$D86*Team!L148/12+IF(AND(YEAR(L$5)&gt;2020,MONTH(L$5)=Macro!$D$52),Macro!$D86*AVERAGE(OFFSET(M148,0,0,1,-12))*Macro!$E86,0),"NA")</f>
        <v>16666.66667</v>
      </c>
      <c r="M247" s="38">
        <f>IFERROR(Macro!$D86*Team!M148/12+IF(AND(YEAR(M$5)&gt;2020,MONTH(M$5)=Macro!$D$52),Macro!$D86*AVERAGE(OFFSET(N148,0,0,1,-12))*Macro!$E86,0),"NA")</f>
        <v>16666.66667</v>
      </c>
      <c r="N247" s="39">
        <f>IFERROR(Macro!$D86*Team!N148/12+IF(AND(YEAR(N$5)&gt;2020,MONTH(N$5)=Macro!$D$52),Macro!$D86*AVERAGE(OFFSET(O148,0,0,1,-12))*Macro!$E86,0),"NA")</f>
        <v>16666.66667</v>
      </c>
      <c r="O247" s="40">
        <f>IFERROR(Macro!$D86*Team!O148/12+IF(AND(YEAR(O$5)&gt;2020,MONTH(O$5)=Macro!$D$52),Macro!$D86*AVERAGE(OFFSET(P148,0,0,1,-12))*Macro!$E86,0),"NA")</f>
        <v>16666.66667</v>
      </c>
      <c r="P247" s="38">
        <f>IFERROR(Macro!$D86*Team!P148/12+IF(AND(YEAR(P$5)&gt;2020,MONTH(P$5)=Macro!$D$52),Macro!$D86*AVERAGE(OFFSET(Q148,0,0,1,-12))*Macro!$E86,0),"NA")</f>
        <v>16666.66667</v>
      </c>
      <c r="Q247" s="39">
        <f>IFERROR(Macro!$D86*Team!Q148/12+IF(AND(YEAR(Q$5)&gt;2020,MONTH(Q$5)=Macro!$D$52),Macro!$D86*AVERAGE(OFFSET(R148,0,0,1,-12))*Macro!$E86,0),"NA")</f>
        <v>16666.66667</v>
      </c>
      <c r="R247" s="40">
        <f>IFERROR(Macro!$D86*Team!R148/12+IF(AND(YEAR(R$5)&gt;2020,MONTH(R$5)=Macro!$D$52),Macro!$D86*AVERAGE(OFFSET(S148,0,0,1,-12))*Macro!$E86,0),"NA")</f>
        <v>16666.66667</v>
      </c>
      <c r="S247" s="38">
        <f>IFERROR(Macro!$D86*Team!S148/12+IF(AND(YEAR(S$5)&gt;2020,MONTH(S$5)=Macro!$D$52),Macro!$D86*AVERAGE(OFFSET(T148,0,0,1,-12))*Macro!$E86,0),"NA")</f>
        <v>16666.66667</v>
      </c>
      <c r="T247" s="39">
        <f>IFERROR(Macro!$D86*Team!T148/12+IF(AND(YEAR(T$5)&gt;2020,MONTH(T$5)=Macro!$D$52),Macro!$D86*AVERAGE(OFFSET(U148,0,0,1,-12))*Macro!$E86,0),"NA")</f>
        <v>16666.66667</v>
      </c>
      <c r="U247" s="40">
        <f>IFERROR(Macro!$D86*Team!U148/12+IF(AND(YEAR(U$5)&gt;2020,MONTH(U$5)=Macro!$D$52),Macro!$D86*AVERAGE(OFFSET(V148,0,0,1,-12))*Macro!$E86,0),"NA")</f>
        <v>16666.66667</v>
      </c>
      <c r="V247" s="38" t="str">
        <f>IFERROR(Macro!$D86*Team!V148/12+IF(AND(YEAR(V$5)&gt;2020,MONTH(V$5)=Macro!$D$52),Macro!$D86*AVERAGE(OFFSET(W148,0,0,1,-12))*Macro!$E86,0),"NA")</f>
        <v>NA</v>
      </c>
      <c r="W247" s="39">
        <f>IFERROR(Macro!$D86*Team!W148/12+IF(AND(YEAR(W$5)&gt;2020,MONTH(W$5)=Macro!$D$52),Macro!$D86*AVERAGE(OFFSET(X148,0,0,1,-12))*Macro!$E86,0),"NA")</f>
        <v>16666.66667</v>
      </c>
      <c r="X247" s="40">
        <f>IFERROR(Macro!$D86*Team!X148/12+IF(AND(YEAR(X$5)&gt;2020,MONTH(X$5)=Macro!$D$52),Macro!$D86*AVERAGE(OFFSET(Y148,0,0,1,-12))*Macro!$E86,0),"NA")</f>
        <v>16666.66667</v>
      </c>
      <c r="Y247" s="38">
        <f>IFERROR(Macro!$D86*Team!Y148/12+IF(AND(YEAR(Y$5)&gt;2020,MONTH(Y$5)=Macro!$D$52),Macro!$D86*AVERAGE(OFFSET(Z148,0,0,1,-12))*Macro!$E86,0),"NA")</f>
        <v>16666.66667</v>
      </c>
      <c r="Z247" s="39">
        <f>IFERROR(Macro!$D86*Team!Z148/12+IF(AND(YEAR(Z$5)&gt;2020,MONTH(Z$5)=Macro!$D$52),Macro!$D86*AVERAGE(OFFSET(AA148,0,0,1,-12))*Macro!$E86,0),"NA")</f>
        <v>16666.66667</v>
      </c>
      <c r="AA247" s="40">
        <f>IFERROR(Macro!$D86*Team!AA148/12+IF(AND(YEAR(AA$5)&gt;2020,MONTH(AA$5)=Macro!$D$52),Macro!$D86*AVERAGE(OFFSET(AB148,0,0,1,-12))*Macro!$E86,0),"NA")</f>
        <v>16666.66667</v>
      </c>
      <c r="AB247" s="38">
        <f>IFERROR(Macro!$D86*Team!AB148/12+IF(AND(YEAR(AB$5)&gt;2020,MONTH(AB$5)=Macro!$D$52),Macro!$D86*AVERAGE(OFFSET(AC148,0,0,1,-12))*Macro!$E86,0),"NA")</f>
        <v>16666.66667</v>
      </c>
      <c r="AC247" s="39">
        <f>IFERROR(Macro!$D86*Team!AC148/12+IF(AND(YEAR(AC$5)&gt;2020,MONTH(AC$5)=Macro!$D$52),Macro!$D86*AVERAGE(OFFSET(AD148,0,0,1,-12))*Macro!$E86,0),"NA")</f>
        <v>16666.66667</v>
      </c>
      <c r="AD247" s="40">
        <f>IFERROR(Macro!$D86*Team!AD148/12+IF(AND(YEAR(AD$5)&gt;2020,MONTH(AD$5)=Macro!$D$52),Macro!$D86*AVERAGE(OFFSET(AE148,0,0,1,-12))*Macro!$E86,0),"NA")</f>
        <v>16666.66667</v>
      </c>
      <c r="AE247" s="38">
        <f>IFERROR(Macro!$D86*Team!AE148/12+IF(AND(YEAR(AE$5)&gt;2020,MONTH(AE$5)=Macro!$D$52),Macro!$D86*AVERAGE(OFFSET(AF148,0,0,1,-12))*Macro!$E86,0),"NA")</f>
        <v>16666.66667</v>
      </c>
      <c r="AF247" s="39">
        <f>IFERROR(Macro!$D86*Team!AF148/12+IF(AND(YEAR(AF$5)&gt;2020,MONTH(AF$5)=Macro!$D$52),Macro!$D86*AVERAGE(OFFSET(AG148,0,0,1,-12))*Macro!$E86,0),"NA")</f>
        <v>16666.66667</v>
      </c>
      <c r="AG247" s="40">
        <f>IFERROR(Macro!$D86*Team!AG148/12+IF(AND(YEAR(AG$5)&gt;2020,MONTH(AG$5)=Macro!$D$52),Macro!$D86*AVERAGE(OFFSET(AH148,0,0,1,-12))*Macro!$E86,0),"NA")</f>
        <v>16666.66667</v>
      </c>
      <c r="AH247" s="38" t="str">
        <f>IFERROR(Macro!$D86*Team!AH148/12+IF(AND(YEAR(AH$5)&gt;2020,MONTH(AH$5)=Macro!$D$52),Macro!$D86*AVERAGE(OFFSET(AI148,0,0,1,-12))*Macro!$E86,0),"NA")</f>
        <v>NA</v>
      </c>
      <c r="AI247" s="39">
        <f>IFERROR(Macro!$D86*Team!AI148/12+IF(AND(YEAR(AI$5)&gt;2020,MONTH(AI$5)=Macro!$D$52),Macro!$D86*AVERAGE(OFFSET(AJ148,0,0,1,-12))*Macro!$E86,0),"NA")</f>
        <v>16666.66667</v>
      </c>
      <c r="AJ247" s="40">
        <f>IFERROR(Macro!$D86*Team!AJ148/12+IF(AND(YEAR(AJ$5)&gt;2020,MONTH(AJ$5)=Macro!$D$52),Macro!$D86*AVERAGE(OFFSET(AK148,0,0,1,-12))*Macro!$E86,0),"NA")</f>
        <v>16666.66667</v>
      </c>
      <c r="AK247" s="38">
        <f>IFERROR(Macro!$D86*Team!AK148/12+IF(AND(YEAR(AK$5)&gt;2020,MONTH(AK$5)=Macro!$D$52),Macro!$D86*AVERAGE(OFFSET(AL148,0,0,1,-12))*Macro!$E86,0),"NA")</f>
        <v>16666.66667</v>
      </c>
      <c r="AL247" s="39">
        <f>IFERROR(Macro!$D86*Team!AL148/12+IF(AND(YEAR(AL$5)&gt;2020,MONTH(AL$5)=Macro!$D$52),Macro!$D86*AVERAGE(OFFSET(AM148,0,0,1,-12))*Macro!$E86,0),"NA")</f>
        <v>16666.66667</v>
      </c>
      <c r="AM247" s="40">
        <f>IFERROR(Macro!$D86*Team!AM148/12+IF(AND(YEAR(AM$5)&gt;2020,MONTH(AM$5)=Macro!$D$52),Macro!$D86*AVERAGE(OFFSET(AN148,0,0,1,-12))*Macro!$E86,0),"NA")</f>
        <v>16666.66667</v>
      </c>
      <c r="AN247" s="38">
        <f>IFERROR(Macro!$D86*Team!AN148/12+IF(AND(YEAR(AN$5)&gt;2020,MONTH(AN$5)=Macro!$D$52),Macro!$D86*AVERAGE(OFFSET(AO148,0,0,1,-12))*Macro!$E86,0),"NA")</f>
        <v>16666.66667</v>
      </c>
      <c r="AO247" s="39">
        <f>IFERROR(Macro!$D86*Team!AO148/12+IF(AND(YEAR(AO$5)&gt;2020,MONTH(AO$5)=Macro!$D$52),Macro!$D86*AVERAGE(OFFSET(AP148,0,0,1,-12))*Macro!$E86,0),"NA")</f>
        <v>16666.66667</v>
      </c>
      <c r="AP247" s="40">
        <f>IFERROR(Macro!$D86*Team!AP148/12+IF(AND(YEAR(AP$5)&gt;2020,MONTH(AP$5)=Macro!$D$52),Macro!$D86*AVERAGE(OFFSET(AQ148,0,0,1,-12))*Macro!$E86,0),"NA")</f>
        <v>16666.66667</v>
      </c>
      <c r="AQ247" s="38">
        <f>IFERROR(Macro!$D86*Team!AQ148/12+IF(AND(YEAR(AQ$5)&gt;2020,MONTH(AQ$5)=Macro!$D$52),Macro!$D86*AVERAGE(OFFSET(AR148,0,0,1,-12))*Macro!$E86,0),"NA")</f>
        <v>16666.66667</v>
      </c>
      <c r="AR247" s="39">
        <f>IFERROR(Macro!$D86*Team!AR148/12+IF(AND(YEAR(AR$5)&gt;2020,MONTH(AR$5)=Macro!$D$52),Macro!$D86*AVERAGE(OFFSET(AS148,0,0,1,-12))*Macro!$E86,0),"NA")</f>
        <v>16666.66667</v>
      </c>
      <c r="AS247" s="40">
        <f>IFERROR(Macro!$D86*Team!AS148/12+IF(AND(YEAR(AS$5)&gt;2020,MONTH(AS$5)=Macro!$D$52),Macro!$D86*AVERAGE(OFFSET(AT148,0,0,1,-12))*Macro!$E86,0),"NA")</f>
        <v>16666.66667</v>
      </c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</row>
    <row r="248" ht="12.0" customHeight="1">
      <c r="A248" s="282"/>
      <c r="B248" s="8"/>
      <c r="C248" s="37" t="str">
        <f t="shared" si="100"/>
        <v>Founding Frontend Engineer</v>
      </c>
      <c r="D248" s="283">
        <f>IFERROR(Macro!$D87*Team!D149/12+IF(AND(YEAR(D$5)&gt;2020,MONTH(D$5)=Macro!$D$52),Macro!$D87*AVERAGE(OFFSET(E149,0,0,1,-12))*Macro!$E87,0),"NA")</f>
        <v>12500</v>
      </c>
      <c r="E248" s="284">
        <f>IFERROR(Macro!$D87*Team!E149/12+IF(AND(YEAR(E$5)&gt;2020,MONTH(E$5)=Macro!$D$52),Macro!$D87*AVERAGE(OFFSET(F149,0,0,1,-12))*Macro!$E87,0),"NA")</f>
        <v>12500</v>
      </c>
      <c r="F248" s="284">
        <f>IFERROR(Macro!$D87*Team!F149/12+IF(AND(YEAR(F$5)&gt;2020,MONTH(F$5)=Macro!$D$52),Macro!$D87*AVERAGE(OFFSET(G149,0,0,1,-12))*Macro!$E87,0),"NA")</f>
        <v>12500</v>
      </c>
      <c r="G248" s="283">
        <f>IFERROR(Macro!$D87*Team!G149/12+IF(AND(YEAR(G$5)&gt;2020,MONTH(G$5)=Macro!$D$52),Macro!$D87*AVERAGE(OFFSET(H149,0,0,1,-12))*Macro!$E87,0),"NA")</f>
        <v>12500</v>
      </c>
      <c r="H248" s="284">
        <f>IFERROR(Macro!$D87*Team!H149/12+IF(AND(YEAR(H$5)&gt;2020,MONTH(H$5)=Macro!$D$52),Macro!$D87*AVERAGE(OFFSET(I149,0,0,1,-12))*Macro!$E87,0),"NA")</f>
        <v>12500</v>
      </c>
      <c r="I248" s="285">
        <f>IFERROR(Macro!$D87*Team!I149/12+IF(AND(YEAR(I$5)&gt;2020,MONTH(I$5)=Macro!$D$52),Macro!$D87*AVERAGE(OFFSET(J149,0,0,1,-12))*Macro!$E87,0),"NA")</f>
        <v>12500</v>
      </c>
      <c r="J248" s="286">
        <f>IFERROR(Macro!$D87*Team!J149/12+IF(AND(YEAR(J$5)&gt;2020,MONTH(J$5)=Macro!$D$52),Macro!$D87*AVERAGE(OFFSET(K149,0,0,1,-12))*Macro!$E87,0),"NA")</f>
        <v>12500</v>
      </c>
      <c r="K248" s="287">
        <f>IFERROR(Macro!$D87*Team!K149/12+IF(AND(YEAR(K$5)&gt;2020,MONTH(K$5)=Macro!$D$52),Macro!$D87*AVERAGE(OFFSET(L149,0,0,1,-12))*Macro!$E87,0),"NA")</f>
        <v>12500</v>
      </c>
      <c r="L248" s="288">
        <f>IFERROR(Macro!$D87*Team!L149/12+IF(AND(YEAR(L$5)&gt;2020,MONTH(L$5)=Macro!$D$52),Macro!$D87*AVERAGE(OFFSET(M149,0,0,1,-12))*Macro!$E87,0),"NA")</f>
        <v>12500</v>
      </c>
      <c r="M248" s="38">
        <f>IFERROR(Macro!$D87*Team!M149/12+IF(AND(YEAR(M$5)&gt;2020,MONTH(M$5)=Macro!$D$52),Macro!$D87*AVERAGE(OFFSET(N149,0,0,1,-12))*Macro!$E87,0),"NA")</f>
        <v>12500</v>
      </c>
      <c r="N248" s="39">
        <f>IFERROR(Macro!$D87*Team!N149/12+IF(AND(YEAR(N$5)&gt;2020,MONTH(N$5)=Macro!$D$52),Macro!$D87*AVERAGE(OFFSET(O149,0,0,1,-12))*Macro!$E87,0),"NA")</f>
        <v>12500</v>
      </c>
      <c r="O248" s="40">
        <f>IFERROR(Macro!$D87*Team!O149/12+IF(AND(YEAR(O$5)&gt;2020,MONTH(O$5)=Macro!$D$52),Macro!$D87*AVERAGE(OFFSET(P149,0,0,1,-12))*Macro!$E87,0),"NA")</f>
        <v>12500</v>
      </c>
      <c r="P248" s="38">
        <f>IFERROR(Macro!$D87*Team!P149/12+IF(AND(YEAR(P$5)&gt;2020,MONTH(P$5)=Macro!$D$52),Macro!$D87*AVERAGE(OFFSET(Q149,0,0,1,-12))*Macro!$E87,0),"NA")</f>
        <v>12500</v>
      </c>
      <c r="Q248" s="39">
        <f>IFERROR(Macro!$D87*Team!Q149/12+IF(AND(YEAR(Q$5)&gt;2020,MONTH(Q$5)=Macro!$D$52),Macro!$D87*AVERAGE(OFFSET(R149,0,0,1,-12))*Macro!$E87,0),"NA")</f>
        <v>12500</v>
      </c>
      <c r="R248" s="40">
        <f>IFERROR(Macro!$D87*Team!R149/12+IF(AND(YEAR(R$5)&gt;2020,MONTH(R$5)=Macro!$D$52),Macro!$D87*AVERAGE(OFFSET(S149,0,0,1,-12))*Macro!$E87,0),"NA")</f>
        <v>12500</v>
      </c>
      <c r="S248" s="38">
        <f>IFERROR(Macro!$D87*Team!S149/12+IF(AND(YEAR(S$5)&gt;2020,MONTH(S$5)=Macro!$D$52),Macro!$D87*AVERAGE(OFFSET(T149,0,0,1,-12))*Macro!$E87,0),"NA")</f>
        <v>12500</v>
      </c>
      <c r="T248" s="39">
        <f>IFERROR(Macro!$D87*Team!T149/12+IF(AND(YEAR(T$5)&gt;2020,MONTH(T$5)=Macro!$D$52),Macro!$D87*AVERAGE(OFFSET(U149,0,0,1,-12))*Macro!$E87,0),"NA")</f>
        <v>12500</v>
      </c>
      <c r="U248" s="40">
        <f>IFERROR(Macro!$D87*Team!U149/12+IF(AND(YEAR(U$5)&gt;2020,MONTH(U$5)=Macro!$D$52),Macro!$D87*AVERAGE(OFFSET(V149,0,0,1,-12))*Macro!$E87,0),"NA")</f>
        <v>12500</v>
      </c>
      <c r="V248" s="38" t="str">
        <f>IFERROR(Macro!$D87*Team!V149/12+IF(AND(YEAR(V$5)&gt;2020,MONTH(V$5)=Macro!$D$52),Macro!$D87*AVERAGE(OFFSET(W149,0,0,1,-12))*Macro!$E87,0),"NA")</f>
        <v>NA</v>
      </c>
      <c r="W248" s="39">
        <f>IFERROR(Macro!$D87*Team!W149/12+IF(AND(YEAR(W$5)&gt;2020,MONTH(W$5)=Macro!$D$52),Macro!$D87*AVERAGE(OFFSET(X149,0,0,1,-12))*Macro!$E87,0),"NA")</f>
        <v>12500</v>
      </c>
      <c r="X248" s="40">
        <f>IFERROR(Macro!$D87*Team!X149/12+IF(AND(YEAR(X$5)&gt;2020,MONTH(X$5)=Macro!$D$52),Macro!$D87*AVERAGE(OFFSET(Y149,0,0,1,-12))*Macro!$E87,0),"NA")</f>
        <v>12500</v>
      </c>
      <c r="Y248" s="38">
        <f>IFERROR(Macro!$D87*Team!Y149/12+IF(AND(YEAR(Y$5)&gt;2020,MONTH(Y$5)=Macro!$D$52),Macro!$D87*AVERAGE(OFFSET(Z149,0,0,1,-12))*Macro!$E87,0),"NA")</f>
        <v>12500</v>
      </c>
      <c r="Z248" s="39">
        <f>IFERROR(Macro!$D87*Team!Z149/12+IF(AND(YEAR(Z$5)&gt;2020,MONTH(Z$5)=Macro!$D$52),Macro!$D87*AVERAGE(OFFSET(AA149,0,0,1,-12))*Macro!$E87,0),"NA")</f>
        <v>12500</v>
      </c>
      <c r="AA248" s="40">
        <f>IFERROR(Macro!$D87*Team!AA149/12+IF(AND(YEAR(AA$5)&gt;2020,MONTH(AA$5)=Macro!$D$52),Macro!$D87*AVERAGE(OFFSET(AB149,0,0,1,-12))*Macro!$E87,0),"NA")</f>
        <v>12500</v>
      </c>
      <c r="AB248" s="38">
        <f>IFERROR(Macro!$D87*Team!AB149/12+IF(AND(YEAR(AB$5)&gt;2020,MONTH(AB$5)=Macro!$D$52),Macro!$D87*AVERAGE(OFFSET(AC149,0,0,1,-12))*Macro!$E87,0),"NA")</f>
        <v>12500</v>
      </c>
      <c r="AC248" s="39">
        <f>IFERROR(Macro!$D87*Team!AC149/12+IF(AND(YEAR(AC$5)&gt;2020,MONTH(AC$5)=Macro!$D$52),Macro!$D87*AVERAGE(OFFSET(AD149,0,0,1,-12))*Macro!$E87,0),"NA")</f>
        <v>12500</v>
      </c>
      <c r="AD248" s="40">
        <f>IFERROR(Macro!$D87*Team!AD149/12+IF(AND(YEAR(AD$5)&gt;2020,MONTH(AD$5)=Macro!$D$52),Macro!$D87*AVERAGE(OFFSET(AE149,0,0,1,-12))*Macro!$E87,0),"NA")</f>
        <v>12500</v>
      </c>
      <c r="AE248" s="38">
        <f>IFERROR(Macro!$D87*Team!AE149/12+IF(AND(YEAR(AE$5)&gt;2020,MONTH(AE$5)=Macro!$D$52),Macro!$D87*AVERAGE(OFFSET(AF149,0,0,1,-12))*Macro!$E87,0),"NA")</f>
        <v>12500</v>
      </c>
      <c r="AF248" s="39">
        <f>IFERROR(Macro!$D87*Team!AF149/12+IF(AND(YEAR(AF$5)&gt;2020,MONTH(AF$5)=Macro!$D$52),Macro!$D87*AVERAGE(OFFSET(AG149,0,0,1,-12))*Macro!$E87,0),"NA")</f>
        <v>12500</v>
      </c>
      <c r="AG248" s="40">
        <f>IFERROR(Macro!$D87*Team!AG149/12+IF(AND(YEAR(AG$5)&gt;2020,MONTH(AG$5)=Macro!$D$52),Macro!$D87*AVERAGE(OFFSET(AH149,0,0,1,-12))*Macro!$E87,0),"NA")</f>
        <v>12500</v>
      </c>
      <c r="AH248" s="38" t="str">
        <f>IFERROR(Macro!$D87*Team!AH149/12+IF(AND(YEAR(AH$5)&gt;2020,MONTH(AH$5)=Macro!$D$52),Macro!$D87*AVERAGE(OFFSET(AI149,0,0,1,-12))*Macro!$E87,0),"NA")</f>
        <v>NA</v>
      </c>
      <c r="AI248" s="39">
        <f>IFERROR(Macro!$D87*Team!AI149/12+IF(AND(YEAR(AI$5)&gt;2020,MONTH(AI$5)=Macro!$D$52),Macro!$D87*AVERAGE(OFFSET(AJ149,0,0,1,-12))*Macro!$E87,0),"NA")</f>
        <v>12500</v>
      </c>
      <c r="AJ248" s="40">
        <f>IFERROR(Macro!$D87*Team!AJ149/12+IF(AND(YEAR(AJ$5)&gt;2020,MONTH(AJ$5)=Macro!$D$52),Macro!$D87*AVERAGE(OFFSET(AK149,0,0,1,-12))*Macro!$E87,0),"NA")</f>
        <v>12500</v>
      </c>
      <c r="AK248" s="38">
        <f>IFERROR(Macro!$D87*Team!AK149/12+IF(AND(YEAR(AK$5)&gt;2020,MONTH(AK$5)=Macro!$D$52),Macro!$D87*AVERAGE(OFFSET(AL149,0,0,1,-12))*Macro!$E87,0),"NA")</f>
        <v>12500</v>
      </c>
      <c r="AL248" s="39">
        <f>IFERROR(Macro!$D87*Team!AL149/12+IF(AND(YEAR(AL$5)&gt;2020,MONTH(AL$5)=Macro!$D$52),Macro!$D87*AVERAGE(OFFSET(AM149,0,0,1,-12))*Macro!$E87,0),"NA")</f>
        <v>12500</v>
      </c>
      <c r="AM248" s="40">
        <f>IFERROR(Macro!$D87*Team!AM149/12+IF(AND(YEAR(AM$5)&gt;2020,MONTH(AM$5)=Macro!$D$52),Macro!$D87*AVERAGE(OFFSET(AN149,0,0,1,-12))*Macro!$E87,0),"NA")</f>
        <v>12500</v>
      </c>
      <c r="AN248" s="38">
        <f>IFERROR(Macro!$D87*Team!AN149/12+IF(AND(YEAR(AN$5)&gt;2020,MONTH(AN$5)=Macro!$D$52),Macro!$D87*AVERAGE(OFFSET(AO149,0,0,1,-12))*Macro!$E87,0),"NA")</f>
        <v>12500</v>
      </c>
      <c r="AO248" s="39">
        <f>IFERROR(Macro!$D87*Team!AO149/12+IF(AND(YEAR(AO$5)&gt;2020,MONTH(AO$5)=Macro!$D$52),Macro!$D87*AVERAGE(OFFSET(AP149,0,0,1,-12))*Macro!$E87,0),"NA")</f>
        <v>12500</v>
      </c>
      <c r="AP248" s="40">
        <f>IFERROR(Macro!$D87*Team!AP149/12+IF(AND(YEAR(AP$5)&gt;2020,MONTH(AP$5)=Macro!$D$52),Macro!$D87*AVERAGE(OFFSET(AQ149,0,0,1,-12))*Macro!$E87,0),"NA")</f>
        <v>12500</v>
      </c>
      <c r="AQ248" s="38">
        <f>IFERROR(Macro!$D87*Team!AQ149/12+IF(AND(YEAR(AQ$5)&gt;2020,MONTH(AQ$5)=Macro!$D$52),Macro!$D87*AVERAGE(OFFSET(AR149,0,0,1,-12))*Macro!$E87,0),"NA")</f>
        <v>12500</v>
      </c>
      <c r="AR248" s="39">
        <f>IFERROR(Macro!$D87*Team!AR149/12+IF(AND(YEAR(AR$5)&gt;2020,MONTH(AR$5)=Macro!$D$52),Macro!$D87*AVERAGE(OFFSET(AS149,0,0,1,-12))*Macro!$E87,0),"NA")</f>
        <v>12500</v>
      </c>
      <c r="AS248" s="40">
        <f>IFERROR(Macro!$D87*Team!AS149/12+IF(AND(YEAR(AS$5)&gt;2020,MONTH(AS$5)=Macro!$D$52),Macro!$D87*AVERAGE(OFFSET(AT149,0,0,1,-12))*Macro!$E87,0),"NA")</f>
        <v>12500</v>
      </c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</row>
    <row r="249" ht="12.0" customHeight="1">
      <c r="A249" s="282"/>
      <c r="B249" s="8"/>
      <c r="C249" s="37" t="str">
        <f t="shared" si="100"/>
        <v>Founding Backend Engineer</v>
      </c>
      <c r="D249" s="283">
        <f>IFERROR(Macro!$D88*Team!D150/12+IF(AND(YEAR(D$5)&gt;2020,MONTH(D$5)=Macro!$D$52),Macro!$D88*AVERAGE(OFFSET(E150,0,0,1,-12))*Macro!$E88,0),"NA")</f>
        <v>12500</v>
      </c>
      <c r="E249" s="284">
        <f>IFERROR(Macro!$D88*Team!E150/12+IF(AND(YEAR(E$5)&gt;2020,MONTH(E$5)=Macro!$D$52),Macro!$D88*AVERAGE(OFFSET(F150,0,0,1,-12))*Macro!$E88,0),"NA")</f>
        <v>12500</v>
      </c>
      <c r="F249" s="284">
        <f>IFERROR(Macro!$D88*Team!F150/12+IF(AND(YEAR(F$5)&gt;2020,MONTH(F$5)=Macro!$D$52),Macro!$D88*AVERAGE(OFFSET(G150,0,0,1,-12))*Macro!$E88,0),"NA")</f>
        <v>12500</v>
      </c>
      <c r="G249" s="283">
        <f>IFERROR(Macro!$D88*Team!G150/12+IF(AND(YEAR(G$5)&gt;2020,MONTH(G$5)=Macro!$D$52),Macro!$D88*AVERAGE(OFFSET(H150,0,0,1,-12))*Macro!$E88,0),"NA")</f>
        <v>12500</v>
      </c>
      <c r="H249" s="284">
        <f>IFERROR(Macro!$D88*Team!H150/12+IF(AND(YEAR(H$5)&gt;2020,MONTH(H$5)=Macro!$D$52),Macro!$D88*AVERAGE(OFFSET(I150,0,0,1,-12))*Macro!$E88,0),"NA")</f>
        <v>12500</v>
      </c>
      <c r="I249" s="285">
        <f>IFERROR(Macro!$D88*Team!I150/12+IF(AND(YEAR(I$5)&gt;2020,MONTH(I$5)=Macro!$D$52),Macro!$D88*AVERAGE(OFFSET(J150,0,0,1,-12))*Macro!$E88,0),"NA")</f>
        <v>12500</v>
      </c>
      <c r="J249" s="286">
        <f>IFERROR(Macro!$D88*Team!J150/12+IF(AND(YEAR(J$5)&gt;2020,MONTH(J$5)=Macro!$D$52),Macro!$D88*AVERAGE(OFFSET(K150,0,0,1,-12))*Macro!$E88,0),"NA")</f>
        <v>12500</v>
      </c>
      <c r="K249" s="287">
        <f>IFERROR(Macro!$D88*Team!K150/12+IF(AND(YEAR(K$5)&gt;2020,MONTH(K$5)=Macro!$D$52),Macro!$D88*AVERAGE(OFFSET(L150,0,0,1,-12))*Macro!$E88,0),"NA")</f>
        <v>12500</v>
      </c>
      <c r="L249" s="288">
        <f>IFERROR(Macro!$D88*Team!L150/12+IF(AND(YEAR(L$5)&gt;2020,MONTH(L$5)=Macro!$D$52),Macro!$D88*AVERAGE(OFFSET(M150,0,0,1,-12))*Macro!$E88,0),"NA")</f>
        <v>12500</v>
      </c>
      <c r="M249" s="38">
        <f>IFERROR(Macro!$D88*Team!M150/12+IF(AND(YEAR(M$5)&gt;2020,MONTH(M$5)=Macro!$D$52),Macro!$D88*AVERAGE(OFFSET(N150,0,0,1,-12))*Macro!$E88,0),"NA")</f>
        <v>12500</v>
      </c>
      <c r="N249" s="39">
        <f>IFERROR(Macro!$D88*Team!N150/12+IF(AND(YEAR(N$5)&gt;2020,MONTH(N$5)=Macro!$D$52),Macro!$D88*AVERAGE(OFFSET(O150,0,0,1,-12))*Macro!$E88,0),"NA")</f>
        <v>12500</v>
      </c>
      <c r="O249" s="40">
        <f>IFERROR(Macro!$D88*Team!O150/12+IF(AND(YEAR(O$5)&gt;2020,MONTH(O$5)=Macro!$D$52),Macro!$D88*AVERAGE(OFFSET(P150,0,0,1,-12))*Macro!$E88,0),"NA")</f>
        <v>12500</v>
      </c>
      <c r="P249" s="38">
        <f>IFERROR(Macro!$D88*Team!P150/12+IF(AND(YEAR(P$5)&gt;2020,MONTH(P$5)=Macro!$D$52),Macro!$D88*AVERAGE(OFFSET(Q150,0,0,1,-12))*Macro!$E88,0),"NA")</f>
        <v>12500</v>
      </c>
      <c r="Q249" s="39">
        <f>IFERROR(Macro!$D88*Team!Q150/12+IF(AND(YEAR(Q$5)&gt;2020,MONTH(Q$5)=Macro!$D$52),Macro!$D88*AVERAGE(OFFSET(R150,0,0,1,-12))*Macro!$E88,0),"NA")</f>
        <v>12500</v>
      </c>
      <c r="R249" s="40">
        <f>IFERROR(Macro!$D88*Team!R150/12+IF(AND(YEAR(R$5)&gt;2020,MONTH(R$5)=Macro!$D$52),Macro!$D88*AVERAGE(OFFSET(S150,0,0,1,-12))*Macro!$E88,0),"NA")</f>
        <v>12500</v>
      </c>
      <c r="S249" s="38">
        <f>IFERROR(Macro!$D88*Team!S150/12+IF(AND(YEAR(S$5)&gt;2020,MONTH(S$5)=Macro!$D$52),Macro!$D88*AVERAGE(OFFSET(T150,0,0,1,-12))*Macro!$E88,0),"NA")</f>
        <v>12500</v>
      </c>
      <c r="T249" s="39">
        <f>IFERROR(Macro!$D88*Team!T150/12+IF(AND(YEAR(T$5)&gt;2020,MONTH(T$5)=Macro!$D$52),Macro!$D88*AVERAGE(OFFSET(U150,0,0,1,-12))*Macro!$E88,0),"NA")</f>
        <v>12500</v>
      </c>
      <c r="U249" s="40">
        <f>IFERROR(Macro!$D88*Team!U150/12+IF(AND(YEAR(U$5)&gt;2020,MONTH(U$5)=Macro!$D$52),Macro!$D88*AVERAGE(OFFSET(V150,0,0,1,-12))*Macro!$E88,0),"NA")</f>
        <v>12500</v>
      </c>
      <c r="V249" s="38" t="str">
        <f>IFERROR(Macro!$D88*Team!V150/12+IF(AND(YEAR(V$5)&gt;2020,MONTH(V$5)=Macro!$D$52),Macro!$D88*AVERAGE(OFFSET(W150,0,0,1,-12))*Macro!$E88,0),"NA")</f>
        <v>NA</v>
      </c>
      <c r="W249" s="39">
        <f>IFERROR(Macro!$D88*Team!W150/12+IF(AND(YEAR(W$5)&gt;2020,MONTH(W$5)=Macro!$D$52),Macro!$D88*AVERAGE(OFFSET(X150,0,0,1,-12))*Macro!$E88,0),"NA")</f>
        <v>12500</v>
      </c>
      <c r="X249" s="40">
        <f>IFERROR(Macro!$D88*Team!X150/12+IF(AND(YEAR(X$5)&gt;2020,MONTH(X$5)=Macro!$D$52),Macro!$D88*AVERAGE(OFFSET(Y150,0,0,1,-12))*Macro!$E88,0),"NA")</f>
        <v>12500</v>
      </c>
      <c r="Y249" s="38">
        <f>IFERROR(Macro!$D88*Team!Y150/12+IF(AND(YEAR(Y$5)&gt;2020,MONTH(Y$5)=Macro!$D$52),Macro!$D88*AVERAGE(OFFSET(Z150,0,0,1,-12))*Macro!$E88,0),"NA")</f>
        <v>12500</v>
      </c>
      <c r="Z249" s="39">
        <f>IFERROR(Macro!$D88*Team!Z150/12+IF(AND(YEAR(Z$5)&gt;2020,MONTH(Z$5)=Macro!$D$52),Macro!$D88*AVERAGE(OFFSET(AA150,0,0,1,-12))*Macro!$E88,0),"NA")</f>
        <v>12500</v>
      </c>
      <c r="AA249" s="40">
        <f>IFERROR(Macro!$D88*Team!AA150/12+IF(AND(YEAR(AA$5)&gt;2020,MONTH(AA$5)=Macro!$D$52),Macro!$D88*AVERAGE(OFFSET(AB150,0,0,1,-12))*Macro!$E88,0),"NA")</f>
        <v>12500</v>
      </c>
      <c r="AB249" s="38">
        <f>IFERROR(Macro!$D88*Team!AB150/12+IF(AND(YEAR(AB$5)&gt;2020,MONTH(AB$5)=Macro!$D$52),Macro!$D88*AVERAGE(OFFSET(AC150,0,0,1,-12))*Macro!$E88,0),"NA")</f>
        <v>12500</v>
      </c>
      <c r="AC249" s="39">
        <f>IFERROR(Macro!$D88*Team!AC150/12+IF(AND(YEAR(AC$5)&gt;2020,MONTH(AC$5)=Macro!$D$52),Macro!$D88*AVERAGE(OFFSET(AD150,0,0,1,-12))*Macro!$E88,0),"NA")</f>
        <v>12500</v>
      </c>
      <c r="AD249" s="40">
        <f>IFERROR(Macro!$D88*Team!AD150/12+IF(AND(YEAR(AD$5)&gt;2020,MONTH(AD$5)=Macro!$D$52),Macro!$D88*AVERAGE(OFFSET(AE150,0,0,1,-12))*Macro!$E88,0),"NA")</f>
        <v>12500</v>
      </c>
      <c r="AE249" s="38">
        <f>IFERROR(Macro!$D88*Team!AE150/12+IF(AND(YEAR(AE$5)&gt;2020,MONTH(AE$5)=Macro!$D$52),Macro!$D88*AVERAGE(OFFSET(AF150,0,0,1,-12))*Macro!$E88,0),"NA")</f>
        <v>12500</v>
      </c>
      <c r="AF249" s="39">
        <f>IFERROR(Macro!$D88*Team!AF150/12+IF(AND(YEAR(AF$5)&gt;2020,MONTH(AF$5)=Macro!$D$52),Macro!$D88*AVERAGE(OFFSET(AG150,0,0,1,-12))*Macro!$E88,0),"NA")</f>
        <v>12500</v>
      </c>
      <c r="AG249" s="40">
        <f>IFERROR(Macro!$D88*Team!AG150/12+IF(AND(YEAR(AG$5)&gt;2020,MONTH(AG$5)=Macro!$D$52),Macro!$D88*AVERAGE(OFFSET(AH150,0,0,1,-12))*Macro!$E88,0),"NA")</f>
        <v>12500</v>
      </c>
      <c r="AH249" s="38" t="str">
        <f>IFERROR(Macro!$D88*Team!AH150/12+IF(AND(YEAR(AH$5)&gt;2020,MONTH(AH$5)=Macro!$D$52),Macro!$D88*AVERAGE(OFFSET(AI150,0,0,1,-12))*Macro!$E88,0),"NA")</f>
        <v>NA</v>
      </c>
      <c r="AI249" s="39">
        <f>IFERROR(Macro!$D88*Team!AI150/12+IF(AND(YEAR(AI$5)&gt;2020,MONTH(AI$5)=Macro!$D$52),Macro!$D88*AVERAGE(OFFSET(AJ150,0,0,1,-12))*Macro!$E88,0),"NA")</f>
        <v>12500</v>
      </c>
      <c r="AJ249" s="40">
        <f>IFERROR(Macro!$D88*Team!AJ150/12+IF(AND(YEAR(AJ$5)&gt;2020,MONTH(AJ$5)=Macro!$D$52),Macro!$D88*AVERAGE(OFFSET(AK150,0,0,1,-12))*Macro!$E88,0),"NA")</f>
        <v>12500</v>
      </c>
      <c r="AK249" s="38">
        <f>IFERROR(Macro!$D88*Team!AK150/12+IF(AND(YEAR(AK$5)&gt;2020,MONTH(AK$5)=Macro!$D$52),Macro!$D88*AVERAGE(OFFSET(AL150,0,0,1,-12))*Macro!$E88,0),"NA")</f>
        <v>12500</v>
      </c>
      <c r="AL249" s="39">
        <f>IFERROR(Macro!$D88*Team!AL150/12+IF(AND(YEAR(AL$5)&gt;2020,MONTH(AL$5)=Macro!$D$52),Macro!$D88*AVERAGE(OFFSET(AM150,0,0,1,-12))*Macro!$E88,0),"NA")</f>
        <v>12500</v>
      </c>
      <c r="AM249" s="40">
        <f>IFERROR(Macro!$D88*Team!AM150/12+IF(AND(YEAR(AM$5)&gt;2020,MONTH(AM$5)=Macro!$D$52),Macro!$D88*AVERAGE(OFFSET(AN150,0,0,1,-12))*Macro!$E88,0),"NA")</f>
        <v>12500</v>
      </c>
      <c r="AN249" s="38">
        <f>IFERROR(Macro!$D88*Team!AN150/12+IF(AND(YEAR(AN$5)&gt;2020,MONTH(AN$5)=Macro!$D$52),Macro!$D88*AVERAGE(OFFSET(AO150,0,0,1,-12))*Macro!$E88,0),"NA")</f>
        <v>12500</v>
      </c>
      <c r="AO249" s="39">
        <f>IFERROR(Macro!$D88*Team!AO150/12+IF(AND(YEAR(AO$5)&gt;2020,MONTH(AO$5)=Macro!$D$52),Macro!$D88*AVERAGE(OFFSET(AP150,0,0,1,-12))*Macro!$E88,0),"NA")</f>
        <v>12500</v>
      </c>
      <c r="AP249" s="40">
        <f>IFERROR(Macro!$D88*Team!AP150/12+IF(AND(YEAR(AP$5)&gt;2020,MONTH(AP$5)=Macro!$D$52),Macro!$D88*AVERAGE(OFFSET(AQ150,0,0,1,-12))*Macro!$E88,0),"NA")</f>
        <v>12500</v>
      </c>
      <c r="AQ249" s="38">
        <f>IFERROR(Macro!$D88*Team!AQ150/12+IF(AND(YEAR(AQ$5)&gt;2020,MONTH(AQ$5)=Macro!$D$52),Macro!$D88*AVERAGE(OFFSET(AR150,0,0,1,-12))*Macro!$E88,0),"NA")</f>
        <v>12500</v>
      </c>
      <c r="AR249" s="39">
        <f>IFERROR(Macro!$D88*Team!AR150/12+IF(AND(YEAR(AR$5)&gt;2020,MONTH(AR$5)=Macro!$D$52),Macro!$D88*AVERAGE(OFFSET(AS150,0,0,1,-12))*Macro!$E88,0),"NA")</f>
        <v>12500</v>
      </c>
      <c r="AS249" s="40">
        <f>IFERROR(Macro!$D88*Team!AS150/12+IF(AND(YEAR(AS$5)&gt;2020,MONTH(AS$5)=Macro!$D$52),Macro!$D88*AVERAGE(OFFSET(AT150,0,0,1,-12))*Macro!$E88,0),"NA")</f>
        <v>12500</v>
      </c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</row>
    <row r="250" ht="12.0" customHeight="1">
      <c r="A250" s="282"/>
      <c r="B250" s="8"/>
      <c r="C250" s="37" t="str">
        <f t="shared" si="100"/>
        <v>Founding API Engineer</v>
      </c>
      <c r="D250" s="283">
        <f>IFERROR(Macro!$D89*Team!D151/12+IF(AND(YEAR(D$5)&gt;2020,MONTH(D$5)=Macro!$D$52),Macro!$D89*AVERAGE(OFFSET(E151,0,0,1,-12))*Macro!$E89,0),"NA")</f>
        <v>12500</v>
      </c>
      <c r="E250" s="284">
        <f>IFERROR(Macro!$D89*Team!E151/12+IF(AND(YEAR(E$5)&gt;2020,MONTH(E$5)=Macro!$D$52),Macro!$D89*AVERAGE(OFFSET(F151,0,0,1,-12))*Macro!$E89,0),"NA")</f>
        <v>12500</v>
      </c>
      <c r="F250" s="284">
        <f>IFERROR(Macro!$D89*Team!F151/12+IF(AND(YEAR(F$5)&gt;2020,MONTH(F$5)=Macro!$D$52),Macro!$D89*AVERAGE(OFFSET(G151,0,0,1,-12))*Macro!$E89,0),"NA")</f>
        <v>12500</v>
      </c>
      <c r="G250" s="283">
        <f>IFERROR(Macro!$D89*Team!G151/12+IF(AND(YEAR(G$5)&gt;2020,MONTH(G$5)=Macro!$D$52),Macro!$D89*AVERAGE(OFFSET(H151,0,0,1,-12))*Macro!$E89,0),"NA")</f>
        <v>12500</v>
      </c>
      <c r="H250" s="284">
        <f>IFERROR(Macro!$D89*Team!H151/12+IF(AND(YEAR(H$5)&gt;2020,MONTH(H$5)=Macro!$D$52),Macro!$D89*AVERAGE(OFFSET(I151,0,0,1,-12))*Macro!$E89,0),"NA")</f>
        <v>12500</v>
      </c>
      <c r="I250" s="285">
        <f>IFERROR(Macro!$D89*Team!I151/12+IF(AND(YEAR(I$5)&gt;2020,MONTH(I$5)=Macro!$D$52),Macro!$D89*AVERAGE(OFFSET(J151,0,0,1,-12))*Macro!$E89,0),"NA")</f>
        <v>12500</v>
      </c>
      <c r="J250" s="286">
        <f>IFERROR(Macro!$D89*Team!J151/12+IF(AND(YEAR(J$5)&gt;2020,MONTH(J$5)=Macro!$D$52),Macro!$D89*AVERAGE(OFFSET(K151,0,0,1,-12))*Macro!$E89,0),"NA")</f>
        <v>12500</v>
      </c>
      <c r="K250" s="287">
        <f>IFERROR(Macro!$D89*Team!K151/12+IF(AND(YEAR(K$5)&gt;2020,MONTH(K$5)=Macro!$D$52),Macro!$D89*AVERAGE(OFFSET(L151,0,0,1,-12))*Macro!$E89,0),"NA")</f>
        <v>12500</v>
      </c>
      <c r="L250" s="288">
        <f>IFERROR(Macro!$D89*Team!L151/12+IF(AND(YEAR(L$5)&gt;2020,MONTH(L$5)=Macro!$D$52),Macro!$D89*AVERAGE(OFFSET(M151,0,0,1,-12))*Macro!$E89,0),"NA")</f>
        <v>12500</v>
      </c>
      <c r="M250" s="38">
        <f>IFERROR(Macro!$D89*Team!M151/12+IF(AND(YEAR(M$5)&gt;2020,MONTH(M$5)=Macro!$D$52),Macro!$D89*AVERAGE(OFFSET(N151,0,0,1,-12))*Macro!$E89,0),"NA")</f>
        <v>12500</v>
      </c>
      <c r="N250" s="39">
        <f>IFERROR(Macro!$D89*Team!N151/12+IF(AND(YEAR(N$5)&gt;2020,MONTH(N$5)=Macro!$D$52),Macro!$D89*AVERAGE(OFFSET(O151,0,0,1,-12))*Macro!$E89,0),"NA")</f>
        <v>12500</v>
      </c>
      <c r="O250" s="40">
        <f>IFERROR(Macro!$D89*Team!O151/12+IF(AND(YEAR(O$5)&gt;2020,MONTH(O$5)=Macro!$D$52),Macro!$D89*AVERAGE(OFFSET(P151,0,0,1,-12))*Macro!$E89,0),"NA")</f>
        <v>12500</v>
      </c>
      <c r="P250" s="38">
        <f>IFERROR(Macro!$D89*Team!P151/12+IF(AND(YEAR(P$5)&gt;2020,MONTH(P$5)=Macro!$D$52),Macro!$D89*AVERAGE(OFFSET(Q151,0,0,1,-12))*Macro!$E89,0),"NA")</f>
        <v>12500</v>
      </c>
      <c r="Q250" s="39">
        <f>IFERROR(Macro!$D89*Team!Q151/12+IF(AND(YEAR(Q$5)&gt;2020,MONTH(Q$5)=Macro!$D$52),Macro!$D89*AVERAGE(OFFSET(R151,0,0,1,-12))*Macro!$E89,0),"NA")</f>
        <v>12500</v>
      </c>
      <c r="R250" s="40">
        <f>IFERROR(Macro!$D89*Team!R151/12+IF(AND(YEAR(R$5)&gt;2020,MONTH(R$5)=Macro!$D$52),Macro!$D89*AVERAGE(OFFSET(S151,0,0,1,-12))*Macro!$E89,0),"NA")</f>
        <v>12500</v>
      </c>
      <c r="S250" s="38">
        <f>IFERROR(Macro!$D89*Team!S151/12+IF(AND(YEAR(S$5)&gt;2020,MONTH(S$5)=Macro!$D$52),Macro!$D89*AVERAGE(OFFSET(T151,0,0,1,-12))*Macro!$E89,0),"NA")</f>
        <v>12500</v>
      </c>
      <c r="T250" s="39">
        <f>IFERROR(Macro!$D89*Team!T151/12+IF(AND(YEAR(T$5)&gt;2020,MONTH(T$5)=Macro!$D$52),Macro!$D89*AVERAGE(OFFSET(U151,0,0,1,-12))*Macro!$E89,0),"NA")</f>
        <v>12500</v>
      </c>
      <c r="U250" s="40">
        <f>IFERROR(Macro!$D89*Team!U151/12+IF(AND(YEAR(U$5)&gt;2020,MONTH(U$5)=Macro!$D$52),Macro!$D89*AVERAGE(OFFSET(V151,0,0,1,-12))*Macro!$E89,0),"NA")</f>
        <v>12500</v>
      </c>
      <c r="V250" s="38" t="str">
        <f>IFERROR(Macro!$D89*Team!V151/12+IF(AND(YEAR(V$5)&gt;2020,MONTH(V$5)=Macro!$D$52),Macro!$D89*AVERAGE(OFFSET(W151,0,0,1,-12))*Macro!$E89,0),"NA")</f>
        <v>NA</v>
      </c>
      <c r="W250" s="39">
        <f>IFERROR(Macro!$D89*Team!W151/12+IF(AND(YEAR(W$5)&gt;2020,MONTH(W$5)=Macro!$D$52),Macro!$D89*AVERAGE(OFFSET(X151,0,0,1,-12))*Macro!$E89,0),"NA")</f>
        <v>12500</v>
      </c>
      <c r="X250" s="40">
        <f>IFERROR(Macro!$D89*Team!X151/12+IF(AND(YEAR(X$5)&gt;2020,MONTH(X$5)=Macro!$D$52),Macro!$D89*AVERAGE(OFFSET(Y151,0,0,1,-12))*Macro!$E89,0),"NA")</f>
        <v>12500</v>
      </c>
      <c r="Y250" s="38">
        <f>IFERROR(Macro!$D89*Team!Y151/12+IF(AND(YEAR(Y$5)&gt;2020,MONTH(Y$5)=Macro!$D$52),Macro!$D89*AVERAGE(OFFSET(Z151,0,0,1,-12))*Macro!$E89,0),"NA")</f>
        <v>12500</v>
      </c>
      <c r="Z250" s="39">
        <f>IFERROR(Macro!$D89*Team!Z151/12+IF(AND(YEAR(Z$5)&gt;2020,MONTH(Z$5)=Macro!$D$52),Macro!$D89*AVERAGE(OFFSET(AA151,0,0,1,-12))*Macro!$E89,0),"NA")</f>
        <v>12500</v>
      </c>
      <c r="AA250" s="40">
        <f>IFERROR(Macro!$D89*Team!AA151/12+IF(AND(YEAR(AA$5)&gt;2020,MONTH(AA$5)=Macro!$D$52),Macro!$D89*AVERAGE(OFFSET(AB151,0,0,1,-12))*Macro!$E89,0),"NA")</f>
        <v>12500</v>
      </c>
      <c r="AB250" s="38">
        <f>IFERROR(Macro!$D89*Team!AB151/12+IF(AND(YEAR(AB$5)&gt;2020,MONTH(AB$5)=Macro!$D$52),Macro!$D89*AVERAGE(OFFSET(AC151,0,0,1,-12))*Macro!$E89,0),"NA")</f>
        <v>12500</v>
      </c>
      <c r="AC250" s="39">
        <f>IFERROR(Macro!$D89*Team!AC151/12+IF(AND(YEAR(AC$5)&gt;2020,MONTH(AC$5)=Macro!$D$52),Macro!$D89*AVERAGE(OFFSET(AD151,0,0,1,-12))*Macro!$E89,0),"NA")</f>
        <v>12500</v>
      </c>
      <c r="AD250" s="40">
        <f>IFERROR(Macro!$D89*Team!AD151/12+IF(AND(YEAR(AD$5)&gt;2020,MONTH(AD$5)=Macro!$D$52),Macro!$D89*AVERAGE(OFFSET(AE151,0,0,1,-12))*Macro!$E89,0),"NA")</f>
        <v>12500</v>
      </c>
      <c r="AE250" s="38">
        <f>IFERROR(Macro!$D89*Team!AE151/12+IF(AND(YEAR(AE$5)&gt;2020,MONTH(AE$5)=Macro!$D$52),Macro!$D89*AVERAGE(OFFSET(AF151,0,0,1,-12))*Macro!$E89,0),"NA")</f>
        <v>12500</v>
      </c>
      <c r="AF250" s="39">
        <f>IFERROR(Macro!$D89*Team!AF151/12+IF(AND(YEAR(AF$5)&gt;2020,MONTH(AF$5)=Macro!$D$52),Macro!$D89*AVERAGE(OFFSET(AG151,0,0,1,-12))*Macro!$E89,0),"NA")</f>
        <v>12500</v>
      </c>
      <c r="AG250" s="40">
        <f>IFERROR(Macro!$D89*Team!AG151/12+IF(AND(YEAR(AG$5)&gt;2020,MONTH(AG$5)=Macro!$D$52),Macro!$D89*AVERAGE(OFFSET(AH151,0,0,1,-12))*Macro!$E89,0),"NA")</f>
        <v>12500</v>
      </c>
      <c r="AH250" s="38" t="str">
        <f>IFERROR(Macro!$D89*Team!AH151/12+IF(AND(YEAR(AH$5)&gt;2020,MONTH(AH$5)=Macro!$D$52),Macro!$D89*AVERAGE(OFFSET(AI151,0,0,1,-12))*Macro!$E89,0),"NA")</f>
        <v>NA</v>
      </c>
      <c r="AI250" s="39">
        <f>IFERROR(Macro!$D89*Team!AI151/12+IF(AND(YEAR(AI$5)&gt;2020,MONTH(AI$5)=Macro!$D$52),Macro!$D89*AVERAGE(OFFSET(AJ151,0,0,1,-12))*Macro!$E89,0),"NA")</f>
        <v>12500</v>
      </c>
      <c r="AJ250" s="40">
        <f>IFERROR(Macro!$D89*Team!AJ151/12+IF(AND(YEAR(AJ$5)&gt;2020,MONTH(AJ$5)=Macro!$D$52),Macro!$D89*AVERAGE(OFFSET(AK151,0,0,1,-12))*Macro!$E89,0),"NA")</f>
        <v>12500</v>
      </c>
      <c r="AK250" s="38">
        <f>IFERROR(Macro!$D89*Team!AK151/12+IF(AND(YEAR(AK$5)&gt;2020,MONTH(AK$5)=Macro!$D$52),Macro!$D89*AVERAGE(OFFSET(AL151,0,0,1,-12))*Macro!$E89,0),"NA")</f>
        <v>12500</v>
      </c>
      <c r="AL250" s="39">
        <f>IFERROR(Macro!$D89*Team!AL151/12+IF(AND(YEAR(AL$5)&gt;2020,MONTH(AL$5)=Macro!$D$52),Macro!$D89*AVERAGE(OFFSET(AM151,0,0,1,-12))*Macro!$E89,0),"NA")</f>
        <v>12500</v>
      </c>
      <c r="AM250" s="40">
        <f>IFERROR(Macro!$D89*Team!AM151/12+IF(AND(YEAR(AM$5)&gt;2020,MONTH(AM$5)=Macro!$D$52),Macro!$D89*AVERAGE(OFFSET(AN151,0,0,1,-12))*Macro!$E89,0),"NA")</f>
        <v>12500</v>
      </c>
      <c r="AN250" s="38">
        <f>IFERROR(Macro!$D89*Team!AN151/12+IF(AND(YEAR(AN$5)&gt;2020,MONTH(AN$5)=Macro!$D$52),Macro!$D89*AVERAGE(OFFSET(AO151,0,0,1,-12))*Macro!$E89,0),"NA")</f>
        <v>12500</v>
      </c>
      <c r="AO250" s="39">
        <f>IFERROR(Macro!$D89*Team!AO151/12+IF(AND(YEAR(AO$5)&gt;2020,MONTH(AO$5)=Macro!$D$52),Macro!$D89*AVERAGE(OFFSET(AP151,0,0,1,-12))*Macro!$E89,0),"NA")</f>
        <v>12500</v>
      </c>
      <c r="AP250" s="40">
        <f>IFERROR(Macro!$D89*Team!AP151/12+IF(AND(YEAR(AP$5)&gt;2020,MONTH(AP$5)=Macro!$D$52),Macro!$D89*AVERAGE(OFFSET(AQ151,0,0,1,-12))*Macro!$E89,0),"NA")</f>
        <v>12500</v>
      </c>
      <c r="AQ250" s="38">
        <f>IFERROR(Macro!$D89*Team!AQ151/12+IF(AND(YEAR(AQ$5)&gt;2020,MONTH(AQ$5)=Macro!$D$52),Macro!$D89*AVERAGE(OFFSET(AR151,0,0,1,-12))*Macro!$E89,0),"NA")</f>
        <v>12500</v>
      </c>
      <c r="AR250" s="39">
        <f>IFERROR(Macro!$D89*Team!AR151/12+IF(AND(YEAR(AR$5)&gt;2020,MONTH(AR$5)=Macro!$D$52),Macro!$D89*AVERAGE(OFFSET(AS151,0,0,1,-12))*Macro!$E89,0),"NA")</f>
        <v>12500</v>
      </c>
      <c r="AS250" s="40">
        <f>IFERROR(Macro!$D89*Team!AS151/12+IF(AND(YEAR(AS$5)&gt;2020,MONTH(AS$5)=Macro!$D$52),Macro!$D89*AVERAGE(OFFSET(AT151,0,0,1,-12))*Macro!$E89,0),"NA")</f>
        <v>12500</v>
      </c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</row>
    <row r="251" ht="12.0" customHeight="1">
      <c r="A251" s="282"/>
      <c r="B251" s="8"/>
      <c r="C251" s="37" t="str">
        <f t="shared" si="100"/>
        <v>Platform Engineer</v>
      </c>
      <c r="D251" s="283">
        <f>IFERROR(Macro!$D90*Team!D152/12+IF(AND(YEAR(D$5)&gt;2020,MONTH(D$5)=Macro!$D$52),Macro!$D90*AVERAGE(OFFSET(E152,0,0,1,-12))*Macro!$E90,0),"NA")</f>
        <v>12500</v>
      </c>
      <c r="E251" s="284">
        <f>IFERROR(Macro!$D90*Team!E152/12+IF(AND(YEAR(E$5)&gt;2020,MONTH(E$5)=Macro!$D$52),Macro!$D90*AVERAGE(OFFSET(F152,0,0,1,-12))*Macro!$E90,0),"NA")</f>
        <v>12500</v>
      </c>
      <c r="F251" s="284">
        <f>IFERROR(Macro!$D90*Team!F152/12+IF(AND(YEAR(F$5)&gt;2020,MONTH(F$5)=Macro!$D$52),Macro!$D90*AVERAGE(OFFSET(G152,0,0,1,-12))*Macro!$E90,0),"NA")</f>
        <v>12500</v>
      </c>
      <c r="G251" s="283">
        <f>IFERROR(Macro!$D90*Team!G152/12+IF(AND(YEAR(G$5)&gt;2020,MONTH(G$5)=Macro!$D$52),Macro!$D90*AVERAGE(OFFSET(H152,0,0,1,-12))*Macro!$E90,0),"NA")</f>
        <v>12500</v>
      </c>
      <c r="H251" s="284">
        <f>IFERROR(Macro!$D90*Team!H152/12+IF(AND(YEAR(H$5)&gt;2020,MONTH(H$5)=Macro!$D$52),Macro!$D90*AVERAGE(OFFSET(I152,0,0,1,-12))*Macro!$E90,0),"NA")</f>
        <v>12500</v>
      </c>
      <c r="I251" s="285">
        <f>IFERROR(Macro!$D90*Team!I152/12+IF(AND(YEAR(I$5)&gt;2020,MONTH(I$5)=Macro!$D$52),Macro!$D90*AVERAGE(OFFSET(J152,0,0,1,-12))*Macro!$E90,0),"NA")</f>
        <v>12500</v>
      </c>
      <c r="J251" s="286">
        <f>IFERROR(Macro!$D90*Team!J152/12+IF(AND(YEAR(J$5)&gt;2020,MONTH(J$5)=Macro!$D$52),Macro!$D90*AVERAGE(OFFSET(K152,0,0,1,-12))*Macro!$E90,0),"NA")</f>
        <v>12500</v>
      </c>
      <c r="K251" s="287">
        <f>IFERROR(Macro!$D90*Team!K152/12+IF(AND(YEAR(K$5)&gt;2020,MONTH(K$5)=Macro!$D$52),Macro!$D90*AVERAGE(OFFSET(L152,0,0,1,-12))*Macro!$E90,0),"NA")</f>
        <v>12500</v>
      </c>
      <c r="L251" s="288">
        <f>IFERROR(Macro!$D90*Team!L152/12+IF(AND(YEAR(L$5)&gt;2020,MONTH(L$5)=Macro!$D$52),Macro!$D90*AVERAGE(OFFSET(M152,0,0,1,-12))*Macro!$E90,0),"NA")</f>
        <v>12500</v>
      </c>
      <c r="M251" s="38">
        <f>IFERROR(Macro!$D90*Team!M152/12+IF(AND(YEAR(M$5)&gt;2020,MONTH(M$5)=Macro!$D$52),Macro!$D90*AVERAGE(OFFSET(N152,0,0,1,-12))*Macro!$E90,0),"NA")</f>
        <v>12500</v>
      </c>
      <c r="N251" s="39">
        <f>IFERROR(Macro!$D90*Team!N152/12+IF(AND(YEAR(N$5)&gt;2020,MONTH(N$5)=Macro!$D$52),Macro!$D90*AVERAGE(OFFSET(O152,0,0,1,-12))*Macro!$E90,0),"NA")</f>
        <v>12500</v>
      </c>
      <c r="O251" s="40">
        <f>IFERROR(Macro!$D90*Team!O152/12+IF(AND(YEAR(O$5)&gt;2020,MONTH(O$5)=Macro!$D$52),Macro!$D90*AVERAGE(OFFSET(P152,0,0,1,-12))*Macro!$E90,0),"NA")</f>
        <v>12500</v>
      </c>
      <c r="P251" s="38">
        <f>IFERROR(Macro!$D90*Team!P152/12+IF(AND(YEAR(P$5)&gt;2020,MONTH(P$5)=Macro!$D$52),Macro!$D90*AVERAGE(OFFSET(Q152,0,0,1,-12))*Macro!$E90,0),"NA")</f>
        <v>12500</v>
      </c>
      <c r="Q251" s="39">
        <f>IFERROR(Macro!$D90*Team!Q152/12+IF(AND(YEAR(Q$5)&gt;2020,MONTH(Q$5)=Macro!$D$52),Macro!$D90*AVERAGE(OFFSET(R152,0,0,1,-12))*Macro!$E90,0),"NA")</f>
        <v>12500</v>
      </c>
      <c r="R251" s="40">
        <f>IFERROR(Macro!$D90*Team!R152/12+IF(AND(YEAR(R$5)&gt;2020,MONTH(R$5)=Macro!$D$52),Macro!$D90*AVERAGE(OFFSET(S152,0,0,1,-12))*Macro!$E90,0),"NA")</f>
        <v>12500</v>
      </c>
      <c r="S251" s="38">
        <f>IFERROR(Macro!$D90*Team!S152/12+IF(AND(YEAR(S$5)&gt;2020,MONTH(S$5)=Macro!$D$52),Macro!$D90*AVERAGE(OFFSET(T152,0,0,1,-12))*Macro!$E90,0),"NA")</f>
        <v>12500</v>
      </c>
      <c r="T251" s="39">
        <f>IFERROR(Macro!$D90*Team!T152/12+IF(AND(YEAR(T$5)&gt;2020,MONTH(T$5)=Macro!$D$52),Macro!$D90*AVERAGE(OFFSET(U152,0,0,1,-12))*Macro!$E90,0),"NA")</f>
        <v>12500</v>
      </c>
      <c r="U251" s="40">
        <f>IFERROR(Macro!$D90*Team!U152/12+IF(AND(YEAR(U$5)&gt;2020,MONTH(U$5)=Macro!$D$52),Macro!$D90*AVERAGE(OFFSET(V152,0,0,1,-12))*Macro!$E90,0),"NA")</f>
        <v>12500</v>
      </c>
      <c r="V251" s="38" t="str">
        <f>IFERROR(Macro!$D90*Team!V152/12+IF(AND(YEAR(V$5)&gt;2020,MONTH(V$5)=Macro!$D$52),Macro!$D90*AVERAGE(OFFSET(W152,0,0,1,-12))*Macro!$E90,0),"NA")</f>
        <v>NA</v>
      </c>
      <c r="W251" s="39">
        <f>IFERROR(Macro!$D90*Team!W152/12+IF(AND(YEAR(W$5)&gt;2020,MONTH(W$5)=Macro!$D$52),Macro!$D90*AVERAGE(OFFSET(X152,0,0,1,-12))*Macro!$E90,0),"NA")</f>
        <v>12500</v>
      </c>
      <c r="X251" s="40">
        <f>IFERROR(Macro!$D90*Team!X152/12+IF(AND(YEAR(X$5)&gt;2020,MONTH(X$5)=Macro!$D$52),Macro!$D90*AVERAGE(OFFSET(Y152,0,0,1,-12))*Macro!$E90,0),"NA")</f>
        <v>12500</v>
      </c>
      <c r="Y251" s="38">
        <f>IFERROR(Macro!$D90*Team!Y152/12+IF(AND(YEAR(Y$5)&gt;2020,MONTH(Y$5)=Macro!$D$52),Macro!$D90*AVERAGE(OFFSET(Z152,0,0,1,-12))*Macro!$E90,0),"NA")</f>
        <v>12500</v>
      </c>
      <c r="Z251" s="39">
        <f>IFERROR(Macro!$D90*Team!Z152/12+IF(AND(YEAR(Z$5)&gt;2020,MONTH(Z$5)=Macro!$D$52),Macro!$D90*AVERAGE(OFFSET(AA152,0,0,1,-12))*Macro!$E90,0),"NA")</f>
        <v>12500</v>
      </c>
      <c r="AA251" s="40">
        <f>IFERROR(Macro!$D90*Team!AA152/12+IF(AND(YEAR(AA$5)&gt;2020,MONTH(AA$5)=Macro!$D$52),Macro!$D90*AVERAGE(OFFSET(AB152,0,0,1,-12))*Macro!$E90,0),"NA")</f>
        <v>12500</v>
      </c>
      <c r="AB251" s="38">
        <f>IFERROR(Macro!$D90*Team!AB152/12+IF(AND(YEAR(AB$5)&gt;2020,MONTH(AB$5)=Macro!$D$52),Macro!$D90*AVERAGE(OFFSET(AC152,0,0,1,-12))*Macro!$E90,0),"NA")</f>
        <v>12500</v>
      </c>
      <c r="AC251" s="39">
        <f>IFERROR(Macro!$D90*Team!AC152/12+IF(AND(YEAR(AC$5)&gt;2020,MONTH(AC$5)=Macro!$D$52),Macro!$D90*AVERAGE(OFFSET(AD152,0,0,1,-12))*Macro!$E90,0),"NA")</f>
        <v>12500</v>
      </c>
      <c r="AD251" s="40">
        <f>IFERROR(Macro!$D90*Team!AD152/12+IF(AND(YEAR(AD$5)&gt;2020,MONTH(AD$5)=Macro!$D$52),Macro!$D90*AVERAGE(OFFSET(AE152,0,0,1,-12))*Macro!$E90,0),"NA")</f>
        <v>12500</v>
      </c>
      <c r="AE251" s="38">
        <f>IFERROR(Macro!$D90*Team!AE152/12+IF(AND(YEAR(AE$5)&gt;2020,MONTH(AE$5)=Macro!$D$52),Macro!$D90*AVERAGE(OFFSET(AF152,0,0,1,-12))*Macro!$E90,0),"NA")</f>
        <v>12500</v>
      </c>
      <c r="AF251" s="39">
        <f>IFERROR(Macro!$D90*Team!AF152/12+IF(AND(YEAR(AF$5)&gt;2020,MONTH(AF$5)=Macro!$D$52),Macro!$D90*AVERAGE(OFFSET(AG152,0,0,1,-12))*Macro!$E90,0),"NA")</f>
        <v>12500</v>
      </c>
      <c r="AG251" s="40">
        <f>IFERROR(Macro!$D90*Team!AG152/12+IF(AND(YEAR(AG$5)&gt;2020,MONTH(AG$5)=Macro!$D$52),Macro!$D90*AVERAGE(OFFSET(AH152,0,0,1,-12))*Macro!$E90,0),"NA")</f>
        <v>12500</v>
      </c>
      <c r="AH251" s="38" t="str">
        <f>IFERROR(Macro!$D90*Team!AH152/12+IF(AND(YEAR(AH$5)&gt;2020,MONTH(AH$5)=Macro!$D$52),Macro!$D90*AVERAGE(OFFSET(AI152,0,0,1,-12))*Macro!$E90,0),"NA")</f>
        <v>NA</v>
      </c>
      <c r="AI251" s="39">
        <f>IFERROR(Macro!$D90*Team!AI152/12+IF(AND(YEAR(AI$5)&gt;2020,MONTH(AI$5)=Macro!$D$52),Macro!$D90*AVERAGE(OFFSET(AJ152,0,0,1,-12))*Macro!$E90,0),"NA")</f>
        <v>12500</v>
      </c>
      <c r="AJ251" s="40">
        <f>IFERROR(Macro!$D90*Team!AJ152/12+IF(AND(YEAR(AJ$5)&gt;2020,MONTH(AJ$5)=Macro!$D$52),Macro!$D90*AVERAGE(OFFSET(AK152,0,0,1,-12))*Macro!$E90,0),"NA")</f>
        <v>12500</v>
      </c>
      <c r="AK251" s="38">
        <f>IFERROR(Macro!$D90*Team!AK152/12+IF(AND(YEAR(AK$5)&gt;2020,MONTH(AK$5)=Macro!$D$52),Macro!$D90*AVERAGE(OFFSET(AL152,0,0,1,-12))*Macro!$E90,0),"NA")</f>
        <v>12500</v>
      </c>
      <c r="AL251" s="39">
        <f>IFERROR(Macro!$D90*Team!AL152/12+IF(AND(YEAR(AL$5)&gt;2020,MONTH(AL$5)=Macro!$D$52),Macro!$D90*AVERAGE(OFFSET(AM152,0,0,1,-12))*Macro!$E90,0),"NA")</f>
        <v>12500</v>
      </c>
      <c r="AM251" s="40">
        <f>IFERROR(Macro!$D90*Team!AM152/12+IF(AND(YEAR(AM$5)&gt;2020,MONTH(AM$5)=Macro!$D$52),Macro!$D90*AVERAGE(OFFSET(AN152,0,0,1,-12))*Macro!$E90,0),"NA")</f>
        <v>12500</v>
      </c>
      <c r="AN251" s="38">
        <f>IFERROR(Macro!$D90*Team!AN152/12+IF(AND(YEAR(AN$5)&gt;2020,MONTH(AN$5)=Macro!$D$52),Macro!$D90*AVERAGE(OFFSET(AO152,0,0,1,-12))*Macro!$E90,0),"NA")</f>
        <v>12500</v>
      </c>
      <c r="AO251" s="39">
        <f>IFERROR(Macro!$D90*Team!AO152/12+IF(AND(YEAR(AO$5)&gt;2020,MONTH(AO$5)=Macro!$D$52),Macro!$D90*AVERAGE(OFFSET(AP152,0,0,1,-12))*Macro!$E90,0),"NA")</f>
        <v>12500</v>
      </c>
      <c r="AP251" s="40">
        <f>IFERROR(Macro!$D90*Team!AP152/12+IF(AND(YEAR(AP$5)&gt;2020,MONTH(AP$5)=Macro!$D$52),Macro!$D90*AVERAGE(OFFSET(AQ152,0,0,1,-12))*Macro!$E90,0),"NA")</f>
        <v>12500</v>
      </c>
      <c r="AQ251" s="38">
        <f>IFERROR(Macro!$D90*Team!AQ152/12+IF(AND(YEAR(AQ$5)&gt;2020,MONTH(AQ$5)=Macro!$D$52),Macro!$D90*AVERAGE(OFFSET(AR152,0,0,1,-12))*Macro!$E90,0),"NA")</f>
        <v>12500</v>
      </c>
      <c r="AR251" s="39">
        <f>IFERROR(Macro!$D90*Team!AR152/12+IF(AND(YEAR(AR$5)&gt;2020,MONTH(AR$5)=Macro!$D$52),Macro!$D90*AVERAGE(OFFSET(AS152,0,0,1,-12))*Macro!$E90,0),"NA")</f>
        <v>12500</v>
      </c>
      <c r="AS251" s="40">
        <f>IFERROR(Macro!$D90*Team!AS152/12+IF(AND(YEAR(AS$5)&gt;2020,MONTH(AS$5)=Macro!$D$52),Macro!$D90*AVERAGE(OFFSET(AT152,0,0,1,-12))*Macro!$E90,0),"NA")</f>
        <v>12500</v>
      </c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</row>
    <row r="252" ht="12.0" customHeight="1">
      <c r="A252" s="282"/>
      <c r="B252" s="8"/>
      <c r="C252" s="37" t="str">
        <f t="shared" si="100"/>
        <v>Head of Analytics</v>
      </c>
      <c r="D252" s="283">
        <f>IFERROR(Macro!$D91*Team!D153/12+IF(AND(YEAR(D$5)&gt;2020,MONTH(D$5)=Macro!$D$52),Macro!$D91*AVERAGE(OFFSET(E153,0,0,1,-12))*Macro!$E91,0),"NA")</f>
        <v>12500</v>
      </c>
      <c r="E252" s="284">
        <f>IFERROR(Macro!$D91*Team!E153/12+IF(AND(YEAR(E$5)&gt;2020,MONTH(E$5)=Macro!$D$52),Macro!$D91*AVERAGE(OFFSET(F153,0,0,1,-12))*Macro!$E91,0),"NA")</f>
        <v>12500</v>
      </c>
      <c r="F252" s="284">
        <f>IFERROR(Macro!$D91*Team!F153/12+IF(AND(YEAR(F$5)&gt;2020,MONTH(F$5)=Macro!$D$52),Macro!$D91*AVERAGE(OFFSET(G153,0,0,1,-12))*Macro!$E91,0),"NA")</f>
        <v>12500</v>
      </c>
      <c r="G252" s="283">
        <f>IFERROR(Macro!$D91*Team!G153/12+IF(AND(YEAR(G$5)&gt;2020,MONTH(G$5)=Macro!$D$52),Macro!$D91*AVERAGE(OFFSET(H153,0,0,1,-12))*Macro!$E91,0),"NA")</f>
        <v>12500</v>
      </c>
      <c r="H252" s="284">
        <f>IFERROR(Macro!$D91*Team!H153/12+IF(AND(YEAR(H$5)&gt;2020,MONTH(H$5)=Macro!$D$52),Macro!$D91*AVERAGE(OFFSET(I153,0,0,1,-12))*Macro!$E91,0),"NA")</f>
        <v>12500</v>
      </c>
      <c r="I252" s="285">
        <f>IFERROR(Macro!$D91*Team!I153/12+IF(AND(YEAR(I$5)&gt;2020,MONTH(I$5)=Macro!$D$52),Macro!$D91*AVERAGE(OFFSET(J153,0,0,1,-12))*Macro!$E91,0),"NA")</f>
        <v>12500</v>
      </c>
      <c r="J252" s="286">
        <f>IFERROR(Macro!$D91*Team!J153/12+IF(AND(YEAR(J$5)&gt;2020,MONTH(J$5)=Macro!$D$52),Macro!$D91*AVERAGE(OFFSET(K153,0,0,1,-12))*Macro!$E91,0),"NA")</f>
        <v>12500</v>
      </c>
      <c r="K252" s="287">
        <f>IFERROR(Macro!$D91*Team!K153/12+IF(AND(YEAR(K$5)&gt;2020,MONTH(K$5)=Macro!$D$52),Macro!$D91*AVERAGE(OFFSET(L153,0,0,1,-12))*Macro!$E91,0),"NA")</f>
        <v>12500</v>
      </c>
      <c r="L252" s="288">
        <f>IFERROR(Macro!$D91*Team!L153/12+IF(AND(YEAR(L$5)&gt;2020,MONTH(L$5)=Macro!$D$52),Macro!$D91*AVERAGE(OFFSET(M153,0,0,1,-12))*Macro!$E91,0),"NA")</f>
        <v>12500</v>
      </c>
      <c r="M252" s="38">
        <f>IFERROR(Macro!$D91*Team!M153/12+IF(AND(YEAR(M$5)&gt;2020,MONTH(M$5)=Macro!$D$52),Macro!$D91*AVERAGE(OFFSET(N153,0,0,1,-12))*Macro!$E91,0),"NA")</f>
        <v>12500</v>
      </c>
      <c r="N252" s="39">
        <f>IFERROR(Macro!$D91*Team!N153/12+IF(AND(YEAR(N$5)&gt;2020,MONTH(N$5)=Macro!$D$52),Macro!$D91*AVERAGE(OFFSET(O153,0,0,1,-12))*Macro!$E91,0),"NA")</f>
        <v>12500</v>
      </c>
      <c r="O252" s="40">
        <f>IFERROR(Macro!$D91*Team!O153/12+IF(AND(YEAR(O$5)&gt;2020,MONTH(O$5)=Macro!$D$52),Macro!$D91*AVERAGE(OFFSET(P153,0,0,1,-12))*Macro!$E91,0),"NA")</f>
        <v>12500</v>
      </c>
      <c r="P252" s="38">
        <f>IFERROR(Macro!$D91*Team!P153/12+IF(AND(YEAR(P$5)&gt;2020,MONTH(P$5)=Macro!$D$52),Macro!$D91*AVERAGE(OFFSET(Q153,0,0,1,-12))*Macro!$E91,0),"NA")</f>
        <v>12500</v>
      </c>
      <c r="Q252" s="39">
        <f>IFERROR(Macro!$D91*Team!Q153/12+IF(AND(YEAR(Q$5)&gt;2020,MONTH(Q$5)=Macro!$D$52),Macro!$D91*AVERAGE(OFFSET(R153,0,0,1,-12))*Macro!$E91,0),"NA")</f>
        <v>12500</v>
      </c>
      <c r="R252" s="40">
        <f>IFERROR(Macro!$D91*Team!R153/12+IF(AND(YEAR(R$5)&gt;2020,MONTH(R$5)=Macro!$D$52),Macro!$D91*AVERAGE(OFFSET(S153,0,0,1,-12))*Macro!$E91,0),"NA")</f>
        <v>12500</v>
      </c>
      <c r="S252" s="38">
        <f>IFERROR(Macro!$D91*Team!S153/12+IF(AND(YEAR(S$5)&gt;2020,MONTH(S$5)=Macro!$D$52),Macro!$D91*AVERAGE(OFFSET(T153,0,0,1,-12))*Macro!$E91,0),"NA")</f>
        <v>12500</v>
      </c>
      <c r="T252" s="39">
        <f>IFERROR(Macro!$D91*Team!T153/12+IF(AND(YEAR(T$5)&gt;2020,MONTH(T$5)=Macro!$D$52),Macro!$D91*AVERAGE(OFFSET(U153,0,0,1,-12))*Macro!$E91,0),"NA")</f>
        <v>12500</v>
      </c>
      <c r="U252" s="40">
        <f>IFERROR(Macro!$D91*Team!U153/12+IF(AND(YEAR(U$5)&gt;2020,MONTH(U$5)=Macro!$D$52),Macro!$D91*AVERAGE(OFFSET(V153,0,0,1,-12))*Macro!$E91,0),"NA")</f>
        <v>12500</v>
      </c>
      <c r="V252" s="38" t="str">
        <f>IFERROR(Macro!$D91*Team!V153/12+IF(AND(YEAR(V$5)&gt;2020,MONTH(V$5)=Macro!$D$52),Macro!$D91*AVERAGE(OFFSET(W153,0,0,1,-12))*Macro!$E91,0),"NA")</f>
        <v>NA</v>
      </c>
      <c r="W252" s="39">
        <f>IFERROR(Macro!$D91*Team!W153/12+IF(AND(YEAR(W$5)&gt;2020,MONTH(W$5)=Macro!$D$52),Macro!$D91*AVERAGE(OFFSET(X153,0,0,1,-12))*Macro!$E91,0),"NA")</f>
        <v>12500</v>
      </c>
      <c r="X252" s="40">
        <f>IFERROR(Macro!$D91*Team!X153/12+IF(AND(YEAR(X$5)&gt;2020,MONTH(X$5)=Macro!$D$52),Macro!$D91*AVERAGE(OFFSET(Y153,0,0,1,-12))*Macro!$E91,0),"NA")</f>
        <v>12500</v>
      </c>
      <c r="Y252" s="38">
        <f>IFERROR(Macro!$D91*Team!Y153/12+IF(AND(YEAR(Y$5)&gt;2020,MONTH(Y$5)=Macro!$D$52),Macro!$D91*AVERAGE(OFFSET(Z153,0,0,1,-12))*Macro!$E91,0),"NA")</f>
        <v>12500</v>
      </c>
      <c r="Z252" s="39">
        <f>IFERROR(Macro!$D91*Team!Z153/12+IF(AND(YEAR(Z$5)&gt;2020,MONTH(Z$5)=Macro!$D$52),Macro!$D91*AVERAGE(OFFSET(AA153,0,0,1,-12))*Macro!$E91,0),"NA")</f>
        <v>12500</v>
      </c>
      <c r="AA252" s="40">
        <f>IFERROR(Macro!$D91*Team!AA153/12+IF(AND(YEAR(AA$5)&gt;2020,MONTH(AA$5)=Macro!$D$52),Macro!$D91*AVERAGE(OFFSET(AB153,0,0,1,-12))*Macro!$E91,0),"NA")</f>
        <v>12500</v>
      </c>
      <c r="AB252" s="38">
        <f>IFERROR(Macro!$D91*Team!AB153/12+IF(AND(YEAR(AB$5)&gt;2020,MONTH(AB$5)=Macro!$D$52),Macro!$D91*AVERAGE(OFFSET(AC153,0,0,1,-12))*Macro!$E91,0),"NA")</f>
        <v>12500</v>
      </c>
      <c r="AC252" s="39">
        <f>IFERROR(Macro!$D91*Team!AC153/12+IF(AND(YEAR(AC$5)&gt;2020,MONTH(AC$5)=Macro!$D$52),Macro!$D91*AVERAGE(OFFSET(AD153,0,0,1,-12))*Macro!$E91,0),"NA")</f>
        <v>12500</v>
      </c>
      <c r="AD252" s="40">
        <f>IFERROR(Macro!$D91*Team!AD153/12+IF(AND(YEAR(AD$5)&gt;2020,MONTH(AD$5)=Macro!$D$52),Macro!$D91*AVERAGE(OFFSET(AE153,0,0,1,-12))*Macro!$E91,0),"NA")</f>
        <v>12500</v>
      </c>
      <c r="AE252" s="38">
        <f>IFERROR(Macro!$D91*Team!AE153/12+IF(AND(YEAR(AE$5)&gt;2020,MONTH(AE$5)=Macro!$D$52),Macro!$D91*AVERAGE(OFFSET(AF153,0,0,1,-12))*Macro!$E91,0),"NA")</f>
        <v>12500</v>
      </c>
      <c r="AF252" s="39">
        <f>IFERROR(Macro!$D91*Team!AF153/12+IF(AND(YEAR(AF$5)&gt;2020,MONTH(AF$5)=Macro!$D$52),Macro!$D91*AVERAGE(OFFSET(AG153,0,0,1,-12))*Macro!$E91,0),"NA")</f>
        <v>12500</v>
      </c>
      <c r="AG252" s="40">
        <f>IFERROR(Macro!$D91*Team!AG153/12+IF(AND(YEAR(AG$5)&gt;2020,MONTH(AG$5)=Macro!$D$52),Macro!$D91*AVERAGE(OFFSET(AH153,0,0,1,-12))*Macro!$E91,0),"NA")</f>
        <v>12500</v>
      </c>
      <c r="AH252" s="38" t="str">
        <f>IFERROR(Macro!$D91*Team!AH153/12+IF(AND(YEAR(AH$5)&gt;2020,MONTH(AH$5)=Macro!$D$52),Macro!$D91*AVERAGE(OFFSET(AI153,0,0,1,-12))*Macro!$E91,0),"NA")</f>
        <v>NA</v>
      </c>
      <c r="AI252" s="39">
        <f>IFERROR(Macro!$D91*Team!AI153/12+IF(AND(YEAR(AI$5)&gt;2020,MONTH(AI$5)=Macro!$D$52),Macro!$D91*AVERAGE(OFFSET(AJ153,0,0,1,-12))*Macro!$E91,0),"NA")</f>
        <v>12500</v>
      </c>
      <c r="AJ252" s="40">
        <f>IFERROR(Macro!$D91*Team!AJ153/12+IF(AND(YEAR(AJ$5)&gt;2020,MONTH(AJ$5)=Macro!$D$52),Macro!$D91*AVERAGE(OFFSET(AK153,0,0,1,-12))*Macro!$E91,0),"NA")</f>
        <v>12500</v>
      </c>
      <c r="AK252" s="38">
        <f>IFERROR(Macro!$D91*Team!AK153/12+IF(AND(YEAR(AK$5)&gt;2020,MONTH(AK$5)=Macro!$D$52),Macro!$D91*AVERAGE(OFFSET(AL153,0,0,1,-12))*Macro!$E91,0),"NA")</f>
        <v>12500</v>
      </c>
      <c r="AL252" s="39">
        <f>IFERROR(Macro!$D91*Team!AL153/12+IF(AND(YEAR(AL$5)&gt;2020,MONTH(AL$5)=Macro!$D$52),Macro!$D91*AVERAGE(OFFSET(AM153,0,0,1,-12))*Macro!$E91,0),"NA")</f>
        <v>12500</v>
      </c>
      <c r="AM252" s="40">
        <f>IFERROR(Macro!$D91*Team!AM153/12+IF(AND(YEAR(AM$5)&gt;2020,MONTH(AM$5)=Macro!$D$52),Macro!$D91*AVERAGE(OFFSET(AN153,0,0,1,-12))*Macro!$E91,0),"NA")</f>
        <v>12500</v>
      </c>
      <c r="AN252" s="38">
        <f>IFERROR(Macro!$D91*Team!AN153/12+IF(AND(YEAR(AN$5)&gt;2020,MONTH(AN$5)=Macro!$D$52),Macro!$D91*AVERAGE(OFFSET(AO153,0,0,1,-12))*Macro!$E91,0),"NA")</f>
        <v>12500</v>
      </c>
      <c r="AO252" s="39">
        <f>IFERROR(Macro!$D91*Team!AO153/12+IF(AND(YEAR(AO$5)&gt;2020,MONTH(AO$5)=Macro!$D$52),Macro!$D91*AVERAGE(OFFSET(AP153,0,0,1,-12))*Macro!$E91,0),"NA")</f>
        <v>12500</v>
      </c>
      <c r="AP252" s="40">
        <f>IFERROR(Macro!$D91*Team!AP153/12+IF(AND(YEAR(AP$5)&gt;2020,MONTH(AP$5)=Macro!$D$52),Macro!$D91*AVERAGE(OFFSET(AQ153,0,0,1,-12))*Macro!$E91,0),"NA")</f>
        <v>12500</v>
      </c>
      <c r="AQ252" s="38">
        <f>IFERROR(Macro!$D91*Team!AQ153/12+IF(AND(YEAR(AQ$5)&gt;2020,MONTH(AQ$5)=Macro!$D$52),Macro!$D91*AVERAGE(OFFSET(AR153,0,0,1,-12))*Macro!$E91,0),"NA")</f>
        <v>12500</v>
      </c>
      <c r="AR252" s="39">
        <f>IFERROR(Macro!$D91*Team!AR153/12+IF(AND(YEAR(AR$5)&gt;2020,MONTH(AR$5)=Macro!$D$52),Macro!$D91*AVERAGE(OFFSET(AS153,0,0,1,-12))*Macro!$E91,0),"NA")</f>
        <v>12500</v>
      </c>
      <c r="AS252" s="40">
        <f>IFERROR(Macro!$D91*Team!AS153/12+IF(AND(YEAR(AS$5)&gt;2020,MONTH(AS$5)=Macro!$D$52),Macro!$D91*AVERAGE(OFFSET(AT153,0,0,1,-12))*Macro!$E91,0),"NA")</f>
        <v>12500</v>
      </c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</row>
    <row r="253" ht="12.0" customHeight="1">
      <c r="A253" s="282"/>
      <c r="B253" s="8"/>
      <c r="C253" s="37" t="str">
        <f t="shared" si="100"/>
        <v>Quality Assurance Lead</v>
      </c>
      <c r="D253" s="283">
        <f>IFERROR(Macro!$D92*Team!D154/12+IF(AND(YEAR(D$5)&gt;2020,MONTH(D$5)=Macro!$D$52),Macro!$D92*AVERAGE(OFFSET(E154,0,0,1,-12))*Macro!$E92,0),"NA")</f>
        <v>12500</v>
      </c>
      <c r="E253" s="284">
        <f>IFERROR(Macro!$D92*Team!E154/12+IF(AND(YEAR(E$5)&gt;2020,MONTH(E$5)=Macro!$D$52),Macro!$D92*AVERAGE(OFFSET(F154,0,0,1,-12))*Macro!$E92,0),"NA")</f>
        <v>12500</v>
      </c>
      <c r="F253" s="284">
        <f>IFERROR(Macro!$D92*Team!F154/12+IF(AND(YEAR(F$5)&gt;2020,MONTH(F$5)=Macro!$D$52),Macro!$D92*AVERAGE(OFFSET(G154,0,0,1,-12))*Macro!$E92,0),"NA")</f>
        <v>12500</v>
      </c>
      <c r="G253" s="283">
        <f>IFERROR(Macro!$D92*Team!G154/12+IF(AND(YEAR(G$5)&gt;2020,MONTH(G$5)=Macro!$D$52),Macro!$D92*AVERAGE(OFFSET(H154,0,0,1,-12))*Macro!$E92,0),"NA")</f>
        <v>12500</v>
      </c>
      <c r="H253" s="284">
        <f>IFERROR(Macro!$D92*Team!H154/12+IF(AND(YEAR(H$5)&gt;2020,MONTH(H$5)=Macro!$D$52),Macro!$D92*AVERAGE(OFFSET(I154,0,0,1,-12))*Macro!$E92,0),"NA")</f>
        <v>12500</v>
      </c>
      <c r="I253" s="285">
        <f>IFERROR(Macro!$D92*Team!I154/12+IF(AND(YEAR(I$5)&gt;2020,MONTH(I$5)=Macro!$D$52),Macro!$D92*AVERAGE(OFFSET(J154,0,0,1,-12))*Macro!$E92,0),"NA")</f>
        <v>12500</v>
      </c>
      <c r="J253" s="286">
        <f>IFERROR(Macro!$D92*Team!J154/12+IF(AND(YEAR(J$5)&gt;2020,MONTH(J$5)=Macro!$D$52),Macro!$D92*AVERAGE(OFFSET(K154,0,0,1,-12))*Macro!$E92,0),"NA")</f>
        <v>12500</v>
      </c>
      <c r="K253" s="287">
        <f>IFERROR(Macro!$D92*Team!K154/12+IF(AND(YEAR(K$5)&gt;2020,MONTH(K$5)=Macro!$D$52),Macro!$D92*AVERAGE(OFFSET(L154,0,0,1,-12))*Macro!$E92,0),"NA")</f>
        <v>12500</v>
      </c>
      <c r="L253" s="288">
        <f>IFERROR(Macro!$D92*Team!L154/12+IF(AND(YEAR(L$5)&gt;2020,MONTH(L$5)=Macro!$D$52),Macro!$D92*AVERAGE(OFFSET(M154,0,0,1,-12))*Macro!$E92,0),"NA")</f>
        <v>12500</v>
      </c>
      <c r="M253" s="38">
        <f>IFERROR(Macro!$D92*Team!M154/12+IF(AND(YEAR(M$5)&gt;2020,MONTH(M$5)=Macro!$D$52),Macro!$D92*AVERAGE(OFFSET(N154,0,0,1,-12))*Macro!$E92,0),"NA")</f>
        <v>12500</v>
      </c>
      <c r="N253" s="39">
        <f>IFERROR(Macro!$D92*Team!N154/12+IF(AND(YEAR(N$5)&gt;2020,MONTH(N$5)=Macro!$D$52),Macro!$D92*AVERAGE(OFFSET(O154,0,0,1,-12))*Macro!$E92,0),"NA")</f>
        <v>12500</v>
      </c>
      <c r="O253" s="40">
        <f>IFERROR(Macro!$D92*Team!O154/12+IF(AND(YEAR(O$5)&gt;2020,MONTH(O$5)=Macro!$D$52),Macro!$D92*AVERAGE(OFFSET(P154,0,0,1,-12))*Macro!$E92,0),"NA")</f>
        <v>12500</v>
      </c>
      <c r="P253" s="38">
        <f>IFERROR(Macro!$D92*Team!P154/12+IF(AND(YEAR(P$5)&gt;2020,MONTH(P$5)=Macro!$D$52),Macro!$D92*AVERAGE(OFFSET(Q154,0,0,1,-12))*Macro!$E92,0),"NA")</f>
        <v>12500</v>
      </c>
      <c r="Q253" s="39">
        <f>IFERROR(Macro!$D92*Team!Q154/12+IF(AND(YEAR(Q$5)&gt;2020,MONTH(Q$5)=Macro!$D$52),Macro!$D92*AVERAGE(OFFSET(R154,0,0,1,-12))*Macro!$E92,0),"NA")</f>
        <v>12500</v>
      </c>
      <c r="R253" s="40">
        <f>IFERROR(Macro!$D92*Team!R154/12+IF(AND(YEAR(R$5)&gt;2020,MONTH(R$5)=Macro!$D$52),Macro!$D92*AVERAGE(OFFSET(S154,0,0,1,-12))*Macro!$E92,0),"NA")</f>
        <v>12500</v>
      </c>
      <c r="S253" s="38">
        <f>IFERROR(Macro!$D92*Team!S154/12+IF(AND(YEAR(S$5)&gt;2020,MONTH(S$5)=Macro!$D$52),Macro!$D92*AVERAGE(OFFSET(T154,0,0,1,-12))*Macro!$E92,0),"NA")</f>
        <v>12500</v>
      </c>
      <c r="T253" s="39">
        <f>IFERROR(Macro!$D92*Team!T154/12+IF(AND(YEAR(T$5)&gt;2020,MONTH(T$5)=Macro!$D$52),Macro!$D92*AVERAGE(OFFSET(U154,0,0,1,-12))*Macro!$E92,0),"NA")</f>
        <v>12500</v>
      </c>
      <c r="U253" s="40">
        <f>IFERROR(Macro!$D92*Team!U154/12+IF(AND(YEAR(U$5)&gt;2020,MONTH(U$5)=Macro!$D$52),Macro!$D92*AVERAGE(OFFSET(V154,0,0,1,-12))*Macro!$E92,0),"NA")</f>
        <v>12500</v>
      </c>
      <c r="V253" s="38" t="str">
        <f>IFERROR(Macro!$D92*Team!V154/12+IF(AND(YEAR(V$5)&gt;2020,MONTH(V$5)=Macro!$D$52),Macro!$D92*AVERAGE(OFFSET(W154,0,0,1,-12))*Macro!$E92,0),"NA")</f>
        <v>NA</v>
      </c>
      <c r="W253" s="39">
        <f>IFERROR(Macro!$D92*Team!W154/12+IF(AND(YEAR(W$5)&gt;2020,MONTH(W$5)=Macro!$D$52),Macro!$D92*AVERAGE(OFFSET(X154,0,0,1,-12))*Macro!$E92,0),"NA")</f>
        <v>12500</v>
      </c>
      <c r="X253" s="40">
        <f>IFERROR(Macro!$D92*Team!X154/12+IF(AND(YEAR(X$5)&gt;2020,MONTH(X$5)=Macro!$D$52),Macro!$D92*AVERAGE(OFFSET(Y154,0,0,1,-12))*Macro!$E92,0),"NA")</f>
        <v>12500</v>
      </c>
      <c r="Y253" s="38">
        <f>IFERROR(Macro!$D92*Team!Y154/12+IF(AND(YEAR(Y$5)&gt;2020,MONTH(Y$5)=Macro!$D$52),Macro!$D92*AVERAGE(OFFSET(Z154,0,0,1,-12))*Macro!$E92,0),"NA")</f>
        <v>12500</v>
      </c>
      <c r="Z253" s="39">
        <f>IFERROR(Macro!$D92*Team!Z154/12+IF(AND(YEAR(Z$5)&gt;2020,MONTH(Z$5)=Macro!$D$52),Macro!$D92*AVERAGE(OFFSET(AA154,0,0,1,-12))*Macro!$E92,0),"NA")</f>
        <v>12500</v>
      </c>
      <c r="AA253" s="40">
        <f>IFERROR(Macro!$D92*Team!AA154/12+IF(AND(YEAR(AA$5)&gt;2020,MONTH(AA$5)=Macro!$D$52),Macro!$D92*AVERAGE(OFFSET(AB154,0,0,1,-12))*Macro!$E92,0),"NA")</f>
        <v>12500</v>
      </c>
      <c r="AB253" s="38">
        <f>IFERROR(Macro!$D92*Team!AB154/12+IF(AND(YEAR(AB$5)&gt;2020,MONTH(AB$5)=Macro!$D$52),Macro!$D92*AVERAGE(OFFSET(AC154,0,0,1,-12))*Macro!$E92,0),"NA")</f>
        <v>12500</v>
      </c>
      <c r="AC253" s="39">
        <f>IFERROR(Macro!$D92*Team!AC154/12+IF(AND(YEAR(AC$5)&gt;2020,MONTH(AC$5)=Macro!$D$52),Macro!$D92*AVERAGE(OFFSET(AD154,0,0,1,-12))*Macro!$E92,0),"NA")</f>
        <v>12500</v>
      </c>
      <c r="AD253" s="40">
        <f>IFERROR(Macro!$D92*Team!AD154/12+IF(AND(YEAR(AD$5)&gt;2020,MONTH(AD$5)=Macro!$D$52),Macro!$D92*AVERAGE(OFFSET(AE154,0,0,1,-12))*Macro!$E92,0),"NA")</f>
        <v>12500</v>
      </c>
      <c r="AE253" s="38">
        <f>IFERROR(Macro!$D92*Team!AE154/12+IF(AND(YEAR(AE$5)&gt;2020,MONTH(AE$5)=Macro!$D$52),Macro!$D92*AVERAGE(OFFSET(AF154,0,0,1,-12))*Macro!$E92,0),"NA")</f>
        <v>12500</v>
      </c>
      <c r="AF253" s="39">
        <f>IFERROR(Macro!$D92*Team!AF154/12+IF(AND(YEAR(AF$5)&gt;2020,MONTH(AF$5)=Macro!$D$52),Macro!$D92*AVERAGE(OFFSET(AG154,0,0,1,-12))*Macro!$E92,0),"NA")</f>
        <v>12500</v>
      </c>
      <c r="AG253" s="40">
        <f>IFERROR(Macro!$D92*Team!AG154/12+IF(AND(YEAR(AG$5)&gt;2020,MONTH(AG$5)=Macro!$D$52),Macro!$D92*AVERAGE(OFFSET(AH154,0,0,1,-12))*Macro!$E92,0),"NA")</f>
        <v>12500</v>
      </c>
      <c r="AH253" s="38" t="str">
        <f>IFERROR(Macro!$D92*Team!AH154/12+IF(AND(YEAR(AH$5)&gt;2020,MONTH(AH$5)=Macro!$D$52),Macro!$D92*AVERAGE(OFFSET(AI154,0,0,1,-12))*Macro!$E92,0),"NA")</f>
        <v>NA</v>
      </c>
      <c r="AI253" s="39">
        <f>IFERROR(Macro!$D92*Team!AI154/12+IF(AND(YEAR(AI$5)&gt;2020,MONTH(AI$5)=Macro!$D$52),Macro!$D92*AVERAGE(OFFSET(AJ154,0,0,1,-12))*Macro!$E92,0),"NA")</f>
        <v>12500</v>
      </c>
      <c r="AJ253" s="40">
        <f>IFERROR(Macro!$D92*Team!AJ154/12+IF(AND(YEAR(AJ$5)&gt;2020,MONTH(AJ$5)=Macro!$D$52),Macro!$D92*AVERAGE(OFFSET(AK154,0,0,1,-12))*Macro!$E92,0),"NA")</f>
        <v>12500</v>
      </c>
      <c r="AK253" s="38">
        <f>IFERROR(Macro!$D92*Team!AK154/12+IF(AND(YEAR(AK$5)&gt;2020,MONTH(AK$5)=Macro!$D$52),Macro!$D92*AVERAGE(OFFSET(AL154,0,0,1,-12))*Macro!$E92,0),"NA")</f>
        <v>12500</v>
      </c>
      <c r="AL253" s="39">
        <f>IFERROR(Macro!$D92*Team!AL154/12+IF(AND(YEAR(AL$5)&gt;2020,MONTH(AL$5)=Macro!$D$52),Macro!$D92*AVERAGE(OFFSET(AM154,0,0,1,-12))*Macro!$E92,0),"NA")</f>
        <v>12500</v>
      </c>
      <c r="AM253" s="40">
        <f>IFERROR(Macro!$D92*Team!AM154/12+IF(AND(YEAR(AM$5)&gt;2020,MONTH(AM$5)=Macro!$D$52),Macro!$D92*AVERAGE(OFFSET(AN154,0,0,1,-12))*Macro!$E92,0),"NA")</f>
        <v>12500</v>
      </c>
      <c r="AN253" s="38">
        <f>IFERROR(Macro!$D92*Team!AN154/12+IF(AND(YEAR(AN$5)&gt;2020,MONTH(AN$5)=Macro!$D$52),Macro!$D92*AVERAGE(OFFSET(AO154,0,0,1,-12))*Macro!$E92,0),"NA")</f>
        <v>12500</v>
      </c>
      <c r="AO253" s="39">
        <f>IFERROR(Macro!$D92*Team!AO154/12+IF(AND(YEAR(AO$5)&gt;2020,MONTH(AO$5)=Macro!$D$52),Macro!$D92*AVERAGE(OFFSET(AP154,0,0,1,-12))*Macro!$E92,0),"NA")</f>
        <v>12500</v>
      </c>
      <c r="AP253" s="40">
        <f>IFERROR(Macro!$D92*Team!AP154/12+IF(AND(YEAR(AP$5)&gt;2020,MONTH(AP$5)=Macro!$D$52),Macro!$D92*AVERAGE(OFFSET(AQ154,0,0,1,-12))*Macro!$E92,0),"NA")</f>
        <v>12500</v>
      </c>
      <c r="AQ253" s="38">
        <f>IFERROR(Macro!$D92*Team!AQ154/12+IF(AND(YEAR(AQ$5)&gt;2020,MONTH(AQ$5)=Macro!$D$52),Macro!$D92*AVERAGE(OFFSET(AR154,0,0,1,-12))*Macro!$E92,0),"NA")</f>
        <v>12500</v>
      </c>
      <c r="AR253" s="39">
        <f>IFERROR(Macro!$D92*Team!AR154/12+IF(AND(YEAR(AR$5)&gt;2020,MONTH(AR$5)=Macro!$D$52),Macro!$D92*AVERAGE(OFFSET(AS154,0,0,1,-12))*Macro!$E92,0),"NA")</f>
        <v>12500</v>
      </c>
      <c r="AS253" s="40">
        <f>IFERROR(Macro!$D92*Team!AS154/12+IF(AND(YEAR(AS$5)&gt;2020,MONTH(AS$5)=Macro!$D$52),Macro!$D92*AVERAGE(OFFSET(AT154,0,0,1,-12))*Macro!$E92,0),"NA")</f>
        <v>12500</v>
      </c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</row>
    <row r="254" ht="12.0" customHeight="1">
      <c r="A254" s="282"/>
      <c r="B254" s="8"/>
      <c r="C254" s="37" t="str">
        <f t="shared" si="100"/>
        <v>Frontend Engr</v>
      </c>
      <c r="D254" s="283">
        <f>IFERROR(Macro!$D93*Team!D155/12+IF(AND(YEAR(D$5)&gt;2020,MONTH(D$5)=Macro!$D$52),Macro!$D93*AVERAGE(OFFSET(E155,0,0,1,-12))*Macro!$E93,0),"NA")</f>
        <v>12500</v>
      </c>
      <c r="E254" s="284">
        <f>IFERROR(Macro!$D93*Team!E155/12+IF(AND(YEAR(E$5)&gt;2020,MONTH(E$5)=Macro!$D$52),Macro!$D93*AVERAGE(OFFSET(F155,0,0,1,-12))*Macro!$E93,0),"NA")</f>
        <v>12500</v>
      </c>
      <c r="F254" s="284">
        <f>IFERROR(Macro!$D93*Team!F155/12+IF(AND(YEAR(F$5)&gt;2020,MONTH(F$5)=Macro!$D$52),Macro!$D93*AVERAGE(OFFSET(G155,0,0,1,-12))*Macro!$E93,0),"NA")</f>
        <v>12500</v>
      </c>
      <c r="G254" s="283">
        <f>IFERROR(Macro!$D93*Team!G155/12+IF(AND(YEAR(G$5)&gt;2020,MONTH(G$5)=Macro!$D$52),Macro!$D93*AVERAGE(OFFSET(H155,0,0,1,-12))*Macro!$E93,0),"NA")</f>
        <v>12500</v>
      </c>
      <c r="H254" s="284">
        <f>IFERROR(Macro!$D93*Team!H155/12+IF(AND(YEAR(H$5)&gt;2020,MONTH(H$5)=Macro!$D$52),Macro!$D93*AVERAGE(OFFSET(I155,0,0,1,-12))*Macro!$E93,0),"NA")</f>
        <v>12500</v>
      </c>
      <c r="I254" s="285">
        <f>IFERROR(Macro!$D93*Team!I155/12+IF(AND(YEAR(I$5)&gt;2020,MONTH(I$5)=Macro!$D$52),Macro!$D93*AVERAGE(OFFSET(J155,0,0,1,-12))*Macro!$E93,0),"NA")</f>
        <v>12500</v>
      </c>
      <c r="J254" s="286">
        <f>IFERROR(Macro!$D93*Team!J155/12+IF(AND(YEAR(J$5)&gt;2020,MONTH(J$5)=Macro!$D$52),Macro!$D93*AVERAGE(OFFSET(K155,0,0,1,-12))*Macro!$E93,0),"NA")</f>
        <v>12500</v>
      </c>
      <c r="K254" s="287">
        <f>IFERROR(Macro!$D93*Team!K155/12+IF(AND(YEAR(K$5)&gt;2020,MONTH(K$5)=Macro!$D$52),Macro!$D93*AVERAGE(OFFSET(L155,0,0,1,-12))*Macro!$E93,0),"NA")</f>
        <v>12500</v>
      </c>
      <c r="L254" s="288">
        <f>IFERROR(Macro!$D93*Team!L155/12+IF(AND(YEAR(L$5)&gt;2020,MONTH(L$5)=Macro!$D$52),Macro!$D93*AVERAGE(OFFSET(M155,0,0,1,-12))*Macro!$E93,0),"NA")</f>
        <v>12500</v>
      </c>
      <c r="M254" s="38">
        <f>IFERROR(Macro!$D93*Team!M155/12+IF(AND(YEAR(M$5)&gt;2020,MONTH(M$5)=Macro!$D$52),Macro!$D93*AVERAGE(OFFSET(N155,0,0,1,-12))*Macro!$E93,0),"NA")</f>
        <v>12500</v>
      </c>
      <c r="N254" s="39">
        <f>IFERROR(Macro!$D93*Team!N155/12+IF(AND(YEAR(N$5)&gt;2020,MONTH(N$5)=Macro!$D$52),Macro!$D93*AVERAGE(OFFSET(O155,0,0,1,-12))*Macro!$E93,0),"NA")</f>
        <v>12500</v>
      </c>
      <c r="O254" s="40">
        <f>IFERROR(Macro!$D93*Team!O155/12+IF(AND(YEAR(O$5)&gt;2020,MONTH(O$5)=Macro!$D$52),Macro!$D93*AVERAGE(OFFSET(P155,0,0,1,-12))*Macro!$E93,0),"NA")</f>
        <v>12500</v>
      </c>
      <c r="P254" s="38">
        <f>IFERROR(Macro!$D93*Team!P155/12+IF(AND(YEAR(P$5)&gt;2020,MONTH(P$5)=Macro!$D$52),Macro!$D93*AVERAGE(OFFSET(Q155,0,0,1,-12))*Macro!$E93,0),"NA")</f>
        <v>12500</v>
      </c>
      <c r="Q254" s="39">
        <f>IFERROR(Macro!$D93*Team!Q155/12+IF(AND(YEAR(Q$5)&gt;2020,MONTH(Q$5)=Macro!$D$52),Macro!$D93*AVERAGE(OFFSET(R155,0,0,1,-12))*Macro!$E93,0),"NA")</f>
        <v>12500</v>
      </c>
      <c r="R254" s="40">
        <f>IFERROR(Macro!$D93*Team!R155/12+IF(AND(YEAR(R$5)&gt;2020,MONTH(R$5)=Macro!$D$52),Macro!$D93*AVERAGE(OFFSET(S155,0,0,1,-12))*Macro!$E93,0),"NA")</f>
        <v>12500</v>
      </c>
      <c r="S254" s="38">
        <f>IFERROR(Macro!$D93*Team!S155/12+IF(AND(YEAR(S$5)&gt;2020,MONTH(S$5)=Macro!$D$52),Macro!$D93*AVERAGE(OFFSET(T155,0,0,1,-12))*Macro!$E93,0),"NA")</f>
        <v>12500</v>
      </c>
      <c r="T254" s="39">
        <f>IFERROR(Macro!$D93*Team!T155/12+IF(AND(YEAR(T$5)&gt;2020,MONTH(T$5)=Macro!$D$52),Macro!$D93*AVERAGE(OFFSET(U155,0,0,1,-12))*Macro!$E93,0),"NA")</f>
        <v>12500</v>
      </c>
      <c r="U254" s="40">
        <f>IFERROR(Macro!$D93*Team!U155/12+IF(AND(YEAR(U$5)&gt;2020,MONTH(U$5)=Macro!$D$52),Macro!$D93*AVERAGE(OFFSET(V155,0,0,1,-12))*Macro!$E93,0),"NA")</f>
        <v>12500</v>
      </c>
      <c r="V254" s="38" t="str">
        <f>IFERROR(Macro!$D93*Team!V155/12+IF(AND(YEAR(V$5)&gt;2020,MONTH(V$5)=Macro!$D$52),Macro!$D93*AVERAGE(OFFSET(W155,0,0,1,-12))*Macro!$E93,0),"NA")</f>
        <v>NA</v>
      </c>
      <c r="W254" s="39">
        <f>IFERROR(Macro!$D93*Team!W155/12+IF(AND(YEAR(W$5)&gt;2020,MONTH(W$5)=Macro!$D$52),Macro!$D93*AVERAGE(OFFSET(X155,0,0,1,-12))*Macro!$E93,0),"NA")</f>
        <v>12500</v>
      </c>
      <c r="X254" s="40">
        <f>IFERROR(Macro!$D93*Team!X155/12+IF(AND(YEAR(X$5)&gt;2020,MONTH(X$5)=Macro!$D$52),Macro!$D93*AVERAGE(OFFSET(Y155,0,0,1,-12))*Macro!$E93,0),"NA")</f>
        <v>12500</v>
      </c>
      <c r="Y254" s="38">
        <f>IFERROR(Macro!$D93*Team!Y155/12+IF(AND(YEAR(Y$5)&gt;2020,MONTH(Y$5)=Macro!$D$52),Macro!$D93*AVERAGE(OFFSET(Z155,0,0,1,-12))*Macro!$E93,0),"NA")</f>
        <v>12500</v>
      </c>
      <c r="Z254" s="39">
        <f>IFERROR(Macro!$D93*Team!Z155/12+IF(AND(YEAR(Z$5)&gt;2020,MONTH(Z$5)=Macro!$D$52),Macro!$D93*AVERAGE(OFFSET(AA155,0,0,1,-12))*Macro!$E93,0),"NA")</f>
        <v>12500</v>
      </c>
      <c r="AA254" s="40">
        <f>IFERROR(Macro!$D93*Team!AA155/12+IF(AND(YEAR(AA$5)&gt;2020,MONTH(AA$5)=Macro!$D$52),Macro!$D93*AVERAGE(OFFSET(AB155,0,0,1,-12))*Macro!$E93,0),"NA")</f>
        <v>12500</v>
      </c>
      <c r="AB254" s="38">
        <f>IFERROR(Macro!$D93*Team!AB155/12+IF(AND(YEAR(AB$5)&gt;2020,MONTH(AB$5)=Macro!$D$52),Macro!$D93*AVERAGE(OFFSET(AC155,0,0,1,-12))*Macro!$E93,0),"NA")</f>
        <v>12500</v>
      </c>
      <c r="AC254" s="39">
        <f>IFERROR(Macro!$D93*Team!AC155/12+IF(AND(YEAR(AC$5)&gt;2020,MONTH(AC$5)=Macro!$D$52),Macro!$D93*AVERAGE(OFFSET(AD155,0,0,1,-12))*Macro!$E93,0),"NA")</f>
        <v>12500</v>
      </c>
      <c r="AD254" s="40">
        <f>IFERROR(Macro!$D93*Team!AD155/12+IF(AND(YEAR(AD$5)&gt;2020,MONTH(AD$5)=Macro!$D$52),Macro!$D93*AVERAGE(OFFSET(AE155,0,0,1,-12))*Macro!$E93,0),"NA")</f>
        <v>12500</v>
      </c>
      <c r="AE254" s="38">
        <f>IFERROR(Macro!$D93*Team!AE155/12+IF(AND(YEAR(AE$5)&gt;2020,MONTH(AE$5)=Macro!$D$52),Macro!$D93*AVERAGE(OFFSET(AF155,0,0,1,-12))*Macro!$E93,0),"NA")</f>
        <v>12500</v>
      </c>
      <c r="AF254" s="39">
        <f>IFERROR(Macro!$D93*Team!AF155/12+IF(AND(YEAR(AF$5)&gt;2020,MONTH(AF$5)=Macro!$D$52),Macro!$D93*AVERAGE(OFFSET(AG155,0,0,1,-12))*Macro!$E93,0),"NA")</f>
        <v>12500</v>
      </c>
      <c r="AG254" s="40">
        <f>IFERROR(Macro!$D93*Team!AG155/12+IF(AND(YEAR(AG$5)&gt;2020,MONTH(AG$5)=Macro!$D$52),Macro!$D93*AVERAGE(OFFSET(AH155,0,0,1,-12))*Macro!$E93,0),"NA")</f>
        <v>12500</v>
      </c>
      <c r="AH254" s="38" t="str">
        <f>IFERROR(Macro!$D93*Team!AH155/12+IF(AND(YEAR(AH$5)&gt;2020,MONTH(AH$5)=Macro!$D$52),Macro!$D93*AVERAGE(OFFSET(AI155,0,0,1,-12))*Macro!$E93,0),"NA")</f>
        <v>NA</v>
      </c>
      <c r="AI254" s="39">
        <f>IFERROR(Macro!$D93*Team!AI155/12+IF(AND(YEAR(AI$5)&gt;2020,MONTH(AI$5)=Macro!$D$52),Macro!$D93*AVERAGE(OFFSET(AJ155,0,0,1,-12))*Macro!$E93,0),"NA")</f>
        <v>12500</v>
      </c>
      <c r="AJ254" s="40">
        <f>IFERROR(Macro!$D93*Team!AJ155/12+IF(AND(YEAR(AJ$5)&gt;2020,MONTH(AJ$5)=Macro!$D$52),Macro!$D93*AVERAGE(OFFSET(AK155,0,0,1,-12))*Macro!$E93,0),"NA")</f>
        <v>12500</v>
      </c>
      <c r="AK254" s="38">
        <f>IFERROR(Macro!$D93*Team!AK155/12+IF(AND(YEAR(AK$5)&gt;2020,MONTH(AK$5)=Macro!$D$52),Macro!$D93*AVERAGE(OFFSET(AL155,0,0,1,-12))*Macro!$E93,0),"NA")</f>
        <v>12500</v>
      </c>
      <c r="AL254" s="39">
        <f>IFERROR(Macro!$D93*Team!AL155/12+IF(AND(YEAR(AL$5)&gt;2020,MONTH(AL$5)=Macro!$D$52),Macro!$D93*AVERAGE(OFFSET(AM155,0,0,1,-12))*Macro!$E93,0),"NA")</f>
        <v>12500</v>
      </c>
      <c r="AM254" s="40">
        <f>IFERROR(Macro!$D93*Team!AM155/12+IF(AND(YEAR(AM$5)&gt;2020,MONTH(AM$5)=Macro!$D$52),Macro!$D93*AVERAGE(OFFSET(AN155,0,0,1,-12))*Macro!$E93,0),"NA")</f>
        <v>12500</v>
      </c>
      <c r="AN254" s="38">
        <f>IFERROR(Macro!$D93*Team!AN155/12+IF(AND(YEAR(AN$5)&gt;2020,MONTH(AN$5)=Macro!$D$52),Macro!$D93*AVERAGE(OFFSET(AO155,0,0,1,-12))*Macro!$E93,0),"NA")</f>
        <v>12500</v>
      </c>
      <c r="AO254" s="39">
        <f>IFERROR(Macro!$D93*Team!AO155/12+IF(AND(YEAR(AO$5)&gt;2020,MONTH(AO$5)=Macro!$D$52),Macro!$D93*AVERAGE(OFFSET(AP155,0,0,1,-12))*Macro!$E93,0),"NA")</f>
        <v>12500</v>
      </c>
      <c r="AP254" s="40">
        <f>IFERROR(Macro!$D93*Team!AP155/12+IF(AND(YEAR(AP$5)&gt;2020,MONTH(AP$5)=Macro!$D$52),Macro!$D93*AVERAGE(OFFSET(AQ155,0,0,1,-12))*Macro!$E93,0),"NA")</f>
        <v>12500</v>
      </c>
      <c r="AQ254" s="38">
        <f>IFERROR(Macro!$D93*Team!AQ155/12+IF(AND(YEAR(AQ$5)&gt;2020,MONTH(AQ$5)=Macro!$D$52),Macro!$D93*AVERAGE(OFFSET(AR155,0,0,1,-12))*Macro!$E93,0),"NA")</f>
        <v>12500</v>
      </c>
      <c r="AR254" s="39">
        <f>IFERROR(Macro!$D93*Team!AR155/12+IF(AND(YEAR(AR$5)&gt;2020,MONTH(AR$5)=Macro!$D$52),Macro!$D93*AVERAGE(OFFSET(AS155,0,0,1,-12))*Macro!$E93,0),"NA")</f>
        <v>12500</v>
      </c>
      <c r="AS254" s="40">
        <f>IFERROR(Macro!$D93*Team!AS155/12+IF(AND(YEAR(AS$5)&gt;2020,MONTH(AS$5)=Macro!$D$52),Macro!$D93*AVERAGE(OFFSET(AT155,0,0,1,-12))*Macro!$E93,0),"NA")</f>
        <v>12500</v>
      </c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</row>
    <row r="255" ht="12.0" customHeight="1">
      <c r="A255" s="282"/>
      <c r="B255" s="8"/>
      <c r="C255" s="37" t="str">
        <f t="shared" si="100"/>
        <v>DevOps Engineer</v>
      </c>
      <c r="D255" s="283">
        <f>IFERROR(Macro!$D94*Team!D156/12+IF(AND(YEAR(D$5)&gt;2020,MONTH(D$5)=Macro!$D$52),Macro!$D94*AVERAGE(OFFSET(E156,0,0,1,-12))*Macro!$E94,0),"NA")</f>
        <v>0</v>
      </c>
      <c r="E255" s="284">
        <f>IFERROR(Macro!$D94*Team!E156/12+IF(AND(YEAR(E$5)&gt;2020,MONTH(E$5)=Macro!$D$52),Macro!$D94*AVERAGE(OFFSET(F156,0,0,1,-12))*Macro!$E94,0),"NA")</f>
        <v>0</v>
      </c>
      <c r="F255" s="284">
        <f>IFERROR(Macro!$D94*Team!F156/12+IF(AND(YEAR(F$5)&gt;2020,MONTH(F$5)=Macro!$D$52),Macro!$D94*AVERAGE(OFFSET(G156,0,0,1,-12))*Macro!$E94,0),"NA")</f>
        <v>0</v>
      </c>
      <c r="G255" s="283">
        <f>IFERROR(Macro!$D94*Team!G156/12+IF(AND(YEAR(G$5)&gt;2020,MONTH(G$5)=Macro!$D$52),Macro!$D94*AVERAGE(OFFSET(H156,0,0,1,-12))*Macro!$E94,0),"NA")</f>
        <v>0</v>
      </c>
      <c r="H255" s="284">
        <f>IFERROR(Macro!$D94*Team!H156/12+IF(AND(YEAR(H$5)&gt;2020,MONTH(H$5)=Macro!$D$52),Macro!$D94*AVERAGE(OFFSET(I156,0,0,1,-12))*Macro!$E94,0),"NA")</f>
        <v>0</v>
      </c>
      <c r="I255" s="285">
        <f>IFERROR(Macro!$D94*Team!I156/12+IF(AND(YEAR(I$5)&gt;2020,MONTH(I$5)=Macro!$D$52),Macro!$D94*AVERAGE(OFFSET(J156,0,0,1,-12))*Macro!$E94,0),"NA")</f>
        <v>0</v>
      </c>
      <c r="J255" s="286">
        <f>IFERROR(Macro!$D94*Team!J156/12+IF(AND(YEAR(J$5)&gt;2020,MONTH(J$5)=Macro!$D$52),Macro!$D94*AVERAGE(OFFSET(K156,0,0,1,-12))*Macro!$E94,0),"NA")</f>
        <v>0</v>
      </c>
      <c r="K255" s="287">
        <f>IFERROR(Macro!$D94*Team!K156/12+IF(AND(YEAR(K$5)&gt;2020,MONTH(K$5)=Macro!$D$52),Macro!$D94*AVERAGE(OFFSET(L156,0,0,1,-12))*Macro!$E94,0),"NA")</f>
        <v>0</v>
      </c>
      <c r="L255" s="288">
        <f>IFERROR(Macro!$D94*Team!L156/12+IF(AND(YEAR(L$5)&gt;2020,MONTH(L$5)=Macro!$D$52),Macro!$D94*AVERAGE(OFFSET(M156,0,0,1,-12))*Macro!$E94,0),"NA")</f>
        <v>0</v>
      </c>
      <c r="M255" s="38">
        <f>IFERROR(Macro!$D94*Team!M156/12+IF(AND(YEAR(M$5)&gt;2020,MONTH(M$5)=Macro!$D$52),Macro!$D94*AVERAGE(OFFSET(N156,0,0,1,-12))*Macro!$E94,0),"NA")</f>
        <v>0</v>
      </c>
      <c r="N255" s="39">
        <f>IFERROR(Macro!$D94*Team!N156/12+IF(AND(YEAR(N$5)&gt;2020,MONTH(N$5)=Macro!$D$52),Macro!$D94*AVERAGE(OFFSET(O156,0,0,1,-12))*Macro!$E94,0),"NA")</f>
        <v>0</v>
      </c>
      <c r="O255" s="40">
        <f>IFERROR(Macro!$D94*Team!O156/12+IF(AND(YEAR(O$5)&gt;2020,MONTH(O$5)=Macro!$D$52),Macro!$D94*AVERAGE(OFFSET(P156,0,0,1,-12))*Macro!$E94,0),"NA")</f>
        <v>0</v>
      </c>
      <c r="P255" s="38">
        <f>IFERROR(Macro!$D94*Team!P156/12+IF(AND(YEAR(P$5)&gt;2020,MONTH(P$5)=Macro!$D$52),Macro!$D94*AVERAGE(OFFSET(Q156,0,0,1,-12))*Macro!$E94,0),"NA")</f>
        <v>0</v>
      </c>
      <c r="Q255" s="39">
        <f>IFERROR(Macro!$D94*Team!Q156/12+IF(AND(YEAR(Q$5)&gt;2020,MONTH(Q$5)=Macro!$D$52),Macro!$D94*AVERAGE(OFFSET(R156,0,0,1,-12))*Macro!$E94,0),"NA")</f>
        <v>0</v>
      </c>
      <c r="R255" s="40">
        <f>IFERROR(Macro!$D94*Team!R156/12+IF(AND(YEAR(R$5)&gt;2020,MONTH(R$5)=Macro!$D$52),Macro!$D94*AVERAGE(OFFSET(S156,0,0,1,-12))*Macro!$E94,0),"NA")</f>
        <v>0</v>
      </c>
      <c r="S255" s="38">
        <f>IFERROR(Macro!$D94*Team!S156/12+IF(AND(YEAR(S$5)&gt;2020,MONTH(S$5)=Macro!$D$52),Macro!$D94*AVERAGE(OFFSET(T156,0,0,1,-12))*Macro!$E94,0),"NA")</f>
        <v>0</v>
      </c>
      <c r="T255" s="39">
        <f>IFERROR(Macro!$D94*Team!T156/12+IF(AND(YEAR(T$5)&gt;2020,MONTH(T$5)=Macro!$D$52),Macro!$D94*AVERAGE(OFFSET(U156,0,0,1,-12))*Macro!$E94,0),"NA")</f>
        <v>0</v>
      </c>
      <c r="U255" s="40">
        <f>IFERROR(Macro!$D94*Team!U156/12+IF(AND(YEAR(U$5)&gt;2020,MONTH(U$5)=Macro!$D$52),Macro!$D94*AVERAGE(OFFSET(V156,0,0,1,-12))*Macro!$E94,0),"NA")</f>
        <v>0</v>
      </c>
      <c r="V255" s="38" t="str">
        <f>IFERROR(Macro!$D94*Team!V156/12+IF(AND(YEAR(V$5)&gt;2020,MONTH(V$5)=Macro!$D$52),Macro!$D94*AVERAGE(OFFSET(W156,0,0,1,-12))*Macro!$E94,0),"NA")</f>
        <v>NA</v>
      </c>
      <c r="W255" s="39">
        <f>IFERROR(Macro!$D94*Team!W156/12+IF(AND(YEAR(W$5)&gt;2020,MONTH(W$5)=Macro!$D$52),Macro!$D94*AVERAGE(OFFSET(X156,0,0,1,-12))*Macro!$E94,0),"NA")</f>
        <v>0</v>
      </c>
      <c r="X255" s="40">
        <f>IFERROR(Macro!$D94*Team!X156/12+IF(AND(YEAR(X$5)&gt;2020,MONTH(X$5)=Macro!$D$52),Macro!$D94*AVERAGE(OFFSET(Y156,0,0,1,-12))*Macro!$E94,0),"NA")</f>
        <v>0</v>
      </c>
      <c r="Y255" s="38">
        <f>IFERROR(Macro!$D94*Team!Y156/12+IF(AND(YEAR(Y$5)&gt;2020,MONTH(Y$5)=Macro!$D$52),Macro!$D94*AVERAGE(OFFSET(Z156,0,0,1,-12))*Macro!$E94,0),"NA")</f>
        <v>0</v>
      </c>
      <c r="Z255" s="39">
        <f>IFERROR(Macro!$D94*Team!Z156/12+IF(AND(YEAR(Z$5)&gt;2020,MONTH(Z$5)=Macro!$D$52),Macro!$D94*AVERAGE(OFFSET(AA156,0,0,1,-12))*Macro!$E94,0),"NA")</f>
        <v>0</v>
      </c>
      <c r="AA255" s="40">
        <f>IFERROR(Macro!$D94*Team!AA156/12+IF(AND(YEAR(AA$5)&gt;2020,MONTH(AA$5)=Macro!$D$52),Macro!$D94*AVERAGE(OFFSET(AB156,0,0,1,-12))*Macro!$E94,0),"NA")</f>
        <v>0</v>
      </c>
      <c r="AB255" s="38">
        <f>IFERROR(Macro!$D94*Team!AB156/12+IF(AND(YEAR(AB$5)&gt;2020,MONTH(AB$5)=Macro!$D$52),Macro!$D94*AVERAGE(OFFSET(AC156,0,0,1,-12))*Macro!$E94,0),"NA")</f>
        <v>0</v>
      </c>
      <c r="AC255" s="39">
        <f>IFERROR(Macro!$D94*Team!AC156/12+IF(AND(YEAR(AC$5)&gt;2020,MONTH(AC$5)=Macro!$D$52),Macro!$D94*AVERAGE(OFFSET(AD156,0,0,1,-12))*Macro!$E94,0),"NA")</f>
        <v>0</v>
      </c>
      <c r="AD255" s="40">
        <f>IFERROR(Macro!$D94*Team!AD156/12+IF(AND(YEAR(AD$5)&gt;2020,MONTH(AD$5)=Macro!$D$52),Macro!$D94*AVERAGE(OFFSET(AE156,0,0,1,-12))*Macro!$E94,0),"NA")</f>
        <v>0</v>
      </c>
      <c r="AE255" s="38">
        <f>IFERROR(Macro!$D94*Team!AE156/12+IF(AND(YEAR(AE$5)&gt;2020,MONTH(AE$5)=Macro!$D$52),Macro!$D94*AVERAGE(OFFSET(AF156,0,0,1,-12))*Macro!$E94,0),"NA")</f>
        <v>0</v>
      </c>
      <c r="AF255" s="39">
        <f>IFERROR(Macro!$D94*Team!AF156/12+IF(AND(YEAR(AF$5)&gt;2020,MONTH(AF$5)=Macro!$D$52),Macro!$D94*AVERAGE(OFFSET(AG156,0,0,1,-12))*Macro!$E94,0),"NA")</f>
        <v>0</v>
      </c>
      <c r="AG255" s="40">
        <f>IFERROR(Macro!$D94*Team!AG156/12+IF(AND(YEAR(AG$5)&gt;2020,MONTH(AG$5)=Macro!$D$52),Macro!$D94*AVERAGE(OFFSET(AH156,0,0,1,-12))*Macro!$E94,0),"NA")</f>
        <v>0</v>
      </c>
      <c r="AH255" s="38" t="str">
        <f>IFERROR(Macro!$D94*Team!AH156/12+IF(AND(YEAR(AH$5)&gt;2020,MONTH(AH$5)=Macro!$D$52),Macro!$D94*AVERAGE(OFFSET(AI156,0,0,1,-12))*Macro!$E94,0),"NA")</f>
        <v>NA</v>
      </c>
      <c r="AI255" s="39">
        <f>IFERROR(Macro!$D94*Team!AI156/12+IF(AND(YEAR(AI$5)&gt;2020,MONTH(AI$5)=Macro!$D$52),Macro!$D94*AVERAGE(OFFSET(AJ156,0,0,1,-12))*Macro!$E94,0),"NA")</f>
        <v>0</v>
      </c>
      <c r="AJ255" s="40">
        <f>IFERROR(Macro!$D94*Team!AJ156/12+IF(AND(YEAR(AJ$5)&gt;2020,MONTH(AJ$5)=Macro!$D$52),Macro!$D94*AVERAGE(OFFSET(AK156,0,0,1,-12))*Macro!$E94,0),"NA")</f>
        <v>0</v>
      </c>
      <c r="AK255" s="38">
        <f>IFERROR(Macro!$D94*Team!AK156/12+IF(AND(YEAR(AK$5)&gt;2020,MONTH(AK$5)=Macro!$D$52),Macro!$D94*AVERAGE(OFFSET(AL156,0,0,1,-12))*Macro!$E94,0),"NA")</f>
        <v>0</v>
      </c>
      <c r="AL255" s="39">
        <f>IFERROR(Macro!$D94*Team!AL156/12+IF(AND(YEAR(AL$5)&gt;2020,MONTH(AL$5)=Macro!$D$52),Macro!$D94*AVERAGE(OFFSET(AM156,0,0,1,-12))*Macro!$E94,0),"NA")</f>
        <v>0</v>
      </c>
      <c r="AM255" s="40">
        <f>IFERROR(Macro!$D94*Team!AM156/12+IF(AND(YEAR(AM$5)&gt;2020,MONTH(AM$5)=Macro!$D$52),Macro!$D94*AVERAGE(OFFSET(AN156,0,0,1,-12))*Macro!$E94,0),"NA")</f>
        <v>0</v>
      </c>
      <c r="AN255" s="38">
        <f>IFERROR(Macro!$D94*Team!AN156/12+IF(AND(YEAR(AN$5)&gt;2020,MONTH(AN$5)=Macro!$D$52),Macro!$D94*AVERAGE(OFFSET(AO156,0,0,1,-12))*Macro!$E94,0),"NA")</f>
        <v>0</v>
      </c>
      <c r="AO255" s="39">
        <f>IFERROR(Macro!$D94*Team!AO156/12+IF(AND(YEAR(AO$5)&gt;2020,MONTH(AO$5)=Macro!$D$52),Macro!$D94*AVERAGE(OFFSET(AP156,0,0,1,-12))*Macro!$E94,0),"NA")</f>
        <v>0</v>
      </c>
      <c r="AP255" s="40">
        <f>IFERROR(Macro!$D94*Team!AP156/12+IF(AND(YEAR(AP$5)&gt;2020,MONTH(AP$5)=Macro!$D$52),Macro!$D94*AVERAGE(OFFSET(AQ156,0,0,1,-12))*Macro!$E94,0),"NA")</f>
        <v>0</v>
      </c>
      <c r="AQ255" s="38">
        <f>IFERROR(Macro!$D94*Team!AQ156/12+IF(AND(YEAR(AQ$5)&gt;2020,MONTH(AQ$5)=Macro!$D$52),Macro!$D94*AVERAGE(OFFSET(AR156,0,0,1,-12))*Macro!$E94,0),"NA")</f>
        <v>0</v>
      </c>
      <c r="AR255" s="39">
        <f>IFERROR(Macro!$D94*Team!AR156/12+IF(AND(YEAR(AR$5)&gt;2020,MONTH(AR$5)=Macro!$D$52),Macro!$D94*AVERAGE(OFFSET(AS156,0,0,1,-12))*Macro!$E94,0),"NA")</f>
        <v>0</v>
      </c>
      <c r="AS255" s="40">
        <f>IFERROR(Macro!$D94*Team!AS156/12+IF(AND(YEAR(AS$5)&gt;2020,MONTH(AS$5)=Macro!$D$52),Macro!$D94*AVERAGE(OFFSET(AT156,0,0,1,-12))*Macro!$E94,0),"NA")</f>
        <v>0</v>
      </c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</row>
    <row r="256" ht="12.0" customHeight="1">
      <c r="A256" s="282"/>
      <c r="B256" s="8"/>
      <c r="C256" s="37" t="str">
        <f t="shared" si="100"/>
        <v>MobileApps Engineer</v>
      </c>
      <c r="D256" s="283">
        <f>IFERROR(Macro!$D95*Team!D157/12+IF(AND(YEAR(D$5)&gt;2020,MONTH(D$5)=Macro!$D$52),Macro!$D95*AVERAGE(OFFSET(E157,0,0,1,-12))*Macro!$E95,0),"NA")</f>
        <v>0</v>
      </c>
      <c r="E256" s="284">
        <f>IFERROR(Macro!$D95*Team!E157/12+IF(AND(YEAR(E$5)&gt;2020,MONTH(E$5)=Macro!$D$52),Macro!$D95*AVERAGE(OFFSET(F157,0,0,1,-12))*Macro!$E95,0),"NA")</f>
        <v>0</v>
      </c>
      <c r="F256" s="284">
        <f>IFERROR(Macro!$D95*Team!F157/12+IF(AND(YEAR(F$5)&gt;2020,MONTH(F$5)=Macro!$D$52),Macro!$D95*AVERAGE(OFFSET(G157,0,0,1,-12))*Macro!$E95,0),"NA")</f>
        <v>0</v>
      </c>
      <c r="G256" s="283">
        <f>IFERROR(Macro!$D95*Team!G157/12+IF(AND(YEAR(G$5)&gt;2020,MONTH(G$5)=Macro!$D$52),Macro!$D95*AVERAGE(OFFSET(H157,0,0,1,-12))*Macro!$E95,0),"NA")</f>
        <v>0</v>
      </c>
      <c r="H256" s="284">
        <f>IFERROR(Macro!$D95*Team!H157/12+IF(AND(YEAR(H$5)&gt;2020,MONTH(H$5)=Macro!$D$52),Macro!$D95*AVERAGE(OFFSET(I157,0,0,1,-12))*Macro!$E95,0),"NA")</f>
        <v>0</v>
      </c>
      <c r="I256" s="285">
        <f>IFERROR(Macro!$D95*Team!I157/12+IF(AND(YEAR(I$5)&gt;2020,MONTH(I$5)=Macro!$D$52),Macro!$D95*AVERAGE(OFFSET(J157,0,0,1,-12))*Macro!$E95,0),"NA")</f>
        <v>0</v>
      </c>
      <c r="J256" s="286">
        <f>IFERROR(Macro!$D95*Team!J157/12+IF(AND(YEAR(J$5)&gt;2020,MONTH(J$5)=Macro!$D$52),Macro!$D95*AVERAGE(OFFSET(K157,0,0,1,-12))*Macro!$E95,0),"NA")</f>
        <v>0</v>
      </c>
      <c r="K256" s="287">
        <f>IFERROR(Macro!$D95*Team!K157/12+IF(AND(YEAR(K$5)&gt;2020,MONTH(K$5)=Macro!$D$52),Macro!$D95*AVERAGE(OFFSET(L157,0,0,1,-12))*Macro!$E95,0),"NA")</f>
        <v>0</v>
      </c>
      <c r="L256" s="288">
        <f>IFERROR(Macro!$D95*Team!L157/12+IF(AND(YEAR(L$5)&gt;2020,MONTH(L$5)=Macro!$D$52),Macro!$D95*AVERAGE(OFFSET(M157,0,0,1,-12))*Macro!$E95,0),"NA")</f>
        <v>0</v>
      </c>
      <c r="M256" s="38">
        <f>IFERROR(Macro!$D95*Team!M157/12+IF(AND(YEAR(M$5)&gt;2020,MONTH(M$5)=Macro!$D$52),Macro!$D95*AVERAGE(OFFSET(N157,0,0,1,-12))*Macro!$E95,0),"NA")</f>
        <v>0</v>
      </c>
      <c r="N256" s="39">
        <f>IFERROR(Macro!$D95*Team!N157/12+IF(AND(YEAR(N$5)&gt;2020,MONTH(N$5)=Macro!$D$52),Macro!$D95*AVERAGE(OFFSET(O157,0,0,1,-12))*Macro!$E95,0),"NA")</f>
        <v>0</v>
      </c>
      <c r="O256" s="40">
        <f>IFERROR(Macro!$D95*Team!O157/12+IF(AND(YEAR(O$5)&gt;2020,MONTH(O$5)=Macro!$D$52),Macro!$D95*AVERAGE(OFFSET(P157,0,0,1,-12))*Macro!$E95,0),"NA")</f>
        <v>12500</v>
      </c>
      <c r="P256" s="38">
        <f>IFERROR(Macro!$D95*Team!P157/12+IF(AND(YEAR(P$5)&gt;2020,MONTH(P$5)=Macro!$D$52),Macro!$D95*AVERAGE(OFFSET(Q157,0,0,1,-12))*Macro!$E95,0),"NA")</f>
        <v>12500</v>
      </c>
      <c r="Q256" s="39">
        <f>IFERROR(Macro!$D95*Team!Q157/12+IF(AND(YEAR(Q$5)&gt;2020,MONTH(Q$5)=Macro!$D$52),Macro!$D95*AVERAGE(OFFSET(R157,0,0,1,-12))*Macro!$E95,0),"NA")</f>
        <v>12500</v>
      </c>
      <c r="R256" s="40">
        <f>IFERROR(Macro!$D95*Team!R157/12+IF(AND(YEAR(R$5)&gt;2020,MONTH(R$5)=Macro!$D$52),Macro!$D95*AVERAGE(OFFSET(S157,0,0,1,-12))*Macro!$E95,0),"NA")</f>
        <v>12500</v>
      </c>
      <c r="S256" s="38">
        <f>IFERROR(Macro!$D95*Team!S157/12+IF(AND(YEAR(S$5)&gt;2020,MONTH(S$5)=Macro!$D$52),Macro!$D95*AVERAGE(OFFSET(T157,0,0,1,-12))*Macro!$E95,0),"NA")</f>
        <v>12500</v>
      </c>
      <c r="T256" s="39">
        <f>IFERROR(Macro!$D95*Team!T157/12+IF(AND(YEAR(T$5)&gt;2020,MONTH(T$5)=Macro!$D$52),Macro!$D95*AVERAGE(OFFSET(U157,0,0,1,-12))*Macro!$E95,0),"NA")</f>
        <v>12500</v>
      </c>
      <c r="U256" s="40">
        <f>IFERROR(Macro!$D95*Team!U157/12+IF(AND(YEAR(U$5)&gt;2020,MONTH(U$5)=Macro!$D$52),Macro!$D95*AVERAGE(OFFSET(V157,0,0,1,-12))*Macro!$E95,0),"NA")</f>
        <v>12500</v>
      </c>
      <c r="V256" s="38" t="str">
        <f>IFERROR(Macro!$D95*Team!V157/12+IF(AND(YEAR(V$5)&gt;2020,MONTH(V$5)=Macro!$D$52),Macro!$D95*AVERAGE(OFFSET(W157,0,0,1,-12))*Macro!$E95,0),"NA")</f>
        <v>NA</v>
      </c>
      <c r="W256" s="39">
        <f>IFERROR(Macro!$D95*Team!W157/12+IF(AND(YEAR(W$5)&gt;2020,MONTH(W$5)=Macro!$D$52),Macro!$D95*AVERAGE(OFFSET(X157,0,0,1,-12))*Macro!$E95,0),"NA")</f>
        <v>12500</v>
      </c>
      <c r="X256" s="40">
        <f>IFERROR(Macro!$D95*Team!X157/12+IF(AND(YEAR(X$5)&gt;2020,MONTH(X$5)=Macro!$D$52),Macro!$D95*AVERAGE(OFFSET(Y157,0,0,1,-12))*Macro!$E95,0),"NA")</f>
        <v>12500</v>
      </c>
      <c r="Y256" s="38">
        <f>IFERROR(Macro!$D95*Team!Y157/12+IF(AND(YEAR(Y$5)&gt;2020,MONTH(Y$5)=Macro!$D$52),Macro!$D95*AVERAGE(OFFSET(Z157,0,0,1,-12))*Macro!$E95,0),"NA")</f>
        <v>12500</v>
      </c>
      <c r="Z256" s="39">
        <f>IFERROR(Macro!$D95*Team!Z157/12+IF(AND(YEAR(Z$5)&gt;2020,MONTH(Z$5)=Macro!$D$52),Macro!$D95*AVERAGE(OFFSET(AA157,0,0,1,-12))*Macro!$E95,0),"NA")</f>
        <v>12500</v>
      </c>
      <c r="AA256" s="40">
        <f>IFERROR(Macro!$D95*Team!AA157/12+IF(AND(YEAR(AA$5)&gt;2020,MONTH(AA$5)=Macro!$D$52),Macro!$D95*AVERAGE(OFFSET(AB157,0,0,1,-12))*Macro!$E95,0),"NA")</f>
        <v>12500</v>
      </c>
      <c r="AB256" s="38">
        <f>IFERROR(Macro!$D95*Team!AB157/12+IF(AND(YEAR(AB$5)&gt;2020,MONTH(AB$5)=Macro!$D$52),Macro!$D95*AVERAGE(OFFSET(AC157,0,0,1,-12))*Macro!$E95,0),"NA")</f>
        <v>12500</v>
      </c>
      <c r="AC256" s="39">
        <f>IFERROR(Macro!$D95*Team!AC157/12+IF(AND(YEAR(AC$5)&gt;2020,MONTH(AC$5)=Macro!$D$52),Macro!$D95*AVERAGE(OFFSET(AD157,0,0,1,-12))*Macro!$E95,0),"NA")</f>
        <v>12500</v>
      </c>
      <c r="AD256" s="40">
        <f>IFERROR(Macro!$D95*Team!AD157/12+IF(AND(YEAR(AD$5)&gt;2020,MONTH(AD$5)=Macro!$D$52),Macro!$D95*AVERAGE(OFFSET(AE157,0,0,1,-12))*Macro!$E95,0),"NA")</f>
        <v>12500</v>
      </c>
      <c r="AE256" s="38">
        <f>IFERROR(Macro!$D95*Team!AE157/12+IF(AND(YEAR(AE$5)&gt;2020,MONTH(AE$5)=Macro!$D$52),Macro!$D95*AVERAGE(OFFSET(AF157,0,0,1,-12))*Macro!$E95,0),"NA")</f>
        <v>12500</v>
      </c>
      <c r="AF256" s="39">
        <f>IFERROR(Macro!$D95*Team!AF157/12+IF(AND(YEAR(AF$5)&gt;2020,MONTH(AF$5)=Macro!$D$52),Macro!$D95*AVERAGE(OFFSET(AG157,0,0,1,-12))*Macro!$E95,0),"NA")</f>
        <v>12500</v>
      </c>
      <c r="AG256" s="40">
        <f>IFERROR(Macro!$D95*Team!AG157/12+IF(AND(YEAR(AG$5)&gt;2020,MONTH(AG$5)=Macro!$D$52),Macro!$D95*AVERAGE(OFFSET(AH157,0,0,1,-12))*Macro!$E95,0),"NA")</f>
        <v>12500</v>
      </c>
      <c r="AH256" s="38" t="str">
        <f>IFERROR(Macro!$D95*Team!AH157/12+IF(AND(YEAR(AH$5)&gt;2020,MONTH(AH$5)=Macro!$D$52),Macro!$D95*AVERAGE(OFFSET(AI157,0,0,1,-12))*Macro!$E95,0),"NA")</f>
        <v>NA</v>
      </c>
      <c r="AI256" s="39">
        <f>IFERROR(Macro!$D95*Team!AI157/12+IF(AND(YEAR(AI$5)&gt;2020,MONTH(AI$5)=Macro!$D$52),Macro!$D95*AVERAGE(OFFSET(AJ157,0,0,1,-12))*Macro!$E95,0),"NA")</f>
        <v>12500</v>
      </c>
      <c r="AJ256" s="40">
        <f>IFERROR(Macro!$D95*Team!AJ157/12+IF(AND(YEAR(AJ$5)&gt;2020,MONTH(AJ$5)=Macro!$D$52),Macro!$D95*AVERAGE(OFFSET(AK157,0,0,1,-12))*Macro!$E95,0),"NA")</f>
        <v>12500</v>
      </c>
      <c r="AK256" s="38">
        <f>IFERROR(Macro!$D95*Team!AK157/12+IF(AND(YEAR(AK$5)&gt;2020,MONTH(AK$5)=Macro!$D$52),Macro!$D95*AVERAGE(OFFSET(AL157,0,0,1,-12))*Macro!$E95,0),"NA")</f>
        <v>12500</v>
      </c>
      <c r="AL256" s="39">
        <f>IFERROR(Macro!$D95*Team!AL157/12+IF(AND(YEAR(AL$5)&gt;2020,MONTH(AL$5)=Macro!$D$52),Macro!$D95*AVERAGE(OFFSET(AM157,0,0,1,-12))*Macro!$E95,0),"NA")</f>
        <v>12500</v>
      </c>
      <c r="AM256" s="40">
        <f>IFERROR(Macro!$D95*Team!AM157/12+IF(AND(YEAR(AM$5)&gt;2020,MONTH(AM$5)=Macro!$D$52),Macro!$D95*AVERAGE(OFFSET(AN157,0,0,1,-12))*Macro!$E95,0),"NA")</f>
        <v>12500</v>
      </c>
      <c r="AN256" s="38">
        <f>IFERROR(Macro!$D95*Team!AN157/12+IF(AND(YEAR(AN$5)&gt;2020,MONTH(AN$5)=Macro!$D$52),Macro!$D95*AVERAGE(OFFSET(AO157,0,0,1,-12))*Macro!$E95,0),"NA")</f>
        <v>12500</v>
      </c>
      <c r="AO256" s="39">
        <f>IFERROR(Macro!$D95*Team!AO157/12+IF(AND(YEAR(AO$5)&gt;2020,MONTH(AO$5)=Macro!$D$52),Macro!$D95*AVERAGE(OFFSET(AP157,0,0,1,-12))*Macro!$E95,0),"NA")</f>
        <v>12500</v>
      </c>
      <c r="AP256" s="40">
        <f>IFERROR(Macro!$D95*Team!AP157/12+IF(AND(YEAR(AP$5)&gt;2020,MONTH(AP$5)=Macro!$D$52),Macro!$D95*AVERAGE(OFFSET(AQ157,0,0,1,-12))*Macro!$E95,0),"NA")</f>
        <v>12500</v>
      </c>
      <c r="AQ256" s="38">
        <f>IFERROR(Macro!$D95*Team!AQ157/12+IF(AND(YEAR(AQ$5)&gt;2020,MONTH(AQ$5)=Macro!$D$52),Macro!$D95*AVERAGE(OFFSET(AR157,0,0,1,-12))*Macro!$E95,0),"NA")</f>
        <v>12500</v>
      </c>
      <c r="AR256" s="39">
        <f>IFERROR(Macro!$D95*Team!AR157/12+IF(AND(YEAR(AR$5)&gt;2020,MONTH(AR$5)=Macro!$D$52),Macro!$D95*AVERAGE(OFFSET(AS157,0,0,1,-12))*Macro!$E95,0),"NA")</f>
        <v>12500</v>
      </c>
      <c r="AS256" s="40">
        <f>IFERROR(Macro!$D95*Team!AS157/12+IF(AND(YEAR(AS$5)&gt;2020,MONTH(AS$5)=Macro!$D$52),Macro!$D95*AVERAGE(OFFSET(AT157,0,0,1,-12))*Macro!$E95,0),"NA")</f>
        <v>12500</v>
      </c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</row>
    <row r="257" ht="12.0" customHeight="1">
      <c r="A257" s="282"/>
      <c r="B257" s="8"/>
      <c r="C257" s="37" t="str">
        <f t="shared" si="100"/>
        <v>API Engineer</v>
      </c>
      <c r="D257" s="283">
        <f>IFERROR(Macro!$D96*Team!D158/12+IF(AND(YEAR(D$5)&gt;2020,MONTH(D$5)=Macro!$D$52),Macro!$D96*AVERAGE(OFFSET(E158,0,0,1,-12))*Macro!$E96,0),"NA")</f>
        <v>0</v>
      </c>
      <c r="E257" s="284">
        <f>IFERROR(Macro!$D96*Team!E158/12+IF(AND(YEAR(E$5)&gt;2020,MONTH(E$5)=Macro!$D$52),Macro!$D96*AVERAGE(OFFSET(F158,0,0,1,-12))*Macro!$E96,0),"NA")</f>
        <v>0</v>
      </c>
      <c r="F257" s="284">
        <f>IFERROR(Macro!$D96*Team!F158/12+IF(AND(YEAR(F$5)&gt;2020,MONTH(F$5)=Macro!$D$52),Macro!$D96*AVERAGE(OFFSET(G158,0,0,1,-12))*Macro!$E96,0),"NA")</f>
        <v>0</v>
      </c>
      <c r="G257" s="283">
        <f>IFERROR(Macro!$D96*Team!G158/12+IF(AND(YEAR(G$5)&gt;2020,MONTH(G$5)=Macro!$D$52),Macro!$D96*AVERAGE(OFFSET(H158,0,0,1,-12))*Macro!$E96,0),"NA")</f>
        <v>0</v>
      </c>
      <c r="H257" s="284">
        <f>IFERROR(Macro!$D96*Team!H158/12+IF(AND(YEAR(H$5)&gt;2020,MONTH(H$5)=Macro!$D$52),Macro!$D96*AVERAGE(OFFSET(I158,0,0,1,-12))*Macro!$E96,0),"NA")</f>
        <v>0</v>
      </c>
      <c r="I257" s="285">
        <f>IFERROR(Macro!$D96*Team!I158/12+IF(AND(YEAR(I$5)&gt;2020,MONTH(I$5)=Macro!$D$52),Macro!$D96*AVERAGE(OFFSET(J158,0,0,1,-12))*Macro!$E96,0),"NA")</f>
        <v>0</v>
      </c>
      <c r="J257" s="286">
        <f>IFERROR(Macro!$D96*Team!J158/12+IF(AND(YEAR(J$5)&gt;2020,MONTH(J$5)=Macro!$D$52),Macro!$D96*AVERAGE(OFFSET(K158,0,0,1,-12))*Macro!$E96,0),"NA")</f>
        <v>0</v>
      </c>
      <c r="K257" s="287">
        <f>IFERROR(Macro!$D96*Team!K158/12+IF(AND(YEAR(K$5)&gt;2020,MONTH(K$5)=Macro!$D$52),Macro!$D96*AVERAGE(OFFSET(L158,0,0,1,-12))*Macro!$E96,0),"NA")</f>
        <v>0</v>
      </c>
      <c r="L257" s="288">
        <f>IFERROR(Macro!$D96*Team!L158/12+IF(AND(YEAR(L$5)&gt;2020,MONTH(L$5)=Macro!$D$52),Macro!$D96*AVERAGE(OFFSET(M158,0,0,1,-12))*Macro!$E96,0),"NA")</f>
        <v>12500</v>
      </c>
      <c r="M257" s="38">
        <f>IFERROR(Macro!$D96*Team!M158/12+IF(AND(YEAR(M$5)&gt;2020,MONTH(M$5)=Macro!$D$52),Macro!$D96*AVERAGE(OFFSET(N158,0,0,1,-12))*Macro!$E96,0),"NA")</f>
        <v>12500</v>
      </c>
      <c r="N257" s="39">
        <f>IFERROR(Macro!$D96*Team!N158/12+IF(AND(YEAR(N$5)&gt;2020,MONTH(N$5)=Macro!$D$52),Macro!$D96*AVERAGE(OFFSET(O158,0,0,1,-12))*Macro!$E96,0),"NA")</f>
        <v>12500</v>
      </c>
      <c r="O257" s="40">
        <f>IFERROR(Macro!$D96*Team!O158/12+IF(AND(YEAR(O$5)&gt;2020,MONTH(O$5)=Macro!$D$52),Macro!$D96*AVERAGE(OFFSET(P158,0,0,1,-12))*Macro!$E96,0),"NA")</f>
        <v>12500</v>
      </c>
      <c r="P257" s="38">
        <f>IFERROR(Macro!$D96*Team!P158/12+IF(AND(YEAR(P$5)&gt;2020,MONTH(P$5)=Macro!$D$52),Macro!$D96*AVERAGE(OFFSET(Q158,0,0,1,-12))*Macro!$E96,0),"NA")</f>
        <v>12500</v>
      </c>
      <c r="Q257" s="39">
        <f>IFERROR(Macro!$D96*Team!Q158/12+IF(AND(YEAR(Q$5)&gt;2020,MONTH(Q$5)=Macro!$D$52),Macro!$D96*AVERAGE(OFFSET(R158,0,0,1,-12))*Macro!$E96,0),"NA")</f>
        <v>12500</v>
      </c>
      <c r="R257" s="40">
        <f>IFERROR(Macro!$D96*Team!R158/12+IF(AND(YEAR(R$5)&gt;2020,MONTH(R$5)=Macro!$D$52),Macro!$D96*AVERAGE(OFFSET(S158,0,0,1,-12))*Macro!$E96,0),"NA")</f>
        <v>12500</v>
      </c>
      <c r="S257" s="38">
        <f>IFERROR(Macro!$D96*Team!S158/12+IF(AND(YEAR(S$5)&gt;2020,MONTH(S$5)=Macro!$D$52),Macro!$D96*AVERAGE(OFFSET(T158,0,0,1,-12))*Macro!$E96,0),"NA")</f>
        <v>12500</v>
      </c>
      <c r="T257" s="39">
        <f>IFERROR(Macro!$D96*Team!T158/12+IF(AND(YEAR(T$5)&gt;2020,MONTH(T$5)=Macro!$D$52),Macro!$D96*AVERAGE(OFFSET(U158,0,0,1,-12))*Macro!$E96,0),"NA")</f>
        <v>12500</v>
      </c>
      <c r="U257" s="40">
        <f>IFERROR(Macro!$D96*Team!U158/12+IF(AND(YEAR(U$5)&gt;2020,MONTH(U$5)=Macro!$D$52),Macro!$D96*AVERAGE(OFFSET(V158,0,0,1,-12))*Macro!$E96,0),"NA")</f>
        <v>12500</v>
      </c>
      <c r="V257" s="38" t="str">
        <f>IFERROR(Macro!$D96*Team!V158/12+IF(AND(YEAR(V$5)&gt;2020,MONTH(V$5)=Macro!$D$52),Macro!$D96*AVERAGE(OFFSET(W158,0,0,1,-12))*Macro!$E96,0),"NA")</f>
        <v>NA</v>
      </c>
      <c r="W257" s="39">
        <f>IFERROR(Macro!$D96*Team!W158/12+IF(AND(YEAR(W$5)&gt;2020,MONTH(W$5)=Macro!$D$52),Macro!$D96*AVERAGE(OFFSET(X158,0,0,1,-12))*Macro!$E96,0),"NA")</f>
        <v>12500</v>
      </c>
      <c r="X257" s="40">
        <f>IFERROR(Macro!$D96*Team!X158/12+IF(AND(YEAR(X$5)&gt;2020,MONTH(X$5)=Macro!$D$52),Macro!$D96*AVERAGE(OFFSET(Y158,0,0,1,-12))*Macro!$E96,0),"NA")</f>
        <v>12500</v>
      </c>
      <c r="Y257" s="38">
        <f>IFERROR(Macro!$D96*Team!Y158/12+IF(AND(YEAR(Y$5)&gt;2020,MONTH(Y$5)=Macro!$D$52),Macro!$D96*AVERAGE(OFFSET(Z158,0,0,1,-12))*Macro!$E96,0),"NA")</f>
        <v>12500</v>
      </c>
      <c r="Z257" s="39">
        <f>IFERROR(Macro!$D96*Team!Z158/12+IF(AND(YEAR(Z$5)&gt;2020,MONTH(Z$5)=Macro!$D$52),Macro!$D96*AVERAGE(OFFSET(AA158,0,0,1,-12))*Macro!$E96,0),"NA")</f>
        <v>12500</v>
      </c>
      <c r="AA257" s="40">
        <f>IFERROR(Macro!$D96*Team!AA158/12+IF(AND(YEAR(AA$5)&gt;2020,MONTH(AA$5)=Macro!$D$52),Macro!$D96*AVERAGE(OFFSET(AB158,0,0,1,-12))*Macro!$E96,0),"NA")</f>
        <v>12500</v>
      </c>
      <c r="AB257" s="38">
        <f>IFERROR(Macro!$D96*Team!AB158/12+IF(AND(YEAR(AB$5)&gt;2020,MONTH(AB$5)=Macro!$D$52),Macro!$D96*AVERAGE(OFFSET(AC158,0,0,1,-12))*Macro!$E96,0),"NA")</f>
        <v>12500</v>
      </c>
      <c r="AC257" s="39">
        <f>IFERROR(Macro!$D96*Team!AC158/12+IF(AND(YEAR(AC$5)&gt;2020,MONTH(AC$5)=Macro!$D$52),Macro!$D96*AVERAGE(OFFSET(AD158,0,0,1,-12))*Macro!$E96,0),"NA")</f>
        <v>12500</v>
      </c>
      <c r="AD257" s="40">
        <f>IFERROR(Macro!$D96*Team!AD158/12+IF(AND(YEAR(AD$5)&gt;2020,MONTH(AD$5)=Macro!$D$52),Macro!$D96*AVERAGE(OFFSET(AE158,0,0,1,-12))*Macro!$E96,0),"NA")</f>
        <v>12500</v>
      </c>
      <c r="AE257" s="38">
        <f>IFERROR(Macro!$D96*Team!AE158/12+IF(AND(YEAR(AE$5)&gt;2020,MONTH(AE$5)=Macro!$D$52),Macro!$D96*AVERAGE(OFFSET(AF158,0,0,1,-12))*Macro!$E96,0),"NA")</f>
        <v>12500</v>
      </c>
      <c r="AF257" s="39">
        <f>IFERROR(Macro!$D96*Team!AF158/12+IF(AND(YEAR(AF$5)&gt;2020,MONTH(AF$5)=Macro!$D$52),Macro!$D96*AVERAGE(OFFSET(AG158,0,0,1,-12))*Macro!$E96,0),"NA")</f>
        <v>12500</v>
      </c>
      <c r="AG257" s="40">
        <f>IFERROR(Macro!$D96*Team!AG158/12+IF(AND(YEAR(AG$5)&gt;2020,MONTH(AG$5)=Macro!$D$52),Macro!$D96*AVERAGE(OFFSET(AH158,0,0,1,-12))*Macro!$E96,0),"NA")</f>
        <v>12500</v>
      </c>
      <c r="AH257" s="38" t="str">
        <f>IFERROR(Macro!$D96*Team!AH158/12+IF(AND(YEAR(AH$5)&gt;2020,MONTH(AH$5)=Macro!$D$52),Macro!$D96*AVERAGE(OFFSET(AI158,0,0,1,-12))*Macro!$E96,0),"NA")</f>
        <v>NA</v>
      </c>
      <c r="AI257" s="39">
        <f>IFERROR(Macro!$D96*Team!AI158/12+IF(AND(YEAR(AI$5)&gt;2020,MONTH(AI$5)=Macro!$D$52),Macro!$D96*AVERAGE(OFFSET(AJ158,0,0,1,-12))*Macro!$E96,0),"NA")</f>
        <v>12500</v>
      </c>
      <c r="AJ257" s="40">
        <f>IFERROR(Macro!$D96*Team!AJ158/12+IF(AND(YEAR(AJ$5)&gt;2020,MONTH(AJ$5)=Macro!$D$52),Macro!$D96*AVERAGE(OFFSET(AK158,0,0,1,-12))*Macro!$E96,0),"NA")</f>
        <v>12500</v>
      </c>
      <c r="AK257" s="38">
        <f>IFERROR(Macro!$D96*Team!AK158/12+IF(AND(YEAR(AK$5)&gt;2020,MONTH(AK$5)=Macro!$D$52),Macro!$D96*AVERAGE(OFFSET(AL158,0,0,1,-12))*Macro!$E96,0),"NA")</f>
        <v>12500</v>
      </c>
      <c r="AL257" s="39">
        <f>IFERROR(Macro!$D96*Team!AL158/12+IF(AND(YEAR(AL$5)&gt;2020,MONTH(AL$5)=Macro!$D$52),Macro!$D96*AVERAGE(OFFSET(AM158,0,0,1,-12))*Macro!$E96,0),"NA")</f>
        <v>12500</v>
      </c>
      <c r="AM257" s="40">
        <f>IFERROR(Macro!$D96*Team!AM158/12+IF(AND(YEAR(AM$5)&gt;2020,MONTH(AM$5)=Macro!$D$52),Macro!$D96*AVERAGE(OFFSET(AN158,0,0,1,-12))*Macro!$E96,0),"NA")</f>
        <v>12500</v>
      </c>
      <c r="AN257" s="38">
        <f>IFERROR(Macro!$D96*Team!AN158/12+IF(AND(YEAR(AN$5)&gt;2020,MONTH(AN$5)=Macro!$D$52),Macro!$D96*AVERAGE(OFFSET(AO158,0,0,1,-12))*Macro!$E96,0),"NA")</f>
        <v>12500</v>
      </c>
      <c r="AO257" s="39">
        <f>IFERROR(Macro!$D96*Team!AO158/12+IF(AND(YEAR(AO$5)&gt;2020,MONTH(AO$5)=Macro!$D$52),Macro!$D96*AVERAGE(OFFSET(AP158,0,0,1,-12))*Macro!$E96,0),"NA")</f>
        <v>12500</v>
      </c>
      <c r="AP257" s="40">
        <f>IFERROR(Macro!$D96*Team!AP158/12+IF(AND(YEAR(AP$5)&gt;2020,MONTH(AP$5)=Macro!$D$52),Macro!$D96*AVERAGE(OFFSET(AQ158,0,0,1,-12))*Macro!$E96,0),"NA")</f>
        <v>12500</v>
      </c>
      <c r="AQ257" s="38">
        <f>IFERROR(Macro!$D96*Team!AQ158/12+IF(AND(YEAR(AQ$5)&gt;2020,MONTH(AQ$5)=Macro!$D$52),Macro!$D96*AVERAGE(OFFSET(AR158,0,0,1,-12))*Macro!$E96,0),"NA")</f>
        <v>12500</v>
      </c>
      <c r="AR257" s="39">
        <f>IFERROR(Macro!$D96*Team!AR158/12+IF(AND(YEAR(AR$5)&gt;2020,MONTH(AR$5)=Macro!$D$52),Macro!$D96*AVERAGE(OFFSET(AS158,0,0,1,-12))*Macro!$E96,0),"NA")</f>
        <v>12500</v>
      </c>
      <c r="AS257" s="40">
        <f>IFERROR(Macro!$D96*Team!AS158/12+IF(AND(YEAR(AS$5)&gt;2020,MONTH(AS$5)=Macro!$D$52),Macro!$D96*AVERAGE(OFFSET(AT158,0,0,1,-12))*Macro!$E96,0),"NA")</f>
        <v>12500</v>
      </c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</row>
    <row r="258" ht="12.0" customHeight="1">
      <c r="A258" s="282"/>
      <c r="B258" s="8"/>
      <c r="C258" s="37" t="str">
        <f t="shared" si="100"/>
        <v>Jr. API Egineer</v>
      </c>
      <c r="D258" s="283">
        <f>IFERROR(Macro!$D97*Team!D159/12+IF(AND(YEAR(D$5)&gt;2020,MONTH(D$5)=Macro!$D$52),Macro!$D97*AVERAGE(OFFSET(E159,0,0,1,-12))*Macro!$E97,0),"NA")</f>
        <v>0</v>
      </c>
      <c r="E258" s="284">
        <f>IFERROR(Macro!$D97*Team!E159/12+IF(AND(YEAR(E$5)&gt;2020,MONTH(E$5)=Macro!$D$52),Macro!$D97*AVERAGE(OFFSET(F159,0,0,1,-12))*Macro!$E97,0),"NA")</f>
        <v>0</v>
      </c>
      <c r="F258" s="284">
        <f>IFERROR(Macro!$D97*Team!F159/12+IF(AND(YEAR(F$5)&gt;2020,MONTH(F$5)=Macro!$D$52),Macro!$D97*AVERAGE(OFFSET(G159,0,0,1,-12))*Macro!$E97,0),"NA")</f>
        <v>0</v>
      </c>
      <c r="G258" s="283">
        <f>IFERROR(Macro!$D97*Team!G159/12+IF(AND(YEAR(G$5)&gt;2020,MONTH(G$5)=Macro!$D$52),Macro!$D97*AVERAGE(OFFSET(H159,0,0,1,-12))*Macro!$E97,0),"NA")</f>
        <v>0</v>
      </c>
      <c r="H258" s="284">
        <f>IFERROR(Macro!$D97*Team!H159/12+IF(AND(YEAR(H$5)&gt;2020,MONTH(H$5)=Macro!$D$52),Macro!$D97*AVERAGE(OFFSET(I159,0,0,1,-12))*Macro!$E97,0),"NA")</f>
        <v>0</v>
      </c>
      <c r="I258" s="285">
        <f>IFERROR(Macro!$D97*Team!I159/12+IF(AND(YEAR(I$5)&gt;2020,MONTH(I$5)=Macro!$D$52),Macro!$D97*AVERAGE(OFFSET(J159,0,0,1,-12))*Macro!$E97,0),"NA")</f>
        <v>0</v>
      </c>
      <c r="J258" s="286">
        <f>IFERROR(Macro!$D97*Team!J159/12+IF(AND(YEAR(J$5)&gt;2020,MONTH(J$5)=Macro!$D$52),Macro!$D97*AVERAGE(OFFSET(K159,0,0,1,-12))*Macro!$E97,0),"NA")</f>
        <v>0</v>
      </c>
      <c r="K258" s="287">
        <f>IFERROR(Macro!$D97*Team!K159/12+IF(AND(YEAR(K$5)&gt;2020,MONTH(K$5)=Macro!$D$52),Macro!$D97*AVERAGE(OFFSET(L159,0,0,1,-12))*Macro!$E97,0),"NA")</f>
        <v>0</v>
      </c>
      <c r="L258" s="288">
        <f>IFERROR(Macro!$D97*Team!L159/12+IF(AND(YEAR(L$5)&gt;2020,MONTH(L$5)=Macro!$D$52),Macro!$D97*AVERAGE(OFFSET(M159,0,0,1,-12))*Macro!$E97,0),"NA")</f>
        <v>12500</v>
      </c>
      <c r="M258" s="38">
        <f>IFERROR(Macro!$D97*Team!M159/12+IF(AND(YEAR(M$5)&gt;2020,MONTH(M$5)=Macro!$D$52),Macro!$D97*AVERAGE(OFFSET(N159,0,0,1,-12))*Macro!$E97,0),"NA")</f>
        <v>12500</v>
      </c>
      <c r="N258" s="39">
        <f>IFERROR(Macro!$D97*Team!N159/12+IF(AND(YEAR(N$5)&gt;2020,MONTH(N$5)=Macro!$D$52),Macro!$D97*AVERAGE(OFFSET(O159,0,0,1,-12))*Macro!$E97,0),"NA")</f>
        <v>12500</v>
      </c>
      <c r="O258" s="40">
        <f>IFERROR(Macro!$D97*Team!O159/12+IF(AND(YEAR(O$5)&gt;2020,MONTH(O$5)=Macro!$D$52),Macro!$D97*AVERAGE(OFFSET(P159,0,0,1,-12))*Macro!$E97,0),"NA")</f>
        <v>12500</v>
      </c>
      <c r="P258" s="38">
        <f>IFERROR(Macro!$D97*Team!P159/12+IF(AND(YEAR(P$5)&gt;2020,MONTH(P$5)=Macro!$D$52),Macro!$D97*AVERAGE(OFFSET(Q159,0,0,1,-12))*Macro!$E97,0),"NA")</f>
        <v>12500</v>
      </c>
      <c r="Q258" s="39">
        <f>IFERROR(Macro!$D97*Team!Q159/12+IF(AND(YEAR(Q$5)&gt;2020,MONTH(Q$5)=Macro!$D$52),Macro!$D97*AVERAGE(OFFSET(R159,0,0,1,-12))*Macro!$E97,0),"NA")</f>
        <v>12500</v>
      </c>
      <c r="R258" s="40">
        <f>IFERROR(Macro!$D97*Team!R159/12+IF(AND(YEAR(R$5)&gt;2020,MONTH(R$5)=Macro!$D$52),Macro!$D97*AVERAGE(OFFSET(S159,0,0,1,-12))*Macro!$E97,0),"NA")</f>
        <v>12500</v>
      </c>
      <c r="S258" s="38">
        <f>IFERROR(Macro!$D97*Team!S159/12+IF(AND(YEAR(S$5)&gt;2020,MONTH(S$5)=Macro!$D$52),Macro!$D97*AVERAGE(OFFSET(T159,0,0,1,-12))*Macro!$E97,0),"NA")</f>
        <v>12500</v>
      </c>
      <c r="T258" s="39">
        <f>IFERROR(Macro!$D97*Team!T159/12+IF(AND(YEAR(T$5)&gt;2020,MONTH(T$5)=Macro!$D$52),Macro!$D97*AVERAGE(OFFSET(U159,0,0,1,-12))*Macro!$E97,0),"NA")</f>
        <v>12500</v>
      </c>
      <c r="U258" s="40">
        <f>IFERROR(Macro!$D97*Team!U159/12+IF(AND(YEAR(U$5)&gt;2020,MONTH(U$5)=Macro!$D$52),Macro!$D97*AVERAGE(OFFSET(V159,0,0,1,-12))*Macro!$E97,0),"NA")</f>
        <v>12500</v>
      </c>
      <c r="V258" s="38" t="str">
        <f>IFERROR(Macro!$D97*Team!V159/12+IF(AND(YEAR(V$5)&gt;2020,MONTH(V$5)=Macro!$D$52),Macro!$D97*AVERAGE(OFFSET(W159,0,0,1,-12))*Macro!$E97,0),"NA")</f>
        <v>NA</v>
      </c>
      <c r="W258" s="39">
        <f>IFERROR(Macro!$D97*Team!W159/12+IF(AND(YEAR(W$5)&gt;2020,MONTH(W$5)=Macro!$D$52),Macro!$D97*AVERAGE(OFFSET(X159,0,0,1,-12))*Macro!$E97,0),"NA")</f>
        <v>12500</v>
      </c>
      <c r="X258" s="40">
        <f>IFERROR(Macro!$D97*Team!X159/12+IF(AND(YEAR(X$5)&gt;2020,MONTH(X$5)=Macro!$D$52),Macro!$D97*AVERAGE(OFFSET(Y159,0,0,1,-12))*Macro!$E97,0),"NA")</f>
        <v>12500</v>
      </c>
      <c r="Y258" s="38">
        <f>IFERROR(Macro!$D97*Team!Y159/12+IF(AND(YEAR(Y$5)&gt;2020,MONTH(Y$5)=Macro!$D$52),Macro!$D97*AVERAGE(OFFSET(Z159,0,0,1,-12))*Macro!$E97,0),"NA")</f>
        <v>12500</v>
      </c>
      <c r="Z258" s="39">
        <f>IFERROR(Macro!$D97*Team!Z159/12+IF(AND(YEAR(Z$5)&gt;2020,MONTH(Z$5)=Macro!$D$52),Macro!$D97*AVERAGE(OFFSET(AA159,0,0,1,-12))*Macro!$E97,0),"NA")</f>
        <v>12500</v>
      </c>
      <c r="AA258" s="40">
        <f>IFERROR(Macro!$D97*Team!AA159/12+IF(AND(YEAR(AA$5)&gt;2020,MONTH(AA$5)=Macro!$D$52),Macro!$D97*AVERAGE(OFFSET(AB159,0,0,1,-12))*Macro!$E97,0),"NA")</f>
        <v>12500</v>
      </c>
      <c r="AB258" s="38">
        <f>IFERROR(Macro!$D97*Team!AB159/12+IF(AND(YEAR(AB$5)&gt;2020,MONTH(AB$5)=Macro!$D$52),Macro!$D97*AVERAGE(OFFSET(AC159,0,0,1,-12))*Macro!$E97,0),"NA")</f>
        <v>12500</v>
      </c>
      <c r="AC258" s="39">
        <f>IFERROR(Macro!$D97*Team!AC159/12+IF(AND(YEAR(AC$5)&gt;2020,MONTH(AC$5)=Macro!$D$52),Macro!$D97*AVERAGE(OFFSET(AD159,0,0,1,-12))*Macro!$E97,0),"NA")</f>
        <v>12500</v>
      </c>
      <c r="AD258" s="40">
        <f>IFERROR(Macro!$D97*Team!AD159/12+IF(AND(YEAR(AD$5)&gt;2020,MONTH(AD$5)=Macro!$D$52),Macro!$D97*AVERAGE(OFFSET(AE159,0,0,1,-12))*Macro!$E97,0),"NA")</f>
        <v>12500</v>
      </c>
      <c r="AE258" s="38">
        <f>IFERROR(Macro!$D97*Team!AE159/12+IF(AND(YEAR(AE$5)&gt;2020,MONTH(AE$5)=Macro!$D$52),Macro!$D97*AVERAGE(OFFSET(AF159,0,0,1,-12))*Macro!$E97,0),"NA")</f>
        <v>12500</v>
      </c>
      <c r="AF258" s="39">
        <f>IFERROR(Macro!$D97*Team!AF159/12+IF(AND(YEAR(AF$5)&gt;2020,MONTH(AF$5)=Macro!$D$52),Macro!$D97*AVERAGE(OFFSET(AG159,0,0,1,-12))*Macro!$E97,0),"NA")</f>
        <v>12500</v>
      </c>
      <c r="AG258" s="40">
        <f>IFERROR(Macro!$D97*Team!AG159/12+IF(AND(YEAR(AG$5)&gt;2020,MONTH(AG$5)=Macro!$D$52),Macro!$D97*AVERAGE(OFFSET(AH159,0,0,1,-12))*Macro!$E97,0),"NA")</f>
        <v>12500</v>
      </c>
      <c r="AH258" s="38" t="str">
        <f>IFERROR(Macro!$D97*Team!AH159/12+IF(AND(YEAR(AH$5)&gt;2020,MONTH(AH$5)=Macro!$D$52),Macro!$D97*AVERAGE(OFFSET(AI159,0,0,1,-12))*Macro!$E97,0),"NA")</f>
        <v>NA</v>
      </c>
      <c r="AI258" s="39">
        <f>IFERROR(Macro!$D97*Team!AI159/12+IF(AND(YEAR(AI$5)&gt;2020,MONTH(AI$5)=Macro!$D$52),Macro!$D97*AVERAGE(OFFSET(AJ159,0,0,1,-12))*Macro!$E97,0),"NA")</f>
        <v>12500</v>
      </c>
      <c r="AJ258" s="40">
        <f>IFERROR(Macro!$D97*Team!AJ159/12+IF(AND(YEAR(AJ$5)&gt;2020,MONTH(AJ$5)=Macro!$D$52),Macro!$D97*AVERAGE(OFFSET(AK159,0,0,1,-12))*Macro!$E97,0),"NA")</f>
        <v>12500</v>
      </c>
      <c r="AK258" s="38">
        <f>IFERROR(Macro!$D97*Team!AK159/12+IF(AND(YEAR(AK$5)&gt;2020,MONTH(AK$5)=Macro!$D$52),Macro!$D97*AVERAGE(OFFSET(AL159,0,0,1,-12))*Macro!$E97,0),"NA")</f>
        <v>12500</v>
      </c>
      <c r="AL258" s="39">
        <f>IFERROR(Macro!$D97*Team!AL159/12+IF(AND(YEAR(AL$5)&gt;2020,MONTH(AL$5)=Macro!$D$52),Macro!$D97*AVERAGE(OFFSET(AM159,0,0,1,-12))*Macro!$E97,0),"NA")</f>
        <v>12500</v>
      </c>
      <c r="AM258" s="40">
        <f>IFERROR(Macro!$D97*Team!AM159/12+IF(AND(YEAR(AM$5)&gt;2020,MONTH(AM$5)=Macro!$D$52),Macro!$D97*AVERAGE(OFFSET(AN159,0,0,1,-12))*Macro!$E97,0),"NA")</f>
        <v>12500</v>
      </c>
      <c r="AN258" s="38">
        <f>IFERROR(Macro!$D97*Team!AN159/12+IF(AND(YEAR(AN$5)&gt;2020,MONTH(AN$5)=Macro!$D$52),Macro!$D97*AVERAGE(OFFSET(AO159,0,0,1,-12))*Macro!$E97,0),"NA")</f>
        <v>12500</v>
      </c>
      <c r="AO258" s="39">
        <f>IFERROR(Macro!$D97*Team!AO159/12+IF(AND(YEAR(AO$5)&gt;2020,MONTH(AO$5)=Macro!$D$52),Macro!$D97*AVERAGE(OFFSET(AP159,0,0,1,-12))*Macro!$E97,0),"NA")</f>
        <v>12500</v>
      </c>
      <c r="AP258" s="40">
        <f>IFERROR(Macro!$D97*Team!AP159/12+IF(AND(YEAR(AP$5)&gt;2020,MONTH(AP$5)=Macro!$D$52),Macro!$D97*AVERAGE(OFFSET(AQ159,0,0,1,-12))*Macro!$E97,0),"NA")</f>
        <v>12500</v>
      </c>
      <c r="AQ258" s="38">
        <f>IFERROR(Macro!$D97*Team!AQ159/12+IF(AND(YEAR(AQ$5)&gt;2020,MONTH(AQ$5)=Macro!$D$52),Macro!$D97*AVERAGE(OFFSET(AR159,0,0,1,-12))*Macro!$E97,0),"NA")</f>
        <v>12500</v>
      </c>
      <c r="AR258" s="39">
        <f>IFERROR(Macro!$D97*Team!AR159/12+IF(AND(YEAR(AR$5)&gt;2020,MONTH(AR$5)=Macro!$D$52),Macro!$D97*AVERAGE(OFFSET(AS159,0,0,1,-12))*Macro!$E97,0),"NA")</f>
        <v>12500</v>
      </c>
      <c r="AS258" s="40">
        <f>IFERROR(Macro!$D97*Team!AS159/12+IF(AND(YEAR(AS$5)&gt;2020,MONTH(AS$5)=Macro!$D$52),Macro!$D97*AVERAGE(OFFSET(AT159,0,0,1,-12))*Macro!$E97,0),"NA")</f>
        <v>12500</v>
      </c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</row>
    <row r="259" ht="12.0" customHeight="1">
      <c r="A259" s="282"/>
      <c r="B259" s="8"/>
      <c r="C259" s="37" t="str">
        <f t="shared" si="100"/>
        <v>QA Engineer</v>
      </c>
      <c r="D259" s="283">
        <f>IFERROR(Macro!$D98*Team!D160/12+IF(AND(YEAR(D$5)&gt;2020,MONTH(D$5)=Macro!$D$52),Macro!$D98*AVERAGE(OFFSET(E160,0,0,1,-12))*Macro!$E98,0),"NA")</f>
        <v>0</v>
      </c>
      <c r="E259" s="284">
        <f>IFERROR(Macro!$D98*Team!E160/12+IF(AND(YEAR(E$5)&gt;2020,MONTH(E$5)=Macro!$D$52),Macro!$D98*AVERAGE(OFFSET(F160,0,0,1,-12))*Macro!$E98,0),"NA")</f>
        <v>0</v>
      </c>
      <c r="F259" s="284">
        <f>IFERROR(Macro!$D98*Team!F160/12+IF(AND(YEAR(F$5)&gt;2020,MONTH(F$5)=Macro!$D$52),Macro!$D98*AVERAGE(OFFSET(G160,0,0,1,-12))*Macro!$E98,0),"NA")</f>
        <v>0</v>
      </c>
      <c r="G259" s="283">
        <f>IFERROR(Macro!$D98*Team!G160/12+IF(AND(YEAR(G$5)&gt;2020,MONTH(G$5)=Macro!$D$52),Macro!$D98*AVERAGE(OFFSET(H160,0,0,1,-12))*Macro!$E98,0),"NA")</f>
        <v>0</v>
      </c>
      <c r="H259" s="284">
        <f>IFERROR(Macro!$D98*Team!H160/12+IF(AND(YEAR(H$5)&gt;2020,MONTH(H$5)=Macro!$D$52),Macro!$D98*AVERAGE(OFFSET(I160,0,0,1,-12))*Macro!$E98,0),"NA")</f>
        <v>0</v>
      </c>
      <c r="I259" s="285">
        <f>IFERROR(Macro!$D98*Team!I160/12+IF(AND(YEAR(I$5)&gt;2020,MONTH(I$5)=Macro!$D$52),Macro!$D98*AVERAGE(OFFSET(J160,0,0,1,-12))*Macro!$E98,0),"NA")</f>
        <v>0</v>
      </c>
      <c r="J259" s="286">
        <f>IFERROR(Macro!$D98*Team!J160/12+IF(AND(YEAR(J$5)&gt;2020,MONTH(J$5)=Macro!$D$52),Macro!$D98*AVERAGE(OFFSET(K160,0,0,1,-12))*Macro!$E98,0),"NA")</f>
        <v>0</v>
      </c>
      <c r="K259" s="287">
        <f>IFERROR(Macro!$D98*Team!K160/12+IF(AND(YEAR(K$5)&gt;2020,MONTH(K$5)=Macro!$D$52),Macro!$D98*AVERAGE(OFFSET(L160,0,0,1,-12))*Macro!$E98,0),"NA")</f>
        <v>0</v>
      </c>
      <c r="L259" s="288">
        <f>IFERROR(Macro!$D98*Team!L160/12+IF(AND(YEAR(L$5)&gt;2020,MONTH(L$5)=Macro!$D$52),Macro!$D98*AVERAGE(OFFSET(M160,0,0,1,-12))*Macro!$E98,0),"NA")</f>
        <v>12500</v>
      </c>
      <c r="M259" s="38">
        <f>IFERROR(Macro!$D98*Team!M160/12+IF(AND(YEAR(M$5)&gt;2020,MONTH(M$5)=Macro!$D$52),Macro!$D98*AVERAGE(OFFSET(N160,0,0,1,-12))*Macro!$E98,0),"NA")</f>
        <v>12500</v>
      </c>
      <c r="N259" s="39">
        <f>IFERROR(Macro!$D98*Team!N160/12+IF(AND(YEAR(N$5)&gt;2020,MONTH(N$5)=Macro!$D$52),Macro!$D98*AVERAGE(OFFSET(O160,0,0,1,-12))*Macro!$E98,0),"NA")</f>
        <v>12500</v>
      </c>
      <c r="O259" s="40">
        <f>IFERROR(Macro!$D98*Team!O160/12+IF(AND(YEAR(O$5)&gt;2020,MONTH(O$5)=Macro!$D$52),Macro!$D98*AVERAGE(OFFSET(P160,0,0,1,-12))*Macro!$E98,0),"NA")</f>
        <v>12500</v>
      </c>
      <c r="P259" s="38">
        <f>IFERROR(Macro!$D98*Team!P160/12+IF(AND(YEAR(P$5)&gt;2020,MONTH(P$5)=Macro!$D$52),Macro!$D98*AVERAGE(OFFSET(Q160,0,0,1,-12))*Macro!$E98,0),"NA")</f>
        <v>12500</v>
      </c>
      <c r="Q259" s="39">
        <f>IFERROR(Macro!$D98*Team!Q160/12+IF(AND(YEAR(Q$5)&gt;2020,MONTH(Q$5)=Macro!$D$52),Macro!$D98*AVERAGE(OFFSET(R160,0,0,1,-12))*Macro!$E98,0),"NA")</f>
        <v>12500</v>
      </c>
      <c r="R259" s="40">
        <f>IFERROR(Macro!$D98*Team!R160/12+IF(AND(YEAR(R$5)&gt;2020,MONTH(R$5)=Macro!$D$52),Macro!$D98*AVERAGE(OFFSET(S160,0,0,1,-12))*Macro!$E98,0),"NA")</f>
        <v>12500</v>
      </c>
      <c r="S259" s="38">
        <f>IFERROR(Macro!$D98*Team!S160/12+IF(AND(YEAR(S$5)&gt;2020,MONTH(S$5)=Macro!$D$52),Macro!$D98*AVERAGE(OFFSET(T160,0,0,1,-12))*Macro!$E98,0),"NA")</f>
        <v>12500</v>
      </c>
      <c r="T259" s="39">
        <f>IFERROR(Macro!$D98*Team!T160/12+IF(AND(YEAR(T$5)&gt;2020,MONTH(T$5)=Macro!$D$52),Macro!$D98*AVERAGE(OFFSET(U160,0,0,1,-12))*Macro!$E98,0),"NA")</f>
        <v>12500</v>
      </c>
      <c r="U259" s="40">
        <f>IFERROR(Macro!$D98*Team!U160/12+IF(AND(YEAR(U$5)&gt;2020,MONTH(U$5)=Macro!$D$52),Macro!$D98*AVERAGE(OFFSET(V160,0,0,1,-12))*Macro!$E98,0),"NA")</f>
        <v>12500</v>
      </c>
      <c r="V259" s="38" t="str">
        <f>IFERROR(Macro!$D98*Team!V160/12+IF(AND(YEAR(V$5)&gt;2020,MONTH(V$5)=Macro!$D$52),Macro!$D98*AVERAGE(OFFSET(W160,0,0,1,-12))*Macro!$E98,0),"NA")</f>
        <v>NA</v>
      </c>
      <c r="W259" s="39">
        <f>IFERROR(Macro!$D98*Team!W160/12+IF(AND(YEAR(W$5)&gt;2020,MONTH(W$5)=Macro!$D$52),Macro!$D98*AVERAGE(OFFSET(X160,0,0,1,-12))*Macro!$E98,0),"NA")</f>
        <v>12500</v>
      </c>
      <c r="X259" s="40">
        <f>IFERROR(Macro!$D98*Team!X160/12+IF(AND(YEAR(X$5)&gt;2020,MONTH(X$5)=Macro!$D$52),Macro!$D98*AVERAGE(OFFSET(Y160,0,0,1,-12))*Macro!$E98,0),"NA")</f>
        <v>12500</v>
      </c>
      <c r="Y259" s="38">
        <f>IFERROR(Macro!$D98*Team!Y160/12+IF(AND(YEAR(Y$5)&gt;2020,MONTH(Y$5)=Macro!$D$52),Macro!$D98*AVERAGE(OFFSET(Z160,0,0,1,-12))*Macro!$E98,0),"NA")</f>
        <v>12500</v>
      </c>
      <c r="Z259" s="39">
        <f>IFERROR(Macro!$D98*Team!Z160/12+IF(AND(YEAR(Z$5)&gt;2020,MONTH(Z$5)=Macro!$D$52),Macro!$D98*AVERAGE(OFFSET(AA160,0,0,1,-12))*Macro!$E98,0),"NA")</f>
        <v>12500</v>
      </c>
      <c r="AA259" s="40">
        <f>IFERROR(Macro!$D98*Team!AA160/12+IF(AND(YEAR(AA$5)&gt;2020,MONTH(AA$5)=Macro!$D$52),Macro!$D98*AVERAGE(OFFSET(AB160,0,0,1,-12))*Macro!$E98,0),"NA")</f>
        <v>12500</v>
      </c>
      <c r="AB259" s="38">
        <f>IFERROR(Macro!$D98*Team!AB160/12+IF(AND(YEAR(AB$5)&gt;2020,MONTH(AB$5)=Macro!$D$52),Macro!$D98*AVERAGE(OFFSET(AC160,0,0,1,-12))*Macro!$E98,0),"NA")</f>
        <v>12500</v>
      </c>
      <c r="AC259" s="39">
        <f>IFERROR(Macro!$D98*Team!AC160/12+IF(AND(YEAR(AC$5)&gt;2020,MONTH(AC$5)=Macro!$D$52),Macro!$D98*AVERAGE(OFFSET(AD160,0,0,1,-12))*Macro!$E98,0),"NA")</f>
        <v>12500</v>
      </c>
      <c r="AD259" s="40">
        <f>IFERROR(Macro!$D98*Team!AD160/12+IF(AND(YEAR(AD$5)&gt;2020,MONTH(AD$5)=Macro!$D$52),Macro!$D98*AVERAGE(OFFSET(AE160,0,0,1,-12))*Macro!$E98,0),"NA")</f>
        <v>12500</v>
      </c>
      <c r="AE259" s="38">
        <f>IFERROR(Macro!$D98*Team!AE160/12+IF(AND(YEAR(AE$5)&gt;2020,MONTH(AE$5)=Macro!$D$52),Macro!$D98*AVERAGE(OFFSET(AF160,0,0,1,-12))*Macro!$E98,0),"NA")</f>
        <v>12500</v>
      </c>
      <c r="AF259" s="39">
        <f>IFERROR(Macro!$D98*Team!AF160/12+IF(AND(YEAR(AF$5)&gt;2020,MONTH(AF$5)=Macro!$D$52),Macro!$D98*AVERAGE(OFFSET(AG160,0,0,1,-12))*Macro!$E98,0),"NA")</f>
        <v>12500</v>
      </c>
      <c r="AG259" s="40">
        <f>IFERROR(Macro!$D98*Team!AG160/12+IF(AND(YEAR(AG$5)&gt;2020,MONTH(AG$5)=Macro!$D$52),Macro!$D98*AVERAGE(OFFSET(AH160,0,0,1,-12))*Macro!$E98,0),"NA")</f>
        <v>12500</v>
      </c>
      <c r="AH259" s="38" t="str">
        <f>IFERROR(Macro!$D98*Team!AH160/12+IF(AND(YEAR(AH$5)&gt;2020,MONTH(AH$5)=Macro!$D$52),Macro!$D98*AVERAGE(OFFSET(AI160,0,0,1,-12))*Macro!$E98,0),"NA")</f>
        <v>NA</v>
      </c>
      <c r="AI259" s="39">
        <f>IFERROR(Macro!$D98*Team!AI160/12+IF(AND(YEAR(AI$5)&gt;2020,MONTH(AI$5)=Macro!$D$52),Macro!$D98*AVERAGE(OFFSET(AJ160,0,0,1,-12))*Macro!$E98,0),"NA")</f>
        <v>12500</v>
      </c>
      <c r="AJ259" s="40">
        <f>IFERROR(Macro!$D98*Team!AJ160/12+IF(AND(YEAR(AJ$5)&gt;2020,MONTH(AJ$5)=Macro!$D$52),Macro!$D98*AVERAGE(OFFSET(AK160,0,0,1,-12))*Macro!$E98,0),"NA")</f>
        <v>12500</v>
      </c>
      <c r="AK259" s="38">
        <f>IFERROR(Macro!$D98*Team!AK160/12+IF(AND(YEAR(AK$5)&gt;2020,MONTH(AK$5)=Macro!$D$52),Macro!$D98*AVERAGE(OFFSET(AL160,0,0,1,-12))*Macro!$E98,0),"NA")</f>
        <v>12500</v>
      </c>
      <c r="AL259" s="39">
        <f>IFERROR(Macro!$D98*Team!AL160/12+IF(AND(YEAR(AL$5)&gt;2020,MONTH(AL$5)=Macro!$D$52),Macro!$D98*AVERAGE(OFFSET(AM160,0,0,1,-12))*Macro!$E98,0),"NA")</f>
        <v>12500</v>
      </c>
      <c r="AM259" s="40">
        <f>IFERROR(Macro!$D98*Team!AM160/12+IF(AND(YEAR(AM$5)&gt;2020,MONTH(AM$5)=Macro!$D$52),Macro!$D98*AVERAGE(OFFSET(AN160,0,0,1,-12))*Macro!$E98,0),"NA")</f>
        <v>12500</v>
      </c>
      <c r="AN259" s="38">
        <f>IFERROR(Macro!$D98*Team!AN160/12+IF(AND(YEAR(AN$5)&gt;2020,MONTH(AN$5)=Macro!$D$52),Macro!$D98*AVERAGE(OFFSET(AO160,0,0,1,-12))*Macro!$E98,0),"NA")</f>
        <v>12500</v>
      </c>
      <c r="AO259" s="39">
        <f>IFERROR(Macro!$D98*Team!AO160/12+IF(AND(YEAR(AO$5)&gt;2020,MONTH(AO$5)=Macro!$D$52),Macro!$D98*AVERAGE(OFFSET(AP160,0,0,1,-12))*Macro!$E98,0),"NA")</f>
        <v>12500</v>
      </c>
      <c r="AP259" s="40">
        <f>IFERROR(Macro!$D98*Team!AP160/12+IF(AND(YEAR(AP$5)&gt;2020,MONTH(AP$5)=Macro!$D$52),Macro!$D98*AVERAGE(OFFSET(AQ160,0,0,1,-12))*Macro!$E98,0),"NA")</f>
        <v>12500</v>
      </c>
      <c r="AQ259" s="38">
        <f>IFERROR(Macro!$D98*Team!AQ160/12+IF(AND(YEAR(AQ$5)&gt;2020,MONTH(AQ$5)=Macro!$D$52),Macro!$D98*AVERAGE(OFFSET(AR160,0,0,1,-12))*Macro!$E98,0),"NA")</f>
        <v>12500</v>
      </c>
      <c r="AR259" s="39">
        <f>IFERROR(Macro!$D98*Team!AR160/12+IF(AND(YEAR(AR$5)&gt;2020,MONTH(AR$5)=Macro!$D$52),Macro!$D98*AVERAGE(OFFSET(AS160,0,0,1,-12))*Macro!$E98,0),"NA")</f>
        <v>12500</v>
      </c>
      <c r="AS259" s="40">
        <f>IFERROR(Macro!$D98*Team!AS160/12+IF(AND(YEAR(AS$5)&gt;2020,MONTH(AS$5)=Macro!$D$52),Macro!$D98*AVERAGE(OFFSET(AT160,0,0,1,-12))*Macro!$E98,0),"NA")</f>
        <v>12500</v>
      </c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</row>
    <row r="260" ht="12.0" customHeight="1">
      <c r="A260" s="282"/>
      <c r="B260" s="8"/>
      <c r="C260" s="37" t="str">
        <f t="shared" si="100"/>
        <v>Jr. QA engineer</v>
      </c>
      <c r="D260" s="283">
        <f>IFERROR(Macro!$D99*Team!D161/12+IF(AND(YEAR(D$5)&gt;2020,MONTH(D$5)=Macro!$D$52),Macro!$D99*AVERAGE(OFFSET(E161,0,0,1,-12))*Macro!$E99,0),"NA")</f>
        <v>0</v>
      </c>
      <c r="E260" s="284">
        <f>IFERROR(Macro!$D99*Team!E161/12+IF(AND(YEAR(E$5)&gt;2020,MONTH(E$5)=Macro!$D$52),Macro!$D99*AVERAGE(OFFSET(F161,0,0,1,-12))*Macro!$E99,0),"NA")</f>
        <v>0</v>
      </c>
      <c r="F260" s="284">
        <f>IFERROR(Macro!$D99*Team!F161/12+IF(AND(YEAR(F$5)&gt;2020,MONTH(F$5)=Macro!$D$52),Macro!$D99*AVERAGE(OFFSET(G161,0,0,1,-12))*Macro!$E99,0),"NA")</f>
        <v>0</v>
      </c>
      <c r="G260" s="283">
        <f>IFERROR(Macro!$D99*Team!G161/12+IF(AND(YEAR(G$5)&gt;2020,MONTH(G$5)=Macro!$D$52),Macro!$D99*AVERAGE(OFFSET(H161,0,0,1,-12))*Macro!$E99,0),"NA")</f>
        <v>0</v>
      </c>
      <c r="H260" s="284">
        <f>IFERROR(Macro!$D99*Team!H161/12+IF(AND(YEAR(H$5)&gt;2020,MONTH(H$5)=Macro!$D$52),Macro!$D99*AVERAGE(OFFSET(I161,0,0,1,-12))*Macro!$E99,0),"NA")</f>
        <v>0</v>
      </c>
      <c r="I260" s="285">
        <f>IFERROR(Macro!$D99*Team!I161/12+IF(AND(YEAR(I$5)&gt;2020,MONTH(I$5)=Macro!$D$52),Macro!$D99*AVERAGE(OFFSET(J161,0,0,1,-12))*Macro!$E99,0),"NA")</f>
        <v>0</v>
      </c>
      <c r="J260" s="286">
        <f>IFERROR(Macro!$D99*Team!J161/12+IF(AND(YEAR(J$5)&gt;2020,MONTH(J$5)=Macro!$D$52),Macro!$D99*AVERAGE(OFFSET(K161,0,0,1,-12))*Macro!$E99,0),"NA")</f>
        <v>0</v>
      </c>
      <c r="K260" s="287">
        <f>IFERROR(Macro!$D99*Team!K161/12+IF(AND(YEAR(K$5)&gt;2020,MONTH(K$5)=Macro!$D$52),Macro!$D99*AVERAGE(OFFSET(L161,0,0,1,-12))*Macro!$E99,0),"NA")</f>
        <v>0</v>
      </c>
      <c r="L260" s="288">
        <f>IFERROR(Macro!$D99*Team!L161/12+IF(AND(YEAR(L$5)&gt;2020,MONTH(L$5)=Macro!$D$52),Macro!$D99*AVERAGE(OFFSET(M161,0,0,1,-12))*Macro!$E99,0),"NA")</f>
        <v>12500</v>
      </c>
      <c r="M260" s="38">
        <f>IFERROR(Macro!$D99*Team!M161/12+IF(AND(YEAR(M$5)&gt;2020,MONTH(M$5)=Macro!$D$52),Macro!$D99*AVERAGE(OFFSET(N161,0,0,1,-12))*Macro!$E99,0),"NA")</f>
        <v>12500</v>
      </c>
      <c r="N260" s="39">
        <f>IFERROR(Macro!$D99*Team!N161/12+IF(AND(YEAR(N$5)&gt;2020,MONTH(N$5)=Macro!$D$52),Macro!$D99*AVERAGE(OFFSET(O161,0,0,1,-12))*Macro!$E99,0),"NA")</f>
        <v>12500</v>
      </c>
      <c r="O260" s="40">
        <f>IFERROR(Macro!$D99*Team!O161/12+IF(AND(YEAR(O$5)&gt;2020,MONTH(O$5)=Macro!$D$52),Macro!$D99*AVERAGE(OFFSET(P161,0,0,1,-12))*Macro!$E99,0),"NA")</f>
        <v>12500</v>
      </c>
      <c r="P260" s="38">
        <f>IFERROR(Macro!$D99*Team!P161/12+IF(AND(YEAR(P$5)&gt;2020,MONTH(P$5)=Macro!$D$52),Macro!$D99*AVERAGE(OFFSET(Q161,0,0,1,-12))*Macro!$E99,0),"NA")</f>
        <v>12500</v>
      </c>
      <c r="Q260" s="39">
        <f>IFERROR(Macro!$D99*Team!Q161/12+IF(AND(YEAR(Q$5)&gt;2020,MONTH(Q$5)=Macro!$D$52),Macro!$D99*AVERAGE(OFFSET(R161,0,0,1,-12))*Macro!$E99,0),"NA")</f>
        <v>12500</v>
      </c>
      <c r="R260" s="40">
        <f>IFERROR(Macro!$D99*Team!R161/12+IF(AND(YEAR(R$5)&gt;2020,MONTH(R$5)=Macro!$D$52),Macro!$D99*AVERAGE(OFFSET(S161,0,0,1,-12))*Macro!$E99,0),"NA")</f>
        <v>12500</v>
      </c>
      <c r="S260" s="38">
        <f>IFERROR(Macro!$D99*Team!S161/12+IF(AND(YEAR(S$5)&gt;2020,MONTH(S$5)=Macro!$D$52),Macro!$D99*AVERAGE(OFFSET(T161,0,0,1,-12))*Macro!$E99,0),"NA")</f>
        <v>12500</v>
      </c>
      <c r="T260" s="39">
        <f>IFERROR(Macro!$D99*Team!T161/12+IF(AND(YEAR(T$5)&gt;2020,MONTH(T$5)=Macro!$D$52),Macro!$D99*AVERAGE(OFFSET(U161,0,0,1,-12))*Macro!$E99,0),"NA")</f>
        <v>12500</v>
      </c>
      <c r="U260" s="40">
        <f>IFERROR(Macro!$D99*Team!U161/12+IF(AND(YEAR(U$5)&gt;2020,MONTH(U$5)=Macro!$D$52),Macro!$D99*AVERAGE(OFFSET(V161,0,0,1,-12))*Macro!$E99,0),"NA")</f>
        <v>12500</v>
      </c>
      <c r="V260" s="38" t="str">
        <f>IFERROR(Macro!$D99*Team!V161/12+IF(AND(YEAR(V$5)&gt;2020,MONTH(V$5)=Macro!$D$52),Macro!$D99*AVERAGE(OFFSET(W161,0,0,1,-12))*Macro!$E99,0),"NA")</f>
        <v>NA</v>
      </c>
      <c r="W260" s="39">
        <f>IFERROR(Macro!$D99*Team!W161/12+IF(AND(YEAR(W$5)&gt;2020,MONTH(W$5)=Macro!$D$52),Macro!$D99*AVERAGE(OFFSET(X161,0,0,1,-12))*Macro!$E99,0),"NA")</f>
        <v>12500</v>
      </c>
      <c r="X260" s="40">
        <f>IFERROR(Macro!$D99*Team!X161/12+IF(AND(YEAR(X$5)&gt;2020,MONTH(X$5)=Macro!$D$52),Macro!$D99*AVERAGE(OFFSET(Y161,0,0,1,-12))*Macro!$E99,0),"NA")</f>
        <v>12500</v>
      </c>
      <c r="Y260" s="38">
        <f>IFERROR(Macro!$D99*Team!Y161/12+IF(AND(YEAR(Y$5)&gt;2020,MONTH(Y$5)=Macro!$D$52),Macro!$D99*AVERAGE(OFFSET(Z161,0,0,1,-12))*Macro!$E99,0),"NA")</f>
        <v>12500</v>
      </c>
      <c r="Z260" s="39">
        <f>IFERROR(Macro!$D99*Team!Z161/12+IF(AND(YEAR(Z$5)&gt;2020,MONTH(Z$5)=Macro!$D$52),Macro!$D99*AVERAGE(OFFSET(AA161,0,0,1,-12))*Macro!$E99,0),"NA")</f>
        <v>12500</v>
      </c>
      <c r="AA260" s="40">
        <f>IFERROR(Macro!$D99*Team!AA161/12+IF(AND(YEAR(AA$5)&gt;2020,MONTH(AA$5)=Macro!$D$52),Macro!$D99*AVERAGE(OFFSET(AB161,0,0,1,-12))*Macro!$E99,0),"NA")</f>
        <v>12500</v>
      </c>
      <c r="AB260" s="38">
        <f>IFERROR(Macro!$D99*Team!AB161/12+IF(AND(YEAR(AB$5)&gt;2020,MONTH(AB$5)=Macro!$D$52),Macro!$D99*AVERAGE(OFFSET(AC161,0,0,1,-12))*Macro!$E99,0),"NA")</f>
        <v>12500</v>
      </c>
      <c r="AC260" s="39">
        <f>IFERROR(Macro!$D99*Team!AC161/12+IF(AND(YEAR(AC$5)&gt;2020,MONTH(AC$5)=Macro!$D$52),Macro!$D99*AVERAGE(OFFSET(AD161,0,0,1,-12))*Macro!$E99,0),"NA")</f>
        <v>12500</v>
      </c>
      <c r="AD260" s="40">
        <f>IFERROR(Macro!$D99*Team!AD161/12+IF(AND(YEAR(AD$5)&gt;2020,MONTH(AD$5)=Macro!$D$52),Macro!$D99*AVERAGE(OFFSET(AE161,0,0,1,-12))*Macro!$E99,0),"NA")</f>
        <v>12500</v>
      </c>
      <c r="AE260" s="38">
        <f>IFERROR(Macro!$D99*Team!AE161/12+IF(AND(YEAR(AE$5)&gt;2020,MONTH(AE$5)=Macro!$D$52),Macro!$D99*AVERAGE(OFFSET(AF161,0,0,1,-12))*Macro!$E99,0),"NA")</f>
        <v>12500</v>
      </c>
      <c r="AF260" s="39">
        <f>IFERROR(Macro!$D99*Team!AF161/12+IF(AND(YEAR(AF$5)&gt;2020,MONTH(AF$5)=Macro!$D$52),Macro!$D99*AVERAGE(OFFSET(AG161,0,0,1,-12))*Macro!$E99,0),"NA")</f>
        <v>12500</v>
      </c>
      <c r="AG260" s="40">
        <f>IFERROR(Macro!$D99*Team!AG161/12+IF(AND(YEAR(AG$5)&gt;2020,MONTH(AG$5)=Macro!$D$52),Macro!$D99*AVERAGE(OFFSET(AH161,0,0,1,-12))*Macro!$E99,0),"NA")</f>
        <v>12500</v>
      </c>
      <c r="AH260" s="38" t="str">
        <f>IFERROR(Macro!$D99*Team!AH161/12+IF(AND(YEAR(AH$5)&gt;2020,MONTH(AH$5)=Macro!$D$52),Macro!$D99*AVERAGE(OFFSET(AI161,0,0,1,-12))*Macro!$E99,0),"NA")</f>
        <v>NA</v>
      </c>
      <c r="AI260" s="39">
        <f>IFERROR(Macro!$D99*Team!AI161/12+IF(AND(YEAR(AI$5)&gt;2020,MONTH(AI$5)=Macro!$D$52),Macro!$D99*AVERAGE(OFFSET(AJ161,0,0,1,-12))*Macro!$E99,0),"NA")</f>
        <v>12500</v>
      </c>
      <c r="AJ260" s="40">
        <f>IFERROR(Macro!$D99*Team!AJ161/12+IF(AND(YEAR(AJ$5)&gt;2020,MONTH(AJ$5)=Macro!$D$52),Macro!$D99*AVERAGE(OFFSET(AK161,0,0,1,-12))*Macro!$E99,0),"NA")</f>
        <v>12500</v>
      </c>
      <c r="AK260" s="38">
        <f>IFERROR(Macro!$D99*Team!AK161/12+IF(AND(YEAR(AK$5)&gt;2020,MONTH(AK$5)=Macro!$D$52),Macro!$D99*AVERAGE(OFFSET(AL161,0,0,1,-12))*Macro!$E99,0),"NA")</f>
        <v>12500</v>
      </c>
      <c r="AL260" s="39">
        <f>IFERROR(Macro!$D99*Team!AL161/12+IF(AND(YEAR(AL$5)&gt;2020,MONTH(AL$5)=Macro!$D$52),Macro!$D99*AVERAGE(OFFSET(AM161,0,0,1,-12))*Macro!$E99,0),"NA")</f>
        <v>12500</v>
      </c>
      <c r="AM260" s="40">
        <f>IFERROR(Macro!$D99*Team!AM161/12+IF(AND(YEAR(AM$5)&gt;2020,MONTH(AM$5)=Macro!$D$52),Macro!$D99*AVERAGE(OFFSET(AN161,0,0,1,-12))*Macro!$E99,0),"NA")</f>
        <v>12500</v>
      </c>
      <c r="AN260" s="38">
        <f>IFERROR(Macro!$D99*Team!AN161/12+IF(AND(YEAR(AN$5)&gt;2020,MONTH(AN$5)=Macro!$D$52),Macro!$D99*AVERAGE(OFFSET(AO161,0,0,1,-12))*Macro!$E99,0),"NA")</f>
        <v>12500</v>
      </c>
      <c r="AO260" s="39">
        <f>IFERROR(Macro!$D99*Team!AO161/12+IF(AND(YEAR(AO$5)&gt;2020,MONTH(AO$5)=Macro!$D$52),Macro!$D99*AVERAGE(OFFSET(AP161,0,0,1,-12))*Macro!$E99,0),"NA")</f>
        <v>12500</v>
      </c>
      <c r="AP260" s="40">
        <f>IFERROR(Macro!$D99*Team!AP161/12+IF(AND(YEAR(AP$5)&gt;2020,MONTH(AP$5)=Macro!$D$52),Macro!$D99*AVERAGE(OFFSET(AQ161,0,0,1,-12))*Macro!$E99,0),"NA")</f>
        <v>12500</v>
      </c>
      <c r="AQ260" s="38">
        <f>IFERROR(Macro!$D99*Team!AQ161/12+IF(AND(YEAR(AQ$5)&gt;2020,MONTH(AQ$5)=Macro!$D$52),Macro!$D99*AVERAGE(OFFSET(AR161,0,0,1,-12))*Macro!$E99,0),"NA")</f>
        <v>12500</v>
      </c>
      <c r="AR260" s="39">
        <f>IFERROR(Macro!$D99*Team!AR161/12+IF(AND(YEAR(AR$5)&gt;2020,MONTH(AR$5)=Macro!$D$52),Macro!$D99*AVERAGE(OFFSET(AS161,0,0,1,-12))*Macro!$E99,0),"NA")</f>
        <v>12500</v>
      </c>
      <c r="AS260" s="40">
        <f>IFERROR(Macro!$D99*Team!AS161/12+IF(AND(YEAR(AS$5)&gt;2020,MONTH(AS$5)=Macro!$D$52),Macro!$D99*AVERAGE(OFFSET(AT161,0,0,1,-12))*Macro!$E99,0),"NA")</f>
        <v>12500</v>
      </c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</row>
    <row r="261" ht="12.0" customHeight="1">
      <c r="A261" s="282"/>
      <c r="B261" s="8"/>
      <c r="C261" s="37" t="str">
        <f t="shared" si="100"/>
        <v>IAM Lead</v>
      </c>
      <c r="D261" s="283">
        <f>IFERROR(Macro!$D100*Team!D162/12+IF(AND(YEAR(D$5)&gt;2020,MONTH(D$5)=Macro!$D$52),Macro!$D100*AVERAGE(OFFSET(E162,0,0,1,-12))*Macro!$E100,0),"NA")</f>
        <v>0</v>
      </c>
      <c r="E261" s="284">
        <f>IFERROR(Macro!$D100*Team!E162/12+IF(AND(YEAR(E$5)&gt;2020,MONTH(E$5)=Macro!$D$52),Macro!$D100*AVERAGE(OFFSET(F162,0,0,1,-12))*Macro!$E100,0),"NA")</f>
        <v>0</v>
      </c>
      <c r="F261" s="284">
        <f>IFERROR(Macro!$D100*Team!F162/12+IF(AND(YEAR(F$5)&gt;2020,MONTH(F$5)=Macro!$D$52),Macro!$D100*AVERAGE(OFFSET(G162,0,0,1,-12))*Macro!$E100,0),"NA")</f>
        <v>0</v>
      </c>
      <c r="G261" s="283">
        <f>IFERROR(Macro!$D100*Team!G162/12+IF(AND(YEAR(G$5)&gt;2020,MONTH(G$5)=Macro!$D$52),Macro!$D100*AVERAGE(OFFSET(H162,0,0,1,-12))*Macro!$E100,0),"NA")</f>
        <v>0</v>
      </c>
      <c r="H261" s="284">
        <f>IFERROR(Macro!$D100*Team!H162/12+IF(AND(YEAR(H$5)&gt;2020,MONTH(H$5)=Macro!$D$52),Macro!$D100*AVERAGE(OFFSET(I162,0,0,1,-12))*Macro!$E100,0),"NA")</f>
        <v>0</v>
      </c>
      <c r="I261" s="285">
        <f>IFERROR(Macro!$D100*Team!I162/12+IF(AND(YEAR(I$5)&gt;2020,MONTH(I$5)=Macro!$D$52),Macro!$D100*AVERAGE(OFFSET(J162,0,0,1,-12))*Macro!$E100,0),"NA")</f>
        <v>0</v>
      </c>
      <c r="J261" s="286">
        <f>IFERROR(Macro!$D100*Team!J162/12+IF(AND(YEAR(J$5)&gt;2020,MONTH(J$5)=Macro!$D$52),Macro!$D100*AVERAGE(OFFSET(K162,0,0,1,-12))*Macro!$E100,0),"NA")</f>
        <v>0</v>
      </c>
      <c r="K261" s="287">
        <f>IFERROR(Macro!$D100*Team!K162/12+IF(AND(YEAR(K$5)&gt;2020,MONTH(K$5)=Macro!$D$52),Macro!$D100*AVERAGE(OFFSET(L162,0,0,1,-12))*Macro!$E100,0),"NA")</f>
        <v>0</v>
      </c>
      <c r="L261" s="288">
        <f>IFERROR(Macro!$D100*Team!L162/12+IF(AND(YEAR(L$5)&gt;2020,MONTH(L$5)=Macro!$D$52),Macro!$D100*AVERAGE(OFFSET(M162,0,0,1,-12))*Macro!$E100,0),"NA")</f>
        <v>0</v>
      </c>
      <c r="M261" s="38">
        <f>IFERROR(Macro!$D100*Team!M162/12+IF(AND(YEAR(M$5)&gt;2020,MONTH(M$5)=Macro!$D$52),Macro!$D100*AVERAGE(OFFSET(N162,0,0,1,-12))*Macro!$E100,0),"NA")</f>
        <v>12500</v>
      </c>
      <c r="N261" s="39">
        <f>IFERROR(Macro!$D100*Team!N162/12+IF(AND(YEAR(N$5)&gt;2020,MONTH(N$5)=Macro!$D$52),Macro!$D100*AVERAGE(OFFSET(O162,0,0,1,-12))*Macro!$E100,0),"NA")</f>
        <v>12500</v>
      </c>
      <c r="O261" s="40">
        <f>IFERROR(Macro!$D100*Team!O162/12+IF(AND(YEAR(O$5)&gt;2020,MONTH(O$5)=Macro!$D$52),Macro!$D100*AVERAGE(OFFSET(P162,0,0,1,-12))*Macro!$E100,0),"NA")</f>
        <v>12500</v>
      </c>
      <c r="P261" s="38">
        <f>IFERROR(Macro!$D100*Team!P162/12+IF(AND(YEAR(P$5)&gt;2020,MONTH(P$5)=Macro!$D$52),Macro!$D100*AVERAGE(OFFSET(Q162,0,0,1,-12))*Macro!$E100,0),"NA")</f>
        <v>12500</v>
      </c>
      <c r="Q261" s="39">
        <f>IFERROR(Macro!$D100*Team!Q162/12+IF(AND(YEAR(Q$5)&gt;2020,MONTH(Q$5)=Macro!$D$52),Macro!$D100*AVERAGE(OFFSET(R162,0,0,1,-12))*Macro!$E100,0),"NA")</f>
        <v>12500</v>
      </c>
      <c r="R261" s="40">
        <f>IFERROR(Macro!$D100*Team!R162/12+IF(AND(YEAR(R$5)&gt;2020,MONTH(R$5)=Macro!$D$52),Macro!$D100*AVERAGE(OFFSET(S162,0,0,1,-12))*Macro!$E100,0),"NA")</f>
        <v>12500</v>
      </c>
      <c r="S261" s="38">
        <f>IFERROR(Macro!$D100*Team!S162/12+IF(AND(YEAR(S$5)&gt;2020,MONTH(S$5)=Macro!$D$52),Macro!$D100*AVERAGE(OFFSET(T162,0,0,1,-12))*Macro!$E100,0),"NA")</f>
        <v>12500</v>
      </c>
      <c r="T261" s="39">
        <f>IFERROR(Macro!$D100*Team!T162/12+IF(AND(YEAR(T$5)&gt;2020,MONTH(T$5)=Macro!$D$52),Macro!$D100*AVERAGE(OFFSET(U162,0,0,1,-12))*Macro!$E100,0),"NA")</f>
        <v>12500</v>
      </c>
      <c r="U261" s="40">
        <f>IFERROR(Macro!$D100*Team!U162/12+IF(AND(YEAR(U$5)&gt;2020,MONTH(U$5)=Macro!$D$52),Macro!$D100*AVERAGE(OFFSET(V162,0,0,1,-12))*Macro!$E100,0),"NA")</f>
        <v>12500</v>
      </c>
      <c r="V261" s="38" t="str">
        <f>IFERROR(Macro!$D100*Team!V162/12+IF(AND(YEAR(V$5)&gt;2020,MONTH(V$5)=Macro!$D$52),Macro!$D100*AVERAGE(OFFSET(W162,0,0,1,-12))*Macro!$E100,0),"NA")</f>
        <v>NA</v>
      </c>
      <c r="W261" s="39">
        <f>IFERROR(Macro!$D100*Team!W162/12+IF(AND(YEAR(W$5)&gt;2020,MONTH(W$5)=Macro!$D$52),Macro!$D100*AVERAGE(OFFSET(X162,0,0,1,-12))*Macro!$E100,0),"NA")</f>
        <v>12500</v>
      </c>
      <c r="X261" s="40">
        <f>IFERROR(Macro!$D100*Team!X162/12+IF(AND(YEAR(X$5)&gt;2020,MONTH(X$5)=Macro!$D$52),Macro!$D100*AVERAGE(OFFSET(Y162,0,0,1,-12))*Macro!$E100,0),"NA")</f>
        <v>12500</v>
      </c>
      <c r="Y261" s="38">
        <f>IFERROR(Macro!$D100*Team!Y162/12+IF(AND(YEAR(Y$5)&gt;2020,MONTH(Y$5)=Macro!$D$52),Macro!$D100*AVERAGE(OFFSET(Z162,0,0,1,-12))*Macro!$E100,0),"NA")</f>
        <v>12500</v>
      </c>
      <c r="Z261" s="39">
        <f>IFERROR(Macro!$D100*Team!Z162/12+IF(AND(YEAR(Z$5)&gt;2020,MONTH(Z$5)=Macro!$D$52),Macro!$D100*AVERAGE(OFFSET(AA162,0,0,1,-12))*Macro!$E100,0),"NA")</f>
        <v>12500</v>
      </c>
      <c r="AA261" s="40">
        <f>IFERROR(Macro!$D100*Team!AA162/12+IF(AND(YEAR(AA$5)&gt;2020,MONTH(AA$5)=Macro!$D$52),Macro!$D100*AVERAGE(OFFSET(AB162,0,0,1,-12))*Macro!$E100,0),"NA")</f>
        <v>12500</v>
      </c>
      <c r="AB261" s="38">
        <f>IFERROR(Macro!$D100*Team!AB162/12+IF(AND(YEAR(AB$5)&gt;2020,MONTH(AB$5)=Macro!$D$52),Macro!$D100*AVERAGE(OFFSET(AC162,0,0,1,-12))*Macro!$E100,0),"NA")</f>
        <v>12500</v>
      </c>
      <c r="AC261" s="39">
        <f>IFERROR(Macro!$D100*Team!AC162/12+IF(AND(YEAR(AC$5)&gt;2020,MONTH(AC$5)=Macro!$D$52),Macro!$D100*AVERAGE(OFFSET(AD162,0,0,1,-12))*Macro!$E100,0),"NA")</f>
        <v>12500</v>
      </c>
      <c r="AD261" s="40">
        <f>IFERROR(Macro!$D100*Team!AD162/12+IF(AND(YEAR(AD$5)&gt;2020,MONTH(AD$5)=Macro!$D$52),Macro!$D100*AVERAGE(OFFSET(AE162,0,0,1,-12))*Macro!$E100,0),"NA")</f>
        <v>12500</v>
      </c>
      <c r="AE261" s="38">
        <f>IFERROR(Macro!$D100*Team!AE162/12+IF(AND(YEAR(AE$5)&gt;2020,MONTH(AE$5)=Macro!$D$52),Macro!$D100*AVERAGE(OFFSET(AF162,0,0,1,-12))*Macro!$E100,0),"NA")</f>
        <v>12500</v>
      </c>
      <c r="AF261" s="39">
        <f>IFERROR(Macro!$D100*Team!AF162/12+IF(AND(YEAR(AF$5)&gt;2020,MONTH(AF$5)=Macro!$D$52),Macro!$D100*AVERAGE(OFFSET(AG162,0,0,1,-12))*Macro!$E100,0),"NA")</f>
        <v>12500</v>
      </c>
      <c r="AG261" s="40">
        <f>IFERROR(Macro!$D100*Team!AG162/12+IF(AND(YEAR(AG$5)&gt;2020,MONTH(AG$5)=Macro!$D$52),Macro!$D100*AVERAGE(OFFSET(AH162,0,0,1,-12))*Macro!$E100,0),"NA")</f>
        <v>12500</v>
      </c>
      <c r="AH261" s="38" t="str">
        <f>IFERROR(Macro!$D100*Team!AH162/12+IF(AND(YEAR(AH$5)&gt;2020,MONTH(AH$5)=Macro!$D$52),Macro!$D100*AVERAGE(OFFSET(AI162,0,0,1,-12))*Macro!$E100,0),"NA")</f>
        <v>NA</v>
      </c>
      <c r="AI261" s="39">
        <f>IFERROR(Macro!$D100*Team!AI162/12+IF(AND(YEAR(AI$5)&gt;2020,MONTH(AI$5)=Macro!$D$52),Macro!$D100*AVERAGE(OFFSET(AJ162,0,0,1,-12))*Macro!$E100,0),"NA")</f>
        <v>12500</v>
      </c>
      <c r="AJ261" s="40">
        <f>IFERROR(Macro!$D100*Team!AJ162/12+IF(AND(YEAR(AJ$5)&gt;2020,MONTH(AJ$5)=Macro!$D$52),Macro!$D100*AVERAGE(OFFSET(AK162,0,0,1,-12))*Macro!$E100,0),"NA")</f>
        <v>12500</v>
      </c>
      <c r="AK261" s="38">
        <f>IFERROR(Macro!$D100*Team!AK162/12+IF(AND(YEAR(AK$5)&gt;2020,MONTH(AK$5)=Macro!$D$52),Macro!$D100*AVERAGE(OFFSET(AL162,0,0,1,-12))*Macro!$E100,0),"NA")</f>
        <v>12500</v>
      </c>
      <c r="AL261" s="39">
        <f>IFERROR(Macro!$D100*Team!AL162/12+IF(AND(YEAR(AL$5)&gt;2020,MONTH(AL$5)=Macro!$D$52),Macro!$D100*AVERAGE(OFFSET(AM162,0,0,1,-12))*Macro!$E100,0),"NA")</f>
        <v>12500</v>
      </c>
      <c r="AM261" s="40">
        <f>IFERROR(Macro!$D100*Team!AM162/12+IF(AND(YEAR(AM$5)&gt;2020,MONTH(AM$5)=Macro!$D$52),Macro!$D100*AVERAGE(OFFSET(AN162,0,0,1,-12))*Macro!$E100,0),"NA")</f>
        <v>12500</v>
      </c>
      <c r="AN261" s="38">
        <f>IFERROR(Macro!$D100*Team!AN162/12+IF(AND(YEAR(AN$5)&gt;2020,MONTH(AN$5)=Macro!$D$52),Macro!$D100*AVERAGE(OFFSET(AO162,0,0,1,-12))*Macro!$E100,0),"NA")</f>
        <v>12500</v>
      </c>
      <c r="AO261" s="39">
        <f>IFERROR(Macro!$D100*Team!AO162/12+IF(AND(YEAR(AO$5)&gt;2020,MONTH(AO$5)=Macro!$D$52),Macro!$D100*AVERAGE(OFFSET(AP162,0,0,1,-12))*Macro!$E100,0),"NA")</f>
        <v>12500</v>
      </c>
      <c r="AP261" s="40">
        <f>IFERROR(Macro!$D100*Team!AP162/12+IF(AND(YEAR(AP$5)&gt;2020,MONTH(AP$5)=Macro!$D$52),Macro!$D100*AVERAGE(OFFSET(AQ162,0,0,1,-12))*Macro!$E100,0),"NA")</f>
        <v>12500</v>
      </c>
      <c r="AQ261" s="38">
        <f>IFERROR(Macro!$D100*Team!AQ162/12+IF(AND(YEAR(AQ$5)&gt;2020,MONTH(AQ$5)=Macro!$D$52),Macro!$D100*AVERAGE(OFFSET(AR162,0,0,1,-12))*Macro!$E100,0),"NA")</f>
        <v>12500</v>
      </c>
      <c r="AR261" s="39">
        <f>IFERROR(Macro!$D100*Team!AR162/12+IF(AND(YEAR(AR$5)&gt;2020,MONTH(AR$5)=Macro!$D$52),Macro!$D100*AVERAGE(OFFSET(AS162,0,0,1,-12))*Macro!$E100,0),"NA")</f>
        <v>12500</v>
      </c>
      <c r="AS261" s="40">
        <f>IFERROR(Macro!$D100*Team!AS162/12+IF(AND(YEAR(AS$5)&gt;2020,MONTH(AS$5)=Macro!$D$52),Macro!$D100*AVERAGE(OFFSET(AT162,0,0,1,-12))*Macro!$E100,0),"NA")</f>
        <v>12500</v>
      </c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</row>
    <row r="262" ht="12.0" customHeight="1">
      <c r="A262" s="282"/>
      <c r="B262" s="8"/>
      <c r="C262" s="37" t="str">
        <f t="shared" si="100"/>
        <v>Platform/Agent Lead</v>
      </c>
      <c r="D262" s="283">
        <f>IFERROR(Macro!$D101*Team!D163/12+IF(AND(YEAR(D$5)&gt;2020,MONTH(D$5)=Macro!$D$52),Macro!$D101*AVERAGE(OFFSET(E163,0,0,1,-12))*Macro!$E101,0),"NA")</f>
        <v>12500</v>
      </c>
      <c r="E262" s="284">
        <f>IFERROR(Macro!$D101*Team!E163/12+IF(AND(YEAR(E$5)&gt;2020,MONTH(E$5)=Macro!$D$52),Macro!$D101*AVERAGE(OFFSET(F163,0,0,1,-12))*Macro!$E101,0),"NA")</f>
        <v>12500</v>
      </c>
      <c r="F262" s="284">
        <f>IFERROR(Macro!$D101*Team!F163/12+IF(AND(YEAR(F$5)&gt;2020,MONTH(F$5)=Macro!$D$52),Macro!$D101*AVERAGE(OFFSET(G163,0,0,1,-12))*Macro!$E101,0),"NA")</f>
        <v>12500</v>
      </c>
      <c r="G262" s="283">
        <f>IFERROR(Macro!$D101*Team!G163/12+IF(AND(YEAR(G$5)&gt;2020,MONTH(G$5)=Macro!$D$52),Macro!$D101*AVERAGE(OFFSET(H163,0,0,1,-12))*Macro!$E101,0),"NA")</f>
        <v>12500</v>
      </c>
      <c r="H262" s="284">
        <f>IFERROR(Macro!$D101*Team!H163/12+IF(AND(YEAR(H$5)&gt;2020,MONTH(H$5)=Macro!$D$52),Macro!$D101*AVERAGE(OFFSET(I163,0,0,1,-12))*Macro!$E101,0),"NA")</f>
        <v>12500</v>
      </c>
      <c r="I262" s="285">
        <f>IFERROR(Macro!$D101*Team!I163/12+IF(AND(YEAR(I$5)&gt;2020,MONTH(I$5)=Macro!$D$52),Macro!$D101*AVERAGE(OFFSET(J163,0,0,1,-12))*Macro!$E101,0),"NA")</f>
        <v>12500</v>
      </c>
      <c r="J262" s="286">
        <f>IFERROR(Macro!$D101*Team!J163/12+IF(AND(YEAR(J$5)&gt;2020,MONTH(J$5)=Macro!$D$52),Macro!$D101*AVERAGE(OFFSET(K163,0,0,1,-12))*Macro!$E101,0),"NA")</f>
        <v>12500</v>
      </c>
      <c r="K262" s="287">
        <f>IFERROR(Macro!$D101*Team!K163/12+IF(AND(YEAR(K$5)&gt;2020,MONTH(K$5)=Macro!$D$52),Macro!$D101*AVERAGE(OFFSET(L163,0,0,1,-12))*Macro!$E101,0),"NA")</f>
        <v>12500</v>
      </c>
      <c r="L262" s="288">
        <f>IFERROR(Macro!$D101*Team!L163/12+IF(AND(YEAR(L$5)&gt;2020,MONTH(L$5)=Macro!$D$52),Macro!$D101*AVERAGE(OFFSET(M163,0,0,1,-12))*Macro!$E101,0),"NA")</f>
        <v>12500</v>
      </c>
      <c r="M262" s="38">
        <f>IFERROR(Macro!$D101*Team!M163/12+IF(AND(YEAR(M$5)&gt;2020,MONTH(M$5)=Macro!$D$52),Macro!$D101*AVERAGE(OFFSET(N163,0,0,1,-12))*Macro!$E101,0),"NA")</f>
        <v>12500</v>
      </c>
      <c r="N262" s="39">
        <f>IFERROR(Macro!$D101*Team!N163/12+IF(AND(YEAR(N$5)&gt;2020,MONTH(N$5)=Macro!$D$52),Macro!$D101*AVERAGE(OFFSET(O163,0,0,1,-12))*Macro!$E101,0),"NA")</f>
        <v>12500</v>
      </c>
      <c r="O262" s="40">
        <f>IFERROR(Macro!$D101*Team!O163/12+IF(AND(YEAR(O$5)&gt;2020,MONTH(O$5)=Macro!$D$52),Macro!$D101*AVERAGE(OFFSET(P163,0,0,1,-12))*Macro!$E101,0),"NA")</f>
        <v>12500</v>
      </c>
      <c r="P262" s="38">
        <f>IFERROR(Macro!$D101*Team!P163/12+IF(AND(YEAR(P$5)&gt;2020,MONTH(P$5)=Macro!$D$52),Macro!$D101*AVERAGE(OFFSET(Q163,0,0,1,-12))*Macro!$E101,0),"NA")</f>
        <v>12500</v>
      </c>
      <c r="Q262" s="39">
        <f>IFERROR(Macro!$D101*Team!Q163/12+IF(AND(YEAR(Q$5)&gt;2020,MONTH(Q$5)=Macro!$D$52),Macro!$D101*AVERAGE(OFFSET(R163,0,0,1,-12))*Macro!$E101,0),"NA")</f>
        <v>12500</v>
      </c>
      <c r="R262" s="40">
        <f>IFERROR(Macro!$D101*Team!R163/12+IF(AND(YEAR(R$5)&gt;2020,MONTH(R$5)=Macro!$D$52),Macro!$D101*AVERAGE(OFFSET(S163,0,0,1,-12))*Macro!$E101,0),"NA")</f>
        <v>12500</v>
      </c>
      <c r="S262" s="38">
        <f>IFERROR(Macro!$D101*Team!S163/12+IF(AND(YEAR(S$5)&gt;2020,MONTH(S$5)=Macro!$D$52),Macro!$D101*AVERAGE(OFFSET(T163,0,0,1,-12))*Macro!$E101,0),"NA")</f>
        <v>12500</v>
      </c>
      <c r="T262" s="39">
        <f>IFERROR(Macro!$D101*Team!T163/12+IF(AND(YEAR(T$5)&gt;2020,MONTH(T$5)=Macro!$D$52),Macro!$D101*AVERAGE(OFFSET(U163,0,0,1,-12))*Macro!$E101,0),"NA")</f>
        <v>12500</v>
      </c>
      <c r="U262" s="40">
        <f>IFERROR(Macro!$D101*Team!U163/12+IF(AND(YEAR(U$5)&gt;2020,MONTH(U$5)=Macro!$D$52),Macro!$D101*AVERAGE(OFFSET(V163,0,0,1,-12))*Macro!$E101,0),"NA")</f>
        <v>12500</v>
      </c>
      <c r="V262" s="38" t="str">
        <f>IFERROR(Macro!$D101*Team!V163/12+IF(AND(YEAR(V$5)&gt;2020,MONTH(V$5)=Macro!$D$52),Macro!$D101*AVERAGE(OFFSET(W163,0,0,1,-12))*Macro!$E101,0),"NA")</f>
        <v>NA</v>
      </c>
      <c r="W262" s="39">
        <f>IFERROR(Macro!$D101*Team!W163/12+IF(AND(YEAR(W$5)&gt;2020,MONTH(W$5)=Macro!$D$52),Macro!$D101*AVERAGE(OFFSET(X163,0,0,1,-12))*Macro!$E101,0),"NA")</f>
        <v>12500</v>
      </c>
      <c r="X262" s="40">
        <f>IFERROR(Macro!$D101*Team!X163/12+IF(AND(YEAR(X$5)&gt;2020,MONTH(X$5)=Macro!$D$52),Macro!$D101*AVERAGE(OFFSET(Y163,0,0,1,-12))*Macro!$E101,0),"NA")</f>
        <v>12500</v>
      </c>
      <c r="Y262" s="38">
        <f>IFERROR(Macro!$D101*Team!Y163/12+IF(AND(YEAR(Y$5)&gt;2020,MONTH(Y$5)=Macro!$D$52),Macro!$D101*AVERAGE(OFFSET(Z163,0,0,1,-12))*Macro!$E101,0),"NA")</f>
        <v>12500</v>
      </c>
      <c r="Z262" s="39">
        <f>IFERROR(Macro!$D101*Team!Z163/12+IF(AND(YEAR(Z$5)&gt;2020,MONTH(Z$5)=Macro!$D$52),Macro!$D101*AVERAGE(OFFSET(AA163,0,0,1,-12))*Macro!$E101,0),"NA")</f>
        <v>12500</v>
      </c>
      <c r="AA262" s="40">
        <f>IFERROR(Macro!$D101*Team!AA163/12+IF(AND(YEAR(AA$5)&gt;2020,MONTH(AA$5)=Macro!$D$52),Macro!$D101*AVERAGE(OFFSET(AB163,0,0,1,-12))*Macro!$E101,0),"NA")</f>
        <v>12500</v>
      </c>
      <c r="AB262" s="38">
        <f>IFERROR(Macro!$D101*Team!AB163/12+IF(AND(YEAR(AB$5)&gt;2020,MONTH(AB$5)=Macro!$D$52),Macro!$D101*AVERAGE(OFFSET(AC163,0,0,1,-12))*Macro!$E101,0),"NA")</f>
        <v>12500</v>
      </c>
      <c r="AC262" s="39">
        <f>IFERROR(Macro!$D101*Team!AC163/12+IF(AND(YEAR(AC$5)&gt;2020,MONTH(AC$5)=Macro!$D$52),Macro!$D101*AVERAGE(OFFSET(AD163,0,0,1,-12))*Macro!$E101,0),"NA")</f>
        <v>12500</v>
      </c>
      <c r="AD262" s="40">
        <f>IFERROR(Macro!$D101*Team!AD163/12+IF(AND(YEAR(AD$5)&gt;2020,MONTH(AD$5)=Macro!$D$52),Macro!$D101*AVERAGE(OFFSET(AE163,0,0,1,-12))*Macro!$E101,0),"NA")</f>
        <v>12500</v>
      </c>
      <c r="AE262" s="38">
        <f>IFERROR(Macro!$D101*Team!AE163/12+IF(AND(YEAR(AE$5)&gt;2020,MONTH(AE$5)=Macro!$D$52),Macro!$D101*AVERAGE(OFFSET(AF163,0,0,1,-12))*Macro!$E101,0),"NA")</f>
        <v>12500</v>
      </c>
      <c r="AF262" s="39">
        <f>IFERROR(Macro!$D101*Team!AF163/12+IF(AND(YEAR(AF$5)&gt;2020,MONTH(AF$5)=Macro!$D$52),Macro!$D101*AVERAGE(OFFSET(AG163,0,0,1,-12))*Macro!$E101,0),"NA")</f>
        <v>12500</v>
      </c>
      <c r="AG262" s="40">
        <f>IFERROR(Macro!$D101*Team!AG163/12+IF(AND(YEAR(AG$5)&gt;2020,MONTH(AG$5)=Macro!$D$52),Macro!$D101*AVERAGE(OFFSET(AH163,0,0,1,-12))*Macro!$E101,0),"NA")</f>
        <v>12500</v>
      </c>
      <c r="AH262" s="38" t="str">
        <f>IFERROR(Macro!$D101*Team!AH163/12+IF(AND(YEAR(AH$5)&gt;2020,MONTH(AH$5)=Macro!$D$52),Macro!$D101*AVERAGE(OFFSET(AI163,0,0,1,-12))*Macro!$E101,0),"NA")</f>
        <v>NA</v>
      </c>
      <c r="AI262" s="39">
        <f>IFERROR(Macro!$D101*Team!AI163/12+IF(AND(YEAR(AI$5)&gt;2020,MONTH(AI$5)=Macro!$D$52),Macro!$D101*AVERAGE(OFFSET(AJ163,0,0,1,-12))*Macro!$E101,0),"NA")</f>
        <v>12500</v>
      </c>
      <c r="AJ262" s="40">
        <f>IFERROR(Macro!$D101*Team!AJ163/12+IF(AND(YEAR(AJ$5)&gt;2020,MONTH(AJ$5)=Macro!$D$52),Macro!$D101*AVERAGE(OFFSET(AK163,0,0,1,-12))*Macro!$E101,0),"NA")</f>
        <v>12500</v>
      </c>
      <c r="AK262" s="38">
        <f>IFERROR(Macro!$D101*Team!AK163/12+IF(AND(YEAR(AK$5)&gt;2020,MONTH(AK$5)=Macro!$D$52),Macro!$D101*AVERAGE(OFFSET(AL163,0,0,1,-12))*Macro!$E101,0),"NA")</f>
        <v>12500</v>
      </c>
      <c r="AL262" s="39">
        <f>IFERROR(Macro!$D101*Team!AL163/12+IF(AND(YEAR(AL$5)&gt;2020,MONTH(AL$5)=Macro!$D$52),Macro!$D101*AVERAGE(OFFSET(AM163,0,0,1,-12))*Macro!$E101,0),"NA")</f>
        <v>12500</v>
      </c>
      <c r="AM262" s="40">
        <f>IFERROR(Macro!$D101*Team!AM163/12+IF(AND(YEAR(AM$5)&gt;2020,MONTH(AM$5)=Macro!$D$52),Macro!$D101*AVERAGE(OFFSET(AN163,0,0,1,-12))*Macro!$E101,0),"NA")</f>
        <v>12500</v>
      </c>
      <c r="AN262" s="38">
        <f>IFERROR(Macro!$D101*Team!AN163/12+IF(AND(YEAR(AN$5)&gt;2020,MONTH(AN$5)=Macro!$D$52),Macro!$D101*AVERAGE(OFFSET(AO163,0,0,1,-12))*Macro!$E101,0),"NA")</f>
        <v>12500</v>
      </c>
      <c r="AO262" s="39">
        <f>IFERROR(Macro!$D101*Team!AO163/12+IF(AND(YEAR(AO$5)&gt;2020,MONTH(AO$5)=Macro!$D$52),Macro!$D101*AVERAGE(OFFSET(AP163,0,0,1,-12))*Macro!$E101,0),"NA")</f>
        <v>12500</v>
      </c>
      <c r="AP262" s="40">
        <f>IFERROR(Macro!$D101*Team!AP163/12+IF(AND(YEAR(AP$5)&gt;2020,MONTH(AP$5)=Macro!$D$52),Macro!$D101*AVERAGE(OFFSET(AQ163,0,0,1,-12))*Macro!$E101,0),"NA")</f>
        <v>12500</v>
      </c>
      <c r="AQ262" s="38">
        <f>IFERROR(Macro!$D101*Team!AQ163/12+IF(AND(YEAR(AQ$5)&gt;2020,MONTH(AQ$5)=Macro!$D$52),Macro!$D101*AVERAGE(OFFSET(AR163,0,0,1,-12))*Macro!$E101,0),"NA")</f>
        <v>12500</v>
      </c>
      <c r="AR262" s="39">
        <f>IFERROR(Macro!$D101*Team!AR163/12+IF(AND(YEAR(AR$5)&gt;2020,MONTH(AR$5)=Macro!$D$52),Macro!$D101*AVERAGE(OFFSET(AS163,0,0,1,-12))*Macro!$E101,0),"NA")</f>
        <v>12500</v>
      </c>
      <c r="AS262" s="40">
        <f>IFERROR(Macro!$D101*Team!AS163/12+IF(AND(YEAR(AS$5)&gt;2020,MONTH(AS$5)=Macro!$D$52),Macro!$D101*AVERAGE(OFFSET(AT163,0,0,1,-12))*Macro!$E101,0),"NA")</f>
        <v>12500</v>
      </c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</row>
    <row r="263" ht="12.0" customHeight="1">
      <c r="A263" s="282"/>
      <c r="B263" s="8"/>
      <c r="C263" s="37" t="str">
        <f t="shared" si="100"/>
        <v>Security Engineer</v>
      </c>
      <c r="D263" s="283">
        <f>IFERROR(Macro!$D102*Team!D164/12+IF(AND(YEAR(D$5)&gt;2020,MONTH(D$5)=Macro!$D$52),Macro!$D102*AVERAGE(OFFSET(E164,0,0,1,-12))*Macro!$E102,0),"NA")</f>
        <v>0</v>
      </c>
      <c r="E263" s="284">
        <f>IFERROR(Macro!$D102*Team!E164/12+IF(AND(YEAR(E$5)&gt;2020,MONTH(E$5)=Macro!$D$52),Macro!$D102*AVERAGE(OFFSET(F164,0,0,1,-12))*Macro!$E102,0),"NA")</f>
        <v>0</v>
      </c>
      <c r="F263" s="284">
        <f>IFERROR(Macro!$D102*Team!F164/12+IF(AND(YEAR(F$5)&gt;2020,MONTH(F$5)=Macro!$D$52),Macro!$D102*AVERAGE(OFFSET(G164,0,0,1,-12))*Macro!$E102,0),"NA")</f>
        <v>0</v>
      </c>
      <c r="G263" s="283">
        <f>IFERROR(Macro!$D102*Team!G164/12+IF(AND(YEAR(G$5)&gt;2020,MONTH(G$5)=Macro!$D$52),Macro!$D102*AVERAGE(OFFSET(H164,0,0,1,-12))*Macro!$E102,0),"NA")</f>
        <v>0</v>
      </c>
      <c r="H263" s="284">
        <f>IFERROR(Macro!$D102*Team!H164/12+IF(AND(YEAR(H$5)&gt;2020,MONTH(H$5)=Macro!$D$52),Macro!$D102*AVERAGE(OFFSET(I164,0,0,1,-12))*Macro!$E102,0),"NA")</f>
        <v>0</v>
      </c>
      <c r="I263" s="285">
        <f>IFERROR(Macro!$D102*Team!I164/12+IF(AND(YEAR(I$5)&gt;2020,MONTH(I$5)=Macro!$D$52),Macro!$D102*AVERAGE(OFFSET(J164,0,0,1,-12))*Macro!$E102,0),"NA")</f>
        <v>0</v>
      </c>
      <c r="J263" s="286">
        <f>IFERROR(Macro!$D102*Team!J164/12+IF(AND(YEAR(J$5)&gt;2020,MONTH(J$5)=Macro!$D$52),Macro!$D102*AVERAGE(OFFSET(K164,0,0,1,-12))*Macro!$E102,0),"NA")</f>
        <v>0</v>
      </c>
      <c r="K263" s="287">
        <f>IFERROR(Macro!$D102*Team!K164/12+IF(AND(YEAR(K$5)&gt;2020,MONTH(K$5)=Macro!$D$52),Macro!$D102*AVERAGE(OFFSET(L164,0,0,1,-12))*Macro!$E102,0),"NA")</f>
        <v>0</v>
      </c>
      <c r="L263" s="288">
        <f>IFERROR(Macro!$D102*Team!L164/12+IF(AND(YEAR(L$5)&gt;2020,MONTH(L$5)=Macro!$D$52),Macro!$D102*AVERAGE(OFFSET(M164,0,0,1,-12))*Macro!$E102,0),"NA")</f>
        <v>12500</v>
      </c>
      <c r="M263" s="38">
        <f>IFERROR(Macro!$D102*Team!M164/12+IF(AND(YEAR(M$5)&gt;2020,MONTH(M$5)=Macro!$D$52),Macro!$D102*AVERAGE(OFFSET(N164,0,0,1,-12))*Macro!$E102,0),"NA")</f>
        <v>12500</v>
      </c>
      <c r="N263" s="39">
        <f>IFERROR(Macro!$D102*Team!N164/12+IF(AND(YEAR(N$5)&gt;2020,MONTH(N$5)=Macro!$D$52),Macro!$D102*AVERAGE(OFFSET(O164,0,0,1,-12))*Macro!$E102,0),"NA")</f>
        <v>12500</v>
      </c>
      <c r="O263" s="40">
        <f>IFERROR(Macro!$D102*Team!O164/12+IF(AND(YEAR(O$5)&gt;2020,MONTH(O$5)=Macro!$D$52),Macro!$D102*AVERAGE(OFFSET(P164,0,0,1,-12))*Macro!$E102,0),"NA")</f>
        <v>12500</v>
      </c>
      <c r="P263" s="38">
        <f>IFERROR(Macro!$D102*Team!P164/12+IF(AND(YEAR(P$5)&gt;2020,MONTH(P$5)=Macro!$D$52),Macro!$D102*AVERAGE(OFFSET(Q164,0,0,1,-12))*Macro!$E102,0),"NA")</f>
        <v>12500</v>
      </c>
      <c r="Q263" s="39">
        <f>IFERROR(Macro!$D102*Team!Q164/12+IF(AND(YEAR(Q$5)&gt;2020,MONTH(Q$5)=Macro!$D$52),Macro!$D102*AVERAGE(OFFSET(R164,0,0,1,-12))*Macro!$E102,0),"NA")</f>
        <v>12500</v>
      </c>
      <c r="R263" s="40">
        <f>IFERROR(Macro!$D102*Team!R164/12+IF(AND(YEAR(R$5)&gt;2020,MONTH(R$5)=Macro!$D$52),Macro!$D102*AVERAGE(OFFSET(S164,0,0,1,-12))*Macro!$E102,0),"NA")</f>
        <v>12500</v>
      </c>
      <c r="S263" s="38">
        <f>IFERROR(Macro!$D102*Team!S164/12+IF(AND(YEAR(S$5)&gt;2020,MONTH(S$5)=Macro!$D$52),Macro!$D102*AVERAGE(OFFSET(T164,0,0,1,-12))*Macro!$E102,0),"NA")</f>
        <v>12500</v>
      </c>
      <c r="T263" s="39">
        <f>IFERROR(Macro!$D102*Team!T164/12+IF(AND(YEAR(T$5)&gt;2020,MONTH(T$5)=Macro!$D$52),Macro!$D102*AVERAGE(OFFSET(U164,0,0,1,-12))*Macro!$E102,0),"NA")</f>
        <v>12500</v>
      </c>
      <c r="U263" s="40">
        <f>IFERROR(Macro!$D102*Team!U164/12+IF(AND(YEAR(U$5)&gt;2020,MONTH(U$5)=Macro!$D$52),Macro!$D102*AVERAGE(OFFSET(V164,0,0,1,-12))*Macro!$E102,0),"NA")</f>
        <v>12500</v>
      </c>
      <c r="V263" s="38" t="str">
        <f>IFERROR(Macro!$D102*Team!V164/12+IF(AND(YEAR(V$5)&gt;2020,MONTH(V$5)=Macro!$D$52),Macro!$D102*AVERAGE(OFFSET(W164,0,0,1,-12))*Macro!$E102,0),"NA")</f>
        <v>NA</v>
      </c>
      <c r="W263" s="39">
        <f>IFERROR(Macro!$D102*Team!W164/12+IF(AND(YEAR(W$5)&gt;2020,MONTH(W$5)=Macro!$D$52),Macro!$D102*AVERAGE(OFFSET(X164,0,0,1,-12))*Macro!$E102,0),"NA")</f>
        <v>12500</v>
      </c>
      <c r="X263" s="40">
        <f>IFERROR(Macro!$D102*Team!X164/12+IF(AND(YEAR(X$5)&gt;2020,MONTH(X$5)=Macro!$D$52),Macro!$D102*AVERAGE(OFFSET(Y164,0,0,1,-12))*Macro!$E102,0),"NA")</f>
        <v>12500</v>
      </c>
      <c r="Y263" s="38">
        <f>IFERROR(Macro!$D102*Team!Y164/12+IF(AND(YEAR(Y$5)&gt;2020,MONTH(Y$5)=Macro!$D$52),Macro!$D102*AVERAGE(OFFSET(Z164,0,0,1,-12))*Macro!$E102,0),"NA")</f>
        <v>12500</v>
      </c>
      <c r="Z263" s="39">
        <f>IFERROR(Macro!$D102*Team!Z164/12+IF(AND(YEAR(Z$5)&gt;2020,MONTH(Z$5)=Macro!$D$52),Macro!$D102*AVERAGE(OFFSET(AA164,0,0,1,-12))*Macro!$E102,0),"NA")</f>
        <v>12500</v>
      </c>
      <c r="AA263" s="40">
        <f>IFERROR(Macro!$D102*Team!AA164/12+IF(AND(YEAR(AA$5)&gt;2020,MONTH(AA$5)=Macro!$D$52),Macro!$D102*AVERAGE(OFFSET(AB164,0,0,1,-12))*Macro!$E102,0),"NA")</f>
        <v>12500</v>
      </c>
      <c r="AB263" s="38">
        <f>IFERROR(Macro!$D102*Team!AB164/12+IF(AND(YEAR(AB$5)&gt;2020,MONTH(AB$5)=Macro!$D$52),Macro!$D102*AVERAGE(OFFSET(AC164,0,0,1,-12))*Macro!$E102,0),"NA")</f>
        <v>12500</v>
      </c>
      <c r="AC263" s="39">
        <f>IFERROR(Macro!$D102*Team!AC164/12+IF(AND(YEAR(AC$5)&gt;2020,MONTH(AC$5)=Macro!$D$52),Macro!$D102*AVERAGE(OFFSET(AD164,0,0,1,-12))*Macro!$E102,0),"NA")</f>
        <v>12500</v>
      </c>
      <c r="AD263" s="40">
        <f>IFERROR(Macro!$D102*Team!AD164/12+IF(AND(YEAR(AD$5)&gt;2020,MONTH(AD$5)=Macro!$D$52),Macro!$D102*AVERAGE(OFFSET(AE164,0,0,1,-12))*Macro!$E102,0),"NA")</f>
        <v>12500</v>
      </c>
      <c r="AE263" s="38">
        <f>IFERROR(Macro!$D102*Team!AE164/12+IF(AND(YEAR(AE$5)&gt;2020,MONTH(AE$5)=Macro!$D$52),Macro!$D102*AVERAGE(OFFSET(AF164,0,0,1,-12))*Macro!$E102,0),"NA")</f>
        <v>12500</v>
      </c>
      <c r="AF263" s="39">
        <f>IFERROR(Macro!$D102*Team!AF164/12+IF(AND(YEAR(AF$5)&gt;2020,MONTH(AF$5)=Macro!$D$52),Macro!$D102*AVERAGE(OFFSET(AG164,0,0,1,-12))*Macro!$E102,0),"NA")</f>
        <v>12500</v>
      </c>
      <c r="AG263" s="40">
        <f>IFERROR(Macro!$D102*Team!AG164/12+IF(AND(YEAR(AG$5)&gt;2020,MONTH(AG$5)=Macro!$D$52),Macro!$D102*AVERAGE(OFFSET(AH164,0,0,1,-12))*Macro!$E102,0),"NA")</f>
        <v>12500</v>
      </c>
      <c r="AH263" s="38" t="str">
        <f>IFERROR(Macro!$D102*Team!AH164/12+IF(AND(YEAR(AH$5)&gt;2020,MONTH(AH$5)=Macro!$D$52),Macro!$D102*AVERAGE(OFFSET(AI164,0,0,1,-12))*Macro!$E102,0),"NA")</f>
        <v>NA</v>
      </c>
      <c r="AI263" s="39">
        <f>IFERROR(Macro!$D102*Team!AI164/12+IF(AND(YEAR(AI$5)&gt;2020,MONTH(AI$5)=Macro!$D$52),Macro!$D102*AVERAGE(OFFSET(AJ164,0,0,1,-12))*Macro!$E102,0),"NA")</f>
        <v>12500</v>
      </c>
      <c r="AJ263" s="40">
        <f>IFERROR(Macro!$D102*Team!AJ164/12+IF(AND(YEAR(AJ$5)&gt;2020,MONTH(AJ$5)=Macro!$D$52),Macro!$D102*AVERAGE(OFFSET(AK164,0,0,1,-12))*Macro!$E102,0),"NA")</f>
        <v>12500</v>
      </c>
      <c r="AK263" s="38">
        <f>IFERROR(Macro!$D102*Team!AK164/12+IF(AND(YEAR(AK$5)&gt;2020,MONTH(AK$5)=Macro!$D$52),Macro!$D102*AVERAGE(OFFSET(AL164,0,0,1,-12))*Macro!$E102,0),"NA")</f>
        <v>12500</v>
      </c>
      <c r="AL263" s="39">
        <f>IFERROR(Macro!$D102*Team!AL164/12+IF(AND(YEAR(AL$5)&gt;2020,MONTH(AL$5)=Macro!$D$52),Macro!$D102*AVERAGE(OFFSET(AM164,0,0,1,-12))*Macro!$E102,0),"NA")</f>
        <v>12500</v>
      </c>
      <c r="AM263" s="40">
        <f>IFERROR(Macro!$D102*Team!AM164/12+IF(AND(YEAR(AM$5)&gt;2020,MONTH(AM$5)=Macro!$D$52),Macro!$D102*AVERAGE(OFFSET(AN164,0,0,1,-12))*Macro!$E102,0),"NA")</f>
        <v>12500</v>
      </c>
      <c r="AN263" s="38">
        <f>IFERROR(Macro!$D102*Team!AN164/12+IF(AND(YEAR(AN$5)&gt;2020,MONTH(AN$5)=Macro!$D$52),Macro!$D102*AVERAGE(OFFSET(AO164,0,0,1,-12))*Macro!$E102,0),"NA")</f>
        <v>12500</v>
      </c>
      <c r="AO263" s="39">
        <f>IFERROR(Macro!$D102*Team!AO164/12+IF(AND(YEAR(AO$5)&gt;2020,MONTH(AO$5)=Macro!$D$52),Macro!$D102*AVERAGE(OFFSET(AP164,0,0,1,-12))*Macro!$E102,0),"NA")</f>
        <v>12500</v>
      </c>
      <c r="AP263" s="40">
        <f>IFERROR(Macro!$D102*Team!AP164/12+IF(AND(YEAR(AP$5)&gt;2020,MONTH(AP$5)=Macro!$D$52),Macro!$D102*AVERAGE(OFFSET(AQ164,0,0,1,-12))*Macro!$E102,0),"NA")</f>
        <v>12500</v>
      </c>
      <c r="AQ263" s="38">
        <f>IFERROR(Macro!$D102*Team!AQ164/12+IF(AND(YEAR(AQ$5)&gt;2020,MONTH(AQ$5)=Macro!$D$52),Macro!$D102*AVERAGE(OFFSET(AR164,0,0,1,-12))*Macro!$E102,0),"NA")</f>
        <v>12500</v>
      </c>
      <c r="AR263" s="39">
        <f>IFERROR(Macro!$D102*Team!AR164/12+IF(AND(YEAR(AR$5)&gt;2020,MONTH(AR$5)=Macro!$D$52),Macro!$D102*AVERAGE(OFFSET(AS164,0,0,1,-12))*Macro!$E102,0),"NA")</f>
        <v>12500</v>
      </c>
      <c r="AS263" s="40">
        <f>IFERROR(Macro!$D102*Team!AS164/12+IF(AND(YEAR(AS$5)&gt;2020,MONTH(AS$5)=Macro!$D$52),Macro!$D102*AVERAGE(OFFSET(AT164,0,0,1,-12))*Macro!$E102,0),"NA")</f>
        <v>12500</v>
      </c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</row>
    <row r="264" ht="12.0" customHeight="1">
      <c r="A264" s="282"/>
      <c r="B264" s="8"/>
      <c r="C264" s="37" t="str">
        <f t="shared" si="100"/>
        <v>Engr Manager</v>
      </c>
      <c r="D264" s="283">
        <f>IFERROR(Macro!$D103*Team!D165/12+IF(AND(YEAR(D$5)&gt;2020,MONTH(D$5)=Macro!$D$52),Macro!$D103*AVERAGE(OFFSET(E165,0,0,1,-12))*Macro!$E103,0),"NA")</f>
        <v>0</v>
      </c>
      <c r="E264" s="284">
        <f>IFERROR(Macro!$D103*Team!E165/12+IF(AND(YEAR(E$5)&gt;2020,MONTH(E$5)=Macro!$D$52),Macro!$D103*AVERAGE(OFFSET(F165,0,0,1,-12))*Macro!$E103,0),"NA")</f>
        <v>0</v>
      </c>
      <c r="F264" s="284">
        <f>IFERROR(Macro!$D103*Team!F165/12+IF(AND(YEAR(F$5)&gt;2020,MONTH(F$5)=Macro!$D$52),Macro!$D103*AVERAGE(OFFSET(G165,0,0,1,-12))*Macro!$E103,0),"NA")</f>
        <v>0</v>
      </c>
      <c r="G264" s="283">
        <f>IFERROR(Macro!$D103*Team!G165/12+IF(AND(YEAR(G$5)&gt;2020,MONTH(G$5)=Macro!$D$52),Macro!$D103*AVERAGE(OFFSET(H165,0,0,1,-12))*Macro!$E103,0),"NA")</f>
        <v>0</v>
      </c>
      <c r="H264" s="284">
        <f>IFERROR(Macro!$D103*Team!H165/12+IF(AND(YEAR(H$5)&gt;2020,MONTH(H$5)=Macro!$D$52),Macro!$D103*AVERAGE(OFFSET(I165,0,0,1,-12))*Macro!$E103,0),"NA")</f>
        <v>0</v>
      </c>
      <c r="I264" s="285">
        <f>IFERROR(Macro!$D103*Team!I165/12+IF(AND(YEAR(I$5)&gt;2020,MONTH(I$5)=Macro!$D$52),Macro!$D103*AVERAGE(OFFSET(J165,0,0,1,-12))*Macro!$E103,0),"NA")</f>
        <v>0</v>
      </c>
      <c r="J264" s="286">
        <f>IFERROR(Macro!$D103*Team!J165/12+IF(AND(YEAR(J$5)&gt;2020,MONTH(J$5)=Macro!$D$52),Macro!$D103*AVERAGE(OFFSET(K165,0,0,1,-12))*Macro!$E103,0),"NA")</f>
        <v>0</v>
      </c>
      <c r="K264" s="287">
        <f>IFERROR(Macro!$D103*Team!K165/12+IF(AND(YEAR(K$5)&gt;2020,MONTH(K$5)=Macro!$D$52),Macro!$D103*AVERAGE(OFFSET(L165,0,0,1,-12))*Macro!$E103,0),"NA")</f>
        <v>0</v>
      </c>
      <c r="L264" s="288">
        <f>IFERROR(Macro!$D103*Team!L165/12+IF(AND(YEAR(L$5)&gt;2020,MONTH(L$5)=Macro!$D$52),Macro!$D103*AVERAGE(OFFSET(M165,0,0,1,-12))*Macro!$E103,0),"NA")</f>
        <v>0</v>
      </c>
      <c r="M264" s="38">
        <f>IFERROR(Macro!$D103*Team!M165/12+IF(AND(YEAR(M$5)&gt;2020,MONTH(M$5)=Macro!$D$52),Macro!$D103*AVERAGE(OFFSET(N165,0,0,1,-12))*Macro!$E103,0),"NA")</f>
        <v>0</v>
      </c>
      <c r="N264" s="39">
        <f>IFERROR(Macro!$D103*Team!N165/12+IF(AND(YEAR(N$5)&gt;2020,MONTH(N$5)=Macro!$D$52),Macro!$D103*AVERAGE(OFFSET(O165,0,0,1,-12))*Macro!$E103,0),"NA")</f>
        <v>0</v>
      </c>
      <c r="O264" s="40">
        <f>IFERROR(Macro!$D103*Team!O165/12+IF(AND(YEAR(O$5)&gt;2020,MONTH(O$5)=Macro!$D$52),Macro!$D103*AVERAGE(OFFSET(P165,0,0,1,-12))*Macro!$E103,0),"NA")</f>
        <v>0</v>
      </c>
      <c r="P264" s="38">
        <f>IFERROR(Macro!$D103*Team!P165/12+IF(AND(YEAR(P$5)&gt;2020,MONTH(P$5)=Macro!$D$52),Macro!$D103*AVERAGE(OFFSET(Q165,0,0,1,-12))*Macro!$E103,0),"NA")</f>
        <v>0</v>
      </c>
      <c r="Q264" s="39">
        <f>IFERROR(Macro!$D103*Team!Q165/12+IF(AND(YEAR(Q$5)&gt;2020,MONTH(Q$5)=Macro!$D$52),Macro!$D103*AVERAGE(OFFSET(R165,0,0,1,-12))*Macro!$E103,0),"NA")</f>
        <v>0</v>
      </c>
      <c r="R264" s="40">
        <f>IFERROR(Macro!$D103*Team!R165/12+IF(AND(YEAR(R$5)&gt;2020,MONTH(R$5)=Macro!$D$52),Macro!$D103*AVERAGE(OFFSET(S165,0,0,1,-12))*Macro!$E103,0),"NA")</f>
        <v>12500</v>
      </c>
      <c r="S264" s="38">
        <f>IFERROR(Macro!$D103*Team!S165/12+IF(AND(YEAR(S$5)&gt;2020,MONTH(S$5)=Macro!$D$52),Macro!$D103*AVERAGE(OFFSET(T165,0,0,1,-12))*Macro!$E103,0),"NA")</f>
        <v>12500</v>
      </c>
      <c r="T264" s="39">
        <f>IFERROR(Macro!$D103*Team!T165/12+IF(AND(YEAR(T$5)&gt;2020,MONTH(T$5)=Macro!$D$52),Macro!$D103*AVERAGE(OFFSET(U165,0,0,1,-12))*Macro!$E103,0),"NA")</f>
        <v>12500</v>
      </c>
      <c r="U264" s="40">
        <f>IFERROR(Macro!$D103*Team!U165/12+IF(AND(YEAR(U$5)&gt;2020,MONTH(U$5)=Macro!$D$52),Macro!$D103*AVERAGE(OFFSET(V165,0,0,1,-12))*Macro!$E103,0),"NA")</f>
        <v>12500</v>
      </c>
      <c r="V264" s="38" t="str">
        <f>IFERROR(Macro!$D103*Team!V165/12+IF(AND(YEAR(V$5)&gt;2020,MONTH(V$5)=Macro!$D$52),Macro!$D103*AVERAGE(OFFSET(W165,0,0,1,-12))*Macro!$E103,0),"NA")</f>
        <v>NA</v>
      </c>
      <c r="W264" s="39">
        <f>IFERROR(Macro!$D103*Team!W165/12+IF(AND(YEAR(W$5)&gt;2020,MONTH(W$5)=Macro!$D$52),Macro!$D103*AVERAGE(OFFSET(X165,0,0,1,-12))*Macro!$E103,0),"NA")</f>
        <v>12500</v>
      </c>
      <c r="X264" s="40">
        <f>IFERROR(Macro!$D103*Team!X165/12+IF(AND(YEAR(X$5)&gt;2020,MONTH(X$5)=Macro!$D$52),Macro!$D103*AVERAGE(OFFSET(Y165,0,0,1,-12))*Macro!$E103,0),"NA")</f>
        <v>12500</v>
      </c>
      <c r="Y264" s="38">
        <f>IFERROR(Macro!$D103*Team!Y165/12+IF(AND(YEAR(Y$5)&gt;2020,MONTH(Y$5)=Macro!$D$52),Macro!$D103*AVERAGE(OFFSET(Z165,0,0,1,-12))*Macro!$E103,0),"NA")</f>
        <v>12500</v>
      </c>
      <c r="Z264" s="39">
        <f>IFERROR(Macro!$D103*Team!Z165/12+IF(AND(YEAR(Z$5)&gt;2020,MONTH(Z$5)=Macro!$D$52),Macro!$D103*AVERAGE(OFFSET(AA165,0,0,1,-12))*Macro!$E103,0),"NA")</f>
        <v>12500</v>
      </c>
      <c r="AA264" s="40">
        <f>IFERROR(Macro!$D103*Team!AA165/12+IF(AND(YEAR(AA$5)&gt;2020,MONTH(AA$5)=Macro!$D$52),Macro!$D103*AVERAGE(OFFSET(AB165,0,0,1,-12))*Macro!$E103,0),"NA")</f>
        <v>12500</v>
      </c>
      <c r="AB264" s="38">
        <f>IFERROR(Macro!$D103*Team!AB165/12+IF(AND(YEAR(AB$5)&gt;2020,MONTH(AB$5)=Macro!$D$52),Macro!$D103*AVERAGE(OFFSET(AC165,0,0,1,-12))*Macro!$E103,0),"NA")</f>
        <v>12500</v>
      </c>
      <c r="AC264" s="39">
        <f>IFERROR(Macro!$D103*Team!AC165/12+IF(AND(YEAR(AC$5)&gt;2020,MONTH(AC$5)=Macro!$D$52),Macro!$D103*AVERAGE(OFFSET(AD165,0,0,1,-12))*Macro!$E103,0),"NA")</f>
        <v>12500</v>
      </c>
      <c r="AD264" s="40">
        <f>IFERROR(Macro!$D103*Team!AD165/12+IF(AND(YEAR(AD$5)&gt;2020,MONTH(AD$5)=Macro!$D$52),Macro!$D103*AVERAGE(OFFSET(AE165,0,0,1,-12))*Macro!$E103,0),"NA")</f>
        <v>12500</v>
      </c>
      <c r="AE264" s="38">
        <f>IFERROR(Macro!$D103*Team!AE165/12+IF(AND(YEAR(AE$5)&gt;2020,MONTH(AE$5)=Macro!$D$52),Macro!$D103*AVERAGE(OFFSET(AF165,0,0,1,-12))*Macro!$E103,0),"NA")</f>
        <v>12500</v>
      </c>
      <c r="AF264" s="39">
        <f>IFERROR(Macro!$D103*Team!AF165/12+IF(AND(YEAR(AF$5)&gt;2020,MONTH(AF$5)=Macro!$D$52),Macro!$D103*AVERAGE(OFFSET(AG165,0,0,1,-12))*Macro!$E103,0),"NA")</f>
        <v>12500</v>
      </c>
      <c r="AG264" s="40">
        <f>IFERROR(Macro!$D103*Team!AG165/12+IF(AND(YEAR(AG$5)&gt;2020,MONTH(AG$5)=Macro!$D$52),Macro!$D103*AVERAGE(OFFSET(AH165,0,0,1,-12))*Macro!$E103,0),"NA")</f>
        <v>12500</v>
      </c>
      <c r="AH264" s="38" t="str">
        <f>IFERROR(Macro!$D103*Team!AH165/12+IF(AND(YEAR(AH$5)&gt;2020,MONTH(AH$5)=Macro!$D$52),Macro!$D103*AVERAGE(OFFSET(AI165,0,0,1,-12))*Macro!$E103,0),"NA")</f>
        <v>NA</v>
      </c>
      <c r="AI264" s="39">
        <f>IFERROR(Macro!$D103*Team!AI165/12+IF(AND(YEAR(AI$5)&gt;2020,MONTH(AI$5)=Macro!$D$52),Macro!$D103*AVERAGE(OFFSET(AJ165,0,0,1,-12))*Macro!$E103,0),"NA")</f>
        <v>12500</v>
      </c>
      <c r="AJ264" s="40">
        <f>IFERROR(Macro!$D103*Team!AJ165/12+IF(AND(YEAR(AJ$5)&gt;2020,MONTH(AJ$5)=Macro!$D$52),Macro!$D103*AVERAGE(OFFSET(AK165,0,0,1,-12))*Macro!$E103,0),"NA")</f>
        <v>12500</v>
      </c>
      <c r="AK264" s="38">
        <f>IFERROR(Macro!$D103*Team!AK165/12+IF(AND(YEAR(AK$5)&gt;2020,MONTH(AK$5)=Macro!$D$52),Macro!$D103*AVERAGE(OFFSET(AL165,0,0,1,-12))*Macro!$E103,0),"NA")</f>
        <v>12500</v>
      </c>
      <c r="AL264" s="39">
        <f>IFERROR(Macro!$D103*Team!AL165/12+IF(AND(YEAR(AL$5)&gt;2020,MONTH(AL$5)=Macro!$D$52),Macro!$D103*AVERAGE(OFFSET(AM165,0,0,1,-12))*Macro!$E103,0),"NA")</f>
        <v>12500</v>
      </c>
      <c r="AM264" s="40">
        <f>IFERROR(Macro!$D103*Team!AM165/12+IF(AND(YEAR(AM$5)&gt;2020,MONTH(AM$5)=Macro!$D$52),Macro!$D103*AVERAGE(OFFSET(AN165,0,0,1,-12))*Macro!$E103,0),"NA")</f>
        <v>12500</v>
      </c>
      <c r="AN264" s="38">
        <f>IFERROR(Macro!$D103*Team!AN165/12+IF(AND(YEAR(AN$5)&gt;2020,MONTH(AN$5)=Macro!$D$52),Macro!$D103*AVERAGE(OFFSET(AO165,0,0,1,-12))*Macro!$E103,0),"NA")</f>
        <v>12500</v>
      </c>
      <c r="AO264" s="39">
        <f>IFERROR(Macro!$D103*Team!AO165/12+IF(AND(YEAR(AO$5)&gt;2020,MONTH(AO$5)=Macro!$D$52),Macro!$D103*AVERAGE(OFFSET(AP165,0,0,1,-12))*Macro!$E103,0),"NA")</f>
        <v>12500</v>
      </c>
      <c r="AP264" s="40">
        <f>IFERROR(Macro!$D103*Team!AP165/12+IF(AND(YEAR(AP$5)&gt;2020,MONTH(AP$5)=Macro!$D$52),Macro!$D103*AVERAGE(OFFSET(AQ165,0,0,1,-12))*Macro!$E103,0),"NA")</f>
        <v>12500</v>
      </c>
      <c r="AQ264" s="38">
        <f>IFERROR(Macro!$D103*Team!AQ165/12+IF(AND(YEAR(AQ$5)&gt;2020,MONTH(AQ$5)=Macro!$D$52),Macro!$D103*AVERAGE(OFFSET(AR165,0,0,1,-12))*Macro!$E103,0),"NA")</f>
        <v>12500</v>
      </c>
      <c r="AR264" s="39">
        <f>IFERROR(Macro!$D103*Team!AR165/12+IF(AND(YEAR(AR$5)&gt;2020,MONTH(AR$5)=Macro!$D$52),Macro!$D103*AVERAGE(OFFSET(AS165,0,0,1,-12))*Macro!$E103,0),"NA")</f>
        <v>12500</v>
      </c>
      <c r="AS264" s="40">
        <f>IFERROR(Macro!$D103*Team!AS165/12+IF(AND(YEAR(AS$5)&gt;2020,MONTH(AS$5)=Macro!$D$52),Macro!$D103*AVERAGE(OFFSET(AT165,0,0,1,-12))*Macro!$E103,0),"NA")</f>
        <v>12500</v>
      </c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</row>
    <row r="265" ht="12.0" customHeight="1">
      <c r="A265" s="282"/>
      <c r="B265" s="8"/>
      <c r="C265" s="37" t="str">
        <f t="shared" si="100"/>
        <v>[XX]</v>
      </c>
      <c r="D265" s="283">
        <f>IFERROR(Macro!$D104*Team!D166/12+IF(AND(YEAR(D$5)&gt;2020,MONTH(D$5)=Macro!$D$52),Macro!$D104*AVERAGE(OFFSET(E166,0,0,1,-12))*Macro!$E104,0),"NA")</f>
        <v>0</v>
      </c>
      <c r="E265" s="284">
        <f>IFERROR(Macro!$D104*Team!E166/12+IF(AND(YEAR(E$5)&gt;2020,MONTH(E$5)=Macro!$D$52),Macro!$D104*AVERAGE(OFFSET(F166,0,0,1,-12))*Macro!$E104,0),"NA")</f>
        <v>0</v>
      </c>
      <c r="F265" s="284">
        <f>IFERROR(Macro!$D104*Team!F166/12+IF(AND(YEAR(F$5)&gt;2020,MONTH(F$5)=Macro!$D$52),Macro!$D104*AVERAGE(OFFSET(G166,0,0,1,-12))*Macro!$E104,0),"NA")</f>
        <v>0</v>
      </c>
      <c r="G265" s="283">
        <f>IFERROR(Macro!$D104*Team!G166/12+IF(AND(YEAR(G$5)&gt;2020,MONTH(G$5)=Macro!$D$52),Macro!$D104*AVERAGE(OFFSET(H166,0,0,1,-12))*Macro!$E104,0),"NA")</f>
        <v>0</v>
      </c>
      <c r="H265" s="284">
        <f>IFERROR(Macro!$D104*Team!H166/12+IF(AND(YEAR(H$5)&gt;2020,MONTH(H$5)=Macro!$D$52),Macro!$D104*AVERAGE(OFFSET(I166,0,0,1,-12))*Macro!$E104,0),"NA")</f>
        <v>0</v>
      </c>
      <c r="I265" s="285">
        <f>IFERROR(Macro!$D104*Team!I166/12+IF(AND(YEAR(I$5)&gt;2020,MONTH(I$5)=Macro!$D$52),Macro!$D104*AVERAGE(OFFSET(J166,0,0,1,-12))*Macro!$E104,0),"NA")</f>
        <v>0</v>
      </c>
      <c r="J265" s="286">
        <f>IFERROR(Macro!$D104*Team!J166/12+IF(AND(YEAR(J$5)&gt;2020,MONTH(J$5)=Macro!$D$52),Macro!$D104*AVERAGE(OFFSET(K166,0,0,1,-12))*Macro!$E104,0),"NA")</f>
        <v>0</v>
      </c>
      <c r="K265" s="287">
        <f>IFERROR(Macro!$D104*Team!K166/12+IF(AND(YEAR(K$5)&gt;2020,MONTH(K$5)=Macro!$D$52),Macro!$D104*AVERAGE(OFFSET(L166,0,0,1,-12))*Macro!$E104,0),"NA")</f>
        <v>0</v>
      </c>
      <c r="L265" s="288">
        <f>IFERROR(Macro!$D104*Team!L166/12+IF(AND(YEAR(L$5)&gt;2020,MONTH(L$5)=Macro!$D$52),Macro!$D104*AVERAGE(OFFSET(M166,0,0,1,-12))*Macro!$E104,0),"NA")</f>
        <v>0</v>
      </c>
      <c r="M265" s="38">
        <f>IFERROR(Macro!$D104*Team!M166/12+IF(AND(YEAR(M$5)&gt;2020,MONTH(M$5)=Macro!$D$52),Macro!$D104*AVERAGE(OFFSET(N166,0,0,1,-12))*Macro!$E104,0),"NA")</f>
        <v>0</v>
      </c>
      <c r="N265" s="39">
        <f>IFERROR(Macro!$D104*Team!N166/12+IF(AND(YEAR(N$5)&gt;2020,MONTH(N$5)=Macro!$D$52),Macro!$D104*AVERAGE(OFFSET(O166,0,0,1,-12))*Macro!$E104,0),"NA")</f>
        <v>0</v>
      </c>
      <c r="O265" s="40">
        <f>IFERROR(Macro!$D104*Team!O166/12+IF(AND(YEAR(O$5)&gt;2020,MONTH(O$5)=Macro!$D$52),Macro!$D104*AVERAGE(OFFSET(P166,0,0,1,-12))*Macro!$E104,0),"NA")</f>
        <v>0</v>
      </c>
      <c r="P265" s="38">
        <f>IFERROR(Macro!$D104*Team!P166/12+IF(AND(YEAR(P$5)&gt;2020,MONTH(P$5)=Macro!$D$52),Macro!$D104*AVERAGE(OFFSET(Q166,0,0,1,-12))*Macro!$E104,0),"NA")</f>
        <v>0</v>
      </c>
      <c r="Q265" s="39">
        <f>IFERROR(Macro!$D104*Team!Q166/12+IF(AND(YEAR(Q$5)&gt;2020,MONTH(Q$5)=Macro!$D$52),Macro!$D104*AVERAGE(OFFSET(R166,0,0,1,-12))*Macro!$E104,0),"NA")</f>
        <v>0</v>
      </c>
      <c r="R265" s="40">
        <f>IFERROR(Macro!$D104*Team!R166/12+IF(AND(YEAR(R$5)&gt;2020,MONTH(R$5)=Macro!$D$52),Macro!$D104*AVERAGE(OFFSET(S166,0,0,1,-12))*Macro!$E104,0),"NA")</f>
        <v>0</v>
      </c>
      <c r="S265" s="38">
        <f>IFERROR(Macro!$D104*Team!S166/12+IF(AND(YEAR(S$5)&gt;2020,MONTH(S$5)=Macro!$D$52),Macro!$D104*AVERAGE(OFFSET(T166,0,0,1,-12))*Macro!$E104,0),"NA")</f>
        <v>0</v>
      </c>
      <c r="T265" s="39">
        <f>IFERROR(Macro!$D104*Team!T166/12+IF(AND(YEAR(T$5)&gt;2020,MONTH(T$5)=Macro!$D$52),Macro!$D104*AVERAGE(OFFSET(U166,0,0,1,-12))*Macro!$E104,0),"NA")</f>
        <v>0</v>
      </c>
      <c r="U265" s="40">
        <f>IFERROR(Macro!$D104*Team!U166/12+IF(AND(YEAR(U$5)&gt;2020,MONTH(U$5)=Macro!$D$52),Macro!$D104*AVERAGE(OFFSET(V166,0,0,1,-12))*Macro!$E104,0),"NA")</f>
        <v>0</v>
      </c>
      <c r="V265" s="38" t="str">
        <f>IFERROR(Macro!$D104*Team!V166/12+IF(AND(YEAR(V$5)&gt;2020,MONTH(V$5)=Macro!$D$52),Macro!$D104*AVERAGE(OFFSET(W166,0,0,1,-12))*Macro!$E104,0),"NA")</f>
        <v>NA</v>
      </c>
      <c r="W265" s="39">
        <f>IFERROR(Macro!$D104*Team!W166/12+IF(AND(YEAR(W$5)&gt;2020,MONTH(W$5)=Macro!$D$52),Macro!$D104*AVERAGE(OFFSET(X166,0,0,1,-12))*Macro!$E104,0),"NA")</f>
        <v>0</v>
      </c>
      <c r="X265" s="40">
        <f>IFERROR(Macro!$D104*Team!X166/12+IF(AND(YEAR(X$5)&gt;2020,MONTH(X$5)=Macro!$D$52),Macro!$D104*AVERAGE(OFFSET(Y166,0,0,1,-12))*Macro!$E104,0),"NA")</f>
        <v>0</v>
      </c>
      <c r="Y265" s="38">
        <f>IFERROR(Macro!$D104*Team!Y166/12+IF(AND(YEAR(Y$5)&gt;2020,MONTH(Y$5)=Macro!$D$52),Macro!$D104*AVERAGE(OFFSET(Z166,0,0,1,-12))*Macro!$E104,0),"NA")</f>
        <v>0</v>
      </c>
      <c r="Z265" s="39">
        <f>IFERROR(Macro!$D104*Team!Z166/12+IF(AND(YEAR(Z$5)&gt;2020,MONTH(Z$5)=Macro!$D$52),Macro!$D104*AVERAGE(OFFSET(AA166,0,0,1,-12))*Macro!$E104,0),"NA")</f>
        <v>0</v>
      </c>
      <c r="AA265" s="40">
        <f>IFERROR(Macro!$D104*Team!AA166/12+IF(AND(YEAR(AA$5)&gt;2020,MONTH(AA$5)=Macro!$D$52),Macro!$D104*AVERAGE(OFFSET(AB166,0,0,1,-12))*Macro!$E104,0),"NA")</f>
        <v>0</v>
      </c>
      <c r="AB265" s="38">
        <f>IFERROR(Macro!$D104*Team!AB166/12+IF(AND(YEAR(AB$5)&gt;2020,MONTH(AB$5)=Macro!$D$52),Macro!$D104*AVERAGE(OFFSET(AC166,0,0,1,-12))*Macro!$E104,0),"NA")</f>
        <v>0</v>
      </c>
      <c r="AC265" s="39">
        <f>IFERROR(Macro!$D104*Team!AC166/12+IF(AND(YEAR(AC$5)&gt;2020,MONTH(AC$5)=Macro!$D$52),Macro!$D104*AVERAGE(OFFSET(AD166,0,0,1,-12))*Macro!$E104,0),"NA")</f>
        <v>0</v>
      </c>
      <c r="AD265" s="40">
        <f>IFERROR(Macro!$D104*Team!AD166/12+IF(AND(YEAR(AD$5)&gt;2020,MONTH(AD$5)=Macro!$D$52),Macro!$D104*AVERAGE(OFFSET(AE166,0,0,1,-12))*Macro!$E104,0),"NA")</f>
        <v>0</v>
      </c>
      <c r="AE265" s="38">
        <f>IFERROR(Macro!$D104*Team!AE166/12+IF(AND(YEAR(AE$5)&gt;2020,MONTH(AE$5)=Macro!$D$52),Macro!$D104*AVERAGE(OFFSET(AF166,0,0,1,-12))*Macro!$E104,0),"NA")</f>
        <v>0</v>
      </c>
      <c r="AF265" s="39">
        <f>IFERROR(Macro!$D104*Team!AF166/12+IF(AND(YEAR(AF$5)&gt;2020,MONTH(AF$5)=Macro!$D$52),Macro!$D104*AVERAGE(OFFSET(AG166,0,0,1,-12))*Macro!$E104,0),"NA")</f>
        <v>0</v>
      </c>
      <c r="AG265" s="40">
        <f>IFERROR(Macro!$D104*Team!AG166/12+IF(AND(YEAR(AG$5)&gt;2020,MONTH(AG$5)=Macro!$D$52),Macro!$D104*AVERAGE(OFFSET(AH166,0,0,1,-12))*Macro!$E104,0),"NA")</f>
        <v>0</v>
      </c>
      <c r="AH265" s="38" t="str">
        <f>IFERROR(Macro!$D104*Team!AH166/12+IF(AND(YEAR(AH$5)&gt;2020,MONTH(AH$5)=Macro!$D$52),Macro!$D104*AVERAGE(OFFSET(AI166,0,0,1,-12))*Macro!$E104,0),"NA")</f>
        <v>NA</v>
      </c>
      <c r="AI265" s="39">
        <f>IFERROR(Macro!$D104*Team!AI166/12+IF(AND(YEAR(AI$5)&gt;2020,MONTH(AI$5)=Macro!$D$52),Macro!$D104*AVERAGE(OFFSET(AJ166,0,0,1,-12))*Macro!$E104,0),"NA")</f>
        <v>0</v>
      </c>
      <c r="AJ265" s="40">
        <f>IFERROR(Macro!$D104*Team!AJ166/12+IF(AND(YEAR(AJ$5)&gt;2020,MONTH(AJ$5)=Macro!$D$52),Macro!$D104*AVERAGE(OFFSET(AK166,0,0,1,-12))*Macro!$E104,0),"NA")</f>
        <v>0</v>
      </c>
      <c r="AK265" s="38">
        <f>IFERROR(Macro!$D104*Team!AK166/12+IF(AND(YEAR(AK$5)&gt;2020,MONTH(AK$5)=Macro!$D$52),Macro!$D104*AVERAGE(OFFSET(AL166,0,0,1,-12))*Macro!$E104,0),"NA")</f>
        <v>0</v>
      </c>
      <c r="AL265" s="39">
        <f>IFERROR(Macro!$D104*Team!AL166/12+IF(AND(YEAR(AL$5)&gt;2020,MONTH(AL$5)=Macro!$D$52),Macro!$D104*AVERAGE(OFFSET(AM166,0,0,1,-12))*Macro!$E104,0),"NA")</f>
        <v>0</v>
      </c>
      <c r="AM265" s="40">
        <f>IFERROR(Macro!$D104*Team!AM166/12+IF(AND(YEAR(AM$5)&gt;2020,MONTH(AM$5)=Macro!$D$52),Macro!$D104*AVERAGE(OFFSET(AN166,0,0,1,-12))*Macro!$E104,0),"NA")</f>
        <v>0</v>
      </c>
      <c r="AN265" s="38">
        <f>IFERROR(Macro!$D104*Team!AN166/12+IF(AND(YEAR(AN$5)&gt;2020,MONTH(AN$5)=Macro!$D$52),Macro!$D104*AVERAGE(OFFSET(AO166,0,0,1,-12))*Macro!$E104,0),"NA")</f>
        <v>0</v>
      </c>
      <c r="AO265" s="39">
        <f>IFERROR(Macro!$D104*Team!AO166/12+IF(AND(YEAR(AO$5)&gt;2020,MONTH(AO$5)=Macro!$D$52),Macro!$D104*AVERAGE(OFFSET(AP166,0,0,1,-12))*Macro!$E104,0),"NA")</f>
        <v>0</v>
      </c>
      <c r="AP265" s="40">
        <f>IFERROR(Macro!$D104*Team!AP166/12+IF(AND(YEAR(AP$5)&gt;2020,MONTH(AP$5)=Macro!$D$52),Macro!$D104*AVERAGE(OFFSET(AQ166,0,0,1,-12))*Macro!$E104,0),"NA")</f>
        <v>0</v>
      </c>
      <c r="AQ265" s="38">
        <f>IFERROR(Macro!$D104*Team!AQ166/12+IF(AND(YEAR(AQ$5)&gt;2020,MONTH(AQ$5)=Macro!$D$52),Macro!$D104*AVERAGE(OFFSET(AR166,0,0,1,-12))*Macro!$E104,0),"NA")</f>
        <v>0</v>
      </c>
      <c r="AR265" s="39">
        <f>IFERROR(Macro!$D104*Team!AR166/12+IF(AND(YEAR(AR$5)&gt;2020,MONTH(AR$5)=Macro!$D$52),Macro!$D104*AVERAGE(OFFSET(AS166,0,0,1,-12))*Macro!$E104,0),"NA")</f>
        <v>0</v>
      </c>
      <c r="AS265" s="40">
        <f>IFERROR(Macro!$D104*Team!AS166/12+IF(AND(YEAR(AS$5)&gt;2020,MONTH(AS$5)=Macro!$D$52),Macro!$D104*AVERAGE(OFFSET(AT166,0,0,1,-12))*Macro!$E104,0),"NA")</f>
        <v>0</v>
      </c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</row>
    <row r="266" ht="12.0" customHeight="1">
      <c r="A266" s="282"/>
      <c r="B266" s="8"/>
      <c r="C266" s="37" t="str">
        <f t="shared" si="100"/>
        <v>[XX]</v>
      </c>
      <c r="D266" s="283">
        <f>IFERROR(Macro!$D105*Team!D167/12+IF(AND(YEAR(D$5)&gt;2020,MONTH(D$5)=Macro!$D$52),Macro!$D105*AVERAGE(OFFSET(E167,0,0,1,-12))*Macro!$E105,0),"NA")</f>
        <v>0</v>
      </c>
      <c r="E266" s="284">
        <f>IFERROR(Macro!$D105*Team!E167/12+IF(AND(YEAR(E$5)&gt;2020,MONTH(E$5)=Macro!$D$52),Macro!$D105*AVERAGE(OFFSET(F167,0,0,1,-12))*Macro!$E105,0),"NA")</f>
        <v>0</v>
      </c>
      <c r="F266" s="284">
        <f>IFERROR(Macro!$D105*Team!F167/12+IF(AND(YEAR(F$5)&gt;2020,MONTH(F$5)=Macro!$D$52),Macro!$D105*AVERAGE(OFFSET(G167,0,0,1,-12))*Macro!$E105,0),"NA")</f>
        <v>0</v>
      </c>
      <c r="G266" s="283">
        <f>IFERROR(Macro!$D105*Team!G167/12+IF(AND(YEAR(G$5)&gt;2020,MONTH(G$5)=Macro!$D$52),Macro!$D105*AVERAGE(OFFSET(H167,0,0,1,-12))*Macro!$E105,0),"NA")</f>
        <v>0</v>
      </c>
      <c r="H266" s="284">
        <f>IFERROR(Macro!$D105*Team!H167/12+IF(AND(YEAR(H$5)&gt;2020,MONTH(H$5)=Macro!$D$52),Macro!$D105*AVERAGE(OFFSET(I167,0,0,1,-12))*Macro!$E105,0),"NA")</f>
        <v>0</v>
      </c>
      <c r="I266" s="285">
        <f>IFERROR(Macro!$D105*Team!I167/12+IF(AND(YEAR(I$5)&gt;2020,MONTH(I$5)=Macro!$D$52),Macro!$D105*AVERAGE(OFFSET(J167,0,0,1,-12))*Macro!$E105,0),"NA")</f>
        <v>0</v>
      </c>
      <c r="J266" s="286">
        <f>IFERROR(Macro!$D105*Team!J167/12+IF(AND(YEAR(J$5)&gt;2020,MONTH(J$5)=Macro!$D$52),Macro!$D105*AVERAGE(OFFSET(K167,0,0,1,-12))*Macro!$E105,0),"NA")</f>
        <v>0</v>
      </c>
      <c r="K266" s="287">
        <f>IFERROR(Macro!$D105*Team!K167/12+IF(AND(YEAR(K$5)&gt;2020,MONTH(K$5)=Macro!$D$52),Macro!$D105*AVERAGE(OFFSET(L167,0,0,1,-12))*Macro!$E105,0),"NA")</f>
        <v>0</v>
      </c>
      <c r="L266" s="288">
        <f>IFERROR(Macro!$D105*Team!L167/12+IF(AND(YEAR(L$5)&gt;2020,MONTH(L$5)=Macro!$D$52),Macro!$D105*AVERAGE(OFFSET(M167,0,0,1,-12))*Macro!$E105,0),"NA")</f>
        <v>0</v>
      </c>
      <c r="M266" s="38">
        <f>IFERROR(Macro!$D105*Team!M167/12+IF(AND(YEAR(M$5)&gt;2020,MONTH(M$5)=Macro!$D$52),Macro!$D105*AVERAGE(OFFSET(N167,0,0,1,-12))*Macro!$E105,0),"NA")</f>
        <v>0</v>
      </c>
      <c r="N266" s="39">
        <f>IFERROR(Macro!$D105*Team!N167/12+IF(AND(YEAR(N$5)&gt;2020,MONTH(N$5)=Macro!$D$52),Macro!$D105*AVERAGE(OFFSET(O167,0,0,1,-12))*Macro!$E105,0),"NA")</f>
        <v>0</v>
      </c>
      <c r="O266" s="40">
        <f>IFERROR(Macro!$D105*Team!O167/12+IF(AND(YEAR(O$5)&gt;2020,MONTH(O$5)=Macro!$D$52),Macro!$D105*AVERAGE(OFFSET(P167,0,0,1,-12))*Macro!$E105,0),"NA")</f>
        <v>0</v>
      </c>
      <c r="P266" s="38">
        <f>IFERROR(Macro!$D105*Team!P167/12+IF(AND(YEAR(P$5)&gt;2020,MONTH(P$5)=Macro!$D$52),Macro!$D105*AVERAGE(OFFSET(Q167,0,0,1,-12))*Macro!$E105,0),"NA")</f>
        <v>0</v>
      </c>
      <c r="Q266" s="39">
        <f>IFERROR(Macro!$D105*Team!Q167/12+IF(AND(YEAR(Q$5)&gt;2020,MONTH(Q$5)=Macro!$D$52),Macro!$D105*AVERAGE(OFFSET(R167,0,0,1,-12))*Macro!$E105,0),"NA")</f>
        <v>0</v>
      </c>
      <c r="R266" s="40">
        <f>IFERROR(Macro!$D105*Team!R167/12+IF(AND(YEAR(R$5)&gt;2020,MONTH(R$5)=Macro!$D$52),Macro!$D105*AVERAGE(OFFSET(S167,0,0,1,-12))*Macro!$E105,0),"NA")</f>
        <v>0</v>
      </c>
      <c r="S266" s="38">
        <f>IFERROR(Macro!$D105*Team!S167/12+IF(AND(YEAR(S$5)&gt;2020,MONTH(S$5)=Macro!$D$52),Macro!$D105*AVERAGE(OFFSET(T167,0,0,1,-12))*Macro!$E105,0),"NA")</f>
        <v>0</v>
      </c>
      <c r="T266" s="39">
        <f>IFERROR(Macro!$D105*Team!T167/12+IF(AND(YEAR(T$5)&gt;2020,MONTH(T$5)=Macro!$D$52),Macro!$D105*AVERAGE(OFFSET(U167,0,0,1,-12))*Macro!$E105,0),"NA")</f>
        <v>0</v>
      </c>
      <c r="U266" s="40">
        <f>IFERROR(Macro!$D105*Team!U167/12+IF(AND(YEAR(U$5)&gt;2020,MONTH(U$5)=Macro!$D$52),Macro!$D105*AVERAGE(OFFSET(V167,0,0,1,-12))*Macro!$E105,0),"NA")</f>
        <v>0</v>
      </c>
      <c r="V266" s="38" t="str">
        <f>IFERROR(Macro!$D105*Team!V167/12+IF(AND(YEAR(V$5)&gt;2020,MONTH(V$5)=Macro!$D$52),Macro!$D105*AVERAGE(OFFSET(W167,0,0,1,-12))*Macro!$E105,0),"NA")</f>
        <v>NA</v>
      </c>
      <c r="W266" s="39">
        <f>IFERROR(Macro!$D105*Team!W167/12+IF(AND(YEAR(W$5)&gt;2020,MONTH(W$5)=Macro!$D$52),Macro!$D105*AVERAGE(OFFSET(X167,0,0,1,-12))*Macro!$E105,0),"NA")</f>
        <v>0</v>
      </c>
      <c r="X266" s="40">
        <f>IFERROR(Macro!$D105*Team!X167/12+IF(AND(YEAR(X$5)&gt;2020,MONTH(X$5)=Macro!$D$52),Macro!$D105*AVERAGE(OFFSET(Y167,0,0,1,-12))*Macro!$E105,0),"NA")</f>
        <v>0</v>
      </c>
      <c r="Y266" s="38">
        <f>IFERROR(Macro!$D105*Team!Y167/12+IF(AND(YEAR(Y$5)&gt;2020,MONTH(Y$5)=Macro!$D$52),Macro!$D105*AVERAGE(OFFSET(Z167,0,0,1,-12))*Macro!$E105,0),"NA")</f>
        <v>0</v>
      </c>
      <c r="Z266" s="39">
        <f>IFERROR(Macro!$D105*Team!Z167/12+IF(AND(YEAR(Z$5)&gt;2020,MONTH(Z$5)=Macro!$D$52),Macro!$D105*AVERAGE(OFFSET(AA167,0,0,1,-12))*Macro!$E105,0),"NA")</f>
        <v>0</v>
      </c>
      <c r="AA266" s="40">
        <f>IFERROR(Macro!$D105*Team!AA167/12+IF(AND(YEAR(AA$5)&gt;2020,MONTH(AA$5)=Macro!$D$52),Macro!$D105*AVERAGE(OFFSET(AB167,0,0,1,-12))*Macro!$E105,0),"NA")</f>
        <v>0</v>
      </c>
      <c r="AB266" s="38">
        <f>IFERROR(Macro!$D105*Team!AB167/12+IF(AND(YEAR(AB$5)&gt;2020,MONTH(AB$5)=Macro!$D$52),Macro!$D105*AVERAGE(OFFSET(AC167,0,0,1,-12))*Macro!$E105,0),"NA")</f>
        <v>0</v>
      </c>
      <c r="AC266" s="39">
        <f>IFERROR(Macro!$D105*Team!AC167/12+IF(AND(YEAR(AC$5)&gt;2020,MONTH(AC$5)=Macro!$D$52),Macro!$D105*AVERAGE(OFFSET(AD167,0,0,1,-12))*Macro!$E105,0),"NA")</f>
        <v>0</v>
      </c>
      <c r="AD266" s="40">
        <f>IFERROR(Macro!$D105*Team!AD167/12+IF(AND(YEAR(AD$5)&gt;2020,MONTH(AD$5)=Macro!$D$52),Macro!$D105*AVERAGE(OFFSET(AE167,0,0,1,-12))*Macro!$E105,0),"NA")</f>
        <v>0</v>
      </c>
      <c r="AE266" s="38">
        <f>IFERROR(Macro!$D105*Team!AE167/12+IF(AND(YEAR(AE$5)&gt;2020,MONTH(AE$5)=Macro!$D$52),Macro!$D105*AVERAGE(OFFSET(AF167,0,0,1,-12))*Macro!$E105,0),"NA")</f>
        <v>0</v>
      </c>
      <c r="AF266" s="39">
        <f>IFERROR(Macro!$D105*Team!AF167/12+IF(AND(YEAR(AF$5)&gt;2020,MONTH(AF$5)=Macro!$D$52),Macro!$D105*AVERAGE(OFFSET(AG167,0,0,1,-12))*Macro!$E105,0),"NA")</f>
        <v>0</v>
      </c>
      <c r="AG266" s="40">
        <f>IFERROR(Macro!$D105*Team!AG167/12+IF(AND(YEAR(AG$5)&gt;2020,MONTH(AG$5)=Macro!$D$52),Macro!$D105*AVERAGE(OFFSET(AH167,0,0,1,-12))*Macro!$E105,0),"NA")</f>
        <v>0</v>
      </c>
      <c r="AH266" s="38" t="str">
        <f>IFERROR(Macro!$D105*Team!AH167/12+IF(AND(YEAR(AH$5)&gt;2020,MONTH(AH$5)=Macro!$D$52),Macro!$D105*AVERAGE(OFFSET(AI167,0,0,1,-12))*Macro!$E105,0),"NA")</f>
        <v>NA</v>
      </c>
      <c r="AI266" s="39">
        <f>IFERROR(Macro!$D105*Team!AI167/12+IF(AND(YEAR(AI$5)&gt;2020,MONTH(AI$5)=Macro!$D$52),Macro!$D105*AVERAGE(OFFSET(AJ167,0,0,1,-12))*Macro!$E105,0),"NA")</f>
        <v>0</v>
      </c>
      <c r="AJ266" s="40">
        <f>IFERROR(Macro!$D105*Team!AJ167/12+IF(AND(YEAR(AJ$5)&gt;2020,MONTH(AJ$5)=Macro!$D$52),Macro!$D105*AVERAGE(OFFSET(AK167,0,0,1,-12))*Macro!$E105,0),"NA")</f>
        <v>0</v>
      </c>
      <c r="AK266" s="38">
        <f>IFERROR(Macro!$D105*Team!AK167/12+IF(AND(YEAR(AK$5)&gt;2020,MONTH(AK$5)=Macro!$D$52),Macro!$D105*AVERAGE(OFFSET(AL167,0,0,1,-12))*Macro!$E105,0),"NA")</f>
        <v>0</v>
      </c>
      <c r="AL266" s="39">
        <f>IFERROR(Macro!$D105*Team!AL167/12+IF(AND(YEAR(AL$5)&gt;2020,MONTH(AL$5)=Macro!$D$52),Macro!$D105*AVERAGE(OFFSET(AM167,0,0,1,-12))*Macro!$E105,0),"NA")</f>
        <v>0</v>
      </c>
      <c r="AM266" s="40">
        <f>IFERROR(Macro!$D105*Team!AM167/12+IF(AND(YEAR(AM$5)&gt;2020,MONTH(AM$5)=Macro!$D$52),Macro!$D105*AVERAGE(OFFSET(AN167,0,0,1,-12))*Macro!$E105,0),"NA")</f>
        <v>0</v>
      </c>
      <c r="AN266" s="38">
        <f>IFERROR(Macro!$D105*Team!AN167/12+IF(AND(YEAR(AN$5)&gt;2020,MONTH(AN$5)=Macro!$D$52),Macro!$D105*AVERAGE(OFFSET(AO167,0,0,1,-12))*Macro!$E105,0),"NA")</f>
        <v>0</v>
      </c>
      <c r="AO266" s="39">
        <f>IFERROR(Macro!$D105*Team!AO167/12+IF(AND(YEAR(AO$5)&gt;2020,MONTH(AO$5)=Macro!$D$52),Macro!$D105*AVERAGE(OFFSET(AP167,0,0,1,-12))*Macro!$E105,0),"NA")</f>
        <v>0</v>
      </c>
      <c r="AP266" s="40">
        <f>IFERROR(Macro!$D105*Team!AP167/12+IF(AND(YEAR(AP$5)&gt;2020,MONTH(AP$5)=Macro!$D$52),Macro!$D105*AVERAGE(OFFSET(AQ167,0,0,1,-12))*Macro!$E105,0),"NA")</f>
        <v>0</v>
      </c>
      <c r="AQ266" s="38">
        <f>IFERROR(Macro!$D105*Team!AQ167/12+IF(AND(YEAR(AQ$5)&gt;2020,MONTH(AQ$5)=Macro!$D$52),Macro!$D105*AVERAGE(OFFSET(AR167,0,0,1,-12))*Macro!$E105,0),"NA")</f>
        <v>0</v>
      </c>
      <c r="AR266" s="39">
        <f>IFERROR(Macro!$D105*Team!AR167/12+IF(AND(YEAR(AR$5)&gt;2020,MONTH(AR$5)=Macro!$D$52),Macro!$D105*AVERAGE(OFFSET(AS167,0,0,1,-12))*Macro!$E105,0),"NA")</f>
        <v>0</v>
      </c>
      <c r="AS266" s="40">
        <f>IFERROR(Macro!$D105*Team!AS167/12+IF(AND(YEAR(AS$5)&gt;2020,MONTH(AS$5)=Macro!$D$52),Macro!$D105*AVERAGE(OFFSET(AT167,0,0,1,-12))*Macro!$E105,0),"NA")</f>
        <v>0</v>
      </c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</row>
    <row r="267" ht="12.0" customHeight="1">
      <c r="A267" s="282"/>
      <c r="B267" s="8"/>
      <c r="C267" s="37" t="str">
        <f t="shared" si="100"/>
        <v>[XX]</v>
      </c>
      <c r="D267" s="283">
        <f>IFERROR(Macro!$D106*Team!D168/12+IF(AND(YEAR(D$5)&gt;2020,MONTH(D$5)=Macro!$D$52),Macro!$D106*AVERAGE(OFFSET(E168,0,0,1,-12))*Macro!$E106,0),"NA")</f>
        <v>0</v>
      </c>
      <c r="E267" s="284">
        <f>IFERROR(Macro!$D106*Team!E168/12+IF(AND(YEAR(E$5)&gt;2020,MONTH(E$5)=Macro!$D$52),Macro!$D106*AVERAGE(OFFSET(F168,0,0,1,-12))*Macro!$E106,0),"NA")</f>
        <v>0</v>
      </c>
      <c r="F267" s="284">
        <f>IFERROR(Macro!$D106*Team!F168/12+IF(AND(YEAR(F$5)&gt;2020,MONTH(F$5)=Macro!$D$52),Macro!$D106*AVERAGE(OFFSET(G168,0,0,1,-12))*Macro!$E106,0),"NA")</f>
        <v>0</v>
      </c>
      <c r="G267" s="283">
        <f>IFERROR(Macro!$D106*Team!G168/12+IF(AND(YEAR(G$5)&gt;2020,MONTH(G$5)=Macro!$D$52),Macro!$D106*AVERAGE(OFFSET(H168,0,0,1,-12))*Macro!$E106,0),"NA")</f>
        <v>0</v>
      </c>
      <c r="H267" s="284">
        <f>IFERROR(Macro!$D106*Team!H168/12+IF(AND(YEAR(H$5)&gt;2020,MONTH(H$5)=Macro!$D$52),Macro!$D106*AVERAGE(OFFSET(I168,0,0,1,-12))*Macro!$E106,0),"NA")</f>
        <v>0</v>
      </c>
      <c r="I267" s="285">
        <f>IFERROR(Macro!$D106*Team!I168/12+IF(AND(YEAR(I$5)&gt;2020,MONTH(I$5)=Macro!$D$52),Macro!$D106*AVERAGE(OFFSET(J168,0,0,1,-12))*Macro!$E106,0),"NA")</f>
        <v>0</v>
      </c>
      <c r="J267" s="286">
        <f>IFERROR(Macro!$D106*Team!J168/12+IF(AND(YEAR(J$5)&gt;2020,MONTH(J$5)=Macro!$D$52),Macro!$D106*AVERAGE(OFFSET(K168,0,0,1,-12))*Macro!$E106,0),"NA")</f>
        <v>0</v>
      </c>
      <c r="K267" s="287">
        <f>IFERROR(Macro!$D106*Team!K168/12+IF(AND(YEAR(K$5)&gt;2020,MONTH(K$5)=Macro!$D$52),Macro!$D106*AVERAGE(OFFSET(L168,0,0,1,-12))*Macro!$E106,0),"NA")</f>
        <v>0</v>
      </c>
      <c r="L267" s="288">
        <f>IFERROR(Macro!$D106*Team!L168/12+IF(AND(YEAR(L$5)&gt;2020,MONTH(L$5)=Macro!$D$52),Macro!$D106*AVERAGE(OFFSET(M168,0,0,1,-12))*Macro!$E106,0),"NA")</f>
        <v>0</v>
      </c>
      <c r="M267" s="38">
        <f>IFERROR(Macro!$D106*Team!M168/12+IF(AND(YEAR(M$5)&gt;2020,MONTH(M$5)=Macro!$D$52),Macro!$D106*AVERAGE(OFFSET(N168,0,0,1,-12))*Macro!$E106,0),"NA")</f>
        <v>0</v>
      </c>
      <c r="N267" s="39">
        <f>IFERROR(Macro!$D106*Team!N168/12+IF(AND(YEAR(N$5)&gt;2020,MONTH(N$5)=Macro!$D$52),Macro!$D106*AVERAGE(OFFSET(O168,0,0,1,-12))*Macro!$E106,0),"NA")</f>
        <v>0</v>
      </c>
      <c r="O267" s="40">
        <f>IFERROR(Macro!$D106*Team!O168/12+IF(AND(YEAR(O$5)&gt;2020,MONTH(O$5)=Macro!$D$52),Macro!$D106*AVERAGE(OFFSET(P168,0,0,1,-12))*Macro!$E106,0),"NA")</f>
        <v>0</v>
      </c>
      <c r="P267" s="38">
        <f>IFERROR(Macro!$D106*Team!P168/12+IF(AND(YEAR(P$5)&gt;2020,MONTH(P$5)=Macro!$D$52),Macro!$D106*AVERAGE(OFFSET(Q168,0,0,1,-12))*Macro!$E106,0),"NA")</f>
        <v>0</v>
      </c>
      <c r="Q267" s="39">
        <f>IFERROR(Macro!$D106*Team!Q168/12+IF(AND(YEAR(Q$5)&gt;2020,MONTH(Q$5)=Macro!$D$52),Macro!$D106*AVERAGE(OFFSET(R168,0,0,1,-12))*Macro!$E106,0),"NA")</f>
        <v>0</v>
      </c>
      <c r="R267" s="40">
        <f>IFERROR(Macro!$D106*Team!R168/12+IF(AND(YEAR(R$5)&gt;2020,MONTH(R$5)=Macro!$D$52),Macro!$D106*AVERAGE(OFFSET(S168,0,0,1,-12))*Macro!$E106,0),"NA")</f>
        <v>0</v>
      </c>
      <c r="S267" s="38">
        <f>IFERROR(Macro!$D106*Team!S168/12+IF(AND(YEAR(S$5)&gt;2020,MONTH(S$5)=Macro!$D$52),Macro!$D106*AVERAGE(OFFSET(T168,0,0,1,-12))*Macro!$E106,0),"NA")</f>
        <v>0</v>
      </c>
      <c r="T267" s="39">
        <f>IFERROR(Macro!$D106*Team!T168/12+IF(AND(YEAR(T$5)&gt;2020,MONTH(T$5)=Macro!$D$52),Macro!$D106*AVERAGE(OFFSET(U168,0,0,1,-12))*Macro!$E106,0),"NA")</f>
        <v>0</v>
      </c>
      <c r="U267" s="40">
        <f>IFERROR(Macro!$D106*Team!U168/12+IF(AND(YEAR(U$5)&gt;2020,MONTH(U$5)=Macro!$D$52),Macro!$D106*AVERAGE(OFFSET(V168,0,0,1,-12))*Macro!$E106,0),"NA")</f>
        <v>0</v>
      </c>
      <c r="V267" s="38" t="str">
        <f>IFERROR(Macro!$D106*Team!V168/12+IF(AND(YEAR(V$5)&gt;2020,MONTH(V$5)=Macro!$D$52),Macro!$D106*AVERAGE(OFFSET(W168,0,0,1,-12))*Macro!$E106,0),"NA")</f>
        <v>NA</v>
      </c>
      <c r="W267" s="39">
        <f>IFERROR(Macro!$D106*Team!W168/12+IF(AND(YEAR(W$5)&gt;2020,MONTH(W$5)=Macro!$D$52),Macro!$D106*AVERAGE(OFFSET(X168,0,0,1,-12))*Macro!$E106,0),"NA")</f>
        <v>0</v>
      </c>
      <c r="X267" s="40">
        <f>IFERROR(Macro!$D106*Team!X168/12+IF(AND(YEAR(X$5)&gt;2020,MONTH(X$5)=Macro!$D$52),Macro!$D106*AVERAGE(OFFSET(Y168,0,0,1,-12))*Macro!$E106,0),"NA")</f>
        <v>0</v>
      </c>
      <c r="Y267" s="38">
        <f>IFERROR(Macro!$D106*Team!Y168/12+IF(AND(YEAR(Y$5)&gt;2020,MONTH(Y$5)=Macro!$D$52),Macro!$D106*AVERAGE(OFFSET(Z168,0,0,1,-12))*Macro!$E106,0),"NA")</f>
        <v>0</v>
      </c>
      <c r="Z267" s="39">
        <f>IFERROR(Macro!$D106*Team!Z168/12+IF(AND(YEAR(Z$5)&gt;2020,MONTH(Z$5)=Macro!$D$52),Macro!$D106*AVERAGE(OFFSET(AA168,0,0,1,-12))*Macro!$E106,0),"NA")</f>
        <v>0</v>
      </c>
      <c r="AA267" s="40">
        <f>IFERROR(Macro!$D106*Team!AA168/12+IF(AND(YEAR(AA$5)&gt;2020,MONTH(AA$5)=Macro!$D$52),Macro!$D106*AVERAGE(OFFSET(AB168,0,0,1,-12))*Macro!$E106,0),"NA")</f>
        <v>0</v>
      </c>
      <c r="AB267" s="38">
        <f>IFERROR(Macro!$D106*Team!AB168/12+IF(AND(YEAR(AB$5)&gt;2020,MONTH(AB$5)=Macro!$D$52),Macro!$D106*AVERAGE(OFFSET(AC168,0,0,1,-12))*Macro!$E106,0),"NA")</f>
        <v>0</v>
      </c>
      <c r="AC267" s="39">
        <f>IFERROR(Macro!$D106*Team!AC168/12+IF(AND(YEAR(AC$5)&gt;2020,MONTH(AC$5)=Macro!$D$52),Macro!$D106*AVERAGE(OFFSET(AD168,0,0,1,-12))*Macro!$E106,0),"NA")</f>
        <v>0</v>
      </c>
      <c r="AD267" s="40">
        <f>IFERROR(Macro!$D106*Team!AD168/12+IF(AND(YEAR(AD$5)&gt;2020,MONTH(AD$5)=Macro!$D$52),Macro!$D106*AVERAGE(OFFSET(AE168,0,0,1,-12))*Macro!$E106,0),"NA")</f>
        <v>0</v>
      </c>
      <c r="AE267" s="38">
        <f>IFERROR(Macro!$D106*Team!AE168/12+IF(AND(YEAR(AE$5)&gt;2020,MONTH(AE$5)=Macro!$D$52),Macro!$D106*AVERAGE(OFFSET(AF168,0,0,1,-12))*Macro!$E106,0),"NA")</f>
        <v>0</v>
      </c>
      <c r="AF267" s="39">
        <f>IFERROR(Macro!$D106*Team!AF168/12+IF(AND(YEAR(AF$5)&gt;2020,MONTH(AF$5)=Macro!$D$52),Macro!$D106*AVERAGE(OFFSET(AG168,0,0,1,-12))*Macro!$E106,0),"NA")</f>
        <v>0</v>
      </c>
      <c r="AG267" s="40">
        <f>IFERROR(Macro!$D106*Team!AG168/12+IF(AND(YEAR(AG$5)&gt;2020,MONTH(AG$5)=Macro!$D$52),Macro!$D106*AVERAGE(OFFSET(AH168,0,0,1,-12))*Macro!$E106,0),"NA")</f>
        <v>0</v>
      </c>
      <c r="AH267" s="38" t="str">
        <f>IFERROR(Macro!$D106*Team!AH168/12+IF(AND(YEAR(AH$5)&gt;2020,MONTH(AH$5)=Macro!$D$52),Macro!$D106*AVERAGE(OFFSET(AI168,0,0,1,-12))*Macro!$E106,0),"NA")</f>
        <v>NA</v>
      </c>
      <c r="AI267" s="39">
        <f>IFERROR(Macro!$D106*Team!AI168/12+IF(AND(YEAR(AI$5)&gt;2020,MONTH(AI$5)=Macro!$D$52),Macro!$D106*AVERAGE(OFFSET(AJ168,0,0,1,-12))*Macro!$E106,0),"NA")</f>
        <v>0</v>
      </c>
      <c r="AJ267" s="40">
        <f>IFERROR(Macro!$D106*Team!AJ168/12+IF(AND(YEAR(AJ$5)&gt;2020,MONTH(AJ$5)=Macro!$D$52),Macro!$D106*AVERAGE(OFFSET(AK168,0,0,1,-12))*Macro!$E106,0),"NA")</f>
        <v>0</v>
      </c>
      <c r="AK267" s="38">
        <f>IFERROR(Macro!$D106*Team!AK168/12+IF(AND(YEAR(AK$5)&gt;2020,MONTH(AK$5)=Macro!$D$52),Macro!$D106*AVERAGE(OFFSET(AL168,0,0,1,-12))*Macro!$E106,0),"NA")</f>
        <v>0</v>
      </c>
      <c r="AL267" s="39">
        <f>IFERROR(Macro!$D106*Team!AL168/12+IF(AND(YEAR(AL$5)&gt;2020,MONTH(AL$5)=Macro!$D$52),Macro!$D106*AVERAGE(OFFSET(AM168,0,0,1,-12))*Macro!$E106,0),"NA")</f>
        <v>0</v>
      </c>
      <c r="AM267" s="40">
        <f>IFERROR(Macro!$D106*Team!AM168/12+IF(AND(YEAR(AM$5)&gt;2020,MONTH(AM$5)=Macro!$D$52),Macro!$D106*AVERAGE(OFFSET(AN168,0,0,1,-12))*Macro!$E106,0),"NA")</f>
        <v>0</v>
      </c>
      <c r="AN267" s="38">
        <f>IFERROR(Macro!$D106*Team!AN168/12+IF(AND(YEAR(AN$5)&gt;2020,MONTH(AN$5)=Macro!$D$52),Macro!$D106*AVERAGE(OFFSET(AO168,0,0,1,-12))*Macro!$E106,0),"NA")</f>
        <v>0</v>
      </c>
      <c r="AO267" s="39">
        <f>IFERROR(Macro!$D106*Team!AO168/12+IF(AND(YEAR(AO$5)&gt;2020,MONTH(AO$5)=Macro!$D$52),Macro!$D106*AVERAGE(OFFSET(AP168,0,0,1,-12))*Macro!$E106,0),"NA")</f>
        <v>0</v>
      </c>
      <c r="AP267" s="40">
        <f>IFERROR(Macro!$D106*Team!AP168/12+IF(AND(YEAR(AP$5)&gt;2020,MONTH(AP$5)=Macro!$D$52),Macro!$D106*AVERAGE(OFFSET(AQ168,0,0,1,-12))*Macro!$E106,0),"NA")</f>
        <v>0</v>
      </c>
      <c r="AQ267" s="38">
        <f>IFERROR(Macro!$D106*Team!AQ168/12+IF(AND(YEAR(AQ$5)&gt;2020,MONTH(AQ$5)=Macro!$D$52),Macro!$D106*AVERAGE(OFFSET(AR168,0,0,1,-12))*Macro!$E106,0),"NA")</f>
        <v>0</v>
      </c>
      <c r="AR267" s="39">
        <f>IFERROR(Macro!$D106*Team!AR168/12+IF(AND(YEAR(AR$5)&gt;2020,MONTH(AR$5)=Macro!$D$52),Macro!$D106*AVERAGE(OFFSET(AS168,0,0,1,-12))*Macro!$E106,0),"NA")</f>
        <v>0</v>
      </c>
      <c r="AS267" s="40">
        <f>IFERROR(Macro!$D106*Team!AS168/12+IF(AND(YEAR(AS$5)&gt;2020,MONTH(AS$5)=Macro!$D$52),Macro!$D106*AVERAGE(OFFSET(AT168,0,0,1,-12))*Macro!$E106,0),"NA")</f>
        <v>0</v>
      </c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</row>
    <row r="268" ht="12.0" customHeight="1">
      <c r="A268" s="282"/>
      <c r="B268" s="8"/>
      <c r="C268" s="37" t="str">
        <f t="shared" si="100"/>
        <v>[XX]</v>
      </c>
      <c r="D268" s="283">
        <f>IFERROR(Macro!$D107*Team!D169/12+IF(AND(YEAR(D$5)&gt;2020,MONTH(D$5)=Macro!$D$52),Macro!$D107*AVERAGE(OFFSET(E169,0,0,1,-12))*Macro!$E107,0),"NA")</f>
        <v>0</v>
      </c>
      <c r="E268" s="284">
        <f>IFERROR(Macro!$D107*Team!E169/12+IF(AND(YEAR(E$5)&gt;2020,MONTH(E$5)=Macro!$D$52),Macro!$D107*AVERAGE(OFFSET(F169,0,0,1,-12))*Macro!$E107,0),"NA")</f>
        <v>0</v>
      </c>
      <c r="F268" s="284">
        <f>IFERROR(Macro!$D107*Team!F169/12+IF(AND(YEAR(F$5)&gt;2020,MONTH(F$5)=Macro!$D$52),Macro!$D107*AVERAGE(OFFSET(G169,0,0,1,-12))*Macro!$E107,0),"NA")</f>
        <v>0</v>
      </c>
      <c r="G268" s="283">
        <f>IFERROR(Macro!$D107*Team!G169/12+IF(AND(YEAR(G$5)&gt;2020,MONTH(G$5)=Macro!$D$52),Macro!$D107*AVERAGE(OFFSET(H169,0,0,1,-12))*Macro!$E107,0),"NA")</f>
        <v>0</v>
      </c>
      <c r="H268" s="284">
        <f>IFERROR(Macro!$D107*Team!H169/12+IF(AND(YEAR(H$5)&gt;2020,MONTH(H$5)=Macro!$D$52),Macro!$D107*AVERAGE(OFFSET(I169,0,0,1,-12))*Macro!$E107,0),"NA")</f>
        <v>0</v>
      </c>
      <c r="I268" s="285">
        <f>IFERROR(Macro!$D107*Team!I169/12+IF(AND(YEAR(I$5)&gt;2020,MONTH(I$5)=Macro!$D$52),Macro!$D107*AVERAGE(OFFSET(J169,0,0,1,-12))*Macro!$E107,0),"NA")</f>
        <v>0</v>
      </c>
      <c r="J268" s="286">
        <f>IFERROR(Macro!$D107*Team!J169/12+IF(AND(YEAR(J$5)&gt;2020,MONTH(J$5)=Macro!$D$52),Macro!$D107*AVERAGE(OFFSET(K169,0,0,1,-12))*Macro!$E107,0),"NA")</f>
        <v>0</v>
      </c>
      <c r="K268" s="287">
        <f>IFERROR(Macro!$D107*Team!K169/12+IF(AND(YEAR(K$5)&gt;2020,MONTH(K$5)=Macro!$D$52),Macro!$D107*AVERAGE(OFFSET(L169,0,0,1,-12))*Macro!$E107,0),"NA")</f>
        <v>0</v>
      </c>
      <c r="L268" s="288">
        <f>IFERROR(Macro!$D107*Team!L169/12+IF(AND(YEAR(L$5)&gt;2020,MONTH(L$5)=Macro!$D$52),Macro!$D107*AVERAGE(OFFSET(M169,0,0,1,-12))*Macro!$E107,0),"NA")</f>
        <v>0</v>
      </c>
      <c r="M268" s="38">
        <f>IFERROR(Macro!$D107*Team!M169/12+IF(AND(YEAR(M$5)&gt;2020,MONTH(M$5)=Macro!$D$52),Macro!$D107*AVERAGE(OFFSET(N169,0,0,1,-12))*Macro!$E107,0),"NA")</f>
        <v>0</v>
      </c>
      <c r="N268" s="39">
        <f>IFERROR(Macro!$D107*Team!N169/12+IF(AND(YEAR(N$5)&gt;2020,MONTH(N$5)=Macro!$D$52),Macro!$D107*AVERAGE(OFFSET(O169,0,0,1,-12))*Macro!$E107,0),"NA")</f>
        <v>0</v>
      </c>
      <c r="O268" s="40">
        <f>IFERROR(Macro!$D107*Team!O169/12+IF(AND(YEAR(O$5)&gt;2020,MONTH(O$5)=Macro!$D$52),Macro!$D107*AVERAGE(OFFSET(P169,0,0,1,-12))*Macro!$E107,0),"NA")</f>
        <v>0</v>
      </c>
      <c r="P268" s="38">
        <f>IFERROR(Macro!$D107*Team!P169/12+IF(AND(YEAR(P$5)&gt;2020,MONTH(P$5)=Macro!$D$52),Macro!$D107*AVERAGE(OFFSET(Q169,0,0,1,-12))*Macro!$E107,0),"NA")</f>
        <v>0</v>
      </c>
      <c r="Q268" s="39">
        <f>IFERROR(Macro!$D107*Team!Q169/12+IF(AND(YEAR(Q$5)&gt;2020,MONTH(Q$5)=Macro!$D$52),Macro!$D107*AVERAGE(OFFSET(R169,0,0,1,-12))*Macro!$E107,0),"NA")</f>
        <v>0</v>
      </c>
      <c r="R268" s="40">
        <f>IFERROR(Macro!$D107*Team!R169/12+IF(AND(YEAR(R$5)&gt;2020,MONTH(R$5)=Macro!$D$52),Macro!$D107*AVERAGE(OFFSET(S169,0,0,1,-12))*Macro!$E107,0),"NA")</f>
        <v>0</v>
      </c>
      <c r="S268" s="38">
        <f>IFERROR(Macro!$D107*Team!S169/12+IF(AND(YEAR(S$5)&gt;2020,MONTH(S$5)=Macro!$D$52),Macro!$D107*AVERAGE(OFFSET(T169,0,0,1,-12))*Macro!$E107,0),"NA")</f>
        <v>0</v>
      </c>
      <c r="T268" s="39">
        <f>IFERROR(Macro!$D107*Team!T169/12+IF(AND(YEAR(T$5)&gt;2020,MONTH(T$5)=Macro!$D$52),Macro!$D107*AVERAGE(OFFSET(U169,0,0,1,-12))*Macro!$E107,0),"NA")</f>
        <v>0</v>
      </c>
      <c r="U268" s="40">
        <f>IFERROR(Macro!$D107*Team!U169/12+IF(AND(YEAR(U$5)&gt;2020,MONTH(U$5)=Macro!$D$52),Macro!$D107*AVERAGE(OFFSET(V169,0,0,1,-12))*Macro!$E107,0),"NA")</f>
        <v>0</v>
      </c>
      <c r="V268" s="38" t="str">
        <f>IFERROR(Macro!$D107*Team!V169/12+IF(AND(YEAR(V$5)&gt;2020,MONTH(V$5)=Macro!$D$52),Macro!$D107*AVERAGE(OFFSET(W169,0,0,1,-12))*Macro!$E107,0),"NA")</f>
        <v>NA</v>
      </c>
      <c r="W268" s="39">
        <f>IFERROR(Macro!$D107*Team!W169/12+IF(AND(YEAR(W$5)&gt;2020,MONTH(W$5)=Macro!$D$52),Macro!$D107*AVERAGE(OFFSET(X169,0,0,1,-12))*Macro!$E107,0),"NA")</f>
        <v>0</v>
      </c>
      <c r="X268" s="40">
        <f>IFERROR(Macro!$D107*Team!X169/12+IF(AND(YEAR(X$5)&gt;2020,MONTH(X$5)=Macro!$D$52),Macro!$D107*AVERAGE(OFFSET(Y169,0,0,1,-12))*Macro!$E107,0),"NA")</f>
        <v>0</v>
      </c>
      <c r="Y268" s="38">
        <f>IFERROR(Macro!$D107*Team!Y169/12+IF(AND(YEAR(Y$5)&gt;2020,MONTH(Y$5)=Macro!$D$52),Macro!$D107*AVERAGE(OFFSET(Z169,0,0,1,-12))*Macro!$E107,0),"NA")</f>
        <v>0</v>
      </c>
      <c r="Z268" s="39">
        <f>IFERROR(Macro!$D107*Team!Z169/12+IF(AND(YEAR(Z$5)&gt;2020,MONTH(Z$5)=Macro!$D$52),Macro!$D107*AVERAGE(OFFSET(AA169,0,0,1,-12))*Macro!$E107,0),"NA")</f>
        <v>0</v>
      </c>
      <c r="AA268" s="40">
        <f>IFERROR(Macro!$D107*Team!AA169/12+IF(AND(YEAR(AA$5)&gt;2020,MONTH(AA$5)=Macro!$D$52),Macro!$D107*AVERAGE(OFFSET(AB169,0,0,1,-12))*Macro!$E107,0),"NA")</f>
        <v>0</v>
      </c>
      <c r="AB268" s="38">
        <f>IFERROR(Macro!$D107*Team!AB169/12+IF(AND(YEAR(AB$5)&gt;2020,MONTH(AB$5)=Macro!$D$52),Macro!$D107*AVERAGE(OFFSET(AC169,0,0,1,-12))*Macro!$E107,0),"NA")</f>
        <v>0</v>
      </c>
      <c r="AC268" s="39">
        <f>IFERROR(Macro!$D107*Team!AC169/12+IF(AND(YEAR(AC$5)&gt;2020,MONTH(AC$5)=Macro!$D$52),Macro!$D107*AVERAGE(OFFSET(AD169,0,0,1,-12))*Macro!$E107,0),"NA")</f>
        <v>0</v>
      </c>
      <c r="AD268" s="40">
        <f>IFERROR(Macro!$D107*Team!AD169/12+IF(AND(YEAR(AD$5)&gt;2020,MONTH(AD$5)=Macro!$D$52),Macro!$D107*AVERAGE(OFFSET(AE169,0,0,1,-12))*Macro!$E107,0),"NA")</f>
        <v>0</v>
      </c>
      <c r="AE268" s="38">
        <f>IFERROR(Macro!$D107*Team!AE169/12+IF(AND(YEAR(AE$5)&gt;2020,MONTH(AE$5)=Macro!$D$52),Macro!$D107*AVERAGE(OFFSET(AF169,0,0,1,-12))*Macro!$E107,0),"NA")</f>
        <v>0</v>
      </c>
      <c r="AF268" s="39">
        <f>IFERROR(Macro!$D107*Team!AF169/12+IF(AND(YEAR(AF$5)&gt;2020,MONTH(AF$5)=Macro!$D$52),Macro!$D107*AVERAGE(OFFSET(AG169,0,0,1,-12))*Macro!$E107,0),"NA")</f>
        <v>0</v>
      </c>
      <c r="AG268" s="40">
        <f>IFERROR(Macro!$D107*Team!AG169/12+IF(AND(YEAR(AG$5)&gt;2020,MONTH(AG$5)=Macro!$D$52),Macro!$D107*AVERAGE(OFFSET(AH169,0,0,1,-12))*Macro!$E107,0),"NA")</f>
        <v>0</v>
      </c>
      <c r="AH268" s="38" t="str">
        <f>IFERROR(Macro!$D107*Team!AH169/12+IF(AND(YEAR(AH$5)&gt;2020,MONTH(AH$5)=Macro!$D$52),Macro!$D107*AVERAGE(OFFSET(AI169,0,0,1,-12))*Macro!$E107,0),"NA")</f>
        <v>NA</v>
      </c>
      <c r="AI268" s="39">
        <f>IFERROR(Macro!$D107*Team!AI169/12+IF(AND(YEAR(AI$5)&gt;2020,MONTH(AI$5)=Macro!$D$52),Macro!$D107*AVERAGE(OFFSET(AJ169,0,0,1,-12))*Macro!$E107,0),"NA")</f>
        <v>0</v>
      </c>
      <c r="AJ268" s="40">
        <f>IFERROR(Macro!$D107*Team!AJ169/12+IF(AND(YEAR(AJ$5)&gt;2020,MONTH(AJ$5)=Macro!$D$52),Macro!$D107*AVERAGE(OFFSET(AK169,0,0,1,-12))*Macro!$E107,0),"NA")</f>
        <v>0</v>
      </c>
      <c r="AK268" s="38">
        <f>IFERROR(Macro!$D107*Team!AK169/12+IF(AND(YEAR(AK$5)&gt;2020,MONTH(AK$5)=Macro!$D$52),Macro!$D107*AVERAGE(OFFSET(AL169,0,0,1,-12))*Macro!$E107,0),"NA")</f>
        <v>0</v>
      </c>
      <c r="AL268" s="39">
        <f>IFERROR(Macro!$D107*Team!AL169/12+IF(AND(YEAR(AL$5)&gt;2020,MONTH(AL$5)=Macro!$D$52),Macro!$D107*AVERAGE(OFFSET(AM169,0,0,1,-12))*Macro!$E107,0),"NA")</f>
        <v>0</v>
      </c>
      <c r="AM268" s="40">
        <f>IFERROR(Macro!$D107*Team!AM169/12+IF(AND(YEAR(AM$5)&gt;2020,MONTH(AM$5)=Macro!$D$52),Macro!$D107*AVERAGE(OFFSET(AN169,0,0,1,-12))*Macro!$E107,0),"NA")</f>
        <v>0</v>
      </c>
      <c r="AN268" s="38">
        <f>IFERROR(Macro!$D107*Team!AN169/12+IF(AND(YEAR(AN$5)&gt;2020,MONTH(AN$5)=Macro!$D$52),Macro!$D107*AVERAGE(OFFSET(AO169,0,0,1,-12))*Macro!$E107,0),"NA")</f>
        <v>0</v>
      </c>
      <c r="AO268" s="39">
        <f>IFERROR(Macro!$D107*Team!AO169/12+IF(AND(YEAR(AO$5)&gt;2020,MONTH(AO$5)=Macro!$D$52),Macro!$D107*AVERAGE(OFFSET(AP169,0,0,1,-12))*Macro!$E107,0),"NA")</f>
        <v>0</v>
      </c>
      <c r="AP268" s="40">
        <f>IFERROR(Macro!$D107*Team!AP169/12+IF(AND(YEAR(AP$5)&gt;2020,MONTH(AP$5)=Macro!$D$52),Macro!$D107*AVERAGE(OFFSET(AQ169,0,0,1,-12))*Macro!$E107,0),"NA")</f>
        <v>0</v>
      </c>
      <c r="AQ268" s="38">
        <f>IFERROR(Macro!$D107*Team!AQ169/12+IF(AND(YEAR(AQ$5)&gt;2020,MONTH(AQ$5)=Macro!$D$52),Macro!$D107*AVERAGE(OFFSET(AR169,0,0,1,-12))*Macro!$E107,0),"NA")</f>
        <v>0</v>
      </c>
      <c r="AR268" s="39">
        <f>IFERROR(Macro!$D107*Team!AR169/12+IF(AND(YEAR(AR$5)&gt;2020,MONTH(AR$5)=Macro!$D$52),Macro!$D107*AVERAGE(OFFSET(AS169,0,0,1,-12))*Macro!$E107,0),"NA")</f>
        <v>0</v>
      </c>
      <c r="AS268" s="40">
        <f>IFERROR(Macro!$D107*Team!AS169/12+IF(AND(YEAR(AS$5)&gt;2020,MONTH(AS$5)=Macro!$D$52),Macro!$D107*AVERAGE(OFFSET(AT169,0,0,1,-12))*Macro!$E107,0),"NA")</f>
        <v>0</v>
      </c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</row>
    <row r="269" ht="12.0" customHeight="1">
      <c r="A269" s="282"/>
      <c r="B269" s="8"/>
      <c r="C269" s="37" t="str">
        <f t="shared" si="100"/>
        <v>[XX]</v>
      </c>
      <c r="D269" s="283">
        <f>IFERROR(Macro!$D108*Team!D170/12+IF(AND(YEAR(D$5)&gt;2020,MONTH(D$5)=Macro!$D$52),Macro!$D108*AVERAGE(OFFSET(E170,0,0,1,-12))*Macro!$E108,0),"NA")</f>
        <v>0</v>
      </c>
      <c r="E269" s="284">
        <f>IFERROR(Macro!$D108*Team!E170/12+IF(AND(YEAR(E$5)&gt;2020,MONTH(E$5)=Macro!$D$52),Macro!$D108*AVERAGE(OFFSET(F170,0,0,1,-12))*Macro!$E108,0),"NA")</f>
        <v>0</v>
      </c>
      <c r="F269" s="284">
        <f>IFERROR(Macro!$D108*Team!F170/12+IF(AND(YEAR(F$5)&gt;2020,MONTH(F$5)=Macro!$D$52),Macro!$D108*AVERAGE(OFFSET(G170,0,0,1,-12))*Macro!$E108,0),"NA")</f>
        <v>0</v>
      </c>
      <c r="G269" s="283">
        <f>IFERROR(Macro!$D108*Team!G170/12+IF(AND(YEAR(G$5)&gt;2020,MONTH(G$5)=Macro!$D$52),Macro!$D108*AVERAGE(OFFSET(H170,0,0,1,-12))*Macro!$E108,0),"NA")</f>
        <v>0</v>
      </c>
      <c r="H269" s="284">
        <f>IFERROR(Macro!$D108*Team!H170/12+IF(AND(YEAR(H$5)&gt;2020,MONTH(H$5)=Macro!$D$52),Macro!$D108*AVERAGE(OFFSET(I170,0,0,1,-12))*Macro!$E108,0),"NA")</f>
        <v>0</v>
      </c>
      <c r="I269" s="285">
        <f>IFERROR(Macro!$D108*Team!I170/12+IF(AND(YEAR(I$5)&gt;2020,MONTH(I$5)=Macro!$D$52),Macro!$D108*AVERAGE(OFFSET(J170,0,0,1,-12))*Macro!$E108,0),"NA")</f>
        <v>0</v>
      </c>
      <c r="J269" s="286">
        <f>IFERROR(Macro!$D108*Team!J170/12+IF(AND(YEAR(J$5)&gt;2020,MONTH(J$5)=Macro!$D$52),Macro!$D108*AVERAGE(OFFSET(K170,0,0,1,-12))*Macro!$E108,0),"NA")</f>
        <v>0</v>
      </c>
      <c r="K269" s="287">
        <f>IFERROR(Macro!$D108*Team!K170/12+IF(AND(YEAR(K$5)&gt;2020,MONTH(K$5)=Macro!$D$52),Macro!$D108*AVERAGE(OFFSET(L170,0,0,1,-12))*Macro!$E108,0),"NA")</f>
        <v>0</v>
      </c>
      <c r="L269" s="288">
        <f>IFERROR(Macro!$D108*Team!L170/12+IF(AND(YEAR(L$5)&gt;2020,MONTH(L$5)=Macro!$D$52),Macro!$D108*AVERAGE(OFFSET(M170,0,0,1,-12))*Macro!$E108,0),"NA")</f>
        <v>0</v>
      </c>
      <c r="M269" s="38">
        <f>IFERROR(Macro!$D108*Team!M170/12+IF(AND(YEAR(M$5)&gt;2020,MONTH(M$5)=Macro!$D$52),Macro!$D108*AVERAGE(OFFSET(N170,0,0,1,-12))*Macro!$E108,0),"NA")</f>
        <v>0</v>
      </c>
      <c r="N269" s="39">
        <f>IFERROR(Macro!$D108*Team!N170/12+IF(AND(YEAR(N$5)&gt;2020,MONTH(N$5)=Macro!$D$52),Macro!$D108*AVERAGE(OFFSET(O170,0,0,1,-12))*Macro!$E108,0),"NA")</f>
        <v>0</v>
      </c>
      <c r="O269" s="40">
        <f>IFERROR(Macro!$D108*Team!O170/12+IF(AND(YEAR(O$5)&gt;2020,MONTH(O$5)=Macro!$D$52),Macro!$D108*AVERAGE(OFFSET(P170,0,0,1,-12))*Macro!$E108,0),"NA")</f>
        <v>0</v>
      </c>
      <c r="P269" s="38">
        <f>IFERROR(Macro!$D108*Team!P170/12+IF(AND(YEAR(P$5)&gt;2020,MONTH(P$5)=Macro!$D$52),Macro!$D108*AVERAGE(OFFSET(Q170,0,0,1,-12))*Macro!$E108,0),"NA")</f>
        <v>0</v>
      </c>
      <c r="Q269" s="39">
        <f>IFERROR(Macro!$D108*Team!Q170/12+IF(AND(YEAR(Q$5)&gt;2020,MONTH(Q$5)=Macro!$D$52),Macro!$D108*AVERAGE(OFFSET(R170,0,0,1,-12))*Macro!$E108,0),"NA")</f>
        <v>0</v>
      </c>
      <c r="R269" s="40">
        <f>IFERROR(Macro!$D108*Team!R170/12+IF(AND(YEAR(R$5)&gt;2020,MONTH(R$5)=Macro!$D$52),Macro!$D108*AVERAGE(OFFSET(S170,0,0,1,-12))*Macro!$E108,0),"NA")</f>
        <v>0</v>
      </c>
      <c r="S269" s="38">
        <f>IFERROR(Macro!$D108*Team!S170/12+IF(AND(YEAR(S$5)&gt;2020,MONTH(S$5)=Macro!$D$52),Macro!$D108*AVERAGE(OFFSET(T170,0,0,1,-12))*Macro!$E108,0),"NA")</f>
        <v>0</v>
      </c>
      <c r="T269" s="39">
        <f>IFERROR(Macro!$D108*Team!T170/12+IF(AND(YEAR(T$5)&gt;2020,MONTH(T$5)=Macro!$D$52),Macro!$D108*AVERAGE(OFFSET(U170,0,0,1,-12))*Macro!$E108,0),"NA")</f>
        <v>0</v>
      </c>
      <c r="U269" s="40">
        <f>IFERROR(Macro!$D108*Team!U170/12+IF(AND(YEAR(U$5)&gt;2020,MONTH(U$5)=Macro!$D$52),Macro!$D108*AVERAGE(OFFSET(V170,0,0,1,-12))*Macro!$E108,0),"NA")</f>
        <v>0</v>
      </c>
      <c r="V269" s="38" t="str">
        <f>IFERROR(Macro!$D108*Team!V170/12+IF(AND(YEAR(V$5)&gt;2020,MONTH(V$5)=Macro!$D$52),Macro!$D108*AVERAGE(OFFSET(W170,0,0,1,-12))*Macro!$E108,0),"NA")</f>
        <v>NA</v>
      </c>
      <c r="W269" s="39">
        <f>IFERROR(Macro!$D108*Team!W170/12+IF(AND(YEAR(W$5)&gt;2020,MONTH(W$5)=Macro!$D$52),Macro!$D108*AVERAGE(OFFSET(X170,0,0,1,-12))*Macro!$E108,0),"NA")</f>
        <v>0</v>
      </c>
      <c r="X269" s="40">
        <f>IFERROR(Macro!$D108*Team!X170/12+IF(AND(YEAR(X$5)&gt;2020,MONTH(X$5)=Macro!$D$52),Macro!$D108*AVERAGE(OFFSET(Y170,0,0,1,-12))*Macro!$E108,0),"NA")</f>
        <v>0</v>
      </c>
      <c r="Y269" s="38">
        <f>IFERROR(Macro!$D108*Team!Y170/12+IF(AND(YEAR(Y$5)&gt;2020,MONTH(Y$5)=Macro!$D$52),Macro!$D108*AVERAGE(OFFSET(Z170,0,0,1,-12))*Macro!$E108,0),"NA")</f>
        <v>0</v>
      </c>
      <c r="Z269" s="39">
        <f>IFERROR(Macro!$D108*Team!Z170/12+IF(AND(YEAR(Z$5)&gt;2020,MONTH(Z$5)=Macro!$D$52),Macro!$D108*AVERAGE(OFFSET(AA170,0,0,1,-12))*Macro!$E108,0),"NA")</f>
        <v>0</v>
      </c>
      <c r="AA269" s="40">
        <f>IFERROR(Macro!$D108*Team!AA170/12+IF(AND(YEAR(AA$5)&gt;2020,MONTH(AA$5)=Macro!$D$52),Macro!$D108*AVERAGE(OFFSET(AB170,0,0,1,-12))*Macro!$E108,0),"NA")</f>
        <v>0</v>
      </c>
      <c r="AB269" s="38">
        <f>IFERROR(Macro!$D108*Team!AB170/12+IF(AND(YEAR(AB$5)&gt;2020,MONTH(AB$5)=Macro!$D$52),Macro!$D108*AVERAGE(OFFSET(AC170,0,0,1,-12))*Macro!$E108,0),"NA")</f>
        <v>0</v>
      </c>
      <c r="AC269" s="39">
        <f>IFERROR(Macro!$D108*Team!AC170/12+IF(AND(YEAR(AC$5)&gt;2020,MONTH(AC$5)=Macro!$D$52),Macro!$D108*AVERAGE(OFFSET(AD170,0,0,1,-12))*Macro!$E108,0),"NA")</f>
        <v>0</v>
      </c>
      <c r="AD269" s="40">
        <f>IFERROR(Macro!$D108*Team!AD170/12+IF(AND(YEAR(AD$5)&gt;2020,MONTH(AD$5)=Macro!$D$52),Macro!$D108*AVERAGE(OFFSET(AE170,0,0,1,-12))*Macro!$E108,0),"NA")</f>
        <v>0</v>
      </c>
      <c r="AE269" s="38">
        <f>IFERROR(Macro!$D108*Team!AE170/12+IF(AND(YEAR(AE$5)&gt;2020,MONTH(AE$5)=Macro!$D$52),Macro!$D108*AVERAGE(OFFSET(AF170,0,0,1,-12))*Macro!$E108,0),"NA")</f>
        <v>0</v>
      </c>
      <c r="AF269" s="39">
        <f>IFERROR(Macro!$D108*Team!AF170/12+IF(AND(YEAR(AF$5)&gt;2020,MONTH(AF$5)=Macro!$D$52),Macro!$D108*AVERAGE(OFFSET(AG170,0,0,1,-12))*Macro!$E108,0),"NA")</f>
        <v>0</v>
      </c>
      <c r="AG269" s="40">
        <f>IFERROR(Macro!$D108*Team!AG170/12+IF(AND(YEAR(AG$5)&gt;2020,MONTH(AG$5)=Macro!$D$52),Macro!$D108*AVERAGE(OFFSET(AH170,0,0,1,-12))*Macro!$E108,0),"NA")</f>
        <v>0</v>
      </c>
      <c r="AH269" s="38" t="str">
        <f>IFERROR(Macro!$D108*Team!AH170/12+IF(AND(YEAR(AH$5)&gt;2020,MONTH(AH$5)=Macro!$D$52),Macro!$D108*AVERAGE(OFFSET(AI170,0,0,1,-12))*Macro!$E108,0),"NA")</f>
        <v>NA</v>
      </c>
      <c r="AI269" s="39">
        <f>IFERROR(Macro!$D108*Team!AI170/12+IF(AND(YEAR(AI$5)&gt;2020,MONTH(AI$5)=Macro!$D$52),Macro!$D108*AVERAGE(OFFSET(AJ170,0,0,1,-12))*Macro!$E108,0),"NA")</f>
        <v>0</v>
      </c>
      <c r="AJ269" s="40">
        <f>IFERROR(Macro!$D108*Team!AJ170/12+IF(AND(YEAR(AJ$5)&gt;2020,MONTH(AJ$5)=Macro!$D$52),Macro!$D108*AVERAGE(OFFSET(AK170,0,0,1,-12))*Macro!$E108,0),"NA")</f>
        <v>0</v>
      </c>
      <c r="AK269" s="38">
        <f>IFERROR(Macro!$D108*Team!AK170/12+IF(AND(YEAR(AK$5)&gt;2020,MONTH(AK$5)=Macro!$D$52),Macro!$D108*AVERAGE(OFFSET(AL170,0,0,1,-12))*Macro!$E108,0),"NA")</f>
        <v>0</v>
      </c>
      <c r="AL269" s="39">
        <f>IFERROR(Macro!$D108*Team!AL170/12+IF(AND(YEAR(AL$5)&gt;2020,MONTH(AL$5)=Macro!$D$52),Macro!$D108*AVERAGE(OFFSET(AM170,0,0,1,-12))*Macro!$E108,0),"NA")</f>
        <v>0</v>
      </c>
      <c r="AM269" s="40">
        <f>IFERROR(Macro!$D108*Team!AM170/12+IF(AND(YEAR(AM$5)&gt;2020,MONTH(AM$5)=Macro!$D$52),Macro!$D108*AVERAGE(OFFSET(AN170,0,0,1,-12))*Macro!$E108,0),"NA")</f>
        <v>0</v>
      </c>
      <c r="AN269" s="38">
        <f>IFERROR(Macro!$D108*Team!AN170/12+IF(AND(YEAR(AN$5)&gt;2020,MONTH(AN$5)=Macro!$D$52),Macro!$D108*AVERAGE(OFFSET(AO170,0,0,1,-12))*Macro!$E108,0),"NA")</f>
        <v>0</v>
      </c>
      <c r="AO269" s="39">
        <f>IFERROR(Macro!$D108*Team!AO170/12+IF(AND(YEAR(AO$5)&gt;2020,MONTH(AO$5)=Macro!$D$52),Macro!$D108*AVERAGE(OFFSET(AP170,0,0,1,-12))*Macro!$E108,0),"NA")</f>
        <v>0</v>
      </c>
      <c r="AP269" s="40">
        <f>IFERROR(Macro!$D108*Team!AP170/12+IF(AND(YEAR(AP$5)&gt;2020,MONTH(AP$5)=Macro!$D$52),Macro!$D108*AVERAGE(OFFSET(AQ170,0,0,1,-12))*Macro!$E108,0),"NA")</f>
        <v>0</v>
      </c>
      <c r="AQ269" s="38">
        <f>IFERROR(Macro!$D108*Team!AQ170/12+IF(AND(YEAR(AQ$5)&gt;2020,MONTH(AQ$5)=Macro!$D$52),Macro!$D108*AVERAGE(OFFSET(AR170,0,0,1,-12))*Macro!$E108,0),"NA")</f>
        <v>0</v>
      </c>
      <c r="AR269" s="39">
        <f>IFERROR(Macro!$D108*Team!AR170/12+IF(AND(YEAR(AR$5)&gt;2020,MONTH(AR$5)=Macro!$D$52),Macro!$D108*AVERAGE(OFFSET(AS170,0,0,1,-12))*Macro!$E108,0),"NA")</f>
        <v>0</v>
      </c>
      <c r="AS269" s="40">
        <f>IFERROR(Macro!$D108*Team!AS170/12+IF(AND(YEAR(AS$5)&gt;2020,MONTH(AS$5)=Macro!$D$52),Macro!$D108*AVERAGE(OFFSET(AT170,0,0,1,-12))*Macro!$E108,0),"NA")</f>
        <v>0</v>
      </c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</row>
    <row r="270" ht="12.0" customHeight="1">
      <c r="A270" s="282"/>
      <c r="B270" s="8"/>
      <c r="C270" s="277" t="str">
        <f t="shared" si="100"/>
        <v>[XX]</v>
      </c>
      <c r="D270" s="289">
        <f>IFERROR(Macro!$D109*Team!D171/12+IF(AND(YEAR(D$5)&gt;2020,MONTH(D$5)=Macro!$D$52),Macro!$D109*AVERAGE(OFFSET(E171,0,0,1,-12))*Macro!$E109,0),"NA")</f>
        <v>0</v>
      </c>
      <c r="E270" s="290">
        <f>IFERROR(Macro!$D109*Team!E171/12+IF(AND(YEAR(E$5)&gt;2020,MONTH(E$5)=Macro!$D$52),Macro!$D109*AVERAGE(OFFSET(F171,0,0,1,-12))*Macro!$E109,0),"NA")</f>
        <v>0</v>
      </c>
      <c r="F270" s="290">
        <f>IFERROR(Macro!$D109*Team!F171/12+IF(AND(YEAR(F$5)&gt;2020,MONTH(F$5)=Macro!$D$52),Macro!$D109*AVERAGE(OFFSET(G171,0,0,1,-12))*Macro!$E109,0),"NA")</f>
        <v>0</v>
      </c>
      <c r="G270" s="289">
        <f>IFERROR(Macro!$D109*Team!G171/12+IF(AND(YEAR(G$5)&gt;2020,MONTH(G$5)=Macro!$D$52),Macro!$D109*AVERAGE(OFFSET(H171,0,0,1,-12))*Macro!$E109,0),"NA")</f>
        <v>0</v>
      </c>
      <c r="H270" s="290">
        <f>IFERROR(Macro!$D109*Team!H171/12+IF(AND(YEAR(H$5)&gt;2020,MONTH(H$5)=Macro!$D$52),Macro!$D109*AVERAGE(OFFSET(I171,0,0,1,-12))*Macro!$E109,0),"NA")</f>
        <v>0</v>
      </c>
      <c r="I270" s="291">
        <f>IFERROR(Macro!$D109*Team!I171/12+IF(AND(YEAR(I$5)&gt;2020,MONTH(I$5)=Macro!$D$52),Macro!$D109*AVERAGE(OFFSET(J171,0,0,1,-12))*Macro!$E109,0),"NA")</f>
        <v>0</v>
      </c>
      <c r="J270" s="292">
        <f>IFERROR(Macro!$D109*Team!J171/12+IF(AND(YEAR(J$5)&gt;2020,MONTH(J$5)=Macro!$D$52),Macro!$D109*AVERAGE(OFFSET(K171,0,0,1,-12))*Macro!$E109,0),"NA")</f>
        <v>0</v>
      </c>
      <c r="K270" s="293">
        <f>IFERROR(Macro!$D109*Team!K171/12+IF(AND(YEAR(K$5)&gt;2020,MONTH(K$5)=Macro!$D$52),Macro!$D109*AVERAGE(OFFSET(L171,0,0,1,-12))*Macro!$E109,0),"NA")</f>
        <v>0</v>
      </c>
      <c r="L270" s="294">
        <f>IFERROR(Macro!$D109*Team!L171/12+IF(AND(YEAR(L$5)&gt;2020,MONTH(L$5)=Macro!$D$52),Macro!$D109*AVERAGE(OFFSET(M171,0,0,1,-12))*Macro!$E109,0),"NA")</f>
        <v>0</v>
      </c>
      <c r="M270" s="241">
        <f>IFERROR(Macro!$D109*Team!M171/12+IF(AND(YEAR(M$5)&gt;2020,MONTH(M$5)=Macro!$D$52),Macro!$D109*AVERAGE(OFFSET(N171,0,0,1,-12))*Macro!$E109,0),"NA")</f>
        <v>0</v>
      </c>
      <c r="N270" s="242">
        <f>IFERROR(Macro!$D109*Team!N171/12+IF(AND(YEAR(N$5)&gt;2020,MONTH(N$5)=Macro!$D$52),Macro!$D109*AVERAGE(OFFSET(O171,0,0,1,-12))*Macro!$E109,0),"NA")</f>
        <v>0</v>
      </c>
      <c r="O270" s="243">
        <f>IFERROR(Macro!$D109*Team!O171/12+IF(AND(YEAR(O$5)&gt;2020,MONTH(O$5)=Macro!$D$52),Macro!$D109*AVERAGE(OFFSET(P171,0,0,1,-12))*Macro!$E109,0),"NA")</f>
        <v>0</v>
      </c>
      <c r="P270" s="241">
        <f>IFERROR(Macro!$D109*Team!P171/12+IF(AND(YEAR(P$5)&gt;2020,MONTH(P$5)=Macro!$D$52),Macro!$D109*AVERAGE(OFFSET(Q171,0,0,1,-12))*Macro!$E109,0),"NA")</f>
        <v>0</v>
      </c>
      <c r="Q270" s="242">
        <f>IFERROR(Macro!$D109*Team!Q171/12+IF(AND(YEAR(Q$5)&gt;2020,MONTH(Q$5)=Macro!$D$52),Macro!$D109*AVERAGE(OFFSET(R171,0,0,1,-12))*Macro!$E109,0),"NA")</f>
        <v>0</v>
      </c>
      <c r="R270" s="243">
        <f>IFERROR(Macro!$D109*Team!R171/12+IF(AND(YEAR(R$5)&gt;2020,MONTH(R$5)=Macro!$D$52),Macro!$D109*AVERAGE(OFFSET(S171,0,0,1,-12))*Macro!$E109,0),"NA")</f>
        <v>0</v>
      </c>
      <c r="S270" s="241">
        <f>IFERROR(Macro!$D109*Team!S171/12+IF(AND(YEAR(S$5)&gt;2020,MONTH(S$5)=Macro!$D$52),Macro!$D109*AVERAGE(OFFSET(T171,0,0,1,-12))*Macro!$E109,0),"NA")</f>
        <v>0</v>
      </c>
      <c r="T270" s="242">
        <f>IFERROR(Macro!$D109*Team!T171/12+IF(AND(YEAR(T$5)&gt;2020,MONTH(T$5)=Macro!$D$52),Macro!$D109*AVERAGE(OFFSET(U171,0,0,1,-12))*Macro!$E109,0),"NA")</f>
        <v>0</v>
      </c>
      <c r="U270" s="243">
        <f>IFERROR(Macro!$D109*Team!U171/12+IF(AND(YEAR(U$5)&gt;2020,MONTH(U$5)=Macro!$D$52),Macro!$D109*AVERAGE(OFFSET(V171,0,0,1,-12))*Macro!$E109,0),"NA")</f>
        <v>0</v>
      </c>
      <c r="V270" s="241" t="str">
        <f>IFERROR(Macro!$D109*Team!V171/12+IF(AND(YEAR(V$5)&gt;2020,MONTH(V$5)=Macro!$D$52),Macro!$D109*AVERAGE(OFFSET(W171,0,0,1,-12))*Macro!$E109,0),"NA")</f>
        <v>NA</v>
      </c>
      <c r="W270" s="242">
        <f>IFERROR(Macro!$D109*Team!W171/12+IF(AND(YEAR(W$5)&gt;2020,MONTH(W$5)=Macro!$D$52),Macro!$D109*AVERAGE(OFFSET(X171,0,0,1,-12))*Macro!$E109,0),"NA")</f>
        <v>0</v>
      </c>
      <c r="X270" s="243">
        <f>IFERROR(Macro!$D109*Team!X171/12+IF(AND(YEAR(X$5)&gt;2020,MONTH(X$5)=Macro!$D$52),Macro!$D109*AVERAGE(OFFSET(Y171,0,0,1,-12))*Macro!$E109,0),"NA")</f>
        <v>0</v>
      </c>
      <c r="Y270" s="241">
        <f>IFERROR(Macro!$D109*Team!Y171/12+IF(AND(YEAR(Y$5)&gt;2020,MONTH(Y$5)=Macro!$D$52),Macro!$D109*AVERAGE(OFFSET(Z171,0,0,1,-12))*Macro!$E109,0),"NA")</f>
        <v>0</v>
      </c>
      <c r="Z270" s="242">
        <f>IFERROR(Macro!$D109*Team!Z171/12+IF(AND(YEAR(Z$5)&gt;2020,MONTH(Z$5)=Macro!$D$52),Macro!$D109*AVERAGE(OFFSET(AA171,0,0,1,-12))*Macro!$E109,0),"NA")</f>
        <v>0</v>
      </c>
      <c r="AA270" s="243">
        <f>IFERROR(Macro!$D109*Team!AA171/12+IF(AND(YEAR(AA$5)&gt;2020,MONTH(AA$5)=Macro!$D$52),Macro!$D109*AVERAGE(OFFSET(AB171,0,0,1,-12))*Macro!$E109,0),"NA")</f>
        <v>0</v>
      </c>
      <c r="AB270" s="241">
        <f>IFERROR(Macro!$D109*Team!AB171/12+IF(AND(YEAR(AB$5)&gt;2020,MONTH(AB$5)=Macro!$D$52),Macro!$D109*AVERAGE(OFFSET(AC171,0,0,1,-12))*Macro!$E109,0),"NA")</f>
        <v>0</v>
      </c>
      <c r="AC270" s="242">
        <f>IFERROR(Macro!$D109*Team!AC171/12+IF(AND(YEAR(AC$5)&gt;2020,MONTH(AC$5)=Macro!$D$52),Macro!$D109*AVERAGE(OFFSET(AD171,0,0,1,-12))*Macro!$E109,0),"NA")</f>
        <v>0</v>
      </c>
      <c r="AD270" s="243">
        <f>IFERROR(Macro!$D109*Team!AD171/12+IF(AND(YEAR(AD$5)&gt;2020,MONTH(AD$5)=Macro!$D$52),Macro!$D109*AVERAGE(OFFSET(AE171,0,0,1,-12))*Macro!$E109,0),"NA")</f>
        <v>0</v>
      </c>
      <c r="AE270" s="241">
        <f>IFERROR(Macro!$D109*Team!AE171/12+IF(AND(YEAR(AE$5)&gt;2020,MONTH(AE$5)=Macro!$D$52),Macro!$D109*AVERAGE(OFFSET(AF171,0,0,1,-12))*Macro!$E109,0),"NA")</f>
        <v>0</v>
      </c>
      <c r="AF270" s="242">
        <f>IFERROR(Macro!$D109*Team!AF171/12+IF(AND(YEAR(AF$5)&gt;2020,MONTH(AF$5)=Macro!$D$52),Macro!$D109*AVERAGE(OFFSET(AG171,0,0,1,-12))*Macro!$E109,0),"NA")</f>
        <v>0</v>
      </c>
      <c r="AG270" s="243">
        <f>IFERROR(Macro!$D109*Team!AG171/12+IF(AND(YEAR(AG$5)&gt;2020,MONTH(AG$5)=Macro!$D$52),Macro!$D109*AVERAGE(OFFSET(AH171,0,0,1,-12))*Macro!$E109,0),"NA")</f>
        <v>0</v>
      </c>
      <c r="AH270" s="241" t="str">
        <f>IFERROR(Macro!$D109*Team!AH171/12+IF(AND(YEAR(AH$5)&gt;2020,MONTH(AH$5)=Macro!$D$52),Macro!$D109*AVERAGE(OFFSET(AI171,0,0,1,-12))*Macro!$E109,0),"NA")</f>
        <v>NA</v>
      </c>
      <c r="AI270" s="242">
        <f>IFERROR(Macro!$D109*Team!AI171/12+IF(AND(YEAR(AI$5)&gt;2020,MONTH(AI$5)=Macro!$D$52),Macro!$D109*AVERAGE(OFFSET(AJ171,0,0,1,-12))*Macro!$E109,0),"NA")</f>
        <v>0</v>
      </c>
      <c r="AJ270" s="243">
        <f>IFERROR(Macro!$D109*Team!AJ171/12+IF(AND(YEAR(AJ$5)&gt;2020,MONTH(AJ$5)=Macro!$D$52),Macro!$D109*AVERAGE(OFFSET(AK171,0,0,1,-12))*Macro!$E109,0),"NA")</f>
        <v>0</v>
      </c>
      <c r="AK270" s="241">
        <f>IFERROR(Macro!$D109*Team!AK171/12+IF(AND(YEAR(AK$5)&gt;2020,MONTH(AK$5)=Macro!$D$52),Macro!$D109*AVERAGE(OFFSET(AL171,0,0,1,-12))*Macro!$E109,0),"NA")</f>
        <v>0</v>
      </c>
      <c r="AL270" s="242">
        <f>IFERROR(Macro!$D109*Team!AL171/12+IF(AND(YEAR(AL$5)&gt;2020,MONTH(AL$5)=Macro!$D$52),Macro!$D109*AVERAGE(OFFSET(AM171,0,0,1,-12))*Macro!$E109,0),"NA")</f>
        <v>0</v>
      </c>
      <c r="AM270" s="243">
        <f>IFERROR(Macro!$D109*Team!AM171/12+IF(AND(YEAR(AM$5)&gt;2020,MONTH(AM$5)=Macro!$D$52),Macro!$D109*AVERAGE(OFFSET(AN171,0,0,1,-12))*Macro!$E109,0),"NA")</f>
        <v>0</v>
      </c>
      <c r="AN270" s="241">
        <f>IFERROR(Macro!$D109*Team!AN171/12+IF(AND(YEAR(AN$5)&gt;2020,MONTH(AN$5)=Macro!$D$52),Macro!$D109*AVERAGE(OFFSET(AO171,0,0,1,-12))*Macro!$E109,0),"NA")</f>
        <v>0</v>
      </c>
      <c r="AO270" s="242">
        <f>IFERROR(Macro!$D109*Team!AO171/12+IF(AND(YEAR(AO$5)&gt;2020,MONTH(AO$5)=Macro!$D$52),Macro!$D109*AVERAGE(OFFSET(AP171,0,0,1,-12))*Macro!$E109,0),"NA")</f>
        <v>0</v>
      </c>
      <c r="AP270" s="243">
        <f>IFERROR(Macro!$D109*Team!AP171/12+IF(AND(YEAR(AP$5)&gt;2020,MONTH(AP$5)=Macro!$D$52),Macro!$D109*AVERAGE(OFFSET(AQ171,0,0,1,-12))*Macro!$E109,0),"NA")</f>
        <v>0</v>
      </c>
      <c r="AQ270" s="241">
        <f>IFERROR(Macro!$D109*Team!AQ171/12+IF(AND(YEAR(AQ$5)&gt;2020,MONTH(AQ$5)=Macro!$D$52),Macro!$D109*AVERAGE(OFFSET(AR171,0,0,1,-12))*Macro!$E109,0),"NA")</f>
        <v>0</v>
      </c>
      <c r="AR270" s="242">
        <f>IFERROR(Macro!$D109*Team!AR171/12+IF(AND(YEAR(AR$5)&gt;2020,MONTH(AR$5)=Macro!$D$52),Macro!$D109*AVERAGE(OFFSET(AS171,0,0,1,-12))*Macro!$E109,0),"NA")</f>
        <v>0</v>
      </c>
      <c r="AS270" s="243">
        <f>IFERROR(Macro!$D109*Team!AS171/12+IF(AND(YEAR(AS$5)&gt;2020,MONTH(AS$5)=Macro!$D$52),Macro!$D109*AVERAGE(OFFSET(AT171,0,0,1,-12))*Macro!$E109,0),"NA")</f>
        <v>0</v>
      </c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</row>
    <row r="271" ht="12.0" customHeight="1">
      <c r="A271" s="8"/>
      <c r="B271" s="8"/>
      <c r="C271" s="270" t="s">
        <v>73</v>
      </c>
      <c r="D271" s="51">
        <f t="shared" ref="D271:AS271" si="101">SUM(D246:D270)</f>
        <v>133333.3333</v>
      </c>
      <c r="E271" s="52">
        <f t="shared" si="101"/>
        <v>133333.3333</v>
      </c>
      <c r="F271" s="52">
        <f t="shared" si="101"/>
        <v>133333.3333</v>
      </c>
      <c r="G271" s="51">
        <f t="shared" si="101"/>
        <v>133333.3333</v>
      </c>
      <c r="H271" s="52">
        <f t="shared" si="101"/>
        <v>133333.3333</v>
      </c>
      <c r="I271" s="53">
        <f t="shared" si="101"/>
        <v>133333.3333</v>
      </c>
      <c r="J271" s="51">
        <f t="shared" si="101"/>
        <v>133333.3333</v>
      </c>
      <c r="K271" s="52">
        <f t="shared" si="101"/>
        <v>133333.3333</v>
      </c>
      <c r="L271" s="53">
        <f t="shared" si="101"/>
        <v>195833.3333</v>
      </c>
      <c r="M271" s="51">
        <f t="shared" si="101"/>
        <v>208333.3333</v>
      </c>
      <c r="N271" s="52">
        <f t="shared" si="101"/>
        <v>208333.3333</v>
      </c>
      <c r="O271" s="53">
        <f t="shared" si="101"/>
        <v>220833.3333</v>
      </c>
      <c r="P271" s="51">
        <f t="shared" si="101"/>
        <v>220833.3333</v>
      </c>
      <c r="Q271" s="52">
        <f t="shared" si="101"/>
        <v>220833.3333</v>
      </c>
      <c r="R271" s="53">
        <f t="shared" si="101"/>
        <v>233333.3333</v>
      </c>
      <c r="S271" s="51">
        <f t="shared" si="101"/>
        <v>233333.3333</v>
      </c>
      <c r="T271" s="52">
        <f t="shared" si="101"/>
        <v>233333.3333</v>
      </c>
      <c r="U271" s="53">
        <f t="shared" si="101"/>
        <v>233333.3333</v>
      </c>
      <c r="V271" s="51">
        <f t="shared" si="101"/>
        <v>0</v>
      </c>
      <c r="W271" s="52">
        <f t="shared" si="101"/>
        <v>233333.3333</v>
      </c>
      <c r="X271" s="53">
        <f t="shared" si="101"/>
        <v>233333.3333</v>
      </c>
      <c r="Y271" s="51">
        <f t="shared" si="101"/>
        <v>233333.3333</v>
      </c>
      <c r="Z271" s="52">
        <f t="shared" si="101"/>
        <v>233333.3333</v>
      </c>
      <c r="AA271" s="53">
        <f t="shared" si="101"/>
        <v>233333.3333</v>
      </c>
      <c r="AB271" s="51">
        <f t="shared" si="101"/>
        <v>233333.3333</v>
      </c>
      <c r="AC271" s="52">
        <f t="shared" si="101"/>
        <v>233333.3333</v>
      </c>
      <c r="AD271" s="53">
        <f t="shared" si="101"/>
        <v>233333.3333</v>
      </c>
      <c r="AE271" s="51">
        <f t="shared" si="101"/>
        <v>233333.3333</v>
      </c>
      <c r="AF271" s="52">
        <f t="shared" si="101"/>
        <v>233333.3333</v>
      </c>
      <c r="AG271" s="53">
        <f t="shared" si="101"/>
        <v>233333.3333</v>
      </c>
      <c r="AH271" s="51">
        <f t="shared" si="101"/>
        <v>0</v>
      </c>
      <c r="AI271" s="52">
        <f t="shared" si="101"/>
        <v>233333.3333</v>
      </c>
      <c r="AJ271" s="53">
        <f t="shared" si="101"/>
        <v>233333.3333</v>
      </c>
      <c r="AK271" s="51">
        <f t="shared" si="101"/>
        <v>233333.3333</v>
      </c>
      <c r="AL271" s="52">
        <f t="shared" si="101"/>
        <v>233333.3333</v>
      </c>
      <c r="AM271" s="53">
        <f t="shared" si="101"/>
        <v>233333.3333</v>
      </c>
      <c r="AN271" s="51">
        <f t="shared" si="101"/>
        <v>233333.3333</v>
      </c>
      <c r="AO271" s="52">
        <f t="shared" si="101"/>
        <v>233333.3333</v>
      </c>
      <c r="AP271" s="53">
        <f t="shared" si="101"/>
        <v>233333.3333</v>
      </c>
      <c r="AQ271" s="51">
        <f t="shared" si="101"/>
        <v>233333.3333</v>
      </c>
      <c r="AR271" s="52">
        <f t="shared" si="101"/>
        <v>233333.3333</v>
      </c>
      <c r="AS271" s="53">
        <f t="shared" si="101"/>
        <v>233333.3333</v>
      </c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</row>
    <row r="272" ht="12.0" customHeight="1">
      <c r="A272" s="4"/>
      <c r="B272" s="4"/>
      <c r="C272" s="4"/>
      <c r="D272" s="64"/>
      <c r="E272" s="4"/>
      <c r="F272" s="4"/>
      <c r="G272" s="64"/>
      <c r="H272" s="4"/>
      <c r="I272" s="65"/>
      <c r="J272" s="64"/>
      <c r="K272" s="4"/>
      <c r="L272" s="65"/>
      <c r="M272" s="64"/>
      <c r="N272" s="4"/>
      <c r="O272" s="65"/>
      <c r="P272" s="64"/>
      <c r="Q272" s="4"/>
      <c r="R272" s="65"/>
      <c r="S272" s="64"/>
      <c r="T272" s="4"/>
      <c r="U272" s="65"/>
      <c r="V272" s="64"/>
      <c r="W272" s="4"/>
      <c r="X272" s="65"/>
      <c r="Y272" s="64"/>
      <c r="Z272" s="4"/>
      <c r="AA272" s="65"/>
      <c r="AB272" s="64"/>
      <c r="AC272" s="4"/>
      <c r="AD272" s="65"/>
      <c r="AE272" s="64"/>
      <c r="AF272" s="4"/>
      <c r="AG272" s="65"/>
      <c r="AH272" s="64"/>
      <c r="AI272" s="4"/>
      <c r="AJ272" s="65"/>
      <c r="AK272" s="64"/>
      <c r="AL272" s="4"/>
      <c r="AM272" s="65"/>
      <c r="AN272" s="64"/>
      <c r="AO272" s="4"/>
      <c r="AP272" s="65"/>
      <c r="AQ272" s="64"/>
      <c r="AR272" s="4"/>
      <c r="AS272" s="65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</row>
    <row r="273" ht="12.0" customHeight="1">
      <c r="A273" s="8"/>
      <c r="B273" s="270" t="s">
        <v>125</v>
      </c>
      <c r="C273" s="8"/>
      <c r="D273" s="51"/>
      <c r="E273" s="52"/>
      <c r="F273" s="52"/>
      <c r="G273" s="51"/>
      <c r="H273" s="52"/>
      <c r="I273" s="53"/>
      <c r="J273" s="51"/>
      <c r="K273" s="52"/>
      <c r="L273" s="53"/>
      <c r="M273" s="51"/>
      <c r="N273" s="52"/>
      <c r="O273" s="53"/>
      <c r="P273" s="51"/>
      <c r="Q273" s="52"/>
      <c r="R273" s="53"/>
      <c r="S273" s="51"/>
      <c r="T273" s="52"/>
      <c r="U273" s="53"/>
      <c r="V273" s="51"/>
      <c r="W273" s="52"/>
      <c r="X273" s="53"/>
      <c r="Y273" s="51"/>
      <c r="Z273" s="52"/>
      <c r="AA273" s="53"/>
      <c r="AB273" s="51"/>
      <c r="AC273" s="52"/>
      <c r="AD273" s="53"/>
      <c r="AE273" s="51"/>
      <c r="AF273" s="52"/>
      <c r="AG273" s="53"/>
      <c r="AH273" s="51"/>
      <c r="AI273" s="52"/>
      <c r="AJ273" s="53"/>
      <c r="AK273" s="51"/>
      <c r="AL273" s="52"/>
      <c r="AM273" s="53"/>
      <c r="AN273" s="51"/>
      <c r="AO273" s="52"/>
      <c r="AP273" s="53"/>
      <c r="AQ273" s="51"/>
      <c r="AR273" s="52"/>
      <c r="AS273" s="53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</row>
    <row r="274" ht="12.0" customHeight="1">
      <c r="A274" s="282"/>
      <c r="B274" s="8"/>
      <c r="C274" s="37" t="str">
        <f t="shared" ref="C274:C285" si="102">C175</f>
        <v>Founding Product Designer</v>
      </c>
      <c r="D274" s="283">
        <f>IFERROR(Macro!$D112*Team!D175/12+IF(AND(YEAR(D$5)&gt;2020,MONTH(D$5)=Macro!$D$52),Macro!$D113*AVERAGE(OFFSET(E175,0,0,1,-12))*Macro!$E112,0),"NA")</f>
        <v>16666.66667</v>
      </c>
      <c r="E274" s="284">
        <f>IFERROR(Macro!$D112*Team!E175/12+IF(AND(YEAR(E$5)&gt;2020,MONTH(E$5)=Macro!$D$52),Macro!$D113*AVERAGE(OFFSET(F175,0,0,1,-12))*Macro!$E112,0),"NA")</f>
        <v>16666.66667</v>
      </c>
      <c r="F274" s="284">
        <f>IFERROR(Macro!$D112*Team!F175/12+IF(AND(YEAR(F$5)&gt;2020,MONTH(F$5)=Macro!$D$52),Macro!$D113*AVERAGE(OFFSET(G175,0,0,1,-12))*Macro!$E112,0),"NA")</f>
        <v>16666.66667</v>
      </c>
      <c r="G274" s="283">
        <f>IFERROR(Macro!$D112*Team!G175/12+IF(AND(YEAR(G$5)&gt;2020,MONTH(G$5)=Macro!$D$52),Macro!$D113*AVERAGE(OFFSET(H175,0,0,1,-12))*Macro!$E112,0),"NA")</f>
        <v>16666.66667</v>
      </c>
      <c r="H274" s="284">
        <f>IFERROR(Macro!$D112*Team!H175/12+IF(AND(YEAR(H$5)&gt;2020,MONTH(H$5)=Macro!$D$52),Macro!$D113*AVERAGE(OFFSET(I175,0,0,1,-12))*Macro!$E112,0),"NA")</f>
        <v>16666.66667</v>
      </c>
      <c r="I274" s="285">
        <f>IFERROR(Macro!$D112*Team!I175/12+IF(AND(YEAR(I$5)&gt;2020,MONTH(I$5)=Macro!$D$52),Macro!$D113*AVERAGE(OFFSET(J175,0,0,1,-12))*Macro!$E112,0),"NA")</f>
        <v>16666.66667</v>
      </c>
      <c r="J274" s="286">
        <f>IFERROR(Macro!$D112*Team!J175/12+IF(AND(YEAR(J$5)&gt;2020,MONTH(J$5)=Macro!$D$52),Macro!$D113*AVERAGE(OFFSET(K175,0,0,1,-12))*Macro!$E112,0),"NA")</f>
        <v>16666.66667</v>
      </c>
      <c r="K274" s="287">
        <f>IFERROR(Macro!$D112*Team!K175/12+IF(AND(YEAR(K$5)&gt;2020,MONTH(K$5)=Macro!$D$52),Macro!$D113*AVERAGE(OFFSET(L175,0,0,1,-12))*Macro!$E112,0),"NA")</f>
        <v>16666.66667</v>
      </c>
      <c r="L274" s="288">
        <f>IFERROR(Macro!$D112*Team!L175/12+IF(AND(YEAR(L$5)&gt;2020,MONTH(L$5)=Macro!$D$52),Macro!$D113*AVERAGE(OFFSET(M175,0,0,1,-12))*Macro!$E112,0),"NA")</f>
        <v>16666.66667</v>
      </c>
      <c r="M274" s="38">
        <f>IFERROR(Macro!$D112*Team!M175/12+IF(AND(YEAR(M$5)&gt;2020,MONTH(M$5)=Macro!$D$52),Macro!$D113*AVERAGE(OFFSET(N175,0,0,1,-12))*Macro!$E112,0),"NA")</f>
        <v>16666.66667</v>
      </c>
      <c r="N274" s="39">
        <f>IFERROR(Macro!$D112*Team!N175/12+IF(AND(YEAR(N$5)&gt;2020,MONTH(N$5)=Macro!$D$52),Macro!$D113*AVERAGE(OFFSET(O175,0,0,1,-12))*Macro!$E112,0),"NA")</f>
        <v>16666.66667</v>
      </c>
      <c r="O274" s="40">
        <f>IFERROR(Macro!$D112*Team!O175/12+IF(AND(YEAR(O$5)&gt;2020,MONTH(O$5)=Macro!$D$52),Macro!$D113*AVERAGE(OFFSET(P175,0,0,1,-12))*Macro!$E112,0),"NA")</f>
        <v>16666.66667</v>
      </c>
      <c r="P274" s="38">
        <f>IFERROR(Macro!$D112*Team!P175/12+IF(AND(YEAR(P$5)&gt;2020,MONTH(P$5)=Macro!$D$52),Macro!$D113*AVERAGE(OFFSET(Q175,0,0,1,-12))*Macro!$E112,0),"NA")</f>
        <v>16666.66667</v>
      </c>
      <c r="Q274" s="39">
        <f>IFERROR(Macro!$D112*Team!Q175/12+IF(AND(YEAR(Q$5)&gt;2020,MONTH(Q$5)=Macro!$D$52),Macro!$D113*AVERAGE(OFFSET(R175,0,0,1,-12))*Macro!$E112,0),"NA")</f>
        <v>16666.66667</v>
      </c>
      <c r="R274" s="40">
        <f>IFERROR(Macro!$D112*Team!R175/12+IF(AND(YEAR(R$5)&gt;2020,MONTH(R$5)=Macro!$D$52),Macro!$D113*AVERAGE(OFFSET(S175,0,0,1,-12))*Macro!$E112,0),"NA")</f>
        <v>16666.66667</v>
      </c>
      <c r="S274" s="38">
        <f>IFERROR(Macro!$D112*Team!S175/12+IF(AND(YEAR(S$5)&gt;2020,MONTH(S$5)=Macro!$D$52),Macro!$D113*AVERAGE(OFFSET(T175,0,0,1,-12))*Macro!$E112,0),"NA")</f>
        <v>16666.66667</v>
      </c>
      <c r="T274" s="39">
        <f>IFERROR(Macro!$D112*Team!T175/12+IF(AND(YEAR(T$5)&gt;2020,MONTH(T$5)=Macro!$D$52),Macro!$D113*AVERAGE(OFFSET(U175,0,0,1,-12))*Macro!$E112,0),"NA")</f>
        <v>16666.66667</v>
      </c>
      <c r="U274" s="40">
        <f>IFERROR(Macro!$D112*Team!U175/12+IF(AND(YEAR(U$5)&gt;2020,MONTH(U$5)=Macro!$D$52),Macro!$D113*AVERAGE(OFFSET(V175,0,0,1,-12))*Macro!$E112,0),"NA")</f>
        <v>16666.66667</v>
      </c>
      <c r="V274" s="38" t="str">
        <f>IFERROR(Macro!$D112*Team!V175/12+IF(AND(YEAR(V$5)&gt;2020,MONTH(V$5)=Macro!$D$52),Macro!$D113*AVERAGE(OFFSET(W175,0,0,1,-12))*Macro!$E112,0),"NA")</f>
        <v>NA</v>
      </c>
      <c r="W274" s="39">
        <f>IFERROR(Macro!$D112*Team!W175/12+IF(AND(YEAR(W$5)&gt;2020,MONTH(W$5)=Macro!$D$52),Macro!$D113*AVERAGE(OFFSET(X175,0,0,1,-12))*Macro!$E112,0),"NA")</f>
        <v>16666.66667</v>
      </c>
      <c r="X274" s="40">
        <f>IFERROR(Macro!$D112*Team!X175/12+IF(AND(YEAR(X$5)&gt;2020,MONTH(X$5)=Macro!$D$52),Macro!$D113*AVERAGE(OFFSET(Y175,0,0,1,-12))*Macro!$E112,0),"NA")</f>
        <v>16666.66667</v>
      </c>
      <c r="Y274" s="38">
        <f>IFERROR(Macro!$D112*Team!Y175/12+IF(AND(YEAR(Y$5)&gt;2020,MONTH(Y$5)=Macro!$D$52),Macro!$D113*AVERAGE(OFFSET(Z175,0,0,1,-12))*Macro!$E112,0),"NA")</f>
        <v>16666.66667</v>
      </c>
      <c r="Z274" s="39">
        <f>IFERROR(Macro!$D112*Team!Z175/12+IF(AND(YEAR(Z$5)&gt;2020,MONTH(Z$5)=Macro!$D$52),Macro!$D113*AVERAGE(OFFSET(AA175,0,0,1,-12))*Macro!$E112,0),"NA")</f>
        <v>16666.66667</v>
      </c>
      <c r="AA274" s="40">
        <f>IFERROR(Macro!$D112*Team!AA175/12+IF(AND(YEAR(AA$5)&gt;2020,MONTH(AA$5)=Macro!$D$52),Macro!$D113*AVERAGE(OFFSET(AB175,0,0,1,-12))*Macro!$E112,0),"NA")</f>
        <v>16666.66667</v>
      </c>
      <c r="AB274" s="38">
        <f>IFERROR(Macro!$D112*Team!AB175/12+IF(AND(YEAR(AB$5)&gt;2020,MONTH(AB$5)=Macro!$D$52),Macro!$D113*AVERAGE(OFFSET(AC175,0,0,1,-12))*Macro!$E112,0),"NA")</f>
        <v>16666.66667</v>
      </c>
      <c r="AC274" s="39">
        <f>IFERROR(Macro!$D112*Team!AC175/12+IF(AND(YEAR(AC$5)&gt;2020,MONTH(AC$5)=Macro!$D$52),Macro!$D113*AVERAGE(OFFSET(AD175,0,0,1,-12))*Macro!$E112,0),"NA")</f>
        <v>16666.66667</v>
      </c>
      <c r="AD274" s="40">
        <f>IFERROR(Macro!$D112*Team!AD175/12+IF(AND(YEAR(AD$5)&gt;2020,MONTH(AD$5)=Macro!$D$52),Macro!$D113*AVERAGE(OFFSET(AE175,0,0,1,-12))*Macro!$E112,0),"NA")</f>
        <v>16666.66667</v>
      </c>
      <c r="AE274" s="38">
        <f>IFERROR(Macro!$D112*Team!AE175/12+IF(AND(YEAR(AE$5)&gt;2020,MONTH(AE$5)=Macro!$D$52),Macro!$D113*AVERAGE(OFFSET(AF175,0,0,1,-12))*Macro!$E112,0),"NA")</f>
        <v>16666.66667</v>
      </c>
      <c r="AF274" s="39">
        <f>IFERROR(Macro!$D112*Team!AF175/12+IF(AND(YEAR(AF$5)&gt;2020,MONTH(AF$5)=Macro!$D$52),Macro!$D113*AVERAGE(OFFSET(AG175,0,0,1,-12))*Macro!$E112,0),"NA")</f>
        <v>16666.66667</v>
      </c>
      <c r="AG274" s="40">
        <f>IFERROR(Macro!$D112*Team!AG175/12+IF(AND(YEAR(AG$5)&gt;2020,MONTH(AG$5)=Macro!$D$52),Macro!$D113*AVERAGE(OFFSET(AH175,0,0,1,-12))*Macro!$E112,0),"NA")</f>
        <v>16666.66667</v>
      </c>
      <c r="AH274" s="38" t="str">
        <f>IFERROR(Macro!$D112*Team!AH175/12+IF(AND(YEAR(AH$5)&gt;2020,MONTH(AH$5)=Macro!$D$52),Macro!$D113*AVERAGE(OFFSET(AI175,0,0,1,-12))*Macro!$E112,0),"NA")</f>
        <v>NA</v>
      </c>
      <c r="AI274" s="39">
        <f>IFERROR(Macro!$D112*Team!AI175/12+IF(AND(YEAR(AI$5)&gt;2020,MONTH(AI$5)=Macro!$D$52),Macro!$D113*AVERAGE(OFFSET(AJ175,0,0,1,-12))*Macro!$E112,0),"NA")</f>
        <v>16666.66667</v>
      </c>
      <c r="AJ274" s="40">
        <f>IFERROR(Macro!$D112*Team!AJ175/12+IF(AND(YEAR(AJ$5)&gt;2020,MONTH(AJ$5)=Macro!$D$52),Macro!$D113*AVERAGE(OFFSET(AK175,0,0,1,-12))*Macro!$E112,0),"NA")</f>
        <v>16666.66667</v>
      </c>
      <c r="AK274" s="38">
        <f>IFERROR(Macro!$D112*Team!AK175/12+IF(AND(YEAR(AK$5)&gt;2020,MONTH(AK$5)=Macro!$D$52),Macro!$D113*AVERAGE(OFFSET(AL175,0,0,1,-12))*Macro!$E112,0),"NA")</f>
        <v>16666.66667</v>
      </c>
      <c r="AL274" s="39">
        <f>IFERROR(Macro!$D112*Team!AL175/12+IF(AND(YEAR(AL$5)&gt;2020,MONTH(AL$5)=Macro!$D$52),Macro!$D113*AVERAGE(OFFSET(AM175,0,0,1,-12))*Macro!$E112,0),"NA")</f>
        <v>16666.66667</v>
      </c>
      <c r="AM274" s="40">
        <f>IFERROR(Macro!$D112*Team!AM175/12+IF(AND(YEAR(AM$5)&gt;2020,MONTH(AM$5)=Macro!$D$52),Macro!$D113*AVERAGE(OFFSET(AN175,0,0,1,-12))*Macro!$E112,0),"NA")</f>
        <v>16666.66667</v>
      </c>
      <c r="AN274" s="38">
        <f>IFERROR(Macro!$D112*Team!AN175/12+IF(AND(YEAR(AN$5)&gt;2020,MONTH(AN$5)=Macro!$D$52),Macro!$D113*AVERAGE(OFFSET(AO175,0,0,1,-12))*Macro!$E112,0),"NA")</f>
        <v>16666.66667</v>
      </c>
      <c r="AO274" s="39">
        <f>IFERROR(Macro!$D112*Team!AO175/12+IF(AND(YEAR(AO$5)&gt;2020,MONTH(AO$5)=Macro!$D$52),Macro!$D113*AVERAGE(OFFSET(AP175,0,0,1,-12))*Macro!$E112,0),"NA")</f>
        <v>16666.66667</v>
      </c>
      <c r="AP274" s="40">
        <f>IFERROR(Macro!$D112*Team!AP175/12+IF(AND(YEAR(AP$5)&gt;2020,MONTH(AP$5)=Macro!$D$52),Macro!$D113*AVERAGE(OFFSET(AQ175,0,0,1,-12))*Macro!$E112,0),"NA")</f>
        <v>16666.66667</v>
      </c>
      <c r="AQ274" s="38">
        <f>IFERROR(Macro!$D112*Team!AQ175/12+IF(AND(YEAR(AQ$5)&gt;2020,MONTH(AQ$5)=Macro!$D$52),Macro!$D113*AVERAGE(OFFSET(AR175,0,0,1,-12))*Macro!$E112,0),"NA")</f>
        <v>16666.66667</v>
      </c>
      <c r="AR274" s="39">
        <f>IFERROR(Macro!$D112*Team!AR175/12+IF(AND(YEAR(AR$5)&gt;2020,MONTH(AR$5)=Macro!$D$52),Macro!$D113*AVERAGE(OFFSET(AS175,0,0,1,-12))*Macro!$E112,0),"NA")</f>
        <v>16666.66667</v>
      </c>
      <c r="AS274" s="40">
        <f>IFERROR(Macro!$D112*Team!AS175/12+IF(AND(YEAR(AS$5)&gt;2020,MONTH(AS$5)=Macro!$D$52),Macro!$D113*AVERAGE(OFFSET(AT175,0,0,1,-12))*Macro!$E112,0),"NA")</f>
        <v>16666.66667</v>
      </c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</row>
    <row r="275" ht="12.0" customHeight="1">
      <c r="A275" s="282"/>
      <c r="B275" s="8"/>
      <c r="C275" s="37" t="str">
        <f t="shared" si="102"/>
        <v>Product Manager</v>
      </c>
      <c r="D275" s="283">
        <f>IFERROR(Macro!$D113*Team!D176/12+IF(AND(YEAR(D$5)&gt;2020,MONTH(D$5)=Macro!$D$52),Macro!$D114*AVERAGE(OFFSET(E176,0,0,1,-12))*Macro!$E113,0),"NA")</f>
        <v>12500</v>
      </c>
      <c r="E275" s="284">
        <f>IFERROR(Macro!$D113*Team!E176/12+IF(AND(YEAR(E$5)&gt;2020,MONTH(E$5)=Macro!$D$52),Macro!$D114*AVERAGE(OFFSET(F176,0,0,1,-12))*Macro!$E113,0),"NA")</f>
        <v>12500</v>
      </c>
      <c r="F275" s="284">
        <f>IFERROR(Macro!$D113*Team!F176/12+IF(AND(YEAR(F$5)&gt;2020,MONTH(F$5)=Macro!$D$52),Macro!$D114*AVERAGE(OFFSET(G176,0,0,1,-12))*Macro!$E113,0),"NA")</f>
        <v>12500</v>
      </c>
      <c r="G275" s="283">
        <f>IFERROR(Macro!$D113*Team!G176/12+IF(AND(YEAR(G$5)&gt;2020,MONTH(G$5)=Macro!$D$52),Macro!$D114*AVERAGE(OFFSET(H176,0,0,1,-12))*Macro!$E113,0),"NA")</f>
        <v>12500</v>
      </c>
      <c r="H275" s="284">
        <f>IFERROR(Macro!$D113*Team!H176/12+IF(AND(YEAR(H$5)&gt;2020,MONTH(H$5)=Macro!$D$52),Macro!$D114*AVERAGE(OFFSET(I176,0,0,1,-12))*Macro!$E113,0),"NA")</f>
        <v>12500</v>
      </c>
      <c r="I275" s="285">
        <f>IFERROR(Macro!$D113*Team!I176/12+IF(AND(YEAR(I$5)&gt;2020,MONTH(I$5)=Macro!$D$52),Macro!$D114*AVERAGE(OFFSET(J176,0,0,1,-12))*Macro!$E113,0),"NA")</f>
        <v>12500</v>
      </c>
      <c r="J275" s="286">
        <f>IFERROR(Macro!$D113*Team!J176/12+IF(AND(YEAR(J$5)&gt;2020,MONTH(J$5)=Macro!$D$52),Macro!$D114*AVERAGE(OFFSET(K176,0,0,1,-12))*Macro!$E113,0),"NA")</f>
        <v>12500</v>
      </c>
      <c r="K275" s="287">
        <f>IFERROR(Macro!$D113*Team!K176/12+IF(AND(YEAR(K$5)&gt;2020,MONTH(K$5)=Macro!$D$52),Macro!$D114*AVERAGE(OFFSET(L176,0,0,1,-12))*Macro!$E113,0),"NA")</f>
        <v>12500</v>
      </c>
      <c r="L275" s="288">
        <f>IFERROR(Macro!$D113*Team!L176/12+IF(AND(YEAR(L$5)&gt;2020,MONTH(L$5)=Macro!$D$52),Macro!$D114*AVERAGE(OFFSET(M176,0,0,1,-12))*Macro!$E113,0),"NA")</f>
        <v>12500</v>
      </c>
      <c r="M275" s="38">
        <f>IFERROR(Macro!$D113*Team!M176/12+IF(AND(YEAR(M$5)&gt;2020,MONTH(M$5)=Macro!$D$52),Macro!$D114*AVERAGE(OFFSET(N176,0,0,1,-12))*Macro!$E113,0),"NA")</f>
        <v>12500</v>
      </c>
      <c r="N275" s="39">
        <f>IFERROR(Macro!$D113*Team!N176/12+IF(AND(YEAR(N$5)&gt;2020,MONTH(N$5)=Macro!$D$52),Macro!$D114*AVERAGE(OFFSET(O176,0,0,1,-12))*Macro!$E113,0),"NA")</f>
        <v>12500</v>
      </c>
      <c r="O275" s="40">
        <f>IFERROR(Macro!$D113*Team!O176/12+IF(AND(YEAR(O$5)&gt;2020,MONTH(O$5)=Macro!$D$52),Macro!$D114*AVERAGE(OFFSET(P176,0,0,1,-12))*Macro!$E113,0),"NA")</f>
        <v>12500</v>
      </c>
      <c r="P275" s="38">
        <f>IFERROR(Macro!$D113*Team!P176/12+IF(AND(YEAR(P$5)&gt;2020,MONTH(P$5)=Macro!$D$52),Macro!$D114*AVERAGE(OFFSET(Q176,0,0,1,-12))*Macro!$E113,0),"NA")</f>
        <v>12500</v>
      </c>
      <c r="Q275" s="39">
        <f>IFERROR(Macro!$D113*Team!Q176/12+IF(AND(YEAR(Q$5)&gt;2020,MONTH(Q$5)=Macro!$D$52),Macro!$D114*AVERAGE(OFFSET(R176,0,0,1,-12))*Macro!$E113,0),"NA")</f>
        <v>12500</v>
      </c>
      <c r="R275" s="40">
        <f>IFERROR(Macro!$D113*Team!R176/12+IF(AND(YEAR(R$5)&gt;2020,MONTH(R$5)=Macro!$D$52),Macro!$D114*AVERAGE(OFFSET(S176,0,0,1,-12))*Macro!$E113,0),"NA")</f>
        <v>12500</v>
      </c>
      <c r="S275" s="38">
        <f>IFERROR(Macro!$D113*Team!S176/12+IF(AND(YEAR(S$5)&gt;2020,MONTH(S$5)=Macro!$D$52),Macro!$D114*AVERAGE(OFFSET(T176,0,0,1,-12))*Macro!$E113,0),"NA")</f>
        <v>12500</v>
      </c>
      <c r="T275" s="39">
        <f>IFERROR(Macro!$D113*Team!T176/12+IF(AND(YEAR(T$5)&gt;2020,MONTH(T$5)=Macro!$D$52),Macro!$D114*AVERAGE(OFFSET(U176,0,0,1,-12))*Macro!$E113,0),"NA")</f>
        <v>12500</v>
      </c>
      <c r="U275" s="40">
        <f>IFERROR(Macro!$D113*Team!U176/12+IF(AND(YEAR(U$5)&gt;2020,MONTH(U$5)=Macro!$D$52),Macro!$D114*AVERAGE(OFFSET(V176,0,0,1,-12))*Macro!$E113,0),"NA")</f>
        <v>12500</v>
      </c>
      <c r="V275" s="38" t="str">
        <f>IFERROR(Macro!$D113*Team!V176/12+IF(AND(YEAR(V$5)&gt;2020,MONTH(V$5)=Macro!$D$52),Macro!$D114*AVERAGE(OFFSET(W176,0,0,1,-12))*Macro!$E113,0),"NA")</f>
        <v>NA</v>
      </c>
      <c r="W275" s="39">
        <f>IFERROR(Macro!$D113*Team!W176/12+IF(AND(YEAR(W$5)&gt;2020,MONTH(W$5)=Macro!$D$52),Macro!$D114*AVERAGE(OFFSET(X176,0,0,1,-12))*Macro!$E113,0),"NA")</f>
        <v>12500</v>
      </c>
      <c r="X275" s="40">
        <f>IFERROR(Macro!$D113*Team!X176/12+IF(AND(YEAR(X$5)&gt;2020,MONTH(X$5)=Macro!$D$52),Macro!$D114*AVERAGE(OFFSET(Y176,0,0,1,-12))*Macro!$E113,0),"NA")</f>
        <v>12500</v>
      </c>
      <c r="Y275" s="38">
        <f>IFERROR(Macro!$D113*Team!Y176/12+IF(AND(YEAR(Y$5)&gt;2020,MONTH(Y$5)=Macro!$D$52),Macro!$D114*AVERAGE(OFFSET(Z176,0,0,1,-12))*Macro!$E113,0),"NA")</f>
        <v>12500</v>
      </c>
      <c r="Z275" s="39">
        <f>IFERROR(Macro!$D113*Team!Z176/12+IF(AND(YEAR(Z$5)&gt;2020,MONTH(Z$5)=Macro!$D$52),Macro!$D114*AVERAGE(OFFSET(AA176,0,0,1,-12))*Macro!$E113,0),"NA")</f>
        <v>12500</v>
      </c>
      <c r="AA275" s="40">
        <f>IFERROR(Macro!$D113*Team!AA176/12+IF(AND(YEAR(AA$5)&gt;2020,MONTH(AA$5)=Macro!$D$52),Macro!$D114*AVERAGE(OFFSET(AB176,0,0,1,-12))*Macro!$E113,0),"NA")</f>
        <v>12500</v>
      </c>
      <c r="AB275" s="38">
        <f>IFERROR(Macro!$D113*Team!AB176/12+IF(AND(YEAR(AB$5)&gt;2020,MONTH(AB$5)=Macro!$D$52),Macro!$D114*AVERAGE(OFFSET(AC176,0,0,1,-12))*Macro!$E113,0),"NA")</f>
        <v>12500</v>
      </c>
      <c r="AC275" s="39">
        <f>IFERROR(Macro!$D113*Team!AC176/12+IF(AND(YEAR(AC$5)&gt;2020,MONTH(AC$5)=Macro!$D$52),Macro!$D114*AVERAGE(OFFSET(AD176,0,0,1,-12))*Macro!$E113,0),"NA")</f>
        <v>12500</v>
      </c>
      <c r="AD275" s="40">
        <f>IFERROR(Macro!$D113*Team!AD176/12+IF(AND(YEAR(AD$5)&gt;2020,MONTH(AD$5)=Macro!$D$52),Macro!$D114*AVERAGE(OFFSET(AE176,0,0,1,-12))*Macro!$E113,0),"NA")</f>
        <v>12500</v>
      </c>
      <c r="AE275" s="38">
        <f>IFERROR(Macro!$D113*Team!AE176/12+IF(AND(YEAR(AE$5)&gt;2020,MONTH(AE$5)=Macro!$D$52),Macro!$D114*AVERAGE(OFFSET(AF176,0,0,1,-12))*Macro!$E113,0),"NA")</f>
        <v>12500</v>
      </c>
      <c r="AF275" s="39">
        <f>IFERROR(Macro!$D113*Team!AF176/12+IF(AND(YEAR(AF$5)&gt;2020,MONTH(AF$5)=Macro!$D$52),Macro!$D114*AVERAGE(OFFSET(AG176,0,0,1,-12))*Macro!$E113,0),"NA")</f>
        <v>12500</v>
      </c>
      <c r="AG275" s="40">
        <f>IFERROR(Macro!$D113*Team!AG176/12+IF(AND(YEAR(AG$5)&gt;2020,MONTH(AG$5)=Macro!$D$52),Macro!$D114*AVERAGE(OFFSET(AH176,0,0,1,-12))*Macro!$E113,0),"NA")</f>
        <v>12500</v>
      </c>
      <c r="AH275" s="38" t="str">
        <f>IFERROR(Macro!$D113*Team!AH176/12+IF(AND(YEAR(AH$5)&gt;2020,MONTH(AH$5)=Macro!$D$52),Macro!$D114*AVERAGE(OFFSET(AI176,0,0,1,-12))*Macro!$E113,0),"NA")</f>
        <v>NA</v>
      </c>
      <c r="AI275" s="39">
        <f>IFERROR(Macro!$D113*Team!AI176/12+IF(AND(YEAR(AI$5)&gt;2020,MONTH(AI$5)=Macro!$D$52),Macro!$D114*AVERAGE(OFFSET(AJ176,0,0,1,-12))*Macro!$E113,0),"NA")</f>
        <v>12500</v>
      </c>
      <c r="AJ275" s="40">
        <f>IFERROR(Macro!$D113*Team!AJ176/12+IF(AND(YEAR(AJ$5)&gt;2020,MONTH(AJ$5)=Macro!$D$52),Macro!$D114*AVERAGE(OFFSET(AK176,0,0,1,-12))*Macro!$E113,0),"NA")</f>
        <v>12500</v>
      </c>
      <c r="AK275" s="38">
        <f>IFERROR(Macro!$D113*Team!AK176/12+IF(AND(YEAR(AK$5)&gt;2020,MONTH(AK$5)=Macro!$D$52),Macro!$D114*AVERAGE(OFFSET(AL176,0,0,1,-12))*Macro!$E113,0),"NA")</f>
        <v>12500</v>
      </c>
      <c r="AL275" s="39">
        <f>IFERROR(Macro!$D113*Team!AL176/12+IF(AND(YEAR(AL$5)&gt;2020,MONTH(AL$5)=Macro!$D$52),Macro!$D114*AVERAGE(OFFSET(AM176,0,0,1,-12))*Macro!$E113,0),"NA")</f>
        <v>12500</v>
      </c>
      <c r="AM275" s="40">
        <f>IFERROR(Macro!$D113*Team!AM176/12+IF(AND(YEAR(AM$5)&gt;2020,MONTH(AM$5)=Macro!$D$52),Macro!$D114*AVERAGE(OFFSET(AN176,0,0,1,-12))*Macro!$E113,0),"NA")</f>
        <v>12500</v>
      </c>
      <c r="AN275" s="38">
        <f>IFERROR(Macro!$D113*Team!AN176/12+IF(AND(YEAR(AN$5)&gt;2020,MONTH(AN$5)=Macro!$D$52),Macro!$D114*AVERAGE(OFFSET(AO176,0,0,1,-12))*Macro!$E113,0),"NA")</f>
        <v>12500</v>
      </c>
      <c r="AO275" s="39">
        <f>IFERROR(Macro!$D113*Team!AO176/12+IF(AND(YEAR(AO$5)&gt;2020,MONTH(AO$5)=Macro!$D$52),Macro!$D114*AVERAGE(OFFSET(AP176,0,0,1,-12))*Macro!$E113,0),"NA")</f>
        <v>12500</v>
      </c>
      <c r="AP275" s="40">
        <f>IFERROR(Macro!$D113*Team!AP176/12+IF(AND(YEAR(AP$5)&gt;2020,MONTH(AP$5)=Macro!$D$52),Macro!$D114*AVERAGE(OFFSET(AQ176,0,0,1,-12))*Macro!$E113,0),"NA")</f>
        <v>12500</v>
      </c>
      <c r="AQ275" s="38">
        <f>IFERROR(Macro!$D113*Team!AQ176/12+IF(AND(YEAR(AQ$5)&gt;2020,MONTH(AQ$5)=Macro!$D$52),Macro!$D114*AVERAGE(OFFSET(AR176,0,0,1,-12))*Macro!$E113,0),"NA")</f>
        <v>12500</v>
      </c>
      <c r="AR275" s="39">
        <f>IFERROR(Macro!$D113*Team!AR176/12+IF(AND(YEAR(AR$5)&gt;2020,MONTH(AR$5)=Macro!$D$52),Macro!$D114*AVERAGE(OFFSET(AS176,0,0,1,-12))*Macro!$E113,0),"NA")</f>
        <v>12500</v>
      </c>
      <c r="AS275" s="40">
        <f>IFERROR(Macro!$D113*Team!AS176/12+IF(AND(YEAR(AS$5)&gt;2020,MONTH(AS$5)=Macro!$D$52),Macro!$D114*AVERAGE(OFFSET(AT176,0,0,1,-12))*Macro!$E113,0),"NA")</f>
        <v>12500</v>
      </c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</row>
    <row r="276" ht="12.0" customHeight="1">
      <c r="A276" s="282"/>
      <c r="B276" s="8"/>
      <c r="C276" s="37" t="str">
        <f t="shared" si="102"/>
        <v>Tech Writer</v>
      </c>
      <c r="D276" s="283">
        <f>IFERROR(Macro!$D114*Team!D177/12+IF(AND(YEAR(D$5)&gt;2020,MONTH(D$5)=Macro!$D$52),Macro!$D115*AVERAGE(OFFSET(E177,0,0,1,-12))*Macro!$E114,0),"NA")</f>
        <v>12500</v>
      </c>
      <c r="E276" s="284">
        <f>IFERROR(Macro!$D114*Team!E177/12+IF(AND(YEAR(E$5)&gt;2020,MONTH(E$5)=Macro!$D$52),Macro!$D115*AVERAGE(OFFSET(F177,0,0,1,-12))*Macro!$E114,0),"NA")</f>
        <v>12500</v>
      </c>
      <c r="F276" s="284">
        <f>IFERROR(Macro!$D114*Team!F177/12+IF(AND(YEAR(F$5)&gt;2020,MONTH(F$5)=Macro!$D$52),Macro!$D115*AVERAGE(OFFSET(G177,0,0,1,-12))*Macro!$E114,0),"NA")</f>
        <v>12500</v>
      </c>
      <c r="G276" s="283">
        <f>IFERROR(Macro!$D114*Team!G177/12+IF(AND(YEAR(G$5)&gt;2020,MONTH(G$5)=Macro!$D$52),Macro!$D115*AVERAGE(OFFSET(H177,0,0,1,-12))*Macro!$E114,0),"NA")</f>
        <v>12500</v>
      </c>
      <c r="H276" s="284">
        <f>IFERROR(Macro!$D114*Team!H177/12+IF(AND(YEAR(H$5)&gt;2020,MONTH(H$5)=Macro!$D$52),Macro!$D115*AVERAGE(OFFSET(I177,0,0,1,-12))*Macro!$E114,0),"NA")</f>
        <v>12500</v>
      </c>
      <c r="I276" s="285">
        <f>IFERROR(Macro!$D114*Team!I177/12+IF(AND(YEAR(I$5)&gt;2020,MONTH(I$5)=Macro!$D$52),Macro!$D115*AVERAGE(OFFSET(J177,0,0,1,-12))*Macro!$E114,0),"NA")</f>
        <v>12500</v>
      </c>
      <c r="J276" s="286">
        <f>IFERROR(Macro!$D114*Team!J177/12+IF(AND(YEAR(J$5)&gt;2020,MONTH(J$5)=Macro!$D$52),Macro!$D115*AVERAGE(OFFSET(K177,0,0,1,-12))*Macro!$E114,0),"NA")</f>
        <v>12500</v>
      </c>
      <c r="K276" s="287">
        <f>IFERROR(Macro!$D114*Team!K177/12+IF(AND(YEAR(K$5)&gt;2020,MONTH(K$5)=Macro!$D$52),Macro!$D115*AVERAGE(OFFSET(L177,0,0,1,-12))*Macro!$E114,0),"NA")</f>
        <v>12500</v>
      </c>
      <c r="L276" s="288">
        <f>IFERROR(Macro!$D114*Team!L177/12+IF(AND(YEAR(L$5)&gt;2020,MONTH(L$5)=Macro!$D$52),Macro!$D115*AVERAGE(OFFSET(M177,0,0,1,-12))*Macro!$E114,0),"NA")</f>
        <v>12500</v>
      </c>
      <c r="M276" s="38">
        <f>IFERROR(Macro!$D114*Team!M177/12+IF(AND(YEAR(M$5)&gt;2020,MONTH(M$5)=Macro!$D$52),Macro!$D115*AVERAGE(OFFSET(N177,0,0,1,-12))*Macro!$E114,0),"NA")</f>
        <v>12500</v>
      </c>
      <c r="N276" s="39">
        <f>IFERROR(Macro!$D114*Team!N177/12+IF(AND(YEAR(N$5)&gt;2020,MONTH(N$5)=Macro!$D$52),Macro!$D115*AVERAGE(OFFSET(O177,0,0,1,-12))*Macro!$E114,0),"NA")</f>
        <v>12500</v>
      </c>
      <c r="O276" s="40">
        <f>IFERROR(Macro!$D114*Team!O177/12+IF(AND(YEAR(O$5)&gt;2020,MONTH(O$5)=Macro!$D$52),Macro!$D115*AVERAGE(OFFSET(P177,0,0,1,-12))*Macro!$E114,0),"NA")</f>
        <v>12500</v>
      </c>
      <c r="P276" s="38">
        <f>IFERROR(Macro!$D114*Team!P177/12+IF(AND(YEAR(P$5)&gt;2020,MONTH(P$5)=Macro!$D$52),Macro!$D115*AVERAGE(OFFSET(Q177,0,0,1,-12))*Macro!$E114,0),"NA")</f>
        <v>12500</v>
      </c>
      <c r="Q276" s="39">
        <f>IFERROR(Macro!$D114*Team!Q177/12+IF(AND(YEAR(Q$5)&gt;2020,MONTH(Q$5)=Macro!$D$52),Macro!$D115*AVERAGE(OFFSET(R177,0,0,1,-12))*Macro!$E114,0),"NA")</f>
        <v>12500</v>
      </c>
      <c r="R276" s="40">
        <f>IFERROR(Macro!$D114*Team!R177/12+IF(AND(YEAR(R$5)&gt;2020,MONTH(R$5)=Macro!$D$52),Macro!$D115*AVERAGE(OFFSET(S177,0,0,1,-12))*Macro!$E114,0),"NA")</f>
        <v>12500</v>
      </c>
      <c r="S276" s="38">
        <f>IFERROR(Macro!$D114*Team!S177/12+IF(AND(YEAR(S$5)&gt;2020,MONTH(S$5)=Macro!$D$52),Macro!$D115*AVERAGE(OFFSET(T177,0,0,1,-12))*Macro!$E114,0),"NA")</f>
        <v>12500</v>
      </c>
      <c r="T276" s="39">
        <f>IFERROR(Macro!$D114*Team!T177/12+IF(AND(YEAR(T$5)&gt;2020,MONTH(T$5)=Macro!$D$52),Macro!$D115*AVERAGE(OFFSET(U177,0,0,1,-12))*Macro!$E114,0),"NA")</f>
        <v>12500</v>
      </c>
      <c r="U276" s="40">
        <f>IFERROR(Macro!$D114*Team!U177/12+IF(AND(YEAR(U$5)&gt;2020,MONTH(U$5)=Macro!$D$52),Macro!$D115*AVERAGE(OFFSET(V177,0,0,1,-12))*Macro!$E114,0),"NA")</f>
        <v>12500</v>
      </c>
      <c r="V276" s="38" t="str">
        <f>IFERROR(Macro!$D114*Team!V177/12+IF(AND(YEAR(V$5)&gt;2020,MONTH(V$5)=Macro!$D$52),Macro!$D115*AVERAGE(OFFSET(W177,0,0,1,-12))*Macro!$E114,0),"NA")</f>
        <v>NA</v>
      </c>
      <c r="W276" s="39">
        <f>IFERROR(Macro!$D114*Team!W177/12+IF(AND(YEAR(W$5)&gt;2020,MONTH(W$5)=Macro!$D$52),Macro!$D115*AVERAGE(OFFSET(X177,0,0,1,-12))*Macro!$E114,0),"NA")</f>
        <v>12500</v>
      </c>
      <c r="X276" s="40">
        <f>IFERROR(Macro!$D114*Team!X177/12+IF(AND(YEAR(X$5)&gt;2020,MONTH(X$5)=Macro!$D$52),Macro!$D115*AVERAGE(OFFSET(Y177,0,0,1,-12))*Macro!$E114,0),"NA")</f>
        <v>12500</v>
      </c>
      <c r="Y276" s="38">
        <f>IFERROR(Macro!$D114*Team!Y177/12+IF(AND(YEAR(Y$5)&gt;2020,MONTH(Y$5)=Macro!$D$52),Macro!$D115*AVERAGE(OFFSET(Z177,0,0,1,-12))*Macro!$E114,0),"NA")</f>
        <v>12500</v>
      </c>
      <c r="Z276" s="39">
        <f>IFERROR(Macro!$D114*Team!Z177/12+IF(AND(YEAR(Z$5)&gt;2020,MONTH(Z$5)=Macro!$D$52),Macro!$D115*AVERAGE(OFFSET(AA177,0,0,1,-12))*Macro!$E114,0),"NA")</f>
        <v>12500</v>
      </c>
      <c r="AA276" s="40">
        <f>IFERROR(Macro!$D114*Team!AA177/12+IF(AND(YEAR(AA$5)&gt;2020,MONTH(AA$5)=Macro!$D$52),Macro!$D115*AVERAGE(OFFSET(AB177,0,0,1,-12))*Macro!$E114,0),"NA")</f>
        <v>12500</v>
      </c>
      <c r="AB276" s="38">
        <f>IFERROR(Macro!$D114*Team!AB177/12+IF(AND(YEAR(AB$5)&gt;2020,MONTH(AB$5)=Macro!$D$52),Macro!$D115*AVERAGE(OFFSET(AC177,0,0,1,-12))*Macro!$E114,0),"NA")</f>
        <v>12500</v>
      </c>
      <c r="AC276" s="39">
        <f>IFERROR(Macro!$D114*Team!AC177/12+IF(AND(YEAR(AC$5)&gt;2020,MONTH(AC$5)=Macro!$D$52),Macro!$D115*AVERAGE(OFFSET(AD177,0,0,1,-12))*Macro!$E114,0),"NA")</f>
        <v>12500</v>
      </c>
      <c r="AD276" s="40">
        <f>IFERROR(Macro!$D114*Team!AD177/12+IF(AND(YEAR(AD$5)&gt;2020,MONTH(AD$5)=Macro!$D$52),Macro!$D115*AVERAGE(OFFSET(AE177,0,0,1,-12))*Macro!$E114,0),"NA")</f>
        <v>12500</v>
      </c>
      <c r="AE276" s="38">
        <f>IFERROR(Macro!$D114*Team!AE177/12+IF(AND(YEAR(AE$5)&gt;2020,MONTH(AE$5)=Macro!$D$52),Macro!$D115*AVERAGE(OFFSET(AF177,0,0,1,-12))*Macro!$E114,0),"NA")</f>
        <v>12500</v>
      </c>
      <c r="AF276" s="39">
        <f>IFERROR(Macro!$D114*Team!AF177/12+IF(AND(YEAR(AF$5)&gt;2020,MONTH(AF$5)=Macro!$D$52),Macro!$D115*AVERAGE(OFFSET(AG177,0,0,1,-12))*Macro!$E114,0),"NA")</f>
        <v>12500</v>
      </c>
      <c r="AG276" s="40">
        <f>IFERROR(Macro!$D114*Team!AG177/12+IF(AND(YEAR(AG$5)&gt;2020,MONTH(AG$5)=Macro!$D$52),Macro!$D115*AVERAGE(OFFSET(AH177,0,0,1,-12))*Macro!$E114,0),"NA")</f>
        <v>12500</v>
      </c>
      <c r="AH276" s="38" t="str">
        <f>IFERROR(Macro!$D114*Team!AH177/12+IF(AND(YEAR(AH$5)&gt;2020,MONTH(AH$5)=Macro!$D$52),Macro!$D115*AVERAGE(OFFSET(AI177,0,0,1,-12))*Macro!$E114,0),"NA")</f>
        <v>NA</v>
      </c>
      <c r="AI276" s="39">
        <f>IFERROR(Macro!$D114*Team!AI177/12+IF(AND(YEAR(AI$5)&gt;2020,MONTH(AI$5)=Macro!$D$52),Macro!$D115*AVERAGE(OFFSET(AJ177,0,0,1,-12))*Macro!$E114,0),"NA")</f>
        <v>12500</v>
      </c>
      <c r="AJ276" s="40">
        <f>IFERROR(Macro!$D114*Team!AJ177/12+IF(AND(YEAR(AJ$5)&gt;2020,MONTH(AJ$5)=Macro!$D$52),Macro!$D115*AVERAGE(OFFSET(AK177,0,0,1,-12))*Macro!$E114,0),"NA")</f>
        <v>12500</v>
      </c>
      <c r="AK276" s="38">
        <f>IFERROR(Macro!$D114*Team!AK177/12+IF(AND(YEAR(AK$5)&gt;2020,MONTH(AK$5)=Macro!$D$52),Macro!$D115*AVERAGE(OFFSET(AL177,0,0,1,-12))*Macro!$E114,0),"NA")</f>
        <v>12500</v>
      </c>
      <c r="AL276" s="39">
        <f>IFERROR(Macro!$D114*Team!AL177/12+IF(AND(YEAR(AL$5)&gt;2020,MONTH(AL$5)=Macro!$D$52),Macro!$D115*AVERAGE(OFFSET(AM177,0,0,1,-12))*Macro!$E114,0),"NA")</f>
        <v>12500</v>
      </c>
      <c r="AM276" s="40">
        <f>IFERROR(Macro!$D114*Team!AM177/12+IF(AND(YEAR(AM$5)&gt;2020,MONTH(AM$5)=Macro!$D$52),Macro!$D115*AVERAGE(OFFSET(AN177,0,0,1,-12))*Macro!$E114,0),"NA")</f>
        <v>12500</v>
      </c>
      <c r="AN276" s="38">
        <f>IFERROR(Macro!$D114*Team!AN177/12+IF(AND(YEAR(AN$5)&gt;2020,MONTH(AN$5)=Macro!$D$52),Macro!$D115*AVERAGE(OFFSET(AO177,0,0,1,-12))*Macro!$E114,0),"NA")</f>
        <v>12500</v>
      </c>
      <c r="AO276" s="39">
        <f>IFERROR(Macro!$D114*Team!AO177/12+IF(AND(YEAR(AO$5)&gt;2020,MONTH(AO$5)=Macro!$D$52),Macro!$D115*AVERAGE(OFFSET(AP177,0,0,1,-12))*Macro!$E114,0),"NA")</f>
        <v>12500</v>
      </c>
      <c r="AP276" s="40">
        <f>IFERROR(Macro!$D114*Team!AP177/12+IF(AND(YEAR(AP$5)&gt;2020,MONTH(AP$5)=Macro!$D$52),Macro!$D115*AVERAGE(OFFSET(AQ177,0,0,1,-12))*Macro!$E114,0),"NA")</f>
        <v>12500</v>
      </c>
      <c r="AQ276" s="38">
        <f>IFERROR(Macro!$D114*Team!AQ177/12+IF(AND(YEAR(AQ$5)&gt;2020,MONTH(AQ$5)=Macro!$D$52),Macro!$D115*AVERAGE(OFFSET(AR177,0,0,1,-12))*Macro!$E114,0),"NA")</f>
        <v>12500</v>
      </c>
      <c r="AR276" s="39">
        <f>IFERROR(Macro!$D114*Team!AR177/12+IF(AND(YEAR(AR$5)&gt;2020,MONTH(AR$5)=Macro!$D$52),Macro!$D115*AVERAGE(OFFSET(AS177,0,0,1,-12))*Macro!$E114,0),"NA")</f>
        <v>12500</v>
      </c>
      <c r="AS276" s="40">
        <f>IFERROR(Macro!$D114*Team!AS177/12+IF(AND(YEAR(AS$5)&gt;2020,MONTH(AS$5)=Macro!$D$52),Macro!$D115*AVERAGE(OFFSET(AT177,0,0,1,-12))*Macro!$E114,0),"NA")</f>
        <v>12500</v>
      </c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</row>
    <row r="277" ht="12.0" customHeight="1">
      <c r="A277" s="282"/>
      <c r="B277" s="8"/>
      <c r="C277" s="37" t="str">
        <f t="shared" si="102"/>
        <v>[XX]</v>
      </c>
      <c r="D277" s="283">
        <f>IFERROR(Macro!$D115*Team!D178/12+IF(AND(YEAR(D$5)&gt;2020,MONTH(D$5)=Macro!$D$52),Macro!$D116*AVERAGE(OFFSET(E178,0,0,1,-12))*Macro!$E115,0),"NA")</f>
        <v>0</v>
      </c>
      <c r="E277" s="284">
        <f>IFERROR(Macro!$D115*Team!E178/12+IF(AND(YEAR(E$5)&gt;2020,MONTH(E$5)=Macro!$D$52),Macro!$D116*AVERAGE(OFFSET(F178,0,0,1,-12))*Macro!$E115,0),"NA")</f>
        <v>0</v>
      </c>
      <c r="F277" s="284">
        <f>IFERROR(Macro!$D115*Team!F178/12+IF(AND(YEAR(F$5)&gt;2020,MONTH(F$5)=Macro!$D$52),Macro!$D116*AVERAGE(OFFSET(G178,0,0,1,-12))*Macro!$E115,0),"NA")</f>
        <v>0</v>
      </c>
      <c r="G277" s="283">
        <f>IFERROR(Macro!$D115*Team!G178/12+IF(AND(YEAR(G$5)&gt;2020,MONTH(G$5)=Macro!$D$52),Macro!$D116*AVERAGE(OFFSET(H178,0,0,1,-12))*Macro!$E115,0),"NA")</f>
        <v>0</v>
      </c>
      <c r="H277" s="284">
        <f>IFERROR(Macro!$D115*Team!H178/12+IF(AND(YEAR(H$5)&gt;2020,MONTH(H$5)=Macro!$D$52),Macro!$D116*AVERAGE(OFFSET(I178,0,0,1,-12))*Macro!$E115,0),"NA")</f>
        <v>0</v>
      </c>
      <c r="I277" s="285">
        <f>IFERROR(Macro!$D115*Team!I178/12+IF(AND(YEAR(I$5)&gt;2020,MONTH(I$5)=Macro!$D$52),Macro!$D116*AVERAGE(OFFSET(J178,0,0,1,-12))*Macro!$E115,0),"NA")</f>
        <v>0</v>
      </c>
      <c r="J277" s="286">
        <f>IFERROR(Macro!$D115*Team!J178/12+IF(AND(YEAR(J$5)&gt;2020,MONTH(J$5)=Macro!$D$52),Macro!$D116*AVERAGE(OFFSET(K178,0,0,1,-12))*Macro!$E115,0),"NA")</f>
        <v>0</v>
      </c>
      <c r="K277" s="287">
        <f>IFERROR(Macro!$D115*Team!K178/12+IF(AND(YEAR(K$5)&gt;2020,MONTH(K$5)=Macro!$D$52),Macro!$D116*AVERAGE(OFFSET(L178,0,0,1,-12))*Macro!$E115,0),"NA")</f>
        <v>0</v>
      </c>
      <c r="L277" s="288">
        <f>IFERROR(Macro!$D115*Team!L178/12+IF(AND(YEAR(L$5)&gt;2020,MONTH(L$5)=Macro!$D$52),Macro!$D116*AVERAGE(OFFSET(M178,0,0,1,-12))*Macro!$E115,0),"NA")</f>
        <v>0</v>
      </c>
      <c r="M277" s="38">
        <f>IFERROR(Macro!$D115*Team!M178/12+IF(AND(YEAR(M$5)&gt;2020,MONTH(M$5)=Macro!$D$52),Macro!$D116*AVERAGE(OFFSET(N178,0,0,1,-12))*Macro!$E115,0),"NA")</f>
        <v>0</v>
      </c>
      <c r="N277" s="39">
        <f>IFERROR(Macro!$D115*Team!N178/12+IF(AND(YEAR(N$5)&gt;2020,MONTH(N$5)=Macro!$D$52),Macro!$D116*AVERAGE(OFFSET(O178,0,0,1,-12))*Macro!$E115,0),"NA")</f>
        <v>0</v>
      </c>
      <c r="O277" s="40">
        <f>IFERROR(Macro!$D115*Team!O178/12+IF(AND(YEAR(O$5)&gt;2020,MONTH(O$5)=Macro!$D$52),Macro!$D116*AVERAGE(OFFSET(P178,0,0,1,-12))*Macro!$E115,0),"NA")</f>
        <v>0</v>
      </c>
      <c r="P277" s="38">
        <f>IFERROR(Macro!$D115*Team!P178/12+IF(AND(YEAR(P$5)&gt;2020,MONTH(P$5)=Macro!$D$52),Macro!$D116*AVERAGE(OFFSET(Q178,0,0,1,-12))*Macro!$E115,0),"NA")</f>
        <v>0</v>
      </c>
      <c r="Q277" s="39">
        <f>IFERROR(Macro!$D115*Team!Q178/12+IF(AND(YEAR(Q$5)&gt;2020,MONTH(Q$5)=Macro!$D$52),Macro!$D116*AVERAGE(OFFSET(R178,0,0,1,-12))*Macro!$E115,0),"NA")</f>
        <v>0</v>
      </c>
      <c r="R277" s="40">
        <f>IFERROR(Macro!$D115*Team!R178/12+IF(AND(YEAR(R$5)&gt;2020,MONTH(R$5)=Macro!$D$52),Macro!$D116*AVERAGE(OFFSET(S178,0,0,1,-12))*Macro!$E115,0),"NA")</f>
        <v>0</v>
      </c>
      <c r="S277" s="38">
        <f>IFERROR(Macro!$D115*Team!S178/12+IF(AND(YEAR(S$5)&gt;2020,MONTH(S$5)=Macro!$D$52),Macro!$D116*AVERAGE(OFFSET(T178,0,0,1,-12))*Macro!$E115,0),"NA")</f>
        <v>0</v>
      </c>
      <c r="T277" s="39">
        <f>IFERROR(Macro!$D115*Team!T178/12+IF(AND(YEAR(T$5)&gt;2020,MONTH(T$5)=Macro!$D$52),Macro!$D116*AVERAGE(OFFSET(U178,0,0,1,-12))*Macro!$E115,0),"NA")</f>
        <v>0</v>
      </c>
      <c r="U277" s="40">
        <f>IFERROR(Macro!$D115*Team!U178/12+IF(AND(YEAR(U$5)&gt;2020,MONTH(U$5)=Macro!$D$52),Macro!$D116*AVERAGE(OFFSET(V178,0,0,1,-12))*Macro!$E115,0),"NA")</f>
        <v>0</v>
      </c>
      <c r="V277" s="38" t="str">
        <f>IFERROR(Macro!$D115*Team!V178/12+IF(AND(YEAR(V$5)&gt;2020,MONTH(V$5)=Macro!$D$52),Macro!$D116*AVERAGE(OFFSET(W178,0,0,1,-12))*Macro!$E115,0),"NA")</f>
        <v>NA</v>
      </c>
      <c r="W277" s="39">
        <f>IFERROR(Macro!$D115*Team!W178/12+IF(AND(YEAR(W$5)&gt;2020,MONTH(W$5)=Macro!$D$52),Macro!$D116*AVERAGE(OFFSET(X178,0,0,1,-12))*Macro!$E115,0),"NA")</f>
        <v>0</v>
      </c>
      <c r="X277" s="40">
        <f>IFERROR(Macro!$D115*Team!X178/12+IF(AND(YEAR(X$5)&gt;2020,MONTH(X$5)=Macro!$D$52),Macro!$D116*AVERAGE(OFFSET(Y178,0,0,1,-12))*Macro!$E115,0),"NA")</f>
        <v>0</v>
      </c>
      <c r="Y277" s="38">
        <f>IFERROR(Macro!$D115*Team!Y178/12+IF(AND(YEAR(Y$5)&gt;2020,MONTH(Y$5)=Macro!$D$52),Macro!$D116*AVERAGE(OFFSET(Z178,0,0,1,-12))*Macro!$E115,0),"NA")</f>
        <v>0</v>
      </c>
      <c r="Z277" s="39">
        <f>IFERROR(Macro!$D115*Team!Z178/12+IF(AND(YEAR(Z$5)&gt;2020,MONTH(Z$5)=Macro!$D$52),Macro!$D116*AVERAGE(OFFSET(AA178,0,0,1,-12))*Macro!$E115,0),"NA")</f>
        <v>0</v>
      </c>
      <c r="AA277" s="40">
        <f>IFERROR(Macro!$D115*Team!AA178/12+IF(AND(YEAR(AA$5)&gt;2020,MONTH(AA$5)=Macro!$D$52),Macro!$D116*AVERAGE(OFFSET(AB178,0,0,1,-12))*Macro!$E115,0),"NA")</f>
        <v>0</v>
      </c>
      <c r="AB277" s="38">
        <f>IFERROR(Macro!$D115*Team!AB178/12+IF(AND(YEAR(AB$5)&gt;2020,MONTH(AB$5)=Macro!$D$52),Macro!$D116*AVERAGE(OFFSET(AC178,0,0,1,-12))*Macro!$E115,0),"NA")</f>
        <v>0</v>
      </c>
      <c r="AC277" s="39">
        <f>IFERROR(Macro!$D115*Team!AC178/12+IF(AND(YEAR(AC$5)&gt;2020,MONTH(AC$5)=Macro!$D$52),Macro!$D116*AVERAGE(OFFSET(AD178,0,0,1,-12))*Macro!$E115,0),"NA")</f>
        <v>0</v>
      </c>
      <c r="AD277" s="40">
        <f>IFERROR(Macro!$D115*Team!AD178/12+IF(AND(YEAR(AD$5)&gt;2020,MONTH(AD$5)=Macro!$D$52),Macro!$D116*AVERAGE(OFFSET(AE178,0,0,1,-12))*Macro!$E115,0),"NA")</f>
        <v>0</v>
      </c>
      <c r="AE277" s="38">
        <f>IFERROR(Macro!$D115*Team!AE178/12+IF(AND(YEAR(AE$5)&gt;2020,MONTH(AE$5)=Macro!$D$52),Macro!$D116*AVERAGE(OFFSET(AF178,0,0,1,-12))*Macro!$E115,0),"NA")</f>
        <v>0</v>
      </c>
      <c r="AF277" s="39">
        <f>IFERROR(Macro!$D115*Team!AF178/12+IF(AND(YEAR(AF$5)&gt;2020,MONTH(AF$5)=Macro!$D$52),Macro!$D116*AVERAGE(OFFSET(AG178,0,0,1,-12))*Macro!$E115,0),"NA")</f>
        <v>0</v>
      </c>
      <c r="AG277" s="40">
        <f>IFERROR(Macro!$D115*Team!AG178/12+IF(AND(YEAR(AG$5)&gt;2020,MONTH(AG$5)=Macro!$D$52),Macro!$D116*AVERAGE(OFFSET(AH178,0,0,1,-12))*Macro!$E115,0),"NA")</f>
        <v>0</v>
      </c>
      <c r="AH277" s="38" t="str">
        <f>IFERROR(Macro!$D115*Team!AH178/12+IF(AND(YEAR(AH$5)&gt;2020,MONTH(AH$5)=Macro!$D$52),Macro!$D116*AVERAGE(OFFSET(AI178,0,0,1,-12))*Macro!$E115,0),"NA")</f>
        <v>NA</v>
      </c>
      <c r="AI277" s="39">
        <f>IFERROR(Macro!$D115*Team!AI178/12+IF(AND(YEAR(AI$5)&gt;2020,MONTH(AI$5)=Macro!$D$52),Macro!$D116*AVERAGE(OFFSET(AJ178,0,0,1,-12))*Macro!$E115,0),"NA")</f>
        <v>0</v>
      </c>
      <c r="AJ277" s="40">
        <f>IFERROR(Macro!$D115*Team!AJ178/12+IF(AND(YEAR(AJ$5)&gt;2020,MONTH(AJ$5)=Macro!$D$52),Macro!$D116*AVERAGE(OFFSET(AK178,0,0,1,-12))*Macro!$E115,0),"NA")</f>
        <v>0</v>
      </c>
      <c r="AK277" s="38">
        <f>IFERROR(Macro!$D115*Team!AK178/12+IF(AND(YEAR(AK$5)&gt;2020,MONTH(AK$5)=Macro!$D$52),Macro!$D116*AVERAGE(OFFSET(AL178,0,0,1,-12))*Macro!$E115,0),"NA")</f>
        <v>0</v>
      </c>
      <c r="AL277" s="39">
        <f>IFERROR(Macro!$D115*Team!AL178/12+IF(AND(YEAR(AL$5)&gt;2020,MONTH(AL$5)=Macro!$D$52),Macro!$D116*AVERAGE(OFFSET(AM178,0,0,1,-12))*Macro!$E115,0),"NA")</f>
        <v>0</v>
      </c>
      <c r="AM277" s="40">
        <f>IFERROR(Macro!$D115*Team!AM178/12+IF(AND(YEAR(AM$5)&gt;2020,MONTH(AM$5)=Macro!$D$52),Macro!$D116*AVERAGE(OFFSET(AN178,0,0,1,-12))*Macro!$E115,0),"NA")</f>
        <v>0</v>
      </c>
      <c r="AN277" s="38">
        <f>IFERROR(Macro!$D115*Team!AN178/12+IF(AND(YEAR(AN$5)&gt;2020,MONTH(AN$5)=Macro!$D$52),Macro!$D116*AVERAGE(OFFSET(AO178,0,0,1,-12))*Macro!$E115,0),"NA")</f>
        <v>0</v>
      </c>
      <c r="AO277" s="39">
        <f>IFERROR(Macro!$D115*Team!AO178/12+IF(AND(YEAR(AO$5)&gt;2020,MONTH(AO$5)=Macro!$D$52),Macro!$D116*AVERAGE(OFFSET(AP178,0,0,1,-12))*Macro!$E115,0),"NA")</f>
        <v>0</v>
      </c>
      <c r="AP277" s="40">
        <f>IFERROR(Macro!$D115*Team!AP178/12+IF(AND(YEAR(AP$5)&gt;2020,MONTH(AP$5)=Macro!$D$52),Macro!$D116*AVERAGE(OFFSET(AQ178,0,0,1,-12))*Macro!$E115,0),"NA")</f>
        <v>0</v>
      </c>
      <c r="AQ277" s="38">
        <f>IFERROR(Macro!$D115*Team!AQ178/12+IF(AND(YEAR(AQ$5)&gt;2020,MONTH(AQ$5)=Macro!$D$52),Macro!$D116*AVERAGE(OFFSET(AR178,0,0,1,-12))*Macro!$E115,0),"NA")</f>
        <v>0</v>
      </c>
      <c r="AR277" s="39">
        <f>IFERROR(Macro!$D115*Team!AR178/12+IF(AND(YEAR(AR$5)&gt;2020,MONTH(AR$5)=Macro!$D$52),Macro!$D116*AVERAGE(OFFSET(AS178,0,0,1,-12))*Macro!$E115,0),"NA")</f>
        <v>0</v>
      </c>
      <c r="AS277" s="40">
        <f>IFERROR(Macro!$D115*Team!AS178/12+IF(AND(YEAR(AS$5)&gt;2020,MONTH(AS$5)=Macro!$D$52),Macro!$D116*AVERAGE(OFFSET(AT178,0,0,1,-12))*Macro!$E115,0),"NA")</f>
        <v>0</v>
      </c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</row>
    <row r="278" ht="12.0" customHeight="1">
      <c r="A278" s="282"/>
      <c r="B278" s="8"/>
      <c r="C278" s="37" t="str">
        <f t="shared" si="102"/>
        <v>[XX]</v>
      </c>
      <c r="D278" s="283">
        <f>IFERROR(Macro!$D116*Team!D179/12+IF(AND(YEAR(D$5)&gt;2020,MONTH(D$5)=Macro!$D$52),Macro!$D117*AVERAGE(OFFSET(E179,0,0,1,-12))*Macro!$E116,0),"NA")</f>
        <v>0</v>
      </c>
      <c r="E278" s="284">
        <f>IFERROR(Macro!$D116*Team!E179/12+IF(AND(YEAR(E$5)&gt;2020,MONTH(E$5)=Macro!$D$52),Macro!$D117*AVERAGE(OFFSET(F179,0,0,1,-12))*Macro!$E116,0),"NA")</f>
        <v>0</v>
      </c>
      <c r="F278" s="284">
        <f>IFERROR(Macro!$D116*Team!F179/12+IF(AND(YEAR(F$5)&gt;2020,MONTH(F$5)=Macro!$D$52),Macro!$D117*AVERAGE(OFFSET(G179,0,0,1,-12))*Macro!$E116,0),"NA")</f>
        <v>0</v>
      </c>
      <c r="G278" s="283">
        <f>IFERROR(Macro!$D116*Team!G179/12+IF(AND(YEAR(G$5)&gt;2020,MONTH(G$5)=Macro!$D$52),Macro!$D117*AVERAGE(OFFSET(H179,0,0,1,-12))*Macro!$E116,0),"NA")</f>
        <v>0</v>
      </c>
      <c r="H278" s="284">
        <f>IFERROR(Macro!$D116*Team!H179/12+IF(AND(YEAR(H$5)&gt;2020,MONTH(H$5)=Macro!$D$52),Macro!$D117*AVERAGE(OFFSET(I179,0,0,1,-12))*Macro!$E116,0),"NA")</f>
        <v>0</v>
      </c>
      <c r="I278" s="285">
        <f>IFERROR(Macro!$D116*Team!I179/12+IF(AND(YEAR(I$5)&gt;2020,MONTH(I$5)=Macro!$D$52),Macro!$D117*AVERAGE(OFFSET(J179,0,0,1,-12))*Macro!$E116,0),"NA")</f>
        <v>0</v>
      </c>
      <c r="J278" s="286">
        <f>IFERROR(Macro!$D116*Team!J179/12+IF(AND(YEAR(J$5)&gt;2020,MONTH(J$5)=Macro!$D$52),Macro!$D117*AVERAGE(OFFSET(K179,0,0,1,-12))*Macro!$E116,0),"NA")</f>
        <v>0</v>
      </c>
      <c r="K278" s="287">
        <f>IFERROR(Macro!$D116*Team!K179/12+IF(AND(YEAR(K$5)&gt;2020,MONTH(K$5)=Macro!$D$52),Macro!$D117*AVERAGE(OFFSET(L179,0,0,1,-12))*Macro!$E116,0),"NA")</f>
        <v>0</v>
      </c>
      <c r="L278" s="288">
        <f>IFERROR(Macro!$D116*Team!L179/12+IF(AND(YEAR(L$5)&gt;2020,MONTH(L$5)=Macro!$D$52),Macro!$D117*AVERAGE(OFFSET(M179,0,0,1,-12))*Macro!$E116,0),"NA")</f>
        <v>0</v>
      </c>
      <c r="M278" s="38">
        <f>IFERROR(Macro!$D116*Team!M179/12+IF(AND(YEAR(M$5)&gt;2020,MONTH(M$5)=Macro!$D$52),Macro!$D117*AVERAGE(OFFSET(N179,0,0,1,-12))*Macro!$E116,0),"NA")</f>
        <v>0</v>
      </c>
      <c r="N278" s="39">
        <f>IFERROR(Macro!$D116*Team!N179/12+IF(AND(YEAR(N$5)&gt;2020,MONTH(N$5)=Macro!$D$52),Macro!$D117*AVERAGE(OFFSET(O179,0,0,1,-12))*Macro!$E116,0),"NA")</f>
        <v>0</v>
      </c>
      <c r="O278" s="40">
        <f>IFERROR(Macro!$D116*Team!O179/12+IF(AND(YEAR(O$5)&gt;2020,MONTH(O$5)=Macro!$D$52),Macro!$D117*AVERAGE(OFFSET(P179,0,0,1,-12))*Macro!$E116,0),"NA")</f>
        <v>0</v>
      </c>
      <c r="P278" s="38">
        <f>IFERROR(Macro!$D116*Team!P179/12+IF(AND(YEAR(P$5)&gt;2020,MONTH(P$5)=Macro!$D$52),Macro!$D117*AVERAGE(OFFSET(Q179,0,0,1,-12))*Macro!$E116,0),"NA")</f>
        <v>0</v>
      </c>
      <c r="Q278" s="39">
        <f>IFERROR(Macro!$D116*Team!Q179/12+IF(AND(YEAR(Q$5)&gt;2020,MONTH(Q$5)=Macro!$D$52),Macro!$D117*AVERAGE(OFFSET(R179,0,0,1,-12))*Macro!$E116,0),"NA")</f>
        <v>0</v>
      </c>
      <c r="R278" s="40">
        <f>IFERROR(Macro!$D116*Team!R179/12+IF(AND(YEAR(R$5)&gt;2020,MONTH(R$5)=Macro!$D$52),Macro!$D117*AVERAGE(OFFSET(S179,0,0,1,-12))*Macro!$E116,0),"NA")</f>
        <v>0</v>
      </c>
      <c r="S278" s="38">
        <f>IFERROR(Macro!$D116*Team!S179/12+IF(AND(YEAR(S$5)&gt;2020,MONTH(S$5)=Macro!$D$52),Macro!$D117*AVERAGE(OFFSET(T179,0,0,1,-12))*Macro!$E116,0),"NA")</f>
        <v>0</v>
      </c>
      <c r="T278" s="39">
        <f>IFERROR(Macro!$D116*Team!T179/12+IF(AND(YEAR(T$5)&gt;2020,MONTH(T$5)=Macro!$D$52),Macro!$D117*AVERAGE(OFFSET(U179,0,0,1,-12))*Macro!$E116,0),"NA")</f>
        <v>0</v>
      </c>
      <c r="U278" s="40">
        <f>IFERROR(Macro!$D116*Team!U179/12+IF(AND(YEAR(U$5)&gt;2020,MONTH(U$5)=Macro!$D$52),Macro!$D117*AVERAGE(OFFSET(V179,0,0,1,-12))*Macro!$E116,0),"NA")</f>
        <v>0</v>
      </c>
      <c r="V278" s="38" t="str">
        <f>IFERROR(Macro!$D116*Team!V179/12+IF(AND(YEAR(V$5)&gt;2020,MONTH(V$5)=Macro!$D$52),Macro!$D117*AVERAGE(OFFSET(W179,0,0,1,-12))*Macro!$E116,0),"NA")</f>
        <v>NA</v>
      </c>
      <c r="W278" s="39">
        <f>IFERROR(Macro!$D116*Team!W179/12+IF(AND(YEAR(W$5)&gt;2020,MONTH(W$5)=Macro!$D$52),Macro!$D117*AVERAGE(OFFSET(X179,0,0,1,-12))*Macro!$E116,0),"NA")</f>
        <v>0</v>
      </c>
      <c r="X278" s="40">
        <f>IFERROR(Macro!$D116*Team!X179/12+IF(AND(YEAR(X$5)&gt;2020,MONTH(X$5)=Macro!$D$52),Macro!$D117*AVERAGE(OFFSET(Y179,0,0,1,-12))*Macro!$E116,0),"NA")</f>
        <v>0</v>
      </c>
      <c r="Y278" s="38">
        <f>IFERROR(Macro!$D116*Team!Y179/12+IF(AND(YEAR(Y$5)&gt;2020,MONTH(Y$5)=Macro!$D$52),Macro!$D117*AVERAGE(OFFSET(Z179,0,0,1,-12))*Macro!$E116,0),"NA")</f>
        <v>0</v>
      </c>
      <c r="Z278" s="39">
        <f>IFERROR(Macro!$D116*Team!Z179/12+IF(AND(YEAR(Z$5)&gt;2020,MONTH(Z$5)=Macro!$D$52),Macro!$D117*AVERAGE(OFFSET(AA179,0,0,1,-12))*Macro!$E116,0),"NA")</f>
        <v>0</v>
      </c>
      <c r="AA278" s="40">
        <f>IFERROR(Macro!$D116*Team!AA179/12+IF(AND(YEAR(AA$5)&gt;2020,MONTH(AA$5)=Macro!$D$52),Macro!$D117*AVERAGE(OFFSET(AB179,0,0,1,-12))*Macro!$E116,0),"NA")</f>
        <v>0</v>
      </c>
      <c r="AB278" s="38">
        <f>IFERROR(Macro!$D116*Team!AB179/12+IF(AND(YEAR(AB$5)&gt;2020,MONTH(AB$5)=Macro!$D$52),Macro!$D117*AVERAGE(OFFSET(AC179,0,0,1,-12))*Macro!$E116,0),"NA")</f>
        <v>0</v>
      </c>
      <c r="AC278" s="39">
        <f>IFERROR(Macro!$D116*Team!AC179/12+IF(AND(YEAR(AC$5)&gt;2020,MONTH(AC$5)=Macro!$D$52),Macro!$D117*AVERAGE(OFFSET(AD179,0,0,1,-12))*Macro!$E116,0),"NA")</f>
        <v>0</v>
      </c>
      <c r="AD278" s="40">
        <f>IFERROR(Macro!$D116*Team!AD179/12+IF(AND(YEAR(AD$5)&gt;2020,MONTH(AD$5)=Macro!$D$52),Macro!$D117*AVERAGE(OFFSET(AE179,0,0,1,-12))*Macro!$E116,0),"NA")</f>
        <v>0</v>
      </c>
      <c r="AE278" s="38">
        <f>IFERROR(Macro!$D116*Team!AE179/12+IF(AND(YEAR(AE$5)&gt;2020,MONTH(AE$5)=Macro!$D$52),Macro!$D117*AVERAGE(OFFSET(AF179,0,0,1,-12))*Macro!$E116,0),"NA")</f>
        <v>0</v>
      </c>
      <c r="AF278" s="39">
        <f>IFERROR(Macro!$D116*Team!AF179/12+IF(AND(YEAR(AF$5)&gt;2020,MONTH(AF$5)=Macro!$D$52),Macro!$D117*AVERAGE(OFFSET(AG179,0,0,1,-12))*Macro!$E116,0),"NA")</f>
        <v>0</v>
      </c>
      <c r="AG278" s="40">
        <f>IFERROR(Macro!$D116*Team!AG179/12+IF(AND(YEAR(AG$5)&gt;2020,MONTH(AG$5)=Macro!$D$52),Macro!$D117*AVERAGE(OFFSET(AH179,0,0,1,-12))*Macro!$E116,0),"NA")</f>
        <v>0</v>
      </c>
      <c r="AH278" s="38" t="str">
        <f>IFERROR(Macro!$D116*Team!AH179/12+IF(AND(YEAR(AH$5)&gt;2020,MONTH(AH$5)=Macro!$D$52),Macro!$D117*AVERAGE(OFFSET(AI179,0,0,1,-12))*Macro!$E116,0),"NA")</f>
        <v>NA</v>
      </c>
      <c r="AI278" s="39">
        <f>IFERROR(Macro!$D116*Team!AI179/12+IF(AND(YEAR(AI$5)&gt;2020,MONTH(AI$5)=Macro!$D$52),Macro!$D117*AVERAGE(OFFSET(AJ179,0,0,1,-12))*Macro!$E116,0),"NA")</f>
        <v>0</v>
      </c>
      <c r="AJ278" s="40">
        <f>IFERROR(Macro!$D116*Team!AJ179/12+IF(AND(YEAR(AJ$5)&gt;2020,MONTH(AJ$5)=Macro!$D$52),Macro!$D117*AVERAGE(OFFSET(AK179,0,0,1,-12))*Macro!$E116,0),"NA")</f>
        <v>0</v>
      </c>
      <c r="AK278" s="38">
        <f>IFERROR(Macro!$D116*Team!AK179/12+IF(AND(YEAR(AK$5)&gt;2020,MONTH(AK$5)=Macro!$D$52),Macro!$D117*AVERAGE(OFFSET(AL179,0,0,1,-12))*Macro!$E116,0),"NA")</f>
        <v>0</v>
      </c>
      <c r="AL278" s="39">
        <f>IFERROR(Macro!$D116*Team!AL179/12+IF(AND(YEAR(AL$5)&gt;2020,MONTH(AL$5)=Macro!$D$52),Macro!$D117*AVERAGE(OFFSET(AM179,0,0,1,-12))*Macro!$E116,0),"NA")</f>
        <v>0</v>
      </c>
      <c r="AM278" s="40">
        <f>IFERROR(Macro!$D116*Team!AM179/12+IF(AND(YEAR(AM$5)&gt;2020,MONTH(AM$5)=Macro!$D$52),Macro!$D117*AVERAGE(OFFSET(AN179,0,0,1,-12))*Macro!$E116,0),"NA")</f>
        <v>0</v>
      </c>
      <c r="AN278" s="38">
        <f>IFERROR(Macro!$D116*Team!AN179/12+IF(AND(YEAR(AN$5)&gt;2020,MONTH(AN$5)=Macro!$D$52),Macro!$D117*AVERAGE(OFFSET(AO179,0,0,1,-12))*Macro!$E116,0),"NA")</f>
        <v>0</v>
      </c>
      <c r="AO278" s="39">
        <f>IFERROR(Macro!$D116*Team!AO179/12+IF(AND(YEAR(AO$5)&gt;2020,MONTH(AO$5)=Macro!$D$52),Macro!$D117*AVERAGE(OFFSET(AP179,0,0,1,-12))*Macro!$E116,0),"NA")</f>
        <v>0</v>
      </c>
      <c r="AP278" s="40">
        <f>IFERROR(Macro!$D116*Team!AP179/12+IF(AND(YEAR(AP$5)&gt;2020,MONTH(AP$5)=Macro!$D$52),Macro!$D117*AVERAGE(OFFSET(AQ179,0,0,1,-12))*Macro!$E116,0),"NA")</f>
        <v>0</v>
      </c>
      <c r="AQ278" s="38">
        <f>IFERROR(Macro!$D116*Team!AQ179/12+IF(AND(YEAR(AQ$5)&gt;2020,MONTH(AQ$5)=Macro!$D$52),Macro!$D117*AVERAGE(OFFSET(AR179,0,0,1,-12))*Macro!$E116,0),"NA")</f>
        <v>0</v>
      </c>
      <c r="AR278" s="39">
        <f>IFERROR(Macro!$D116*Team!AR179/12+IF(AND(YEAR(AR$5)&gt;2020,MONTH(AR$5)=Macro!$D$52),Macro!$D117*AVERAGE(OFFSET(AS179,0,0,1,-12))*Macro!$E116,0),"NA")</f>
        <v>0</v>
      </c>
      <c r="AS278" s="40">
        <f>IFERROR(Macro!$D116*Team!AS179/12+IF(AND(YEAR(AS$5)&gt;2020,MONTH(AS$5)=Macro!$D$52),Macro!$D117*AVERAGE(OFFSET(AT179,0,0,1,-12))*Macro!$E116,0),"NA")</f>
        <v>0</v>
      </c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</row>
    <row r="279" ht="12.0" customHeight="1">
      <c r="A279" s="282"/>
      <c r="B279" s="8"/>
      <c r="C279" s="37" t="str">
        <f t="shared" si="102"/>
        <v>[XX]</v>
      </c>
      <c r="D279" s="283">
        <f>IFERROR(Macro!$D117*Team!D180/12+IF(AND(YEAR(D$5)&gt;2020,MONTH(D$5)=Macro!$D$52),Macro!$D118*AVERAGE(OFFSET(E180,0,0,1,-12))*Macro!$E117,0),"NA")</f>
        <v>0</v>
      </c>
      <c r="E279" s="284">
        <f>IFERROR(Macro!$D117*Team!E180/12+IF(AND(YEAR(E$5)&gt;2020,MONTH(E$5)=Macro!$D$52),Macro!$D118*AVERAGE(OFFSET(F180,0,0,1,-12))*Macro!$E117,0),"NA")</f>
        <v>0</v>
      </c>
      <c r="F279" s="284">
        <f>IFERROR(Macro!$D117*Team!F180/12+IF(AND(YEAR(F$5)&gt;2020,MONTH(F$5)=Macro!$D$52),Macro!$D118*AVERAGE(OFFSET(G180,0,0,1,-12))*Macro!$E117,0),"NA")</f>
        <v>0</v>
      </c>
      <c r="G279" s="283">
        <f>IFERROR(Macro!$D117*Team!G180/12+IF(AND(YEAR(G$5)&gt;2020,MONTH(G$5)=Macro!$D$52),Macro!$D118*AVERAGE(OFFSET(H180,0,0,1,-12))*Macro!$E117,0),"NA")</f>
        <v>0</v>
      </c>
      <c r="H279" s="284">
        <f>IFERROR(Macro!$D117*Team!H180/12+IF(AND(YEAR(H$5)&gt;2020,MONTH(H$5)=Macro!$D$52),Macro!$D118*AVERAGE(OFFSET(I180,0,0,1,-12))*Macro!$E117,0),"NA")</f>
        <v>0</v>
      </c>
      <c r="I279" s="285">
        <f>IFERROR(Macro!$D117*Team!I180/12+IF(AND(YEAR(I$5)&gt;2020,MONTH(I$5)=Macro!$D$52),Macro!$D118*AVERAGE(OFFSET(J180,0,0,1,-12))*Macro!$E117,0),"NA")</f>
        <v>0</v>
      </c>
      <c r="J279" s="286">
        <f>IFERROR(Macro!$D117*Team!J180/12+IF(AND(YEAR(J$5)&gt;2020,MONTH(J$5)=Macro!$D$52),Macro!$D118*AVERAGE(OFFSET(K180,0,0,1,-12))*Macro!$E117,0),"NA")</f>
        <v>0</v>
      </c>
      <c r="K279" s="287">
        <f>IFERROR(Macro!$D117*Team!K180/12+IF(AND(YEAR(K$5)&gt;2020,MONTH(K$5)=Macro!$D$52),Macro!$D118*AVERAGE(OFFSET(L180,0,0,1,-12))*Macro!$E117,0),"NA")</f>
        <v>0</v>
      </c>
      <c r="L279" s="288">
        <f>IFERROR(Macro!$D117*Team!L180/12+IF(AND(YEAR(L$5)&gt;2020,MONTH(L$5)=Macro!$D$52),Macro!$D118*AVERAGE(OFFSET(M180,0,0,1,-12))*Macro!$E117,0),"NA")</f>
        <v>0</v>
      </c>
      <c r="M279" s="38">
        <f>IFERROR(Macro!$D117*Team!M180/12+IF(AND(YEAR(M$5)&gt;2020,MONTH(M$5)=Macro!$D$52),Macro!$D118*AVERAGE(OFFSET(N180,0,0,1,-12))*Macro!$E117,0),"NA")</f>
        <v>0</v>
      </c>
      <c r="N279" s="39">
        <f>IFERROR(Macro!$D117*Team!N180/12+IF(AND(YEAR(N$5)&gt;2020,MONTH(N$5)=Macro!$D$52),Macro!$D118*AVERAGE(OFFSET(O180,0,0,1,-12))*Macro!$E117,0),"NA")</f>
        <v>0</v>
      </c>
      <c r="O279" s="40">
        <f>IFERROR(Macro!$D117*Team!O180/12+IF(AND(YEAR(O$5)&gt;2020,MONTH(O$5)=Macro!$D$52),Macro!$D118*AVERAGE(OFFSET(P180,0,0,1,-12))*Macro!$E117,0),"NA")</f>
        <v>0</v>
      </c>
      <c r="P279" s="38">
        <f>IFERROR(Macro!$D117*Team!P180/12+IF(AND(YEAR(P$5)&gt;2020,MONTH(P$5)=Macro!$D$52),Macro!$D118*AVERAGE(OFFSET(Q180,0,0,1,-12))*Macro!$E117,0),"NA")</f>
        <v>0</v>
      </c>
      <c r="Q279" s="39">
        <f>IFERROR(Macro!$D117*Team!Q180/12+IF(AND(YEAR(Q$5)&gt;2020,MONTH(Q$5)=Macro!$D$52),Macro!$D118*AVERAGE(OFFSET(R180,0,0,1,-12))*Macro!$E117,0),"NA")</f>
        <v>0</v>
      </c>
      <c r="R279" s="40">
        <f>IFERROR(Macro!$D117*Team!R180/12+IF(AND(YEAR(R$5)&gt;2020,MONTH(R$5)=Macro!$D$52),Macro!$D118*AVERAGE(OFFSET(S180,0,0,1,-12))*Macro!$E117,0),"NA")</f>
        <v>0</v>
      </c>
      <c r="S279" s="38">
        <f>IFERROR(Macro!$D117*Team!S180/12+IF(AND(YEAR(S$5)&gt;2020,MONTH(S$5)=Macro!$D$52),Macro!$D118*AVERAGE(OFFSET(T180,0,0,1,-12))*Macro!$E117,0),"NA")</f>
        <v>0</v>
      </c>
      <c r="T279" s="39">
        <f>IFERROR(Macro!$D117*Team!T180/12+IF(AND(YEAR(T$5)&gt;2020,MONTH(T$5)=Macro!$D$52),Macro!$D118*AVERAGE(OFFSET(U180,0,0,1,-12))*Macro!$E117,0),"NA")</f>
        <v>0</v>
      </c>
      <c r="U279" s="40">
        <f>IFERROR(Macro!$D117*Team!U180/12+IF(AND(YEAR(U$5)&gt;2020,MONTH(U$5)=Macro!$D$52),Macro!$D118*AVERAGE(OFFSET(V180,0,0,1,-12))*Macro!$E117,0),"NA")</f>
        <v>0</v>
      </c>
      <c r="V279" s="38" t="str">
        <f>IFERROR(Macro!$D117*Team!V180/12+IF(AND(YEAR(V$5)&gt;2020,MONTH(V$5)=Macro!$D$52),Macro!$D118*AVERAGE(OFFSET(W180,0,0,1,-12))*Macro!$E117,0),"NA")</f>
        <v>NA</v>
      </c>
      <c r="W279" s="39">
        <f>IFERROR(Macro!$D117*Team!W180/12+IF(AND(YEAR(W$5)&gt;2020,MONTH(W$5)=Macro!$D$52),Macro!$D118*AVERAGE(OFFSET(X180,0,0,1,-12))*Macro!$E117,0),"NA")</f>
        <v>0</v>
      </c>
      <c r="X279" s="40">
        <f>IFERROR(Macro!$D117*Team!X180/12+IF(AND(YEAR(X$5)&gt;2020,MONTH(X$5)=Macro!$D$52),Macro!$D118*AVERAGE(OFFSET(Y180,0,0,1,-12))*Macro!$E117,0),"NA")</f>
        <v>0</v>
      </c>
      <c r="Y279" s="38">
        <f>IFERROR(Macro!$D117*Team!Y180/12+IF(AND(YEAR(Y$5)&gt;2020,MONTH(Y$5)=Macro!$D$52),Macro!$D118*AVERAGE(OFFSET(Z180,0,0,1,-12))*Macro!$E117,0),"NA")</f>
        <v>0</v>
      </c>
      <c r="Z279" s="39">
        <f>IFERROR(Macro!$D117*Team!Z180/12+IF(AND(YEAR(Z$5)&gt;2020,MONTH(Z$5)=Macro!$D$52),Macro!$D118*AVERAGE(OFFSET(AA180,0,0,1,-12))*Macro!$E117,0),"NA")</f>
        <v>0</v>
      </c>
      <c r="AA279" s="40">
        <f>IFERROR(Macro!$D117*Team!AA180/12+IF(AND(YEAR(AA$5)&gt;2020,MONTH(AA$5)=Macro!$D$52),Macro!$D118*AVERAGE(OFFSET(AB180,0,0,1,-12))*Macro!$E117,0),"NA")</f>
        <v>0</v>
      </c>
      <c r="AB279" s="38">
        <f>IFERROR(Macro!$D117*Team!AB180/12+IF(AND(YEAR(AB$5)&gt;2020,MONTH(AB$5)=Macro!$D$52),Macro!$D118*AVERAGE(OFFSET(AC180,0,0,1,-12))*Macro!$E117,0),"NA")</f>
        <v>0</v>
      </c>
      <c r="AC279" s="39">
        <f>IFERROR(Macro!$D117*Team!AC180/12+IF(AND(YEAR(AC$5)&gt;2020,MONTH(AC$5)=Macro!$D$52),Macro!$D118*AVERAGE(OFFSET(AD180,0,0,1,-12))*Macro!$E117,0),"NA")</f>
        <v>0</v>
      </c>
      <c r="AD279" s="40">
        <f>IFERROR(Macro!$D117*Team!AD180/12+IF(AND(YEAR(AD$5)&gt;2020,MONTH(AD$5)=Macro!$D$52),Macro!$D118*AVERAGE(OFFSET(AE180,0,0,1,-12))*Macro!$E117,0),"NA")</f>
        <v>0</v>
      </c>
      <c r="AE279" s="38">
        <f>IFERROR(Macro!$D117*Team!AE180/12+IF(AND(YEAR(AE$5)&gt;2020,MONTH(AE$5)=Macro!$D$52),Macro!$D118*AVERAGE(OFFSET(AF180,0,0,1,-12))*Macro!$E117,0),"NA")</f>
        <v>0</v>
      </c>
      <c r="AF279" s="39">
        <f>IFERROR(Macro!$D117*Team!AF180/12+IF(AND(YEAR(AF$5)&gt;2020,MONTH(AF$5)=Macro!$D$52),Macro!$D118*AVERAGE(OFFSET(AG180,0,0,1,-12))*Macro!$E117,0),"NA")</f>
        <v>0</v>
      </c>
      <c r="AG279" s="40">
        <f>IFERROR(Macro!$D117*Team!AG180/12+IF(AND(YEAR(AG$5)&gt;2020,MONTH(AG$5)=Macro!$D$52),Macro!$D118*AVERAGE(OFFSET(AH180,0,0,1,-12))*Macro!$E117,0),"NA")</f>
        <v>0</v>
      </c>
      <c r="AH279" s="38" t="str">
        <f>IFERROR(Macro!$D117*Team!AH180/12+IF(AND(YEAR(AH$5)&gt;2020,MONTH(AH$5)=Macro!$D$52),Macro!$D118*AVERAGE(OFFSET(AI180,0,0,1,-12))*Macro!$E117,0),"NA")</f>
        <v>NA</v>
      </c>
      <c r="AI279" s="39">
        <f>IFERROR(Macro!$D117*Team!AI180/12+IF(AND(YEAR(AI$5)&gt;2020,MONTH(AI$5)=Macro!$D$52),Macro!$D118*AVERAGE(OFFSET(AJ180,0,0,1,-12))*Macro!$E117,0),"NA")</f>
        <v>0</v>
      </c>
      <c r="AJ279" s="40">
        <f>IFERROR(Macro!$D117*Team!AJ180/12+IF(AND(YEAR(AJ$5)&gt;2020,MONTH(AJ$5)=Macro!$D$52),Macro!$D118*AVERAGE(OFFSET(AK180,0,0,1,-12))*Macro!$E117,0),"NA")</f>
        <v>0</v>
      </c>
      <c r="AK279" s="38">
        <f>IFERROR(Macro!$D117*Team!AK180/12+IF(AND(YEAR(AK$5)&gt;2020,MONTH(AK$5)=Macro!$D$52),Macro!$D118*AVERAGE(OFFSET(AL180,0,0,1,-12))*Macro!$E117,0),"NA")</f>
        <v>0</v>
      </c>
      <c r="AL279" s="39">
        <f>IFERROR(Macro!$D117*Team!AL180/12+IF(AND(YEAR(AL$5)&gt;2020,MONTH(AL$5)=Macro!$D$52),Macro!$D118*AVERAGE(OFFSET(AM180,0,0,1,-12))*Macro!$E117,0),"NA")</f>
        <v>0</v>
      </c>
      <c r="AM279" s="40">
        <f>IFERROR(Macro!$D117*Team!AM180/12+IF(AND(YEAR(AM$5)&gt;2020,MONTH(AM$5)=Macro!$D$52),Macro!$D118*AVERAGE(OFFSET(AN180,0,0,1,-12))*Macro!$E117,0),"NA")</f>
        <v>0</v>
      </c>
      <c r="AN279" s="38">
        <f>IFERROR(Macro!$D117*Team!AN180/12+IF(AND(YEAR(AN$5)&gt;2020,MONTH(AN$5)=Macro!$D$52),Macro!$D118*AVERAGE(OFFSET(AO180,0,0,1,-12))*Macro!$E117,0),"NA")</f>
        <v>0</v>
      </c>
      <c r="AO279" s="39">
        <f>IFERROR(Macro!$D117*Team!AO180/12+IF(AND(YEAR(AO$5)&gt;2020,MONTH(AO$5)=Macro!$D$52),Macro!$D118*AVERAGE(OFFSET(AP180,0,0,1,-12))*Macro!$E117,0),"NA")</f>
        <v>0</v>
      </c>
      <c r="AP279" s="40">
        <f>IFERROR(Macro!$D117*Team!AP180/12+IF(AND(YEAR(AP$5)&gt;2020,MONTH(AP$5)=Macro!$D$52),Macro!$D118*AVERAGE(OFFSET(AQ180,0,0,1,-12))*Macro!$E117,0),"NA")</f>
        <v>0</v>
      </c>
      <c r="AQ279" s="38">
        <f>IFERROR(Macro!$D117*Team!AQ180/12+IF(AND(YEAR(AQ$5)&gt;2020,MONTH(AQ$5)=Macro!$D$52),Macro!$D118*AVERAGE(OFFSET(AR180,0,0,1,-12))*Macro!$E117,0),"NA")</f>
        <v>0</v>
      </c>
      <c r="AR279" s="39">
        <f>IFERROR(Macro!$D117*Team!AR180/12+IF(AND(YEAR(AR$5)&gt;2020,MONTH(AR$5)=Macro!$D$52),Macro!$D118*AVERAGE(OFFSET(AS180,0,0,1,-12))*Macro!$E117,0),"NA")</f>
        <v>0</v>
      </c>
      <c r="AS279" s="40">
        <f>IFERROR(Macro!$D117*Team!AS180/12+IF(AND(YEAR(AS$5)&gt;2020,MONTH(AS$5)=Macro!$D$52),Macro!$D118*AVERAGE(OFFSET(AT180,0,0,1,-12))*Macro!$E117,0),"NA")</f>
        <v>0</v>
      </c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</row>
    <row r="280" ht="12.0" customHeight="1">
      <c r="A280" s="282"/>
      <c r="B280" s="8"/>
      <c r="C280" s="37" t="str">
        <f t="shared" si="102"/>
        <v>[XX]</v>
      </c>
      <c r="D280" s="283">
        <f>IFERROR(Macro!$D118*Team!D181/12+IF(AND(YEAR(D$5)&gt;2020,MONTH(D$5)=Macro!$D$52),Macro!$D119*AVERAGE(OFFSET(E181,0,0,1,-12))*Macro!$E118,0),"NA")</f>
        <v>0</v>
      </c>
      <c r="E280" s="284">
        <f>IFERROR(Macro!$D118*Team!E181/12+IF(AND(YEAR(E$5)&gt;2020,MONTH(E$5)=Macro!$D$52),Macro!$D119*AVERAGE(OFFSET(F181,0,0,1,-12))*Macro!$E118,0),"NA")</f>
        <v>0</v>
      </c>
      <c r="F280" s="284">
        <f>IFERROR(Macro!$D118*Team!F181/12+IF(AND(YEAR(F$5)&gt;2020,MONTH(F$5)=Macro!$D$52),Macro!$D119*AVERAGE(OFFSET(G181,0,0,1,-12))*Macro!$E118,0),"NA")</f>
        <v>0</v>
      </c>
      <c r="G280" s="283">
        <f>IFERROR(Macro!$D118*Team!G181/12+IF(AND(YEAR(G$5)&gt;2020,MONTH(G$5)=Macro!$D$52),Macro!$D119*AVERAGE(OFFSET(H181,0,0,1,-12))*Macro!$E118,0),"NA")</f>
        <v>0</v>
      </c>
      <c r="H280" s="284">
        <f>IFERROR(Macro!$D118*Team!H181/12+IF(AND(YEAR(H$5)&gt;2020,MONTH(H$5)=Macro!$D$52),Macro!$D119*AVERAGE(OFFSET(I181,0,0,1,-12))*Macro!$E118,0),"NA")</f>
        <v>0</v>
      </c>
      <c r="I280" s="285">
        <f>IFERROR(Macro!$D118*Team!I181/12+IF(AND(YEAR(I$5)&gt;2020,MONTH(I$5)=Macro!$D$52),Macro!$D119*AVERAGE(OFFSET(J181,0,0,1,-12))*Macro!$E118,0),"NA")</f>
        <v>0</v>
      </c>
      <c r="J280" s="286">
        <f>IFERROR(Macro!$D118*Team!J181/12+IF(AND(YEAR(J$5)&gt;2020,MONTH(J$5)=Macro!$D$52),Macro!$D119*AVERAGE(OFFSET(K181,0,0,1,-12))*Macro!$E118,0),"NA")</f>
        <v>0</v>
      </c>
      <c r="K280" s="287">
        <f>IFERROR(Macro!$D118*Team!K181/12+IF(AND(YEAR(K$5)&gt;2020,MONTH(K$5)=Macro!$D$52),Macro!$D119*AVERAGE(OFFSET(L181,0,0,1,-12))*Macro!$E118,0),"NA")</f>
        <v>0</v>
      </c>
      <c r="L280" s="288">
        <f>IFERROR(Macro!$D118*Team!L181/12+IF(AND(YEAR(L$5)&gt;2020,MONTH(L$5)=Macro!$D$52),Macro!$D119*AVERAGE(OFFSET(M181,0,0,1,-12))*Macro!$E118,0),"NA")</f>
        <v>0</v>
      </c>
      <c r="M280" s="38">
        <f>IFERROR(Macro!$D118*Team!M181/12+IF(AND(YEAR(M$5)&gt;2020,MONTH(M$5)=Macro!$D$52),Macro!$D119*AVERAGE(OFFSET(N181,0,0,1,-12))*Macro!$E118,0),"NA")</f>
        <v>0</v>
      </c>
      <c r="N280" s="39">
        <f>IFERROR(Macro!$D118*Team!N181/12+IF(AND(YEAR(N$5)&gt;2020,MONTH(N$5)=Macro!$D$52),Macro!$D119*AVERAGE(OFFSET(O181,0,0,1,-12))*Macro!$E118,0),"NA")</f>
        <v>0</v>
      </c>
      <c r="O280" s="40">
        <f>IFERROR(Macro!$D118*Team!O181/12+IF(AND(YEAR(O$5)&gt;2020,MONTH(O$5)=Macro!$D$52),Macro!$D119*AVERAGE(OFFSET(P181,0,0,1,-12))*Macro!$E118,0),"NA")</f>
        <v>0</v>
      </c>
      <c r="P280" s="38">
        <f>IFERROR(Macro!$D118*Team!P181/12+IF(AND(YEAR(P$5)&gt;2020,MONTH(P$5)=Macro!$D$52),Macro!$D119*AVERAGE(OFFSET(Q181,0,0,1,-12))*Macro!$E118,0),"NA")</f>
        <v>0</v>
      </c>
      <c r="Q280" s="39">
        <f>IFERROR(Macro!$D118*Team!Q181/12+IF(AND(YEAR(Q$5)&gt;2020,MONTH(Q$5)=Macro!$D$52),Macro!$D119*AVERAGE(OFFSET(R181,0,0,1,-12))*Macro!$E118,0),"NA")</f>
        <v>0</v>
      </c>
      <c r="R280" s="40">
        <f>IFERROR(Macro!$D118*Team!R181/12+IF(AND(YEAR(R$5)&gt;2020,MONTH(R$5)=Macro!$D$52),Macro!$D119*AVERAGE(OFFSET(S181,0,0,1,-12))*Macro!$E118,0),"NA")</f>
        <v>0</v>
      </c>
      <c r="S280" s="38">
        <f>IFERROR(Macro!$D118*Team!S181/12+IF(AND(YEAR(S$5)&gt;2020,MONTH(S$5)=Macro!$D$52),Macro!$D119*AVERAGE(OFFSET(T181,0,0,1,-12))*Macro!$E118,0),"NA")</f>
        <v>0</v>
      </c>
      <c r="T280" s="39">
        <f>IFERROR(Macro!$D118*Team!T181/12+IF(AND(YEAR(T$5)&gt;2020,MONTH(T$5)=Macro!$D$52),Macro!$D119*AVERAGE(OFFSET(U181,0,0,1,-12))*Macro!$E118,0),"NA")</f>
        <v>0</v>
      </c>
      <c r="U280" s="40">
        <f>IFERROR(Macro!$D118*Team!U181/12+IF(AND(YEAR(U$5)&gt;2020,MONTH(U$5)=Macro!$D$52),Macro!$D119*AVERAGE(OFFSET(V181,0,0,1,-12))*Macro!$E118,0),"NA")</f>
        <v>0</v>
      </c>
      <c r="V280" s="38" t="str">
        <f>IFERROR(Macro!$D118*Team!V181/12+IF(AND(YEAR(V$5)&gt;2020,MONTH(V$5)=Macro!$D$52),Macro!$D119*AVERAGE(OFFSET(W181,0,0,1,-12))*Macro!$E118,0),"NA")</f>
        <v>NA</v>
      </c>
      <c r="W280" s="39">
        <f>IFERROR(Macro!$D118*Team!W181/12+IF(AND(YEAR(W$5)&gt;2020,MONTH(W$5)=Macro!$D$52),Macro!$D119*AVERAGE(OFFSET(X181,0,0,1,-12))*Macro!$E118,0),"NA")</f>
        <v>0</v>
      </c>
      <c r="X280" s="40">
        <f>IFERROR(Macro!$D118*Team!X181/12+IF(AND(YEAR(X$5)&gt;2020,MONTH(X$5)=Macro!$D$52),Macro!$D119*AVERAGE(OFFSET(Y181,0,0,1,-12))*Macro!$E118,0),"NA")</f>
        <v>0</v>
      </c>
      <c r="Y280" s="38">
        <f>IFERROR(Macro!$D118*Team!Y181/12+IF(AND(YEAR(Y$5)&gt;2020,MONTH(Y$5)=Macro!$D$52),Macro!$D119*AVERAGE(OFFSET(Z181,0,0,1,-12))*Macro!$E118,0),"NA")</f>
        <v>0</v>
      </c>
      <c r="Z280" s="39">
        <f>IFERROR(Macro!$D118*Team!Z181/12+IF(AND(YEAR(Z$5)&gt;2020,MONTH(Z$5)=Macro!$D$52),Macro!$D119*AVERAGE(OFFSET(AA181,0,0,1,-12))*Macro!$E118,0),"NA")</f>
        <v>0</v>
      </c>
      <c r="AA280" s="40">
        <f>IFERROR(Macro!$D118*Team!AA181/12+IF(AND(YEAR(AA$5)&gt;2020,MONTH(AA$5)=Macro!$D$52),Macro!$D119*AVERAGE(OFFSET(AB181,0,0,1,-12))*Macro!$E118,0),"NA")</f>
        <v>0</v>
      </c>
      <c r="AB280" s="38">
        <f>IFERROR(Macro!$D118*Team!AB181/12+IF(AND(YEAR(AB$5)&gt;2020,MONTH(AB$5)=Macro!$D$52),Macro!$D119*AVERAGE(OFFSET(AC181,0,0,1,-12))*Macro!$E118,0),"NA")</f>
        <v>0</v>
      </c>
      <c r="AC280" s="39">
        <f>IFERROR(Macro!$D118*Team!AC181/12+IF(AND(YEAR(AC$5)&gt;2020,MONTH(AC$5)=Macro!$D$52),Macro!$D119*AVERAGE(OFFSET(AD181,0,0,1,-12))*Macro!$E118,0),"NA")</f>
        <v>0</v>
      </c>
      <c r="AD280" s="40">
        <f>IFERROR(Macro!$D118*Team!AD181/12+IF(AND(YEAR(AD$5)&gt;2020,MONTH(AD$5)=Macro!$D$52),Macro!$D119*AVERAGE(OFFSET(AE181,0,0,1,-12))*Macro!$E118,0),"NA")</f>
        <v>0</v>
      </c>
      <c r="AE280" s="38">
        <f>IFERROR(Macro!$D118*Team!AE181/12+IF(AND(YEAR(AE$5)&gt;2020,MONTH(AE$5)=Macro!$D$52),Macro!$D119*AVERAGE(OFFSET(AF181,0,0,1,-12))*Macro!$E118,0),"NA")</f>
        <v>0</v>
      </c>
      <c r="AF280" s="39">
        <f>IFERROR(Macro!$D118*Team!AF181/12+IF(AND(YEAR(AF$5)&gt;2020,MONTH(AF$5)=Macro!$D$52),Macro!$D119*AVERAGE(OFFSET(AG181,0,0,1,-12))*Macro!$E118,0),"NA")</f>
        <v>0</v>
      </c>
      <c r="AG280" s="40">
        <f>IFERROR(Macro!$D118*Team!AG181/12+IF(AND(YEAR(AG$5)&gt;2020,MONTH(AG$5)=Macro!$D$52),Macro!$D119*AVERAGE(OFFSET(AH181,0,0,1,-12))*Macro!$E118,0),"NA")</f>
        <v>0</v>
      </c>
      <c r="AH280" s="38" t="str">
        <f>IFERROR(Macro!$D118*Team!AH181/12+IF(AND(YEAR(AH$5)&gt;2020,MONTH(AH$5)=Macro!$D$52),Macro!$D119*AVERAGE(OFFSET(AI181,0,0,1,-12))*Macro!$E118,0),"NA")</f>
        <v>NA</v>
      </c>
      <c r="AI280" s="39">
        <f>IFERROR(Macro!$D118*Team!AI181/12+IF(AND(YEAR(AI$5)&gt;2020,MONTH(AI$5)=Macro!$D$52),Macro!$D119*AVERAGE(OFFSET(AJ181,0,0,1,-12))*Macro!$E118,0),"NA")</f>
        <v>0</v>
      </c>
      <c r="AJ280" s="40">
        <f>IFERROR(Macro!$D118*Team!AJ181/12+IF(AND(YEAR(AJ$5)&gt;2020,MONTH(AJ$5)=Macro!$D$52),Macro!$D119*AVERAGE(OFFSET(AK181,0,0,1,-12))*Macro!$E118,0),"NA")</f>
        <v>0</v>
      </c>
      <c r="AK280" s="38">
        <f>IFERROR(Macro!$D118*Team!AK181/12+IF(AND(YEAR(AK$5)&gt;2020,MONTH(AK$5)=Macro!$D$52),Macro!$D119*AVERAGE(OFFSET(AL181,0,0,1,-12))*Macro!$E118,0),"NA")</f>
        <v>0</v>
      </c>
      <c r="AL280" s="39">
        <f>IFERROR(Macro!$D118*Team!AL181/12+IF(AND(YEAR(AL$5)&gt;2020,MONTH(AL$5)=Macro!$D$52),Macro!$D119*AVERAGE(OFFSET(AM181,0,0,1,-12))*Macro!$E118,0),"NA")</f>
        <v>0</v>
      </c>
      <c r="AM280" s="40">
        <f>IFERROR(Macro!$D118*Team!AM181/12+IF(AND(YEAR(AM$5)&gt;2020,MONTH(AM$5)=Macro!$D$52),Macro!$D119*AVERAGE(OFFSET(AN181,0,0,1,-12))*Macro!$E118,0),"NA")</f>
        <v>0</v>
      </c>
      <c r="AN280" s="38">
        <f>IFERROR(Macro!$D118*Team!AN181/12+IF(AND(YEAR(AN$5)&gt;2020,MONTH(AN$5)=Macro!$D$52),Macro!$D119*AVERAGE(OFFSET(AO181,0,0,1,-12))*Macro!$E118,0),"NA")</f>
        <v>0</v>
      </c>
      <c r="AO280" s="39">
        <f>IFERROR(Macro!$D118*Team!AO181/12+IF(AND(YEAR(AO$5)&gt;2020,MONTH(AO$5)=Macro!$D$52),Macro!$D119*AVERAGE(OFFSET(AP181,0,0,1,-12))*Macro!$E118,0),"NA")</f>
        <v>0</v>
      </c>
      <c r="AP280" s="40">
        <f>IFERROR(Macro!$D118*Team!AP181/12+IF(AND(YEAR(AP$5)&gt;2020,MONTH(AP$5)=Macro!$D$52),Macro!$D119*AVERAGE(OFFSET(AQ181,0,0,1,-12))*Macro!$E118,0),"NA")</f>
        <v>0</v>
      </c>
      <c r="AQ280" s="38">
        <f>IFERROR(Macro!$D118*Team!AQ181/12+IF(AND(YEAR(AQ$5)&gt;2020,MONTH(AQ$5)=Macro!$D$52),Macro!$D119*AVERAGE(OFFSET(AR181,0,0,1,-12))*Macro!$E118,0),"NA")</f>
        <v>0</v>
      </c>
      <c r="AR280" s="39">
        <f>IFERROR(Macro!$D118*Team!AR181/12+IF(AND(YEAR(AR$5)&gt;2020,MONTH(AR$5)=Macro!$D$52),Macro!$D119*AVERAGE(OFFSET(AS181,0,0,1,-12))*Macro!$E118,0),"NA")</f>
        <v>0</v>
      </c>
      <c r="AS280" s="40">
        <f>IFERROR(Macro!$D118*Team!AS181/12+IF(AND(YEAR(AS$5)&gt;2020,MONTH(AS$5)=Macro!$D$52),Macro!$D119*AVERAGE(OFFSET(AT181,0,0,1,-12))*Macro!$E118,0),"NA")</f>
        <v>0</v>
      </c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</row>
    <row r="281" ht="12.0" customHeight="1">
      <c r="A281" s="282"/>
      <c r="B281" s="8"/>
      <c r="C281" s="37" t="str">
        <f t="shared" si="102"/>
        <v>[XX]</v>
      </c>
      <c r="D281" s="283">
        <f>IFERROR(Macro!$D119*Team!D182/12+IF(AND(YEAR(D$5)&gt;2020,MONTH(D$5)=Macro!$D$52),Macro!$D120*AVERAGE(OFFSET(E182,0,0,1,-12))*Macro!$E119,0),"NA")</f>
        <v>0</v>
      </c>
      <c r="E281" s="284">
        <f>IFERROR(Macro!$D119*Team!E182/12+IF(AND(YEAR(E$5)&gt;2020,MONTH(E$5)=Macro!$D$52),Macro!$D120*AVERAGE(OFFSET(F182,0,0,1,-12))*Macro!$E119,0),"NA")</f>
        <v>0</v>
      </c>
      <c r="F281" s="284">
        <f>IFERROR(Macro!$D119*Team!F182/12+IF(AND(YEAR(F$5)&gt;2020,MONTH(F$5)=Macro!$D$52),Macro!$D120*AVERAGE(OFFSET(G182,0,0,1,-12))*Macro!$E119,0),"NA")</f>
        <v>0</v>
      </c>
      <c r="G281" s="283">
        <f>IFERROR(Macro!$D119*Team!G182/12+IF(AND(YEAR(G$5)&gt;2020,MONTH(G$5)=Macro!$D$52),Macro!$D120*AVERAGE(OFFSET(H182,0,0,1,-12))*Macro!$E119,0),"NA")</f>
        <v>0</v>
      </c>
      <c r="H281" s="284">
        <f>IFERROR(Macro!$D119*Team!H182/12+IF(AND(YEAR(H$5)&gt;2020,MONTH(H$5)=Macro!$D$52),Macro!$D120*AVERAGE(OFFSET(I182,0,0,1,-12))*Macro!$E119,0),"NA")</f>
        <v>0</v>
      </c>
      <c r="I281" s="285">
        <f>IFERROR(Macro!$D119*Team!I182/12+IF(AND(YEAR(I$5)&gt;2020,MONTH(I$5)=Macro!$D$52),Macro!$D120*AVERAGE(OFFSET(J182,0,0,1,-12))*Macro!$E119,0),"NA")</f>
        <v>0</v>
      </c>
      <c r="J281" s="286">
        <f>IFERROR(Macro!$D119*Team!J182/12+IF(AND(YEAR(J$5)&gt;2020,MONTH(J$5)=Macro!$D$52),Macro!$D120*AVERAGE(OFFSET(K182,0,0,1,-12))*Macro!$E119,0),"NA")</f>
        <v>0</v>
      </c>
      <c r="K281" s="287">
        <f>IFERROR(Macro!$D119*Team!K182/12+IF(AND(YEAR(K$5)&gt;2020,MONTH(K$5)=Macro!$D$52),Macro!$D120*AVERAGE(OFFSET(L182,0,0,1,-12))*Macro!$E119,0),"NA")</f>
        <v>0</v>
      </c>
      <c r="L281" s="288">
        <f>IFERROR(Macro!$D119*Team!L182/12+IF(AND(YEAR(L$5)&gt;2020,MONTH(L$5)=Macro!$D$52),Macro!$D120*AVERAGE(OFFSET(M182,0,0,1,-12))*Macro!$E119,0),"NA")</f>
        <v>0</v>
      </c>
      <c r="M281" s="38">
        <f>IFERROR(Macro!$D119*Team!M182/12+IF(AND(YEAR(M$5)&gt;2020,MONTH(M$5)=Macro!$D$52),Macro!$D120*AVERAGE(OFFSET(N182,0,0,1,-12))*Macro!$E119,0),"NA")</f>
        <v>0</v>
      </c>
      <c r="N281" s="39">
        <f>IFERROR(Macro!$D119*Team!N182/12+IF(AND(YEAR(N$5)&gt;2020,MONTH(N$5)=Macro!$D$52),Macro!$D120*AVERAGE(OFFSET(O182,0,0,1,-12))*Macro!$E119,0),"NA")</f>
        <v>0</v>
      </c>
      <c r="O281" s="40">
        <f>IFERROR(Macro!$D119*Team!O182/12+IF(AND(YEAR(O$5)&gt;2020,MONTH(O$5)=Macro!$D$52),Macro!$D120*AVERAGE(OFFSET(P182,0,0,1,-12))*Macro!$E119,0),"NA")</f>
        <v>0</v>
      </c>
      <c r="P281" s="38">
        <f>IFERROR(Macro!$D119*Team!P182/12+IF(AND(YEAR(P$5)&gt;2020,MONTH(P$5)=Macro!$D$52),Macro!$D120*AVERAGE(OFFSET(Q182,0,0,1,-12))*Macro!$E119,0),"NA")</f>
        <v>0</v>
      </c>
      <c r="Q281" s="39">
        <f>IFERROR(Macro!$D119*Team!Q182/12+IF(AND(YEAR(Q$5)&gt;2020,MONTH(Q$5)=Macro!$D$52),Macro!$D120*AVERAGE(OFFSET(R182,0,0,1,-12))*Macro!$E119,0),"NA")</f>
        <v>0</v>
      </c>
      <c r="R281" s="40">
        <f>IFERROR(Macro!$D119*Team!R182/12+IF(AND(YEAR(R$5)&gt;2020,MONTH(R$5)=Macro!$D$52),Macro!$D120*AVERAGE(OFFSET(S182,0,0,1,-12))*Macro!$E119,0),"NA")</f>
        <v>0</v>
      </c>
      <c r="S281" s="38">
        <f>IFERROR(Macro!$D119*Team!S182/12+IF(AND(YEAR(S$5)&gt;2020,MONTH(S$5)=Macro!$D$52),Macro!$D120*AVERAGE(OFFSET(T182,0,0,1,-12))*Macro!$E119,0),"NA")</f>
        <v>0</v>
      </c>
      <c r="T281" s="39">
        <f>IFERROR(Macro!$D119*Team!T182/12+IF(AND(YEAR(T$5)&gt;2020,MONTH(T$5)=Macro!$D$52),Macro!$D120*AVERAGE(OFFSET(U182,0,0,1,-12))*Macro!$E119,0),"NA")</f>
        <v>0</v>
      </c>
      <c r="U281" s="40">
        <f>IFERROR(Macro!$D119*Team!U182/12+IF(AND(YEAR(U$5)&gt;2020,MONTH(U$5)=Macro!$D$52),Macro!$D120*AVERAGE(OFFSET(V182,0,0,1,-12))*Macro!$E119,0),"NA")</f>
        <v>0</v>
      </c>
      <c r="V281" s="38" t="str">
        <f>IFERROR(Macro!$D119*Team!V182/12+IF(AND(YEAR(V$5)&gt;2020,MONTH(V$5)=Macro!$D$52),Macro!$D120*AVERAGE(OFFSET(W182,0,0,1,-12))*Macro!$E119,0),"NA")</f>
        <v>NA</v>
      </c>
      <c r="W281" s="39">
        <f>IFERROR(Macro!$D119*Team!W182/12+IF(AND(YEAR(W$5)&gt;2020,MONTH(W$5)=Macro!$D$52),Macro!$D120*AVERAGE(OFFSET(X182,0,0,1,-12))*Macro!$E119,0),"NA")</f>
        <v>0</v>
      </c>
      <c r="X281" s="40">
        <f>IFERROR(Macro!$D119*Team!X182/12+IF(AND(YEAR(X$5)&gt;2020,MONTH(X$5)=Macro!$D$52),Macro!$D120*AVERAGE(OFFSET(Y182,0,0,1,-12))*Macro!$E119,0),"NA")</f>
        <v>0</v>
      </c>
      <c r="Y281" s="38">
        <f>IFERROR(Macro!$D119*Team!Y182/12+IF(AND(YEAR(Y$5)&gt;2020,MONTH(Y$5)=Macro!$D$52),Macro!$D120*AVERAGE(OFFSET(Z182,0,0,1,-12))*Macro!$E119,0),"NA")</f>
        <v>0</v>
      </c>
      <c r="Z281" s="39">
        <f>IFERROR(Macro!$D119*Team!Z182/12+IF(AND(YEAR(Z$5)&gt;2020,MONTH(Z$5)=Macro!$D$52),Macro!$D120*AVERAGE(OFFSET(AA182,0,0,1,-12))*Macro!$E119,0),"NA")</f>
        <v>0</v>
      </c>
      <c r="AA281" s="40">
        <f>IFERROR(Macro!$D119*Team!AA182/12+IF(AND(YEAR(AA$5)&gt;2020,MONTH(AA$5)=Macro!$D$52),Macro!$D120*AVERAGE(OFFSET(AB182,0,0,1,-12))*Macro!$E119,0),"NA")</f>
        <v>0</v>
      </c>
      <c r="AB281" s="38">
        <f>IFERROR(Macro!$D119*Team!AB182/12+IF(AND(YEAR(AB$5)&gt;2020,MONTH(AB$5)=Macro!$D$52),Macro!$D120*AVERAGE(OFFSET(AC182,0,0,1,-12))*Macro!$E119,0),"NA")</f>
        <v>0</v>
      </c>
      <c r="AC281" s="39">
        <f>IFERROR(Macro!$D119*Team!AC182/12+IF(AND(YEAR(AC$5)&gt;2020,MONTH(AC$5)=Macro!$D$52),Macro!$D120*AVERAGE(OFFSET(AD182,0,0,1,-12))*Macro!$E119,0),"NA")</f>
        <v>0</v>
      </c>
      <c r="AD281" s="40">
        <f>IFERROR(Macro!$D119*Team!AD182/12+IF(AND(YEAR(AD$5)&gt;2020,MONTH(AD$5)=Macro!$D$52),Macro!$D120*AVERAGE(OFFSET(AE182,0,0,1,-12))*Macro!$E119,0),"NA")</f>
        <v>0</v>
      </c>
      <c r="AE281" s="38">
        <f>IFERROR(Macro!$D119*Team!AE182/12+IF(AND(YEAR(AE$5)&gt;2020,MONTH(AE$5)=Macro!$D$52),Macro!$D120*AVERAGE(OFFSET(AF182,0,0,1,-12))*Macro!$E119,0),"NA")</f>
        <v>0</v>
      </c>
      <c r="AF281" s="39">
        <f>IFERROR(Macro!$D119*Team!AF182/12+IF(AND(YEAR(AF$5)&gt;2020,MONTH(AF$5)=Macro!$D$52),Macro!$D120*AVERAGE(OFFSET(AG182,0,0,1,-12))*Macro!$E119,0),"NA")</f>
        <v>0</v>
      </c>
      <c r="AG281" s="40">
        <f>IFERROR(Macro!$D119*Team!AG182/12+IF(AND(YEAR(AG$5)&gt;2020,MONTH(AG$5)=Macro!$D$52),Macro!$D120*AVERAGE(OFFSET(AH182,0,0,1,-12))*Macro!$E119,0),"NA")</f>
        <v>0</v>
      </c>
      <c r="AH281" s="38" t="str">
        <f>IFERROR(Macro!$D119*Team!AH182/12+IF(AND(YEAR(AH$5)&gt;2020,MONTH(AH$5)=Macro!$D$52),Macro!$D120*AVERAGE(OFFSET(AI182,0,0,1,-12))*Macro!$E119,0),"NA")</f>
        <v>NA</v>
      </c>
      <c r="AI281" s="39">
        <f>IFERROR(Macro!$D119*Team!AI182/12+IF(AND(YEAR(AI$5)&gt;2020,MONTH(AI$5)=Macro!$D$52),Macro!$D120*AVERAGE(OFFSET(AJ182,0,0,1,-12))*Macro!$E119,0),"NA")</f>
        <v>0</v>
      </c>
      <c r="AJ281" s="40">
        <f>IFERROR(Macro!$D119*Team!AJ182/12+IF(AND(YEAR(AJ$5)&gt;2020,MONTH(AJ$5)=Macro!$D$52),Macro!$D120*AVERAGE(OFFSET(AK182,0,0,1,-12))*Macro!$E119,0),"NA")</f>
        <v>0</v>
      </c>
      <c r="AK281" s="38">
        <f>IFERROR(Macro!$D119*Team!AK182/12+IF(AND(YEAR(AK$5)&gt;2020,MONTH(AK$5)=Macro!$D$52),Macro!$D120*AVERAGE(OFFSET(AL182,0,0,1,-12))*Macro!$E119,0),"NA")</f>
        <v>0</v>
      </c>
      <c r="AL281" s="39">
        <f>IFERROR(Macro!$D119*Team!AL182/12+IF(AND(YEAR(AL$5)&gt;2020,MONTH(AL$5)=Macro!$D$52),Macro!$D120*AVERAGE(OFFSET(AM182,0,0,1,-12))*Macro!$E119,0),"NA")</f>
        <v>0</v>
      </c>
      <c r="AM281" s="40">
        <f>IFERROR(Macro!$D119*Team!AM182/12+IF(AND(YEAR(AM$5)&gt;2020,MONTH(AM$5)=Macro!$D$52),Macro!$D120*AVERAGE(OFFSET(AN182,0,0,1,-12))*Macro!$E119,0),"NA")</f>
        <v>0</v>
      </c>
      <c r="AN281" s="38">
        <f>IFERROR(Macro!$D119*Team!AN182/12+IF(AND(YEAR(AN$5)&gt;2020,MONTH(AN$5)=Macro!$D$52),Macro!$D120*AVERAGE(OFFSET(AO182,0,0,1,-12))*Macro!$E119,0),"NA")</f>
        <v>0</v>
      </c>
      <c r="AO281" s="39">
        <f>IFERROR(Macro!$D119*Team!AO182/12+IF(AND(YEAR(AO$5)&gt;2020,MONTH(AO$5)=Macro!$D$52),Macro!$D120*AVERAGE(OFFSET(AP182,0,0,1,-12))*Macro!$E119,0),"NA")</f>
        <v>0</v>
      </c>
      <c r="AP281" s="40">
        <f>IFERROR(Macro!$D119*Team!AP182/12+IF(AND(YEAR(AP$5)&gt;2020,MONTH(AP$5)=Macro!$D$52),Macro!$D120*AVERAGE(OFFSET(AQ182,0,0,1,-12))*Macro!$E119,0),"NA")</f>
        <v>0</v>
      </c>
      <c r="AQ281" s="38">
        <f>IFERROR(Macro!$D119*Team!AQ182/12+IF(AND(YEAR(AQ$5)&gt;2020,MONTH(AQ$5)=Macro!$D$52),Macro!$D120*AVERAGE(OFFSET(AR182,0,0,1,-12))*Macro!$E119,0),"NA")</f>
        <v>0</v>
      </c>
      <c r="AR281" s="39">
        <f>IFERROR(Macro!$D119*Team!AR182/12+IF(AND(YEAR(AR$5)&gt;2020,MONTH(AR$5)=Macro!$D$52),Macro!$D120*AVERAGE(OFFSET(AS182,0,0,1,-12))*Macro!$E119,0),"NA")</f>
        <v>0</v>
      </c>
      <c r="AS281" s="40">
        <f>IFERROR(Macro!$D119*Team!AS182/12+IF(AND(YEAR(AS$5)&gt;2020,MONTH(AS$5)=Macro!$D$52),Macro!$D120*AVERAGE(OFFSET(AT182,0,0,1,-12))*Macro!$E119,0),"NA")</f>
        <v>0</v>
      </c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</row>
    <row r="282" ht="12.0" customHeight="1">
      <c r="A282" s="282"/>
      <c r="B282" s="8"/>
      <c r="C282" s="37" t="str">
        <f t="shared" si="102"/>
        <v>[XX]</v>
      </c>
      <c r="D282" s="283">
        <f>IFERROR(Macro!$D120*Team!D183/12+IF(AND(YEAR(D$5)&gt;2020,MONTH(D$5)=Macro!$D$52),Macro!$D121*AVERAGE(OFFSET(E183,0,0,1,-12))*Macro!$E120,0),"NA")</f>
        <v>0</v>
      </c>
      <c r="E282" s="284">
        <f>IFERROR(Macro!$D120*Team!E183/12+IF(AND(YEAR(E$5)&gt;2020,MONTH(E$5)=Macro!$D$52),Macro!$D121*AVERAGE(OFFSET(F183,0,0,1,-12))*Macro!$E120,0),"NA")</f>
        <v>0</v>
      </c>
      <c r="F282" s="284">
        <f>IFERROR(Macro!$D120*Team!F183/12+IF(AND(YEAR(F$5)&gt;2020,MONTH(F$5)=Macro!$D$52),Macro!$D121*AVERAGE(OFFSET(G183,0,0,1,-12))*Macro!$E120,0),"NA")</f>
        <v>0</v>
      </c>
      <c r="G282" s="283">
        <f>IFERROR(Macro!$D120*Team!G183/12+IF(AND(YEAR(G$5)&gt;2020,MONTH(G$5)=Macro!$D$52),Macro!$D121*AVERAGE(OFFSET(H183,0,0,1,-12))*Macro!$E120,0),"NA")</f>
        <v>0</v>
      </c>
      <c r="H282" s="284">
        <f>IFERROR(Macro!$D120*Team!H183/12+IF(AND(YEAR(H$5)&gt;2020,MONTH(H$5)=Macro!$D$52),Macro!$D121*AVERAGE(OFFSET(I183,0,0,1,-12))*Macro!$E120,0),"NA")</f>
        <v>0</v>
      </c>
      <c r="I282" s="285">
        <f>IFERROR(Macro!$D120*Team!I183/12+IF(AND(YEAR(I$5)&gt;2020,MONTH(I$5)=Macro!$D$52),Macro!$D121*AVERAGE(OFFSET(J183,0,0,1,-12))*Macro!$E120,0),"NA")</f>
        <v>0</v>
      </c>
      <c r="J282" s="286">
        <f>IFERROR(Macro!$D120*Team!J183/12+IF(AND(YEAR(J$5)&gt;2020,MONTH(J$5)=Macro!$D$52),Macro!$D121*AVERAGE(OFFSET(K183,0,0,1,-12))*Macro!$E120,0),"NA")</f>
        <v>0</v>
      </c>
      <c r="K282" s="287">
        <f>IFERROR(Macro!$D120*Team!K183/12+IF(AND(YEAR(K$5)&gt;2020,MONTH(K$5)=Macro!$D$52),Macro!$D121*AVERAGE(OFFSET(L183,0,0,1,-12))*Macro!$E120,0),"NA")</f>
        <v>0</v>
      </c>
      <c r="L282" s="288">
        <f>IFERROR(Macro!$D120*Team!L183/12+IF(AND(YEAR(L$5)&gt;2020,MONTH(L$5)=Macro!$D$52),Macro!$D121*AVERAGE(OFFSET(M183,0,0,1,-12))*Macro!$E120,0),"NA")</f>
        <v>0</v>
      </c>
      <c r="M282" s="38">
        <f>IFERROR(Macro!$D120*Team!M183/12+IF(AND(YEAR(M$5)&gt;2020,MONTH(M$5)=Macro!$D$52),Macro!$D121*AVERAGE(OFFSET(N183,0,0,1,-12))*Macro!$E120,0),"NA")</f>
        <v>0</v>
      </c>
      <c r="N282" s="39">
        <f>IFERROR(Macro!$D120*Team!N183/12+IF(AND(YEAR(N$5)&gt;2020,MONTH(N$5)=Macro!$D$52),Macro!$D121*AVERAGE(OFFSET(O183,0,0,1,-12))*Macro!$E120,0),"NA")</f>
        <v>0</v>
      </c>
      <c r="O282" s="40">
        <f>IFERROR(Macro!$D120*Team!O183/12+IF(AND(YEAR(O$5)&gt;2020,MONTH(O$5)=Macro!$D$52),Macro!$D121*AVERAGE(OFFSET(P183,0,0,1,-12))*Macro!$E120,0),"NA")</f>
        <v>0</v>
      </c>
      <c r="P282" s="38">
        <f>IFERROR(Macro!$D120*Team!P183/12+IF(AND(YEAR(P$5)&gt;2020,MONTH(P$5)=Macro!$D$52),Macro!$D121*AVERAGE(OFFSET(Q183,0,0,1,-12))*Macro!$E120,0),"NA")</f>
        <v>0</v>
      </c>
      <c r="Q282" s="39">
        <f>IFERROR(Macro!$D120*Team!Q183/12+IF(AND(YEAR(Q$5)&gt;2020,MONTH(Q$5)=Macro!$D$52),Macro!$D121*AVERAGE(OFFSET(R183,0,0,1,-12))*Macro!$E120,0),"NA")</f>
        <v>0</v>
      </c>
      <c r="R282" s="40">
        <f>IFERROR(Macro!$D120*Team!R183/12+IF(AND(YEAR(R$5)&gt;2020,MONTH(R$5)=Macro!$D$52),Macro!$D121*AVERAGE(OFFSET(S183,0,0,1,-12))*Macro!$E120,0),"NA")</f>
        <v>0</v>
      </c>
      <c r="S282" s="38">
        <f>IFERROR(Macro!$D120*Team!S183/12+IF(AND(YEAR(S$5)&gt;2020,MONTH(S$5)=Macro!$D$52),Macro!$D121*AVERAGE(OFFSET(T183,0,0,1,-12))*Macro!$E120,0),"NA")</f>
        <v>0</v>
      </c>
      <c r="T282" s="39">
        <f>IFERROR(Macro!$D120*Team!T183/12+IF(AND(YEAR(T$5)&gt;2020,MONTH(T$5)=Macro!$D$52),Macro!$D121*AVERAGE(OFFSET(U183,0,0,1,-12))*Macro!$E120,0),"NA")</f>
        <v>0</v>
      </c>
      <c r="U282" s="40">
        <f>IFERROR(Macro!$D120*Team!U183/12+IF(AND(YEAR(U$5)&gt;2020,MONTH(U$5)=Macro!$D$52),Macro!$D121*AVERAGE(OFFSET(V183,0,0,1,-12))*Macro!$E120,0),"NA")</f>
        <v>0</v>
      </c>
      <c r="V282" s="38" t="str">
        <f>IFERROR(Macro!$D120*Team!V183/12+IF(AND(YEAR(V$5)&gt;2020,MONTH(V$5)=Macro!$D$52),Macro!$D121*AVERAGE(OFFSET(W183,0,0,1,-12))*Macro!$E120,0),"NA")</f>
        <v>NA</v>
      </c>
      <c r="W282" s="39">
        <f>IFERROR(Macro!$D120*Team!W183/12+IF(AND(YEAR(W$5)&gt;2020,MONTH(W$5)=Macro!$D$52),Macro!$D121*AVERAGE(OFFSET(X183,0,0,1,-12))*Macro!$E120,0),"NA")</f>
        <v>0</v>
      </c>
      <c r="X282" s="40">
        <f>IFERROR(Macro!$D120*Team!X183/12+IF(AND(YEAR(X$5)&gt;2020,MONTH(X$5)=Macro!$D$52),Macro!$D121*AVERAGE(OFFSET(Y183,0,0,1,-12))*Macro!$E120,0),"NA")</f>
        <v>0</v>
      </c>
      <c r="Y282" s="38">
        <f>IFERROR(Macro!$D120*Team!Y183/12+IF(AND(YEAR(Y$5)&gt;2020,MONTH(Y$5)=Macro!$D$52),Macro!$D121*AVERAGE(OFFSET(Z183,0,0,1,-12))*Macro!$E120,0),"NA")</f>
        <v>0</v>
      </c>
      <c r="Z282" s="39">
        <f>IFERROR(Macro!$D120*Team!Z183/12+IF(AND(YEAR(Z$5)&gt;2020,MONTH(Z$5)=Macro!$D$52),Macro!$D121*AVERAGE(OFFSET(AA183,0,0,1,-12))*Macro!$E120,0),"NA")</f>
        <v>0</v>
      </c>
      <c r="AA282" s="40">
        <f>IFERROR(Macro!$D120*Team!AA183/12+IF(AND(YEAR(AA$5)&gt;2020,MONTH(AA$5)=Macro!$D$52),Macro!$D121*AVERAGE(OFFSET(AB183,0,0,1,-12))*Macro!$E120,0),"NA")</f>
        <v>0</v>
      </c>
      <c r="AB282" s="38">
        <f>IFERROR(Macro!$D120*Team!AB183/12+IF(AND(YEAR(AB$5)&gt;2020,MONTH(AB$5)=Macro!$D$52),Macro!$D121*AVERAGE(OFFSET(AC183,0,0,1,-12))*Macro!$E120,0),"NA")</f>
        <v>0</v>
      </c>
      <c r="AC282" s="39">
        <f>IFERROR(Macro!$D120*Team!AC183/12+IF(AND(YEAR(AC$5)&gt;2020,MONTH(AC$5)=Macro!$D$52),Macro!$D121*AVERAGE(OFFSET(AD183,0,0,1,-12))*Macro!$E120,0),"NA")</f>
        <v>0</v>
      </c>
      <c r="AD282" s="40">
        <f>IFERROR(Macro!$D120*Team!AD183/12+IF(AND(YEAR(AD$5)&gt;2020,MONTH(AD$5)=Macro!$D$52),Macro!$D121*AVERAGE(OFFSET(AE183,0,0,1,-12))*Macro!$E120,0),"NA")</f>
        <v>0</v>
      </c>
      <c r="AE282" s="38">
        <f>IFERROR(Macro!$D120*Team!AE183/12+IF(AND(YEAR(AE$5)&gt;2020,MONTH(AE$5)=Macro!$D$52),Macro!$D121*AVERAGE(OFFSET(AF183,0,0,1,-12))*Macro!$E120,0),"NA")</f>
        <v>0</v>
      </c>
      <c r="AF282" s="39">
        <f>IFERROR(Macro!$D120*Team!AF183/12+IF(AND(YEAR(AF$5)&gt;2020,MONTH(AF$5)=Macro!$D$52),Macro!$D121*AVERAGE(OFFSET(AG183,0,0,1,-12))*Macro!$E120,0),"NA")</f>
        <v>0</v>
      </c>
      <c r="AG282" s="40">
        <f>IFERROR(Macro!$D120*Team!AG183/12+IF(AND(YEAR(AG$5)&gt;2020,MONTH(AG$5)=Macro!$D$52),Macro!$D121*AVERAGE(OFFSET(AH183,0,0,1,-12))*Macro!$E120,0),"NA")</f>
        <v>0</v>
      </c>
      <c r="AH282" s="38" t="str">
        <f>IFERROR(Macro!$D120*Team!AH183/12+IF(AND(YEAR(AH$5)&gt;2020,MONTH(AH$5)=Macro!$D$52),Macro!$D121*AVERAGE(OFFSET(AI183,0,0,1,-12))*Macro!$E120,0),"NA")</f>
        <v>NA</v>
      </c>
      <c r="AI282" s="39">
        <f>IFERROR(Macro!$D120*Team!AI183/12+IF(AND(YEAR(AI$5)&gt;2020,MONTH(AI$5)=Macro!$D$52),Macro!$D121*AVERAGE(OFFSET(AJ183,0,0,1,-12))*Macro!$E120,0),"NA")</f>
        <v>0</v>
      </c>
      <c r="AJ282" s="40">
        <f>IFERROR(Macro!$D120*Team!AJ183/12+IF(AND(YEAR(AJ$5)&gt;2020,MONTH(AJ$5)=Macro!$D$52),Macro!$D121*AVERAGE(OFFSET(AK183,0,0,1,-12))*Macro!$E120,0),"NA")</f>
        <v>0</v>
      </c>
      <c r="AK282" s="38">
        <f>IFERROR(Macro!$D120*Team!AK183/12+IF(AND(YEAR(AK$5)&gt;2020,MONTH(AK$5)=Macro!$D$52),Macro!$D121*AVERAGE(OFFSET(AL183,0,0,1,-12))*Macro!$E120,0),"NA")</f>
        <v>0</v>
      </c>
      <c r="AL282" s="39">
        <f>IFERROR(Macro!$D120*Team!AL183/12+IF(AND(YEAR(AL$5)&gt;2020,MONTH(AL$5)=Macro!$D$52),Macro!$D121*AVERAGE(OFFSET(AM183,0,0,1,-12))*Macro!$E120,0),"NA")</f>
        <v>0</v>
      </c>
      <c r="AM282" s="40">
        <f>IFERROR(Macro!$D120*Team!AM183/12+IF(AND(YEAR(AM$5)&gt;2020,MONTH(AM$5)=Macro!$D$52),Macro!$D121*AVERAGE(OFFSET(AN183,0,0,1,-12))*Macro!$E120,0),"NA")</f>
        <v>0</v>
      </c>
      <c r="AN282" s="38">
        <f>IFERROR(Macro!$D120*Team!AN183/12+IF(AND(YEAR(AN$5)&gt;2020,MONTH(AN$5)=Macro!$D$52),Macro!$D121*AVERAGE(OFFSET(AO183,0,0,1,-12))*Macro!$E120,0),"NA")</f>
        <v>0</v>
      </c>
      <c r="AO282" s="39">
        <f>IFERROR(Macro!$D120*Team!AO183/12+IF(AND(YEAR(AO$5)&gt;2020,MONTH(AO$5)=Macro!$D$52),Macro!$D121*AVERAGE(OFFSET(AP183,0,0,1,-12))*Macro!$E120,0),"NA")</f>
        <v>0</v>
      </c>
      <c r="AP282" s="40">
        <f>IFERROR(Macro!$D120*Team!AP183/12+IF(AND(YEAR(AP$5)&gt;2020,MONTH(AP$5)=Macro!$D$52),Macro!$D121*AVERAGE(OFFSET(AQ183,0,0,1,-12))*Macro!$E120,0),"NA")</f>
        <v>0</v>
      </c>
      <c r="AQ282" s="38">
        <f>IFERROR(Macro!$D120*Team!AQ183/12+IF(AND(YEAR(AQ$5)&gt;2020,MONTH(AQ$5)=Macro!$D$52),Macro!$D121*AVERAGE(OFFSET(AR183,0,0,1,-12))*Macro!$E120,0),"NA")</f>
        <v>0</v>
      </c>
      <c r="AR282" s="39">
        <f>IFERROR(Macro!$D120*Team!AR183/12+IF(AND(YEAR(AR$5)&gt;2020,MONTH(AR$5)=Macro!$D$52),Macro!$D121*AVERAGE(OFFSET(AS183,0,0,1,-12))*Macro!$E120,0),"NA")</f>
        <v>0</v>
      </c>
      <c r="AS282" s="40">
        <f>IFERROR(Macro!$D120*Team!AS183/12+IF(AND(YEAR(AS$5)&gt;2020,MONTH(AS$5)=Macro!$D$52),Macro!$D121*AVERAGE(OFFSET(AT183,0,0,1,-12))*Macro!$E120,0),"NA")</f>
        <v>0</v>
      </c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</row>
    <row r="283" ht="12.0" customHeight="1">
      <c r="A283" s="282"/>
      <c r="B283" s="8"/>
      <c r="C283" s="37" t="str">
        <f t="shared" si="102"/>
        <v>[XX]</v>
      </c>
      <c r="D283" s="283">
        <f>IFERROR(Macro!$D121*Team!D184/12+IF(AND(YEAR(D$5)&gt;2020,MONTH(D$5)=Macro!$D$52),Macro!$D122*AVERAGE(OFFSET(E184,0,0,1,-12))*Macro!$E121,0),"NA")</f>
        <v>0</v>
      </c>
      <c r="E283" s="284">
        <f>IFERROR(Macro!$D121*Team!E184/12+IF(AND(YEAR(E$5)&gt;2020,MONTH(E$5)=Macro!$D$52),Macro!$D122*AVERAGE(OFFSET(F184,0,0,1,-12))*Macro!$E121,0),"NA")</f>
        <v>0</v>
      </c>
      <c r="F283" s="284">
        <f>IFERROR(Macro!$D121*Team!F184/12+IF(AND(YEAR(F$5)&gt;2020,MONTH(F$5)=Macro!$D$52),Macro!$D122*AVERAGE(OFFSET(G184,0,0,1,-12))*Macro!$E121,0),"NA")</f>
        <v>0</v>
      </c>
      <c r="G283" s="283">
        <f>IFERROR(Macro!$D121*Team!G184/12+IF(AND(YEAR(G$5)&gt;2020,MONTH(G$5)=Macro!$D$52),Macro!$D122*AVERAGE(OFFSET(H184,0,0,1,-12))*Macro!$E121,0),"NA")</f>
        <v>0</v>
      </c>
      <c r="H283" s="284">
        <f>IFERROR(Macro!$D121*Team!H184/12+IF(AND(YEAR(H$5)&gt;2020,MONTH(H$5)=Macro!$D$52),Macro!$D122*AVERAGE(OFFSET(I184,0,0,1,-12))*Macro!$E121,0),"NA")</f>
        <v>0</v>
      </c>
      <c r="I283" s="285">
        <f>IFERROR(Macro!$D121*Team!I184/12+IF(AND(YEAR(I$5)&gt;2020,MONTH(I$5)=Macro!$D$52),Macro!$D122*AVERAGE(OFFSET(J184,0,0,1,-12))*Macro!$E121,0),"NA")</f>
        <v>0</v>
      </c>
      <c r="J283" s="286">
        <f>IFERROR(Macro!$D121*Team!J184/12+IF(AND(YEAR(J$5)&gt;2020,MONTH(J$5)=Macro!$D$52),Macro!$D122*AVERAGE(OFFSET(K184,0,0,1,-12))*Macro!$E121,0),"NA")</f>
        <v>0</v>
      </c>
      <c r="K283" s="287">
        <f>IFERROR(Macro!$D121*Team!K184/12+IF(AND(YEAR(K$5)&gt;2020,MONTH(K$5)=Macro!$D$52),Macro!$D122*AVERAGE(OFFSET(L184,0,0,1,-12))*Macro!$E121,0),"NA")</f>
        <v>0</v>
      </c>
      <c r="L283" s="288">
        <f>IFERROR(Macro!$D121*Team!L184/12+IF(AND(YEAR(L$5)&gt;2020,MONTH(L$5)=Macro!$D$52),Macro!$D122*AVERAGE(OFFSET(M184,0,0,1,-12))*Macro!$E121,0),"NA")</f>
        <v>0</v>
      </c>
      <c r="M283" s="38">
        <f>IFERROR(Macro!$D121*Team!M184/12+IF(AND(YEAR(M$5)&gt;2020,MONTH(M$5)=Macro!$D$52),Macro!$D122*AVERAGE(OFFSET(N184,0,0,1,-12))*Macro!$E121,0),"NA")</f>
        <v>0</v>
      </c>
      <c r="N283" s="39">
        <f>IFERROR(Macro!$D121*Team!N184/12+IF(AND(YEAR(N$5)&gt;2020,MONTH(N$5)=Macro!$D$52),Macro!$D122*AVERAGE(OFFSET(O184,0,0,1,-12))*Macro!$E121,0),"NA")</f>
        <v>0</v>
      </c>
      <c r="O283" s="40">
        <f>IFERROR(Macro!$D121*Team!O184/12+IF(AND(YEAR(O$5)&gt;2020,MONTH(O$5)=Macro!$D$52),Macro!$D122*AVERAGE(OFFSET(P184,0,0,1,-12))*Macro!$E121,0),"NA")</f>
        <v>0</v>
      </c>
      <c r="P283" s="38">
        <f>IFERROR(Macro!$D121*Team!P184/12+IF(AND(YEAR(P$5)&gt;2020,MONTH(P$5)=Macro!$D$52),Macro!$D122*AVERAGE(OFFSET(Q184,0,0,1,-12))*Macro!$E121,0),"NA")</f>
        <v>0</v>
      </c>
      <c r="Q283" s="39">
        <f>IFERROR(Macro!$D121*Team!Q184/12+IF(AND(YEAR(Q$5)&gt;2020,MONTH(Q$5)=Macro!$D$52),Macro!$D122*AVERAGE(OFFSET(R184,0,0,1,-12))*Macro!$E121,0),"NA")</f>
        <v>0</v>
      </c>
      <c r="R283" s="40">
        <f>IFERROR(Macro!$D121*Team!R184/12+IF(AND(YEAR(R$5)&gt;2020,MONTH(R$5)=Macro!$D$52),Macro!$D122*AVERAGE(OFFSET(S184,0,0,1,-12))*Macro!$E121,0),"NA")</f>
        <v>0</v>
      </c>
      <c r="S283" s="38">
        <f>IFERROR(Macro!$D121*Team!S184/12+IF(AND(YEAR(S$5)&gt;2020,MONTH(S$5)=Macro!$D$52),Macro!$D122*AVERAGE(OFFSET(T184,0,0,1,-12))*Macro!$E121,0),"NA")</f>
        <v>0</v>
      </c>
      <c r="T283" s="39">
        <f>IFERROR(Macro!$D121*Team!T184/12+IF(AND(YEAR(T$5)&gt;2020,MONTH(T$5)=Macro!$D$52),Macro!$D122*AVERAGE(OFFSET(U184,0,0,1,-12))*Macro!$E121,0),"NA")</f>
        <v>0</v>
      </c>
      <c r="U283" s="40">
        <f>IFERROR(Macro!$D121*Team!U184/12+IF(AND(YEAR(U$5)&gt;2020,MONTH(U$5)=Macro!$D$52),Macro!$D122*AVERAGE(OFFSET(V184,0,0,1,-12))*Macro!$E121,0),"NA")</f>
        <v>0</v>
      </c>
      <c r="V283" s="38" t="str">
        <f>IFERROR(Macro!$D121*Team!V184/12+IF(AND(YEAR(V$5)&gt;2020,MONTH(V$5)=Macro!$D$52),Macro!$D122*AVERAGE(OFFSET(W184,0,0,1,-12))*Macro!$E121,0),"NA")</f>
        <v>NA</v>
      </c>
      <c r="W283" s="39">
        <f>IFERROR(Macro!$D121*Team!W184/12+IF(AND(YEAR(W$5)&gt;2020,MONTH(W$5)=Macro!$D$52),Macro!$D122*AVERAGE(OFFSET(X184,0,0,1,-12))*Macro!$E121,0),"NA")</f>
        <v>0</v>
      </c>
      <c r="X283" s="40">
        <f>IFERROR(Macro!$D121*Team!X184/12+IF(AND(YEAR(X$5)&gt;2020,MONTH(X$5)=Macro!$D$52),Macro!$D122*AVERAGE(OFFSET(Y184,0,0,1,-12))*Macro!$E121,0),"NA")</f>
        <v>0</v>
      </c>
      <c r="Y283" s="38">
        <f>IFERROR(Macro!$D121*Team!Y184/12+IF(AND(YEAR(Y$5)&gt;2020,MONTH(Y$5)=Macro!$D$52),Macro!$D122*AVERAGE(OFFSET(Z184,0,0,1,-12))*Macro!$E121,0),"NA")</f>
        <v>0</v>
      </c>
      <c r="Z283" s="39">
        <f>IFERROR(Macro!$D121*Team!Z184/12+IF(AND(YEAR(Z$5)&gt;2020,MONTH(Z$5)=Macro!$D$52),Macro!$D122*AVERAGE(OFFSET(AA184,0,0,1,-12))*Macro!$E121,0),"NA")</f>
        <v>0</v>
      </c>
      <c r="AA283" s="40">
        <f>IFERROR(Macro!$D121*Team!AA184/12+IF(AND(YEAR(AA$5)&gt;2020,MONTH(AA$5)=Macro!$D$52),Macro!$D122*AVERAGE(OFFSET(AB184,0,0,1,-12))*Macro!$E121,0),"NA")</f>
        <v>0</v>
      </c>
      <c r="AB283" s="38">
        <f>IFERROR(Macro!$D121*Team!AB184/12+IF(AND(YEAR(AB$5)&gt;2020,MONTH(AB$5)=Macro!$D$52),Macro!$D122*AVERAGE(OFFSET(AC184,0,0,1,-12))*Macro!$E121,0),"NA")</f>
        <v>0</v>
      </c>
      <c r="AC283" s="39">
        <f>IFERROR(Macro!$D121*Team!AC184/12+IF(AND(YEAR(AC$5)&gt;2020,MONTH(AC$5)=Macro!$D$52),Macro!$D122*AVERAGE(OFFSET(AD184,0,0,1,-12))*Macro!$E121,0),"NA")</f>
        <v>0</v>
      </c>
      <c r="AD283" s="40">
        <f>IFERROR(Macro!$D121*Team!AD184/12+IF(AND(YEAR(AD$5)&gt;2020,MONTH(AD$5)=Macro!$D$52),Macro!$D122*AVERAGE(OFFSET(AE184,0,0,1,-12))*Macro!$E121,0),"NA")</f>
        <v>0</v>
      </c>
      <c r="AE283" s="38">
        <f>IFERROR(Macro!$D121*Team!AE184/12+IF(AND(YEAR(AE$5)&gt;2020,MONTH(AE$5)=Macro!$D$52),Macro!$D122*AVERAGE(OFFSET(AF184,0,0,1,-12))*Macro!$E121,0),"NA")</f>
        <v>0</v>
      </c>
      <c r="AF283" s="39">
        <f>IFERROR(Macro!$D121*Team!AF184/12+IF(AND(YEAR(AF$5)&gt;2020,MONTH(AF$5)=Macro!$D$52),Macro!$D122*AVERAGE(OFFSET(AG184,0,0,1,-12))*Macro!$E121,0),"NA")</f>
        <v>0</v>
      </c>
      <c r="AG283" s="40">
        <f>IFERROR(Macro!$D121*Team!AG184/12+IF(AND(YEAR(AG$5)&gt;2020,MONTH(AG$5)=Macro!$D$52),Macro!$D122*AVERAGE(OFFSET(AH184,0,0,1,-12))*Macro!$E121,0),"NA")</f>
        <v>0</v>
      </c>
      <c r="AH283" s="38" t="str">
        <f>IFERROR(Macro!$D121*Team!AH184/12+IF(AND(YEAR(AH$5)&gt;2020,MONTH(AH$5)=Macro!$D$52),Macro!$D122*AVERAGE(OFFSET(AI184,0,0,1,-12))*Macro!$E121,0),"NA")</f>
        <v>NA</v>
      </c>
      <c r="AI283" s="39">
        <f>IFERROR(Macro!$D121*Team!AI184/12+IF(AND(YEAR(AI$5)&gt;2020,MONTH(AI$5)=Macro!$D$52),Macro!$D122*AVERAGE(OFFSET(AJ184,0,0,1,-12))*Macro!$E121,0),"NA")</f>
        <v>0</v>
      </c>
      <c r="AJ283" s="40">
        <f>IFERROR(Macro!$D121*Team!AJ184/12+IF(AND(YEAR(AJ$5)&gt;2020,MONTH(AJ$5)=Macro!$D$52),Macro!$D122*AVERAGE(OFFSET(AK184,0,0,1,-12))*Macro!$E121,0),"NA")</f>
        <v>0</v>
      </c>
      <c r="AK283" s="38">
        <f>IFERROR(Macro!$D121*Team!AK184/12+IF(AND(YEAR(AK$5)&gt;2020,MONTH(AK$5)=Macro!$D$52),Macro!$D122*AVERAGE(OFFSET(AL184,0,0,1,-12))*Macro!$E121,0),"NA")</f>
        <v>0</v>
      </c>
      <c r="AL283" s="39">
        <f>IFERROR(Macro!$D121*Team!AL184/12+IF(AND(YEAR(AL$5)&gt;2020,MONTH(AL$5)=Macro!$D$52),Macro!$D122*AVERAGE(OFFSET(AM184,0,0,1,-12))*Macro!$E121,0),"NA")</f>
        <v>0</v>
      </c>
      <c r="AM283" s="40">
        <f>IFERROR(Macro!$D121*Team!AM184/12+IF(AND(YEAR(AM$5)&gt;2020,MONTH(AM$5)=Macro!$D$52),Macro!$D122*AVERAGE(OFFSET(AN184,0,0,1,-12))*Macro!$E121,0),"NA")</f>
        <v>0</v>
      </c>
      <c r="AN283" s="38">
        <f>IFERROR(Macro!$D121*Team!AN184/12+IF(AND(YEAR(AN$5)&gt;2020,MONTH(AN$5)=Macro!$D$52),Macro!$D122*AVERAGE(OFFSET(AO184,0,0,1,-12))*Macro!$E121,0),"NA")</f>
        <v>0</v>
      </c>
      <c r="AO283" s="39">
        <f>IFERROR(Macro!$D121*Team!AO184/12+IF(AND(YEAR(AO$5)&gt;2020,MONTH(AO$5)=Macro!$D$52),Macro!$D122*AVERAGE(OFFSET(AP184,0,0,1,-12))*Macro!$E121,0),"NA")</f>
        <v>0</v>
      </c>
      <c r="AP283" s="40">
        <f>IFERROR(Macro!$D121*Team!AP184/12+IF(AND(YEAR(AP$5)&gt;2020,MONTH(AP$5)=Macro!$D$52),Macro!$D122*AVERAGE(OFFSET(AQ184,0,0,1,-12))*Macro!$E121,0),"NA")</f>
        <v>0</v>
      </c>
      <c r="AQ283" s="38">
        <f>IFERROR(Macro!$D121*Team!AQ184/12+IF(AND(YEAR(AQ$5)&gt;2020,MONTH(AQ$5)=Macro!$D$52),Macro!$D122*AVERAGE(OFFSET(AR184,0,0,1,-12))*Macro!$E121,0),"NA")</f>
        <v>0</v>
      </c>
      <c r="AR283" s="39">
        <f>IFERROR(Macro!$D121*Team!AR184/12+IF(AND(YEAR(AR$5)&gt;2020,MONTH(AR$5)=Macro!$D$52),Macro!$D122*AVERAGE(OFFSET(AS184,0,0,1,-12))*Macro!$E121,0),"NA")</f>
        <v>0</v>
      </c>
      <c r="AS283" s="40">
        <f>IFERROR(Macro!$D121*Team!AS184/12+IF(AND(YEAR(AS$5)&gt;2020,MONTH(AS$5)=Macro!$D$52),Macro!$D122*AVERAGE(OFFSET(AT184,0,0,1,-12))*Macro!$E121,0),"NA")</f>
        <v>0</v>
      </c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</row>
    <row r="284" ht="12.0" customHeight="1">
      <c r="A284" s="282"/>
      <c r="B284" s="8"/>
      <c r="C284" s="37" t="str">
        <f t="shared" si="102"/>
        <v>[XX]</v>
      </c>
      <c r="D284" s="283">
        <f>IFERROR(Macro!$D122*Team!D185/12+IF(AND(YEAR(D$5)&gt;2020,MONTH(D$5)=Macro!$D$52),Macro!$D123*AVERAGE(OFFSET(E185,0,0,1,-12))*Macro!$E122,0),"NA")</f>
        <v>0</v>
      </c>
      <c r="E284" s="284">
        <f>IFERROR(Macro!$D122*Team!E185/12+IF(AND(YEAR(E$5)&gt;2020,MONTH(E$5)=Macro!$D$52),Macro!$D123*AVERAGE(OFFSET(F185,0,0,1,-12))*Macro!$E122,0),"NA")</f>
        <v>0</v>
      </c>
      <c r="F284" s="284">
        <f>IFERROR(Macro!$D122*Team!F185/12+IF(AND(YEAR(F$5)&gt;2020,MONTH(F$5)=Macro!$D$52),Macro!$D123*AVERAGE(OFFSET(G185,0,0,1,-12))*Macro!$E122,0),"NA")</f>
        <v>0</v>
      </c>
      <c r="G284" s="283">
        <f>IFERROR(Macro!$D122*Team!G185/12+IF(AND(YEAR(G$5)&gt;2020,MONTH(G$5)=Macro!$D$52),Macro!$D123*AVERAGE(OFFSET(H185,0,0,1,-12))*Macro!$E122,0),"NA")</f>
        <v>0</v>
      </c>
      <c r="H284" s="284">
        <f>IFERROR(Macro!$D122*Team!H185/12+IF(AND(YEAR(H$5)&gt;2020,MONTH(H$5)=Macro!$D$52),Macro!$D123*AVERAGE(OFFSET(I185,0,0,1,-12))*Macro!$E122,0),"NA")</f>
        <v>0</v>
      </c>
      <c r="I284" s="285">
        <f>IFERROR(Macro!$D122*Team!I185/12+IF(AND(YEAR(I$5)&gt;2020,MONTH(I$5)=Macro!$D$52),Macro!$D123*AVERAGE(OFFSET(J185,0,0,1,-12))*Macro!$E122,0),"NA")</f>
        <v>0</v>
      </c>
      <c r="J284" s="286">
        <f>IFERROR(Macro!$D122*Team!J185/12+IF(AND(YEAR(J$5)&gt;2020,MONTH(J$5)=Macro!$D$52),Macro!$D123*AVERAGE(OFFSET(K185,0,0,1,-12))*Macro!$E122,0),"NA")</f>
        <v>0</v>
      </c>
      <c r="K284" s="287">
        <f>IFERROR(Macro!$D122*Team!K185/12+IF(AND(YEAR(K$5)&gt;2020,MONTH(K$5)=Macro!$D$52),Macro!$D123*AVERAGE(OFFSET(L185,0,0,1,-12))*Macro!$E122,0),"NA")</f>
        <v>0</v>
      </c>
      <c r="L284" s="288">
        <f>IFERROR(Macro!$D122*Team!L185/12+IF(AND(YEAR(L$5)&gt;2020,MONTH(L$5)=Macro!$D$52),Macro!$D123*AVERAGE(OFFSET(M185,0,0,1,-12))*Macro!$E122,0),"NA")</f>
        <v>0</v>
      </c>
      <c r="M284" s="38">
        <f>IFERROR(Macro!$D122*Team!M185/12+IF(AND(YEAR(M$5)&gt;2020,MONTH(M$5)=Macro!$D$52),Macro!$D123*AVERAGE(OFFSET(N185,0,0,1,-12))*Macro!$E122,0),"NA")</f>
        <v>0</v>
      </c>
      <c r="N284" s="39">
        <f>IFERROR(Macro!$D122*Team!N185/12+IF(AND(YEAR(N$5)&gt;2020,MONTH(N$5)=Macro!$D$52),Macro!$D123*AVERAGE(OFFSET(O185,0,0,1,-12))*Macro!$E122,0),"NA")</f>
        <v>0</v>
      </c>
      <c r="O284" s="40">
        <f>IFERROR(Macro!$D122*Team!O185/12+IF(AND(YEAR(O$5)&gt;2020,MONTH(O$5)=Macro!$D$52),Macro!$D123*AVERAGE(OFFSET(P185,0,0,1,-12))*Macro!$E122,0),"NA")</f>
        <v>0</v>
      </c>
      <c r="P284" s="38">
        <f>IFERROR(Macro!$D122*Team!P185/12+IF(AND(YEAR(P$5)&gt;2020,MONTH(P$5)=Macro!$D$52),Macro!$D123*AVERAGE(OFFSET(Q185,0,0,1,-12))*Macro!$E122,0),"NA")</f>
        <v>0</v>
      </c>
      <c r="Q284" s="39">
        <f>IFERROR(Macro!$D122*Team!Q185/12+IF(AND(YEAR(Q$5)&gt;2020,MONTH(Q$5)=Macro!$D$52),Macro!$D123*AVERAGE(OFFSET(R185,0,0,1,-12))*Macro!$E122,0),"NA")</f>
        <v>0</v>
      </c>
      <c r="R284" s="40">
        <f>IFERROR(Macro!$D122*Team!R185/12+IF(AND(YEAR(R$5)&gt;2020,MONTH(R$5)=Macro!$D$52),Macro!$D123*AVERAGE(OFFSET(S185,0,0,1,-12))*Macro!$E122,0),"NA")</f>
        <v>0</v>
      </c>
      <c r="S284" s="38">
        <f>IFERROR(Macro!$D122*Team!S185/12+IF(AND(YEAR(S$5)&gt;2020,MONTH(S$5)=Macro!$D$52),Macro!$D123*AVERAGE(OFFSET(T185,0,0,1,-12))*Macro!$E122,0),"NA")</f>
        <v>0</v>
      </c>
      <c r="T284" s="39">
        <f>IFERROR(Macro!$D122*Team!T185/12+IF(AND(YEAR(T$5)&gt;2020,MONTH(T$5)=Macro!$D$52),Macro!$D123*AVERAGE(OFFSET(U185,0,0,1,-12))*Macro!$E122,0),"NA")</f>
        <v>0</v>
      </c>
      <c r="U284" s="40">
        <f>IFERROR(Macro!$D122*Team!U185/12+IF(AND(YEAR(U$5)&gt;2020,MONTH(U$5)=Macro!$D$52),Macro!$D123*AVERAGE(OFFSET(V185,0,0,1,-12))*Macro!$E122,0),"NA")</f>
        <v>0</v>
      </c>
      <c r="V284" s="38" t="str">
        <f>IFERROR(Macro!$D122*Team!V185/12+IF(AND(YEAR(V$5)&gt;2020,MONTH(V$5)=Macro!$D$52),Macro!$D123*AVERAGE(OFFSET(W185,0,0,1,-12))*Macro!$E122,0),"NA")</f>
        <v>NA</v>
      </c>
      <c r="W284" s="39">
        <f>IFERROR(Macro!$D122*Team!W185/12+IF(AND(YEAR(W$5)&gt;2020,MONTH(W$5)=Macro!$D$52),Macro!$D123*AVERAGE(OFFSET(X185,0,0,1,-12))*Macro!$E122,0),"NA")</f>
        <v>0</v>
      </c>
      <c r="X284" s="40">
        <f>IFERROR(Macro!$D122*Team!X185/12+IF(AND(YEAR(X$5)&gt;2020,MONTH(X$5)=Macro!$D$52),Macro!$D123*AVERAGE(OFFSET(Y185,0,0,1,-12))*Macro!$E122,0),"NA")</f>
        <v>0</v>
      </c>
      <c r="Y284" s="38">
        <f>IFERROR(Macro!$D122*Team!Y185/12+IF(AND(YEAR(Y$5)&gt;2020,MONTH(Y$5)=Macro!$D$52),Macro!$D123*AVERAGE(OFFSET(Z185,0,0,1,-12))*Macro!$E122,0),"NA")</f>
        <v>0</v>
      </c>
      <c r="Z284" s="39">
        <f>IFERROR(Macro!$D122*Team!Z185/12+IF(AND(YEAR(Z$5)&gt;2020,MONTH(Z$5)=Macro!$D$52),Macro!$D123*AVERAGE(OFFSET(AA185,0,0,1,-12))*Macro!$E122,0),"NA")</f>
        <v>0</v>
      </c>
      <c r="AA284" s="40">
        <f>IFERROR(Macro!$D122*Team!AA185/12+IF(AND(YEAR(AA$5)&gt;2020,MONTH(AA$5)=Macro!$D$52),Macro!$D123*AVERAGE(OFFSET(AB185,0,0,1,-12))*Macro!$E122,0),"NA")</f>
        <v>0</v>
      </c>
      <c r="AB284" s="38">
        <f>IFERROR(Macro!$D122*Team!AB185/12+IF(AND(YEAR(AB$5)&gt;2020,MONTH(AB$5)=Macro!$D$52),Macro!$D123*AVERAGE(OFFSET(AC185,0,0,1,-12))*Macro!$E122,0),"NA")</f>
        <v>0</v>
      </c>
      <c r="AC284" s="39">
        <f>IFERROR(Macro!$D122*Team!AC185/12+IF(AND(YEAR(AC$5)&gt;2020,MONTH(AC$5)=Macro!$D$52),Macro!$D123*AVERAGE(OFFSET(AD185,0,0,1,-12))*Macro!$E122,0),"NA")</f>
        <v>0</v>
      </c>
      <c r="AD284" s="40">
        <f>IFERROR(Macro!$D122*Team!AD185/12+IF(AND(YEAR(AD$5)&gt;2020,MONTH(AD$5)=Macro!$D$52),Macro!$D123*AVERAGE(OFFSET(AE185,0,0,1,-12))*Macro!$E122,0),"NA")</f>
        <v>0</v>
      </c>
      <c r="AE284" s="38">
        <f>IFERROR(Macro!$D122*Team!AE185/12+IF(AND(YEAR(AE$5)&gt;2020,MONTH(AE$5)=Macro!$D$52),Macro!$D123*AVERAGE(OFFSET(AF185,0,0,1,-12))*Macro!$E122,0),"NA")</f>
        <v>0</v>
      </c>
      <c r="AF284" s="39">
        <f>IFERROR(Macro!$D122*Team!AF185/12+IF(AND(YEAR(AF$5)&gt;2020,MONTH(AF$5)=Macro!$D$52),Macro!$D123*AVERAGE(OFFSET(AG185,0,0,1,-12))*Macro!$E122,0),"NA")</f>
        <v>0</v>
      </c>
      <c r="AG284" s="40">
        <f>IFERROR(Macro!$D122*Team!AG185/12+IF(AND(YEAR(AG$5)&gt;2020,MONTH(AG$5)=Macro!$D$52),Macro!$D123*AVERAGE(OFFSET(AH185,0,0,1,-12))*Macro!$E122,0),"NA")</f>
        <v>0</v>
      </c>
      <c r="AH284" s="38" t="str">
        <f>IFERROR(Macro!$D122*Team!AH185/12+IF(AND(YEAR(AH$5)&gt;2020,MONTH(AH$5)=Macro!$D$52),Macro!$D123*AVERAGE(OFFSET(AI185,0,0,1,-12))*Macro!$E122,0),"NA")</f>
        <v>NA</v>
      </c>
      <c r="AI284" s="39">
        <f>IFERROR(Macro!$D122*Team!AI185/12+IF(AND(YEAR(AI$5)&gt;2020,MONTH(AI$5)=Macro!$D$52),Macro!$D123*AVERAGE(OFFSET(AJ185,0,0,1,-12))*Macro!$E122,0),"NA")</f>
        <v>0</v>
      </c>
      <c r="AJ284" s="40">
        <f>IFERROR(Macro!$D122*Team!AJ185/12+IF(AND(YEAR(AJ$5)&gt;2020,MONTH(AJ$5)=Macro!$D$52),Macro!$D123*AVERAGE(OFFSET(AK185,0,0,1,-12))*Macro!$E122,0),"NA")</f>
        <v>0</v>
      </c>
      <c r="AK284" s="38">
        <f>IFERROR(Macro!$D122*Team!AK185/12+IF(AND(YEAR(AK$5)&gt;2020,MONTH(AK$5)=Macro!$D$52),Macro!$D123*AVERAGE(OFFSET(AL185,0,0,1,-12))*Macro!$E122,0),"NA")</f>
        <v>0</v>
      </c>
      <c r="AL284" s="39">
        <f>IFERROR(Macro!$D122*Team!AL185/12+IF(AND(YEAR(AL$5)&gt;2020,MONTH(AL$5)=Macro!$D$52),Macro!$D123*AVERAGE(OFFSET(AM185,0,0,1,-12))*Macro!$E122,0),"NA")</f>
        <v>0</v>
      </c>
      <c r="AM284" s="40">
        <f>IFERROR(Macro!$D122*Team!AM185/12+IF(AND(YEAR(AM$5)&gt;2020,MONTH(AM$5)=Macro!$D$52),Macro!$D123*AVERAGE(OFFSET(AN185,0,0,1,-12))*Macro!$E122,0),"NA")</f>
        <v>0</v>
      </c>
      <c r="AN284" s="38">
        <f>IFERROR(Macro!$D122*Team!AN185/12+IF(AND(YEAR(AN$5)&gt;2020,MONTH(AN$5)=Macro!$D$52),Macro!$D123*AVERAGE(OFFSET(AO185,0,0,1,-12))*Macro!$E122,0),"NA")</f>
        <v>0</v>
      </c>
      <c r="AO284" s="39">
        <f>IFERROR(Macro!$D122*Team!AO185/12+IF(AND(YEAR(AO$5)&gt;2020,MONTH(AO$5)=Macro!$D$52),Macro!$D123*AVERAGE(OFFSET(AP185,0,0,1,-12))*Macro!$E122,0),"NA")</f>
        <v>0</v>
      </c>
      <c r="AP284" s="40">
        <f>IFERROR(Macro!$D122*Team!AP185/12+IF(AND(YEAR(AP$5)&gt;2020,MONTH(AP$5)=Macro!$D$52),Macro!$D123*AVERAGE(OFFSET(AQ185,0,0,1,-12))*Macro!$E122,0),"NA")</f>
        <v>0</v>
      </c>
      <c r="AQ284" s="38">
        <f>IFERROR(Macro!$D122*Team!AQ185/12+IF(AND(YEAR(AQ$5)&gt;2020,MONTH(AQ$5)=Macro!$D$52),Macro!$D123*AVERAGE(OFFSET(AR185,0,0,1,-12))*Macro!$E122,0),"NA")</f>
        <v>0</v>
      </c>
      <c r="AR284" s="39">
        <f>IFERROR(Macro!$D122*Team!AR185/12+IF(AND(YEAR(AR$5)&gt;2020,MONTH(AR$5)=Macro!$D$52),Macro!$D123*AVERAGE(OFFSET(AS185,0,0,1,-12))*Macro!$E122,0),"NA")</f>
        <v>0</v>
      </c>
      <c r="AS284" s="40">
        <f>IFERROR(Macro!$D122*Team!AS185/12+IF(AND(YEAR(AS$5)&gt;2020,MONTH(AS$5)=Macro!$D$52),Macro!$D123*AVERAGE(OFFSET(AT185,0,0,1,-12))*Macro!$E122,0),"NA")</f>
        <v>0</v>
      </c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</row>
    <row r="285" ht="12.0" customHeight="1">
      <c r="A285" s="282"/>
      <c r="B285" s="8"/>
      <c r="C285" s="277" t="str">
        <f t="shared" si="102"/>
        <v>[XX]</v>
      </c>
      <c r="D285" s="289">
        <f>IFERROR(Macro!$D123*Team!D186/12+IF(AND(YEAR(D$5)&gt;2020,MONTH(D$5)=Macro!$D$52),Macro!$D124*AVERAGE(OFFSET(E186,0,0,1,-12))*Macro!$E123,0),"NA")</f>
        <v>0</v>
      </c>
      <c r="E285" s="290">
        <f>IFERROR(Macro!$D123*Team!E186/12+IF(AND(YEAR(E$5)&gt;2020,MONTH(E$5)=Macro!$D$52),Macro!$D124*AVERAGE(OFFSET(F186,0,0,1,-12))*Macro!$E123,0),"NA")</f>
        <v>0</v>
      </c>
      <c r="F285" s="290">
        <f>IFERROR(Macro!$D123*Team!F186/12+IF(AND(YEAR(F$5)&gt;2020,MONTH(F$5)=Macro!$D$52),Macro!$D124*AVERAGE(OFFSET(G186,0,0,1,-12))*Macro!$E123,0),"NA")</f>
        <v>0</v>
      </c>
      <c r="G285" s="289">
        <f>IFERROR(Macro!$D123*Team!G186/12+IF(AND(YEAR(G$5)&gt;2020,MONTH(G$5)=Macro!$D$52),Macro!$D124*AVERAGE(OFFSET(H186,0,0,1,-12))*Macro!$E123,0),"NA")</f>
        <v>0</v>
      </c>
      <c r="H285" s="290">
        <f>IFERROR(Macro!$D123*Team!H186/12+IF(AND(YEAR(H$5)&gt;2020,MONTH(H$5)=Macro!$D$52),Macro!$D124*AVERAGE(OFFSET(I186,0,0,1,-12))*Macro!$E123,0),"NA")</f>
        <v>0</v>
      </c>
      <c r="I285" s="291">
        <f>IFERROR(Macro!$D123*Team!I186/12+IF(AND(YEAR(I$5)&gt;2020,MONTH(I$5)=Macro!$D$52),Macro!$D124*AVERAGE(OFFSET(J186,0,0,1,-12))*Macro!$E123,0),"NA")</f>
        <v>0</v>
      </c>
      <c r="J285" s="292">
        <f>IFERROR(Macro!$D123*Team!J186/12+IF(AND(YEAR(J$5)&gt;2020,MONTH(J$5)=Macro!$D$52),Macro!$D124*AVERAGE(OFFSET(K186,0,0,1,-12))*Macro!$E123,0),"NA")</f>
        <v>0</v>
      </c>
      <c r="K285" s="293">
        <f>IFERROR(Macro!$D123*Team!K186/12+IF(AND(YEAR(K$5)&gt;2020,MONTH(K$5)=Macro!$D$52),Macro!$D124*AVERAGE(OFFSET(L186,0,0,1,-12))*Macro!$E123,0),"NA")</f>
        <v>0</v>
      </c>
      <c r="L285" s="294">
        <f>IFERROR(Macro!$D123*Team!L186/12+IF(AND(YEAR(L$5)&gt;2020,MONTH(L$5)=Macro!$D$52),Macro!$D124*AVERAGE(OFFSET(M186,0,0,1,-12))*Macro!$E123,0),"NA")</f>
        <v>0</v>
      </c>
      <c r="M285" s="241">
        <f>IFERROR(Macro!$D123*Team!M186/12+IF(AND(YEAR(M$5)&gt;2020,MONTH(M$5)=Macro!$D$52),Macro!$D124*AVERAGE(OFFSET(N186,0,0,1,-12))*Macro!$E123,0),"NA")</f>
        <v>0</v>
      </c>
      <c r="N285" s="242">
        <f>IFERROR(Macro!$D123*Team!N186/12+IF(AND(YEAR(N$5)&gt;2020,MONTH(N$5)=Macro!$D$52),Macro!$D124*AVERAGE(OFFSET(O186,0,0,1,-12))*Macro!$E123,0),"NA")</f>
        <v>0</v>
      </c>
      <c r="O285" s="243">
        <f>IFERROR(Macro!$D123*Team!O186/12+IF(AND(YEAR(O$5)&gt;2020,MONTH(O$5)=Macro!$D$52),Macro!$D124*AVERAGE(OFFSET(P186,0,0,1,-12))*Macro!$E123,0),"NA")</f>
        <v>0</v>
      </c>
      <c r="P285" s="241">
        <f>IFERROR(Macro!$D123*Team!P186/12+IF(AND(YEAR(P$5)&gt;2020,MONTH(P$5)=Macro!$D$52),Macro!$D124*AVERAGE(OFFSET(Q186,0,0,1,-12))*Macro!$E123,0),"NA")</f>
        <v>0</v>
      </c>
      <c r="Q285" s="242">
        <f>IFERROR(Macro!$D123*Team!Q186/12+IF(AND(YEAR(Q$5)&gt;2020,MONTH(Q$5)=Macro!$D$52),Macro!$D124*AVERAGE(OFFSET(R186,0,0,1,-12))*Macro!$E123,0),"NA")</f>
        <v>0</v>
      </c>
      <c r="R285" s="243">
        <f>IFERROR(Macro!$D123*Team!R186/12+IF(AND(YEAR(R$5)&gt;2020,MONTH(R$5)=Macro!$D$52),Macro!$D124*AVERAGE(OFFSET(S186,0,0,1,-12))*Macro!$E123,0),"NA")</f>
        <v>0</v>
      </c>
      <c r="S285" s="241">
        <f>IFERROR(Macro!$D123*Team!S186/12+IF(AND(YEAR(S$5)&gt;2020,MONTH(S$5)=Macro!$D$52),Macro!$D124*AVERAGE(OFFSET(T186,0,0,1,-12))*Macro!$E123,0),"NA")</f>
        <v>0</v>
      </c>
      <c r="T285" s="242">
        <f>IFERROR(Macro!$D123*Team!T186/12+IF(AND(YEAR(T$5)&gt;2020,MONTH(T$5)=Macro!$D$52),Macro!$D124*AVERAGE(OFFSET(U186,0,0,1,-12))*Macro!$E123,0),"NA")</f>
        <v>0</v>
      </c>
      <c r="U285" s="243">
        <f>IFERROR(Macro!$D123*Team!U186/12+IF(AND(YEAR(U$5)&gt;2020,MONTH(U$5)=Macro!$D$52),Macro!$D124*AVERAGE(OFFSET(V186,0,0,1,-12))*Macro!$E123,0),"NA")</f>
        <v>0</v>
      </c>
      <c r="V285" s="241" t="str">
        <f>IFERROR(Macro!$D123*Team!V186/12+IF(AND(YEAR(V$5)&gt;2020,MONTH(V$5)=Macro!$D$52),Macro!$D124*AVERAGE(OFFSET(W186,0,0,1,-12))*Macro!$E123,0),"NA")</f>
        <v>NA</v>
      </c>
      <c r="W285" s="242">
        <f>IFERROR(Macro!$D123*Team!W186/12+IF(AND(YEAR(W$5)&gt;2020,MONTH(W$5)=Macro!$D$52),Macro!$D124*AVERAGE(OFFSET(X186,0,0,1,-12))*Macro!$E123,0),"NA")</f>
        <v>0</v>
      </c>
      <c r="X285" s="243">
        <f>IFERROR(Macro!$D123*Team!X186/12+IF(AND(YEAR(X$5)&gt;2020,MONTH(X$5)=Macro!$D$52),Macro!$D124*AVERAGE(OFFSET(Y186,0,0,1,-12))*Macro!$E123,0),"NA")</f>
        <v>0</v>
      </c>
      <c r="Y285" s="241">
        <f>IFERROR(Macro!$D123*Team!Y186/12+IF(AND(YEAR(Y$5)&gt;2020,MONTH(Y$5)=Macro!$D$52),Macro!$D124*AVERAGE(OFFSET(Z186,0,0,1,-12))*Macro!$E123,0),"NA")</f>
        <v>0</v>
      </c>
      <c r="Z285" s="242">
        <f>IFERROR(Macro!$D123*Team!Z186/12+IF(AND(YEAR(Z$5)&gt;2020,MONTH(Z$5)=Macro!$D$52),Macro!$D124*AVERAGE(OFFSET(AA186,0,0,1,-12))*Macro!$E123,0),"NA")</f>
        <v>0</v>
      </c>
      <c r="AA285" s="243">
        <f>IFERROR(Macro!$D123*Team!AA186/12+IF(AND(YEAR(AA$5)&gt;2020,MONTH(AA$5)=Macro!$D$52),Macro!$D124*AVERAGE(OFFSET(AB186,0,0,1,-12))*Macro!$E123,0),"NA")</f>
        <v>0</v>
      </c>
      <c r="AB285" s="241">
        <f>IFERROR(Macro!$D123*Team!AB186/12+IF(AND(YEAR(AB$5)&gt;2020,MONTH(AB$5)=Macro!$D$52),Macro!$D124*AVERAGE(OFFSET(AC186,0,0,1,-12))*Macro!$E123,0),"NA")</f>
        <v>0</v>
      </c>
      <c r="AC285" s="242">
        <f>IFERROR(Macro!$D123*Team!AC186/12+IF(AND(YEAR(AC$5)&gt;2020,MONTH(AC$5)=Macro!$D$52),Macro!$D124*AVERAGE(OFFSET(AD186,0,0,1,-12))*Macro!$E123,0),"NA")</f>
        <v>0</v>
      </c>
      <c r="AD285" s="243">
        <f>IFERROR(Macro!$D123*Team!AD186/12+IF(AND(YEAR(AD$5)&gt;2020,MONTH(AD$5)=Macro!$D$52),Macro!$D124*AVERAGE(OFFSET(AE186,0,0,1,-12))*Macro!$E123,0),"NA")</f>
        <v>0</v>
      </c>
      <c r="AE285" s="241">
        <f>IFERROR(Macro!$D123*Team!AE186/12+IF(AND(YEAR(AE$5)&gt;2020,MONTH(AE$5)=Macro!$D$52),Macro!$D124*AVERAGE(OFFSET(AF186,0,0,1,-12))*Macro!$E123,0),"NA")</f>
        <v>0</v>
      </c>
      <c r="AF285" s="242">
        <f>IFERROR(Macro!$D123*Team!AF186/12+IF(AND(YEAR(AF$5)&gt;2020,MONTH(AF$5)=Macro!$D$52),Macro!$D124*AVERAGE(OFFSET(AG186,0,0,1,-12))*Macro!$E123,0),"NA")</f>
        <v>0</v>
      </c>
      <c r="AG285" s="243">
        <f>IFERROR(Macro!$D123*Team!AG186/12+IF(AND(YEAR(AG$5)&gt;2020,MONTH(AG$5)=Macro!$D$52),Macro!$D124*AVERAGE(OFFSET(AH186,0,0,1,-12))*Macro!$E123,0),"NA")</f>
        <v>0</v>
      </c>
      <c r="AH285" s="241" t="str">
        <f>IFERROR(Macro!$D123*Team!AH186/12+IF(AND(YEAR(AH$5)&gt;2020,MONTH(AH$5)=Macro!$D$52),Macro!$D124*AVERAGE(OFFSET(AI186,0,0,1,-12))*Macro!$E123,0),"NA")</f>
        <v>NA</v>
      </c>
      <c r="AI285" s="242">
        <f>IFERROR(Macro!$D123*Team!AI186/12+IF(AND(YEAR(AI$5)&gt;2020,MONTH(AI$5)=Macro!$D$52),Macro!$D124*AVERAGE(OFFSET(AJ186,0,0,1,-12))*Macro!$E123,0),"NA")</f>
        <v>0</v>
      </c>
      <c r="AJ285" s="243">
        <f>IFERROR(Macro!$D123*Team!AJ186/12+IF(AND(YEAR(AJ$5)&gt;2020,MONTH(AJ$5)=Macro!$D$52),Macro!$D124*AVERAGE(OFFSET(AK186,0,0,1,-12))*Macro!$E123,0),"NA")</f>
        <v>0</v>
      </c>
      <c r="AK285" s="241">
        <f>IFERROR(Macro!$D123*Team!AK186/12+IF(AND(YEAR(AK$5)&gt;2020,MONTH(AK$5)=Macro!$D$52),Macro!$D124*AVERAGE(OFFSET(AL186,0,0,1,-12))*Macro!$E123,0),"NA")</f>
        <v>0</v>
      </c>
      <c r="AL285" s="242">
        <f>IFERROR(Macro!$D123*Team!AL186/12+IF(AND(YEAR(AL$5)&gt;2020,MONTH(AL$5)=Macro!$D$52),Macro!$D124*AVERAGE(OFFSET(AM186,0,0,1,-12))*Macro!$E123,0),"NA")</f>
        <v>0</v>
      </c>
      <c r="AM285" s="243">
        <f>IFERROR(Macro!$D123*Team!AM186/12+IF(AND(YEAR(AM$5)&gt;2020,MONTH(AM$5)=Macro!$D$52),Macro!$D124*AVERAGE(OFFSET(AN186,0,0,1,-12))*Macro!$E123,0),"NA")</f>
        <v>0</v>
      </c>
      <c r="AN285" s="241">
        <f>IFERROR(Macro!$D123*Team!AN186/12+IF(AND(YEAR(AN$5)&gt;2020,MONTH(AN$5)=Macro!$D$52),Macro!$D124*AVERAGE(OFFSET(AO186,0,0,1,-12))*Macro!$E123,0),"NA")</f>
        <v>0</v>
      </c>
      <c r="AO285" s="242">
        <f>IFERROR(Macro!$D123*Team!AO186/12+IF(AND(YEAR(AO$5)&gt;2020,MONTH(AO$5)=Macro!$D$52),Macro!$D124*AVERAGE(OFFSET(AP186,0,0,1,-12))*Macro!$E123,0),"NA")</f>
        <v>0</v>
      </c>
      <c r="AP285" s="243">
        <f>IFERROR(Macro!$D123*Team!AP186/12+IF(AND(YEAR(AP$5)&gt;2020,MONTH(AP$5)=Macro!$D$52),Macro!$D124*AVERAGE(OFFSET(AQ186,0,0,1,-12))*Macro!$E123,0),"NA")</f>
        <v>0</v>
      </c>
      <c r="AQ285" s="241">
        <f>IFERROR(Macro!$D123*Team!AQ186/12+IF(AND(YEAR(AQ$5)&gt;2020,MONTH(AQ$5)=Macro!$D$52),Macro!$D124*AVERAGE(OFFSET(AR186,0,0,1,-12))*Macro!$E123,0),"NA")</f>
        <v>0</v>
      </c>
      <c r="AR285" s="242">
        <f>IFERROR(Macro!$D123*Team!AR186/12+IF(AND(YEAR(AR$5)&gt;2020,MONTH(AR$5)=Macro!$D$52),Macro!$D124*AVERAGE(OFFSET(AS186,0,0,1,-12))*Macro!$E123,0),"NA")</f>
        <v>0</v>
      </c>
      <c r="AS285" s="243">
        <f>IFERROR(Macro!$D123*Team!AS186/12+IF(AND(YEAR(AS$5)&gt;2020,MONTH(AS$5)=Macro!$D$52),Macro!$D124*AVERAGE(OFFSET(AT186,0,0,1,-12))*Macro!$E123,0),"NA")</f>
        <v>0</v>
      </c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</row>
    <row r="286" ht="12.0" customHeight="1">
      <c r="A286" s="8"/>
      <c r="B286" s="8"/>
      <c r="C286" s="270" t="s">
        <v>73</v>
      </c>
      <c r="D286" s="51">
        <f t="shared" ref="D286:AS286" si="103">SUM(D274:D285)</f>
        <v>41666.66667</v>
      </c>
      <c r="E286" s="52">
        <f t="shared" si="103"/>
        <v>41666.66667</v>
      </c>
      <c r="F286" s="52">
        <f t="shared" si="103"/>
        <v>41666.66667</v>
      </c>
      <c r="G286" s="51">
        <f t="shared" si="103"/>
        <v>41666.66667</v>
      </c>
      <c r="H286" s="52">
        <f t="shared" si="103"/>
        <v>41666.66667</v>
      </c>
      <c r="I286" s="53">
        <f t="shared" si="103"/>
        <v>41666.66667</v>
      </c>
      <c r="J286" s="51">
        <f t="shared" si="103"/>
        <v>41666.66667</v>
      </c>
      <c r="K286" s="52">
        <f t="shared" si="103"/>
        <v>41666.66667</v>
      </c>
      <c r="L286" s="53">
        <f t="shared" si="103"/>
        <v>41666.66667</v>
      </c>
      <c r="M286" s="51">
        <f t="shared" si="103"/>
        <v>41666.66667</v>
      </c>
      <c r="N286" s="52">
        <f t="shared" si="103"/>
        <v>41666.66667</v>
      </c>
      <c r="O286" s="53">
        <f t="shared" si="103"/>
        <v>41666.66667</v>
      </c>
      <c r="P286" s="51">
        <f t="shared" si="103"/>
        <v>41666.66667</v>
      </c>
      <c r="Q286" s="52">
        <f t="shared" si="103"/>
        <v>41666.66667</v>
      </c>
      <c r="R286" s="53">
        <f t="shared" si="103"/>
        <v>41666.66667</v>
      </c>
      <c r="S286" s="51">
        <f t="shared" si="103"/>
        <v>41666.66667</v>
      </c>
      <c r="T286" s="52">
        <f t="shared" si="103"/>
        <v>41666.66667</v>
      </c>
      <c r="U286" s="53">
        <f t="shared" si="103"/>
        <v>41666.66667</v>
      </c>
      <c r="V286" s="51">
        <f t="shared" si="103"/>
        <v>0</v>
      </c>
      <c r="W286" s="52">
        <f t="shared" si="103"/>
        <v>41666.66667</v>
      </c>
      <c r="X286" s="53">
        <f t="shared" si="103"/>
        <v>41666.66667</v>
      </c>
      <c r="Y286" s="51">
        <f t="shared" si="103"/>
        <v>41666.66667</v>
      </c>
      <c r="Z286" s="52">
        <f t="shared" si="103"/>
        <v>41666.66667</v>
      </c>
      <c r="AA286" s="53">
        <f t="shared" si="103"/>
        <v>41666.66667</v>
      </c>
      <c r="AB286" s="51">
        <f t="shared" si="103"/>
        <v>41666.66667</v>
      </c>
      <c r="AC286" s="52">
        <f t="shared" si="103"/>
        <v>41666.66667</v>
      </c>
      <c r="AD286" s="53">
        <f t="shared" si="103"/>
        <v>41666.66667</v>
      </c>
      <c r="AE286" s="51">
        <f t="shared" si="103"/>
        <v>41666.66667</v>
      </c>
      <c r="AF286" s="52">
        <f t="shared" si="103"/>
        <v>41666.66667</v>
      </c>
      <c r="AG286" s="53">
        <f t="shared" si="103"/>
        <v>41666.66667</v>
      </c>
      <c r="AH286" s="51">
        <f t="shared" si="103"/>
        <v>0</v>
      </c>
      <c r="AI286" s="52">
        <f t="shared" si="103"/>
        <v>41666.66667</v>
      </c>
      <c r="AJ286" s="53">
        <f t="shared" si="103"/>
        <v>41666.66667</v>
      </c>
      <c r="AK286" s="51">
        <f t="shared" si="103"/>
        <v>41666.66667</v>
      </c>
      <c r="AL286" s="52">
        <f t="shared" si="103"/>
        <v>41666.66667</v>
      </c>
      <c r="AM286" s="53">
        <f t="shared" si="103"/>
        <v>41666.66667</v>
      </c>
      <c r="AN286" s="51">
        <f t="shared" si="103"/>
        <v>41666.66667</v>
      </c>
      <c r="AO286" s="52">
        <f t="shared" si="103"/>
        <v>41666.66667</v>
      </c>
      <c r="AP286" s="53">
        <f t="shared" si="103"/>
        <v>41666.66667</v>
      </c>
      <c r="AQ286" s="51">
        <f t="shared" si="103"/>
        <v>41666.66667</v>
      </c>
      <c r="AR286" s="52">
        <f t="shared" si="103"/>
        <v>41666.66667</v>
      </c>
      <c r="AS286" s="53">
        <f t="shared" si="103"/>
        <v>41666.66667</v>
      </c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</row>
    <row r="287" ht="12.0" customHeight="1">
      <c r="A287" s="4"/>
      <c r="B287" s="4"/>
      <c r="C287" s="4"/>
      <c r="D287" s="64"/>
      <c r="E287" s="4"/>
      <c r="F287" s="4"/>
      <c r="G287" s="64"/>
      <c r="H287" s="4"/>
      <c r="I287" s="65"/>
      <c r="J287" s="64"/>
      <c r="K287" s="4"/>
      <c r="L287" s="65"/>
      <c r="M287" s="64"/>
      <c r="N287" s="4"/>
      <c r="O287" s="65"/>
      <c r="P287" s="64"/>
      <c r="Q287" s="4"/>
      <c r="R287" s="65"/>
      <c r="S287" s="64"/>
      <c r="T287" s="4"/>
      <c r="U287" s="65"/>
      <c r="V287" s="64"/>
      <c r="W287" s="4"/>
      <c r="X287" s="65"/>
      <c r="Y287" s="64"/>
      <c r="Z287" s="4"/>
      <c r="AA287" s="65"/>
      <c r="AB287" s="64"/>
      <c r="AC287" s="4"/>
      <c r="AD287" s="65"/>
      <c r="AE287" s="64"/>
      <c r="AF287" s="4"/>
      <c r="AG287" s="65"/>
      <c r="AH287" s="64"/>
      <c r="AI287" s="4"/>
      <c r="AJ287" s="65"/>
      <c r="AK287" s="64"/>
      <c r="AL287" s="4"/>
      <c r="AM287" s="65"/>
      <c r="AN287" s="64"/>
      <c r="AO287" s="4"/>
      <c r="AP287" s="65"/>
      <c r="AQ287" s="64"/>
      <c r="AR287" s="4"/>
      <c r="AS287" s="65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</row>
    <row r="288" ht="12.0" customHeight="1">
      <c r="A288" s="4"/>
      <c r="B288" s="270" t="s">
        <v>21</v>
      </c>
      <c r="C288" s="4"/>
      <c r="D288" s="64"/>
      <c r="E288" s="4"/>
      <c r="F288" s="4"/>
      <c r="G288" s="64"/>
      <c r="H288" s="4"/>
      <c r="I288" s="65"/>
      <c r="J288" s="64"/>
      <c r="K288" s="4"/>
      <c r="L288" s="65"/>
      <c r="M288" s="64"/>
      <c r="N288" s="4"/>
      <c r="O288" s="65"/>
      <c r="P288" s="64"/>
      <c r="Q288" s="4"/>
      <c r="R288" s="65"/>
      <c r="S288" s="64"/>
      <c r="T288" s="4"/>
      <c r="U288" s="65"/>
      <c r="V288" s="64"/>
      <c r="W288" s="4"/>
      <c r="X288" s="65"/>
      <c r="Y288" s="64"/>
      <c r="Z288" s="4"/>
      <c r="AA288" s="65"/>
      <c r="AB288" s="64"/>
      <c r="AC288" s="4"/>
      <c r="AD288" s="65"/>
      <c r="AE288" s="64"/>
      <c r="AF288" s="4"/>
      <c r="AG288" s="65"/>
      <c r="AH288" s="64"/>
      <c r="AI288" s="4"/>
      <c r="AJ288" s="65"/>
      <c r="AK288" s="64"/>
      <c r="AL288" s="4"/>
      <c r="AM288" s="65"/>
      <c r="AN288" s="64"/>
      <c r="AO288" s="4"/>
      <c r="AP288" s="65"/>
      <c r="AQ288" s="64"/>
      <c r="AR288" s="4"/>
      <c r="AS288" s="65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</row>
    <row r="289" ht="12.0" customHeight="1">
      <c r="A289" s="282"/>
      <c r="B289" s="4"/>
      <c r="C289" s="37" t="str">
        <f t="shared" ref="C289:C296" si="104">C190</f>
        <v>VP</v>
      </c>
      <c r="D289" s="283">
        <f>IFERROR(Macro!$D126*Team!D190/12+IF(AND(YEAR(D$5)&gt;2020,MONTH(D$5)=Macro!$D$52),Macro!$D126*AVERAGE(OFFSET(E190,0,0,1,-12))*Macro!$E126,0),"NA")</f>
        <v>0</v>
      </c>
      <c r="E289" s="284">
        <f>IFERROR(Macro!$D126*Team!E190/12+IF(AND(YEAR(E$5)&gt;2020,MONTH(E$5)=Macro!$D$52),Macro!$D126*AVERAGE(OFFSET(F190,0,0,1,-12))*Macro!$E126,0),"NA")</f>
        <v>0</v>
      </c>
      <c r="F289" s="284">
        <f>IFERROR(Macro!$D126*Team!F190/12+IF(AND(YEAR(F$5)&gt;2020,MONTH(F$5)=Macro!$D$52),Macro!$D126*AVERAGE(OFFSET(G190,0,0,1,-12))*Macro!$E126,0),"NA")</f>
        <v>0</v>
      </c>
      <c r="G289" s="283">
        <f>IFERROR(Macro!$D126*Team!G190/12+IF(AND(YEAR(G$5)&gt;2020,MONTH(G$5)=Macro!$D$52),Macro!$D126*AVERAGE(OFFSET(H190,0,0,1,-12))*Macro!$E126,0),"NA")</f>
        <v>0</v>
      </c>
      <c r="H289" s="284">
        <f>IFERROR(Macro!$D126*Team!H190/12+IF(AND(YEAR(H$5)&gt;2020,MONTH(H$5)=Macro!$D$52),Macro!$D126*AVERAGE(OFFSET(I190,0,0,1,-12))*Macro!$E126,0),"NA")</f>
        <v>0</v>
      </c>
      <c r="I289" s="285">
        <f>IFERROR(Macro!$D126*Team!I190/12+IF(AND(YEAR(I$5)&gt;2020,MONTH(I$5)=Macro!$D$52),Macro!$D126*AVERAGE(OFFSET(J190,0,0,1,-12))*Macro!$E126,0),"NA")</f>
        <v>0</v>
      </c>
      <c r="J289" s="286">
        <f>IFERROR(Macro!$D126*Team!J190/12+IF(AND(YEAR(J$5)&gt;2020,MONTH(J$5)=Macro!$D$52),Macro!$D126*AVERAGE(OFFSET(K190,0,0,1,-12))*Macro!$E126,0),"NA")</f>
        <v>0</v>
      </c>
      <c r="K289" s="287">
        <f>IFERROR(Macro!$D126*Team!K190/12+IF(AND(YEAR(K$5)&gt;2020,MONTH(K$5)=Macro!$D$52),Macro!$D126*AVERAGE(OFFSET(L190,0,0,1,-12))*Macro!$E126,0),"NA")</f>
        <v>0</v>
      </c>
      <c r="L289" s="288">
        <f>IFERROR(Macro!$D126*Team!L190/12+IF(AND(YEAR(L$5)&gt;2020,MONTH(L$5)=Macro!$D$52),Macro!$D126*AVERAGE(OFFSET(M190,0,0,1,-12))*Macro!$E126,0),"NA")</f>
        <v>0</v>
      </c>
      <c r="M289" s="38">
        <f>IFERROR(Macro!$D126*Team!M190/12+IF(AND(YEAR(M$5)&gt;2020,MONTH(M$5)=Macro!$D$52),Macro!$D126*AVERAGE(OFFSET(N190,0,0,1,-12))*Macro!$E126,0),"NA")</f>
        <v>0</v>
      </c>
      <c r="N289" s="39">
        <f>IFERROR(Macro!$D126*Team!N190/12+IF(AND(YEAR(N$5)&gt;2020,MONTH(N$5)=Macro!$D$52),Macro!$D126*AVERAGE(OFFSET(O190,0,0,1,-12))*Macro!$E126,0),"NA")</f>
        <v>0</v>
      </c>
      <c r="O289" s="40">
        <f>IFERROR(Macro!$D126*Team!O190/12+IF(AND(YEAR(O$5)&gt;2020,MONTH(O$5)=Macro!$D$52),Macro!$D126*AVERAGE(OFFSET(P190,0,0,1,-12))*Macro!$E126,0),"NA")</f>
        <v>0</v>
      </c>
      <c r="P289" s="38">
        <f>IFERROR(Macro!$D126*Team!P190/12+IF(AND(YEAR(P$5)&gt;2020,MONTH(P$5)=Macro!$D$52),Macro!$D126*AVERAGE(OFFSET(Q190,0,0,1,-12))*Macro!$E126,0),"NA")</f>
        <v>0</v>
      </c>
      <c r="Q289" s="39">
        <f>IFERROR(Macro!$D126*Team!Q190/12+IF(AND(YEAR(Q$5)&gt;2020,MONTH(Q$5)=Macro!$D$52),Macro!$D126*AVERAGE(OFFSET(R190,0,0,1,-12))*Macro!$E126,0),"NA")</f>
        <v>0</v>
      </c>
      <c r="R289" s="40">
        <f>IFERROR(Macro!$D126*Team!R190/12+IF(AND(YEAR(R$5)&gt;2020,MONTH(R$5)=Macro!$D$52),Macro!$D126*AVERAGE(OFFSET(S190,0,0,1,-12))*Macro!$E126,0),"NA")</f>
        <v>0</v>
      </c>
      <c r="S289" s="38">
        <f>IFERROR(Macro!$D126*Team!S190/12+IF(AND(YEAR(S$5)&gt;2020,MONTH(S$5)=Macro!$D$52),Macro!$D126*AVERAGE(OFFSET(T190,0,0,1,-12))*Macro!$E126,0),"NA")</f>
        <v>0</v>
      </c>
      <c r="T289" s="39">
        <f>IFERROR(Macro!$D126*Team!T190/12+IF(AND(YEAR(T$5)&gt;2020,MONTH(T$5)=Macro!$D$52),Macro!$D126*AVERAGE(OFFSET(U190,0,0,1,-12))*Macro!$E126,0),"NA")</f>
        <v>0</v>
      </c>
      <c r="U289" s="40">
        <f>IFERROR(Macro!$D126*Team!U190/12+IF(AND(YEAR(U$5)&gt;2020,MONTH(U$5)=Macro!$D$52),Macro!$D126*AVERAGE(OFFSET(V190,0,0,1,-12))*Macro!$E126,0),"NA")</f>
        <v>0</v>
      </c>
      <c r="V289" s="38" t="str">
        <f>IFERROR(Macro!$D126*Team!V190/12+IF(AND(YEAR(V$5)&gt;2020,MONTH(V$5)=Macro!$D$52),Macro!$D126*AVERAGE(OFFSET(W190,0,0,1,-12))*Macro!$E126,0),"NA")</f>
        <v>NA</v>
      </c>
      <c r="W289" s="39">
        <f>IFERROR(Macro!$D126*Team!W190/12+IF(AND(YEAR(W$5)&gt;2020,MONTH(W$5)=Macro!$D$52),Macro!$D126*AVERAGE(OFFSET(X190,0,0,1,-12))*Macro!$E126,0),"NA")</f>
        <v>0</v>
      </c>
      <c r="X289" s="40">
        <f>IFERROR(Macro!$D126*Team!X190/12+IF(AND(YEAR(X$5)&gt;2020,MONTH(X$5)=Macro!$D$52),Macro!$D126*AVERAGE(OFFSET(Y190,0,0,1,-12))*Macro!$E126,0),"NA")</f>
        <v>0</v>
      </c>
      <c r="Y289" s="38">
        <f>IFERROR(Macro!$D126*Team!Y190/12+IF(AND(YEAR(Y$5)&gt;2020,MONTH(Y$5)=Macro!$D$52),Macro!$D126*AVERAGE(OFFSET(Z190,0,0,1,-12))*Macro!$E126,0),"NA")</f>
        <v>0</v>
      </c>
      <c r="Z289" s="39">
        <f>IFERROR(Macro!$D126*Team!Z190/12+IF(AND(YEAR(Z$5)&gt;2020,MONTH(Z$5)=Macro!$D$52),Macro!$D126*AVERAGE(OFFSET(AA190,0,0,1,-12))*Macro!$E126,0),"NA")</f>
        <v>0</v>
      </c>
      <c r="AA289" s="40">
        <f>IFERROR(Macro!$D126*Team!AA190/12+IF(AND(YEAR(AA$5)&gt;2020,MONTH(AA$5)=Macro!$D$52),Macro!$D126*AVERAGE(OFFSET(AB190,0,0,1,-12))*Macro!$E126,0),"NA")</f>
        <v>0</v>
      </c>
      <c r="AB289" s="38">
        <f>IFERROR(Macro!$D126*Team!AB190/12+IF(AND(YEAR(AB$5)&gt;2020,MONTH(AB$5)=Macro!$D$52),Macro!$D126*AVERAGE(OFFSET(AC190,0,0,1,-12))*Macro!$E126,0),"NA")</f>
        <v>0</v>
      </c>
      <c r="AC289" s="39">
        <f>IFERROR(Macro!$D126*Team!AC190/12+IF(AND(YEAR(AC$5)&gt;2020,MONTH(AC$5)=Macro!$D$52),Macro!$D126*AVERAGE(OFFSET(AD190,0,0,1,-12))*Macro!$E126,0),"NA")</f>
        <v>0</v>
      </c>
      <c r="AD289" s="40">
        <f>IFERROR(Macro!$D126*Team!AD190/12+IF(AND(YEAR(AD$5)&gt;2020,MONTH(AD$5)=Macro!$D$52),Macro!$D126*AVERAGE(OFFSET(AE190,0,0,1,-12))*Macro!$E126,0),"NA")</f>
        <v>0</v>
      </c>
      <c r="AE289" s="38">
        <f>IFERROR(Macro!$D126*Team!AE190/12+IF(AND(YEAR(AE$5)&gt;2020,MONTH(AE$5)=Macro!$D$52),Macro!$D126*AVERAGE(OFFSET(AF190,0,0,1,-12))*Macro!$E126,0),"NA")</f>
        <v>0</v>
      </c>
      <c r="AF289" s="39">
        <f>IFERROR(Macro!$D126*Team!AF190/12+IF(AND(YEAR(AF$5)&gt;2020,MONTH(AF$5)=Macro!$D$52),Macro!$D126*AVERAGE(OFFSET(AG190,0,0,1,-12))*Macro!$E126,0),"NA")</f>
        <v>0</v>
      </c>
      <c r="AG289" s="40">
        <f>IFERROR(Macro!$D126*Team!AG190/12+IF(AND(YEAR(AG$5)&gt;2020,MONTH(AG$5)=Macro!$D$52),Macro!$D126*AVERAGE(OFFSET(AH190,0,0,1,-12))*Macro!$E126,0),"NA")</f>
        <v>0</v>
      </c>
      <c r="AH289" s="38" t="str">
        <f>IFERROR(Macro!$D126*Team!AH190/12+IF(AND(YEAR(AH$5)&gt;2020,MONTH(AH$5)=Macro!$D$52),Macro!$D126*AVERAGE(OFFSET(AI190,0,0,1,-12))*Macro!$E126,0),"NA")</f>
        <v>NA</v>
      </c>
      <c r="AI289" s="39">
        <f>IFERROR(Macro!$D126*Team!AI190/12+IF(AND(YEAR(AI$5)&gt;2020,MONTH(AI$5)=Macro!$D$52),Macro!$D126*AVERAGE(OFFSET(AJ190,0,0,1,-12))*Macro!$E126,0),"NA")</f>
        <v>16666.66667</v>
      </c>
      <c r="AJ289" s="40">
        <f>IFERROR(Macro!$D126*Team!AJ190/12+IF(AND(YEAR(AJ$5)&gt;2020,MONTH(AJ$5)=Macro!$D$52),Macro!$D126*AVERAGE(OFFSET(AK190,0,0,1,-12))*Macro!$E126,0),"NA")</f>
        <v>16666.66667</v>
      </c>
      <c r="AK289" s="38">
        <f>IFERROR(Macro!$D126*Team!AK190/12+IF(AND(YEAR(AK$5)&gt;2020,MONTH(AK$5)=Macro!$D$52),Macro!$D126*AVERAGE(OFFSET(AL190,0,0,1,-12))*Macro!$E126,0),"NA")</f>
        <v>16666.66667</v>
      </c>
      <c r="AL289" s="39">
        <f>IFERROR(Macro!$D126*Team!AL190/12+IF(AND(YEAR(AL$5)&gt;2020,MONTH(AL$5)=Macro!$D$52),Macro!$D126*AVERAGE(OFFSET(AM190,0,0,1,-12))*Macro!$E126,0),"NA")</f>
        <v>16666.66667</v>
      </c>
      <c r="AM289" s="40">
        <f>IFERROR(Macro!$D126*Team!AM190/12+IF(AND(YEAR(AM$5)&gt;2020,MONTH(AM$5)=Macro!$D$52),Macro!$D126*AVERAGE(OFFSET(AN190,0,0,1,-12))*Macro!$E126,0),"NA")</f>
        <v>16666.66667</v>
      </c>
      <c r="AN289" s="38">
        <f>IFERROR(Macro!$D126*Team!AN190/12+IF(AND(YEAR(AN$5)&gt;2020,MONTH(AN$5)=Macro!$D$52),Macro!$D126*AVERAGE(OFFSET(AO190,0,0,1,-12))*Macro!$E126,0),"NA")</f>
        <v>16666.66667</v>
      </c>
      <c r="AO289" s="39">
        <f>IFERROR(Macro!$D126*Team!AO190/12+IF(AND(YEAR(AO$5)&gt;2020,MONTH(AO$5)=Macro!$D$52),Macro!$D126*AVERAGE(OFFSET(AP190,0,0,1,-12))*Macro!$E126,0),"NA")</f>
        <v>16666.66667</v>
      </c>
      <c r="AP289" s="40">
        <f>IFERROR(Macro!$D126*Team!AP190/12+IF(AND(YEAR(AP$5)&gt;2020,MONTH(AP$5)=Macro!$D$52),Macro!$D126*AVERAGE(OFFSET(AQ190,0,0,1,-12))*Macro!$E126,0),"NA")</f>
        <v>16666.66667</v>
      </c>
      <c r="AQ289" s="38">
        <f>IFERROR(Macro!$D126*Team!AQ190/12+IF(AND(YEAR(AQ$5)&gt;2020,MONTH(AQ$5)=Macro!$D$52),Macro!$D126*AVERAGE(OFFSET(AR190,0,0,1,-12))*Macro!$E126,0),"NA")</f>
        <v>16666.66667</v>
      </c>
      <c r="AR289" s="39">
        <f>IFERROR(Macro!$D126*Team!AR190/12+IF(AND(YEAR(AR$5)&gt;2020,MONTH(AR$5)=Macro!$D$52),Macro!$D126*AVERAGE(OFFSET(AS190,0,0,1,-12))*Macro!$E126,0),"NA")</f>
        <v>16666.66667</v>
      </c>
      <c r="AS289" s="40">
        <f>IFERROR(Macro!$D126*Team!AS190/12+IF(AND(YEAR(AS$5)&gt;2020,MONTH(AS$5)=Macro!$D$52),Macro!$D126*AVERAGE(OFFSET(AT190,0,0,1,-12))*Macro!$E126,0),"NA")</f>
        <v>16666.66667</v>
      </c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</row>
    <row r="290" ht="12.0" customHeight="1">
      <c r="A290" s="282"/>
      <c r="B290" s="4"/>
      <c r="C290" s="37" t="str">
        <f t="shared" si="104"/>
        <v>CS Director</v>
      </c>
      <c r="D290" s="283">
        <f>IFERROR(Macro!$D127*Team!D191/12+IF(AND(YEAR(D$5)&gt;2020,MONTH(D$5)=Macro!$D$52),Macro!$D127*AVERAGE(OFFSET(E191,0,0,1,-12))*Macro!$E127,0),"NA")</f>
        <v>25000</v>
      </c>
      <c r="E290" s="284">
        <f>IFERROR(Macro!$D127*Team!E191/12+IF(AND(YEAR(E$5)&gt;2020,MONTH(E$5)=Macro!$D$52),Macro!$D127*AVERAGE(OFFSET(F191,0,0,1,-12))*Macro!$E127,0),"NA")</f>
        <v>25000</v>
      </c>
      <c r="F290" s="284">
        <f>IFERROR(Macro!$D127*Team!F191/12+IF(AND(YEAR(F$5)&gt;2020,MONTH(F$5)=Macro!$D$52),Macro!$D127*AVERAGE(OFFSET(G191,0,0,1,-12))*Macro!$E127,0),"NA")</f>
        <v>25000</v>
      </c>
      <c r="G290" s="283">
        <f>IFERROR(Macro!$D127*Team!G191/12+IF(AND(YEAR(G$5)&gt;2020,MONTH(G$5)=Macro!$D$52),Macro!$D127*AVERAGE(OFFSET(H191,0,0,1,-12))*Macro!$E127,0),"NA")</f>
        <v>25000</v>
      </c>
      <c r="H290" s="284">
        <f>IFERROR(Macro!$D127*Team!H191/12+IF(AND(YEAR(H$5)&gt;2020,MONTH(H$5)=Macro!$D$52),Macro!$D127*AVERAGE(OFFSET(I191,0,0,1,-12))*Macro!$E127,0),"NA")</f>
        <v>25000</v>
      </c>
      <c r="I290" s="285">
        <f>IFERROR(Macro!$D127*Team!I191/12+IF(AND(YEAR(I$5)&gt;2020,MONTH(I$5)=Macro!$D$52),Macro!$D127*AVERAGE(OFFSET(J191,0,0,1,-12))*Macro!$E127,0),"NA")</f>
        <v>25000</v>
      </c>
      <c r="J290" s="286">
        <f>IFERROR(Macro!$D127*Team!J191/12+IF(AND(YEAR(J$5)&gt;2020,MONTH(J$5)=Macro!$D$52),Macro!$D127*AVERAGE(OFFSET(K191,0,0,1,-12))*Macro!$E127,0),"NA")</f>
        <v>25000</v>
      </c>
      <c r="K290" s="287">
        <f>IFERROR(Macro!$D127*Team!K191/12+IF(AND(YEAR(K$5)&gt;2020,MONTH(K$5)=Macro!$D$52),Macro!$D127*AVERAGE(OFFSET(L191,0,0,1,-12))*Macro!$E127,0),"NA")</f>
        <v>25000</v>
      </c>
      <c r="L290" s="288">
        <f>IFERROR(Macro!$D127*Team!L191/12+IF(AND(YEAR(L$5)&gt;2020,MONTH(L$5)=Macro!$D$52),Macro!$D127*AVERAGE(OFFSET(M191,0,0,1,-12))*Macro!$E127,0),"NA")</f>
        <v>25000</v>
      </c>
      <c r="M290" s="38">
        <f>IFERROR(Macro!$D127*Team!M191/12+IF(AND(YEAR(M$5)&gt;2020,MONTH(M$5)=Macro!$D$52),Macro!$D127*AVERAGE(OFFSET(N191,0,0,1,-12))*Macro!$E127,0),"NA")</f>
        <v>25000</v>
      </c>
      <c r="N290" s="39">
        <f>IFERROR(Macro!$D127*Team!N191/12+IF(AND(YEAR(N$5)&gt;2020,MONTH(N$5)=Macro!$D$52),Macro!$D127*AVERAGE(OFFSET(O191,0,0,1,-12))*Macro!$E127,0),"NA")</f>
        <v>37500</v>
      </c>
      <c r="O290" s="40">
        <f>IFERROR(Macro!$D127*Team!O191/12+IF(AND(YEAR(O$5)&gt;2020,MONTH(O$5)=Macro!$D$52),Macro!$D127*AVERAGE(OFFSET(P191,0,0,1,-12))*Macro!$E127,0),"NA")</f>
        <v>37500</v>
      </c>
      <c r="P290" s="38">
        <f>IFERROR(Macro!$D127*Team!P191/12+IF(AND(YEAR(P$5)&gt;2020,MONTH(P$5)=Macro!$D$52),Macro!$D127*AVERAGE(OFFSET(Q191,0,0,1,-12))*Macro!$E127,0),"NA")</f>
        <v>37500</v>
      </c>
      <c r="Q290" s="39">
        <f>IFERROR(Macro!$D127*Team!Q191/12+IF(AND(YEAR(Q$5)&gt;2020,MONTH(Q$5)=Macro!$D$52),Macro!$D127*AVERAGE(OFFSET(R191,0,0,1,-12))*Macro!$E127,0),"NA")</f>
        <v>37500</v>
      </c>
      <c r="R290" s="40">
        <f>IFERROR(Macro!$D127*Team!R191/12+IF(AND(YEAR(R$5)&gt;2020,MONTH(R$5)=Macro!$D$52),Macro!$D127*AVERAGE(OFFSET(S191,0,0,1,-12))*Macro!$E127,0),"NA")</f>
        <v>37500</v>
      </c>
      <c r="S290" s="38">
        <f>IFERROR(Macro!$D127*Team!S191/12+IF(AND(YEAR(S$5)&gt;2020,MONTH(S$5)=Macro!$D$52),Macro!$D127*AVERAGE(OFFSET(T191,0,0,1,-12))*Macro!$E127,0),"NA")</f>
        <v>50000</v>
      </c>
      <c r="T290" s="39">
        <f>IFERROR(Macro!$D127*Team!T191/12+IF(AND(YEAR(T$5)&gt;2020,MONTH(T$5)=Macro!$D$52),Macro!$D127*AVERAGE(OFFSET(U191,0,0,1,-12))*Macro!$E127,0),"NA")</f>
        <v>50000</v>
      </c>
      <c r="U290" s="40">
        <f>IFERROR(Macro!$D127*Team!U191/12+IF(AND(YEAR(U$5)&gt;2020,MONTH(U$5)=Macro!$D$52),Macro!$D127*AVERAGE(OFFSET(V191,0,0,1,-12))*Macro!$E127,0),"NA")</f>
        <v>50000</v>
      </c>
      <c r="V290" s="38" t="str">
        <f>IFERROR(Macro!$D127*Team!V191/12+IF(AND(YEAR(V$5)&gt;2020,MONTH(V$5)=Macro!$D$52),Macro!$D127*AVERAGE(OFFSET(W191,0,0,1,-12))*Macro!$E127,0),"NA")</f>
        <v>NA</v>
      </c>
      <c r="W290" s="39">
        <f>IFERROR(Macro!$D127*Team!W191/12+IF(AND(YEAR(W$5)&gt;2020,MONTH(W$5)=Macro!$D$52),Macro!$D127*AVERAGE(OFFSET(X191,0,0,1,-12))*Macro!$E127,0),"NA")</f>
        <v>50000</v>
      </c>
      <c r="X290" s="40">
        <f>IFERROR(Macro!$D127*Team!X191/12+IF(AND(YEAR(X$5)&gt;2020,MONTH(X$5)=Macro!$D$52),Macro!$D127*AVERAGE(OFFSET(Y191,0,0,1,-12))*Macro!$E127,0),"NA")</f>
        <v>50000</v>
      </c>
      <c r="Y290" s="38">
        <f>IFERROR(Macro!$D127*Team!Y191/12+IF(AND(YEAR(Y$5)&gt;2020,MONTH(Y$5)=Macro!$D$52),Macro!$D127*AVERAGE(OFFSET(Z191,0,0,1,-12))*Macro!$E127,0),"NA")</f>
        <v>62500</v>
      </c>
      <c r="Z290" s="39">
        <f>IFERROR(Macro!$D127*Team!Z191/12+IF(AND(YEAR(Z$5)&gt;2020,MONTH(Z$5)=Macro!$D$52),Macro!$D127*AVERAGE(OFFSET(AA191,0,0,1,-12))*Macro!$E127,0),"NA")</f>
        <v>62500</v>
      </c>
      <c r="AA290" s="40">
        <f>IFERROR(Macro!$D127*Team!AA191/12+IF(AND(YEAR(AA$5)&gt;2020,MONTH(AA$5)=Macro!$D$52),Macro!$D127*AVERAGE(OFFSET(AB191,0,0,1,-12))*Macro!$E127,0),"NA")</f>
        <v>62500</v>
      </c>
      <c r="AB290" s="38">
        <f>IFERROR(Macro!$D127*Team!AB191/12+IF(AND(YEAR(AB$5)&gt;2020,MONTH(AB$5)=Macro!$D$52),Macro!$D127*AVERAGE(OFFSET(AC191,0,0,1,-12))*Macro!$E127,0),"NA")</f>
        <v>62500</v>
      </c>
      <c r="AC290" s="39">
        <f>IFERROR(Macro!$D127*Team!AC191/12+IF(AND(YEAR(AC$5)&gt;2020,MONTH(AC$5)=Macro!$D$52),Macro!$D127*AVERAGE(OFFSET(AD191,0,0,1,-12))*Macro!$E127,0),"NA")</f>
        <v>62500</v>
      </c>
      <c r="AD290" s="40">
        <f>IFERROR(Macro!$D127*Team!AD191/12+IF(AND(YEAR(AD$5)&gt;2020,MONTH(AD$5)=Macro!$D$52),Macro!$D127*AVERAGE(OFFSET(AE191,0,0,1,-12))*Macro!$E127,0),"NA")</f>
        <v>62500</v>
      </c>
      <c r="AE290" s="38">
        <f>IFERROR(Macro!$D127*Team!AE191/12+IF(AND(YEAR(AE$5)&gt;2020,MONTH(AE$5)=Macro!$D$52),Macro!$D127*AVERAGE(OFFSET(AF191,0,0,1,-12))*Macro!$E127,0),"NA")</f>
        <v>75000</v>
      </c>
      <c r="AF290" s="39">
        <f>IFERROR(Macro!$D127*Team!AF191/12+IF(AND(YEAR(AF$5)&gt;2020,MONTH(AF$5)=Macro!$D$52),Macro!$D127*AVERAGE(OFFSET(AG191,0,0,1,-12))*Macro!$E127,0),"NA")</f>
        <v>75000</v>
      </c>
      <c r="AG290" s="40">
        <f>IFERROR(Macro!$D127*Team!AG191/12+IF(AND(YEAR(AG$5)&gt;2020,MONTH(AG$5)=Macro!$D$52),Macro!$D127*AVERAGE(OFFSET(AH191,0,0,1,-12))*Macro!$E127,0),"NA")</f>
        <v>75000</v>
      </c>
      <c r="AH290" s="38" t="str">
        <f>IFERROR(Macro!$D127*Team!AH191/12+IF(AND(YEAR(AH$5)&gt;2020,MONTH(AH$5)=Macro!$D$52),Macro!$D127*AVERAGE(OFFSET(AI191,0,0,1,-12))*Macro!$E127,0),"NA")</f>
        <v>NA</v>
      </c>
      <c r="AI290" s="39">
        <f>IFERROR(Macro!$D127*Team!AI191/12+IF(AND(YEAR(AI$5)&gt;2020,MONTH(AI$5)=Macro!$D$52),Macro!$D127*AVERAGE(OFFSET(AJ191,0,0,1,-12))*Macro!$E127,0),"NA")</f>
        <v>75000</v>
      </c>
      <c r="AJ290" s="40">
        <f>IFERROR(Macro!$D127*Team!AJ191/12+IF(AND(YEAR(AJ$5)&gt;2020,MONTH(AJ$5)=Macro!$D$52),Macro!$D127*AVERAGE(OFFSET(AK191,0,0,1,-12))*Macro!$E127,0),"NA")</f>
        <v>75000</v>
      </c>
      <c r="AK290" s="38">
        <f>IFERROR(Macro!$D127*Team!AK191/12+IF(AND(YEAR(AK$5)&gt;2020,MONTH(AK$5)=Macro!$D$52),Macro!$D127*AVERAGE(OFFSET(AL191,0,0,1,-12))*Macro!$E127,0),"NA")</f>
        <v>87500</v>
      </c>
      <c r="AL290" s="39">
        <f>IFERROR(Macro!$D127*Team!AL191/12+IF(AND(YEAR(AL$5)&gt;2020,MONTH(AL$5)=Macro!$D$52),Macro!$D127*AVERAGE(OFFSET(AM191,0,0,1,-12))*Macro!$E127,0),"NA")</f>
        <v>87500</v>
      </c>
      <c r="AM290" s="40">
        <f>IFERROR(Macro!$D127*Team!AM191/12+IF(AND(YEAR(AM$5)&gt;2020,MONTH(AM$5)=Macro!$D$52),Macro!$D127*AVERAGE(OFFSET(AN191,0,0,1,-12))*Macro!$E127,0),"NA")</f>
        <v>87500</v>
      </c>
      <c r="AN290" s="38">
        <f>IFERROR(Macro!$D127*Team!AN191/12+IF(AND(YEAR(AN$5)&gt;2020,MONTH(AN$5)=Macro!$D$52),Macro!$D127*AVERAGE(OFFSET(AO191,0,0,1,-12))*Macro!$E127,0),"NA")</f>
        <v>87500</v>
      </c>
      <c r="AO290" s="39">
        <f>IFERROR(Macro!$D127*Team!AO191/12+IF(AND(YEAR(AO$5)&gt;2020,MONTH(AO$5)=Macro!$D$52),Macro!$D127*AVERAGE(OFFSET(AP191,0,0,1,-12))*Macro!$E127,0),"NA")</f>
        <v>87500</v>
      </c>
      <c r="AP290" s="40">
        <f>IFERROR(Macro!$D127*Team!AP191/12+IF(AND(YEAR(AP$5)&gt;2020,MONTH(AP$5)=Macro!$D$52),Macro!$D127*AVERAGE(OFFSET(AQ191,0,0,1,-12))*Macro!$E127,0),"NA")</f>
        <v>87500</v>
      </c>
      <c r="AQ290" s="38">
        <f>IFERROR(Macro!$D127*Team!AQ191/12+IF(AND(YEAR(AQ$5)&gt;2020,MONTH(AQ$5)=Macro!$D$52),Macro!$D127*AVERAGE(OFFSET(AR191,0,0,1,-12))*Macro!$E127,0),"NA")</f>
        <v>100000</v>
      </c>
      <c r="AR290" s="39">
        <f>IFERROR(Macro!$D127*Team!AR191/12+IF(AND(YEAR(AR$5)&gt;2020,MONTH(AR$5)=Macro!$D$52),Macro!$D127*AVERAGE(OFFSET(AS191,0,0,1,-12))*Macro!$E127,0),"NA")</f>
        <v>100000</v>
      </c>
      <c r="AS290" s="40">
        <f>IFERROR(Macro!$D127*Team!AS191/12+IF(AND(YEAR(AS$5)&gt;2020,MONTH(AS$5)=Macro!$D$52),Macro!$D127*AVERAGE(OFFSET(AT191,0,0,1,-12))*Macro!$E127,0),"NA")</f>
        <v>100000</v>
      </c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</row>
    <row r="291" ht="12.0" customHeight="1">
      <c r="A291" s="282"/>
      <c r="B291" s="4"/>
      <c r="C291" s="37" t="str">
        <f t="shared" si="104"/>
        <v>CS Engineer</v>
      </c>
      <c r="D291" s="283">
        <f>IFERROR(Macro!$D128*Team!D192/12+IF(AND(YEAR(D$5)&gt;2020,MONTH(D$5)=Macro!$D$52),Macro!$D128*AVERAGE(OFFSET(E192,0,0,1,-12))*Macro!$E128,0),"NA")</f>
        <v>0</v>
      </c>
      <c r="E291" s="284">
        <f>IFERROR(Macro!$D128*Team!E192/12+IF(AND(YEAR(E$5)&gt;2020,MONTH(E$5)=Macro!$D$52),Macro!$D128*AVERAGE(OFFSET(F192,0,0,1,-12))*Macro!$E128,0),"NA")</f>
        <v>0</v>
      </c>
      <c r="F291" s="284">
        <f>IFERROR(Macro!$D128*Team!F192/12+IF(AND(YEAR(F$5)&gt;2020,MONTH(F$5)=Macro!$D$52),Macro!$D128*AVERAGE(OFFSET(G192,0,0,1,-12))*Macro!$E128,0),"NA")</f>
        <v>0</v>
      </c>
      <c r="G291" s="283">
        <f>IFERROR(Macro!$D128*Team!G192/12+IF(AND(YEAR(G$5)&gt;2020,MONTH(G$5)=Macro!$D$52),Macro!$D128*AVERAGE(OFFSET(H192,0,0,1,-12))*Macro!$E128,0),"NA")</f>
        <v>0</v>
      </c>
      <c r="H291" s="284">
        <f>IFERROR(Macro!$D128*Team!H192/12+IF(AND(YEAR(H$5)&gt;2020,MONTH(H$5)=Macro!$D$52),Macro!$D128*AVERAGE(OFFSET(I192,0,0,1,-12))*Macro!$E128,0),"NA")</f>
        <v>0</v>
      </c>
      <c r="I291" s="285">
        <f>IFERROR(Macro!$D128*Team!I192/12+IF(AND(YEAR(I$5)&gt;2020,MONTH(I$5)=Macro!$D$52),Macro!$D128*AVERAGE(OFFSET(J192,0,0,1,-12))*Macro!$E128,0),"NA")</f>
        <v>0</v>
      </c>
      <c r="J291" s="286">
        <f>IFERROR(Macro!$D128*Team!J192/12+IF(AND(YEAR(J$5)&gt;2020,MONTH(J$5)=Macro!$D$52),Macro!$D128*AVERAGE(OFFSET(K192,0,0,1,-12))*Macro!$E128,0),"NA")</f>
        <v>0</v>
      </c>
      <c r="K291" s="287">
        <f>IFERROR(Macro!$D128*Team!K192/12+IF(AND(YEAR(K$5)&gt;2020,MONTH(K$5)=Macro!$D$52),Macro!$D128*AVERAGE(OFFSET(L192,0,0,1,-12))*Macro!$E128,0),"NA")</f>
        <v>0</v>
      </c>
      <c r="L291" s="288">
        <f>IFERROR(Macro!$D128*Team!L192/12+IF(AND(YEAR(L$5)&gt;2020,MONTH(L$5)=Macro!$D$52),Macro!$D128*AVERAGE(OFFSET(M192,0,0,1,-12))*Macro!$E128,0),"NA")</f>
        <v>0</v>
      </c>
      <c r="M291" s="38">
        <f>IFERROR(Macro!$D128*Team!M192/12+IF(AND(YEAR(M$5)&gt;2020,MONTH(M$5)=Macro!$D$52),Macro!$D128*AVERAGE(OFFSET(N192,0,0,1,-12))*Macro!$E128,0),"NA")</f>
        <v>0</v>
      </c>
      <c r="N291" s="39">
        <f>IFERROR(Macro!$D128*Team!N192/12+IF(AND(YEAR(N$5)&gt;2020,MONTH(N$5)=Macro!$D$52),Macro!$D128*AVERAGE(OFFSET(O192,0,0,1,-12))*Macro!$E128,0),"NA")</f>
        <v>0</v>
      </c>
      <c r="O291" s="40">
        <f>IFERROR(Macro!$D128*Team!O192/12+IF(AND(YEAR(O$5)&gt;2020,MONTH(O$5)=Macro!$D$52),Macro!$D128*AVERAGE(OFFSET(P192,0,0,1,-12))*Macro!$E128,0),"NA")</f>
        <v>0</v>
      </c>
      <c r="P291" s="38">
        <f>IFERROR(Macro!$D128*Team!P192/12+IF(AND(YEAR(P$5)&gt;2020,MONTH(P$5)=Macro!$D$52),Macro!$D128*AVERAGE(OFFSET(Q192,0,0,1,-12))*Macro!$E128,0),"NA")</f>
        <v>0</v>
      </c>
      <c r="Q291" s="39">
        <f>IFERROR(Macro!$D128*Team!Q192/12+IF(AND(YEAR(Q$5)&gt;2020,MONTH(Q$5)=Macro!$D$52),Macro!$D128*AVERAGE(OFFSET(R192,0,0,1,-12))*Macro!$E128,0),"NA")</f>
        <v>0</v>
      </c>
      <c r="R291" s="40">
        <f>IFERROR(Macro!$D128*Team!R192/12+IF(AND(YEAR(R$5)&gt;2020,MONTH(R$5)=Macro!$D$52),Macro!$D128*AVERAGE(OFFSET(S192,0,0,1,-12))*Macro!$E128,0),"NA")</f>
        <v>0</v>
      </c>
      <c r="S291" s="38">
        <f>IFERROR(Macro!$D128*Team!S192/12+IF(AND(YEAR(S$5)&gt;2020,MONTH(S$5)=Macro!$D$52),Macro!$D128*AVERAGE(OFFSET(T192,0,0,1,-12))*Macro!$E128,0),"NA")</f>
        <v>0</v>
      </c>
      <c r="T291" s="39">
        <f>IFERROR(Macro!$D128*Team!T192/12+IF(AND(YEAR(T$5)&gt;2020,MONTH(T$5)=Macro!$D$52),Macro!$D128*AVERAGE(OFFSET(U192,0,0,1,-12))*Macro!$E128,0),"NA")</f>
        <v>0</v>
      </c>
      <c r="U291" s="40">
        <f>IFERROR(Macro!$D128*Team!U192/12+IF(AND(YEAR(U$5)&gt;2020,MONTH(U$5)=Macro!$D$52),Macro!$D128*AVERAGE(OFFSET(V192,0,0,1,-12))*Macro!$E128,0),"NA")</f>
        <v>0</v>
      </c>
      <c r="V291" s="38" t="str">
        <f>IFERROR(Macro!$D128*Team!V192/12+IF(AND(YEAR(V$5)&gt;2020,MONTH(V$5)=Macro!$D$52),Macro!$D128*AVERAGE(OFFSET(W192,0,0,1,-12))*Macro!$E128,0),"NA")</f>
        <v>NA</v>
      </c>
      <c r="W291" s="39">
        <f>IFERROR(Macro!$D128*Team!W192/12+IF(AND(YEAR(W$5)&gt;2020,MONTH(W$5)=Macro!$D$52),Macro!$D128*AVERAGE(OFFSET(X192,0,0,1,-12))*Macro!$E128,0),"NA")</f>
        <v>0</v>
      </c>
      <c r="X291" s="40">
        <f>IFERROR(Macro!$D128*Team!X192/12+IF(AND(YEAR(X$5)&gt;2020,MONTH(X$5)=Macro!$D$52),Macro!$D128*AVERAGE(OFFSET(Y192,0,0,1,-12))*Macro!$E128,0),"NA")</f>
        <v>0</v>
      </c>
      <c r="Y291" s="38">
        <f>IFERROR(Macro!$D128*Team!Y192/12+IF(AND(YEAR(Y$5)&gt;2020,MONTH(Y$5)=Macro!$D$52),Macro!$D128*AVERAGE(OFFSET(Z192,0,0,1,-12))*Macro!$E128,0),"NA")</f>
        <v>0</v>
      </c>
      <c r="Z291" s="39">
        <f>IFERROR(Macro!$D128*Team!Z192/12+IF(AND(YEAR(Z$5)&gt;2020,MONTH(Z$5)=Macro!$D$52),Macro!$D128*AVERAGE(OFFSET(AA192,0,0,1,-12))*Macro!$E128,0),"NA")</f>
        <v>0</v>
      </c>
      <c r="AA291" s="40">
        <f>IFERROR(Macro!$D128*Team!AA192/12+IF(AND(YEAR(AA$5)&gt;2020,MONTH(AA$5)=Macro!$D$52),Macro!$D128*AVERAGE(OFFSET(AB192,0,0,1,-12))*Macro!$E128,0),"NA")</f>
        <v>0</v>
      </c>
      <c r="AB291" s="38">
        <f>IFERROR(Macro!$D128*Team!AB192/12+IF(AND(YEAR(AB$5)&gt;2020,MONTH(AB$5)=Macro!$D$52),Macro!$D128*AVERAGE(OFFSET(AC192,0,0,1,-12))*Macro!$E128,0),"NA")</f>
        <v>0</v>
      </c>
      <c r="AC291" s="39">
        <f>IFERROR(Macro!$D128*Team!AC192/12+IF(AND(YEAR(AC$5)&gt;2020,MONTH(AC$5)=Macro!$D$52),Macro!$D128*AVERAGE(OFFSET(AD192,0,0,1,-12))*Macro!$E128,0),"NA")</f>
        <v>0</v>
      </c>
      <c r="AD291" s="40">
        <f>IFERROR(Macro!$D128*Team!AD192/12+IF(AND(YEAR(AD$5)&gt;2020,MONTH(AD$5)=Macro!$D$52),Macro!$D128*AVERAGE(OFFSET(AE192,0,0,1,-12))*Macro!$E128,0),"NA")</f>
        <v>0</v>
      </c>
      <c r="AE291" s="38">
        <f>IFERROR(Macro!$D128*Team!AE192/12+IF(AND(YEAR(AE$5)&gt;2020,MONTH(AE$5)=Macro!$D$52),Macro!$D128*AVERAGE(OFFSET(AF192,0,0,1,-12))*Macro!$E128,0),"NA")</f>
        <v>0</v>
      </c>
      <c r="AF291" s="39">
        <f>IFERROR(Macro!$D128*Team!AF192/12+IF(AND(YEAR(AF$5)&gt;2020,MONTH(AF$5)=Macro!$D$52),Macro!$D128*AVERAGE(OFFSET(AG192,0,0,1,-12))*Macro!$E128,0),"NA")</f>
        <v>0</v>
      </c>
      <c r="AG291" s="40">
        <f>IFERROR(Macro!$D128*Team!AG192/12+IF(AND(YEAR(AG$5)&gt;2020,MONTH(AG$5)=Macro!$D$52),Macro!$D128*AVERAGE(OFFSET(AH192,0,0,1,-12))*Macro!$E128,0),"NA")</f>
        <v>0</v>
      </c>
      <c r="AH291" s="38" t="str">
        <f>IFERROR(Macro!$D128*Team!AH192/12+IF(AND(YEAR(AH$5)&gt;2020,MONTH(AH$5)=Macro!$D$52),Macro!$D128*AVERAGE(OFFSET(AI192,0,0,1,-12))*Macro!$E128,0),"NA")</f>
        <v>NA</v>
      </c>
      <c r="AI291" s="39">
        <f>IFERROR(Macro!$D128*Team!AI192/12+IF(AND(YEAR(AI$5)&gt;2020,MONTH(AI$5)=Macro!$D$52),Macro!$D128*AVERAGE(OFFSET(AJ192,0,0,1,-12))*Macro!$E128,0),"NA")</f>
        <v>0</v>
      </c>
      <c r="AJ291" s="40">
        <f>IFERROR(Macro!$D128*Team!AJ192/12+IF(AND(YEAR(AJ$5)&gt;2020,MONTH(AJ$5)=Macro!$D$52),Macro!$D128*AVERAGE(OFFSET(AK192,0,0,1,-12))*Macro!$E128,0),"NA")</f>
        <v>0</v>
      </c>
      <c r="AK291" s="38">
        <f>IFERROR(Macro!$D128*Team!AK192/12+IF(AND(YEAR(AK$5)&gt;2020,MONTH(AK$5)=Macro!$D$52),Macro!$D128*AVERAGE(OFFSET(AL192,0,0,1,-12))*Macro!$E128,0),"NA")</f>
        <v>0</v>
      </c>
      <c r="AL291" s="39">
        <f>IFERROR(Macro!$D128*Team!AL192/12+IF(AND(YEAR(AL$5)&gt;2020,MONTH(AL$5)=Macro!$D$52),Macro!$D128*AVERAGE(OFFSET(AM192,0,0,1,-12))*Macro!$E128,0),"NA")</f>
        <v>0</v>
      </c>
      <c r="AM291" s="40">
        <f>IFERROR(Macro!$D128*Team!AM192/12+IF(AND(YEAR(AM$5)&gt;2020,MONTH(AM$5)=Macro!$D$52),Macro!$D128*AVERAGE(OFFSET(AN192,0,0,1,-12))*Macro!$E128,0),"NA")</f>
        <v>0</v>
      </c>
      <c r="AN291" s="38">
        <f>IFERROR(Macro!$D128*Team!AN192/12+IF(AND(YEAR(AN$5)&gt;2020,MONTH(AN$5)=Macro!$D$52),Macro!$D128*AVERAGE(OFFSET(AO192,0,0,1,-12))*Macro!$E128,0),"NA")</f>
        <v>0</v>
      </c>
      <c r="AO291" s="39">
        <f>IFERROR(Macro!$D128*Team!AO192/12+IF(AND(YEAR(AO$5)&gt;2020,MONTH(AO$5)=Macro!$D$52),Macro!$D128*AVERAGE(OFFSET(AP192,0,0,1,-12))*Macro!$E128,0),"NA")</f>
        <v>0</v>
      </c>
      <c r="AP291" s="40">
        <f>IFERROR(Macro!$D128*Team!AP192/12+IF(AND(YEAR(AP$5)&gt;2020,MONTH(AP$5)=Macro!$D$52),Macro!$D128*AVERAGE(OFFSET(AQ192,0,0,1,-12))*Macro!$E128,0),"NA")</f>
        <v>0</v>
      </c>
      <c r="AQ291" s="38">
        <f>IFERROR(Macro!$D128*Team!AQ192/12+IF(AND(YEAR(AQ$5)&gt;2020,MONTH(AQ$5)=Macro!$D$52),Macro!$D128*AVERAGE(OFFSET(AR192,0,0,1,-12))*Macro!$E128,0),"NA")</f>
        <v>0</v>
      </c>
      <c r="AR291" s="39">
        <f>IFERROR(Macro!$D128*Team!AR192/12+IF(AND(YEAR(AR$5)&gt;2020,MONTH(AR$5)=Macro!$D$52),Macro!$D128*AVERAGE(OFFSET(AS192,0,0,1,-12))*Macro!$E128,0),"NA")</f>
        <v>0</v>
      </c>
      <c r="AS291" s="40">
        <f>IFERROR(Macro!$D128*Team!AS192/12+IF(AND(YEAR(AS$5)&gt;2020,MONTH(AS$5)=Macro!$D$52),Macro!$D128*AVERAGE(OFFSET(AT192,0,0,1,-12))*Macro!$E128,0),"NA")</f>
        <v>0</v>
      </c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</row>
    <row r="292" ht="12.0" customHeight="1">
      <c r="A292" s="282"/>
      <c r="B292" s="4"/>
      <c r="C292" s="37" t="str">
        <f t="shared" si="104"/>
        <v>[XX]</v>
      </c>
      <c r="D292" s="283">
        <f>IFERROR(Macro!$D129*Team!D193/12+IF(AND(YEAR(D$5)&gt;2020,MONTH(D$5)=Macro!$D$52),Macro!$D129*AVERAGE(OFFSET(E193,0,0,1,-12))*Macro!$E129,0),"NA")</f>
        <v>0</v>
      </c>
      <c r="E292" s="284">
        <f>IFERROR(Macro!$D129*Team!E193/12+IF(AND(YEAR(E$5)&gt;2020,MONTH(E$5)=Macro!$D$52),Macro!$D129*AVERAGE(OFFSET(F193,0,0,1,-12))*Macro!$E129,0),"NA")</f>
        <v>0</v>
      </c>
      <c r="F292" s="284">
        <f>IFERROR(Macro!$D129*Team!F193/12+IF(AND(YEAR(F$5)&gt;2020,MONTH(F$5)=Macro!$D$52),Macro!$D129*AVERAGE(OFFSET(G193,0,0,1,-12))*Macro!$E129,0),"NA")</f>
        <v>0</v>
      </c>
      <c r="G292" s="283">
        <f>IFERROR(Macro!$D129*Team!G193/12+IF(AND(YEAR(G$5)&gt;2020,MONTH(G$5)=Macro!$D$52),Macro!$D129*AVERAGE(OFFSET(H193,0,0,1,-12))*Macro!$E129,0),"NA")</f>
        <v>0</v>
      </c>
      <c r="H292" s="284">
        <f>IFERROR(Macro!$D129*Team!H193/12+IF(AND(YEAR(H$5)&gt;2020,MONTH(H$5)=Macro!$D$52),Macro!$D129*AVERAGE(OFFSET(I193,0,0,1,-12))*Macro!$E129,0),"NA")</f>
        <v>0</v>
      </c>
      <c r="I292" s="285">
        <f>IFERROR(Macro!$D129*Team!I193/12+IF(AND(YEAR(I$5)&gt;2020,MONTH(I$5)=Macro!$D$52),Macro!$D129*AVERAGE(OFFSET(J193,0,0,1,-12))*Macro!$E129,0),"NA")</f>
        <v>0</v>
      </c>
      <c r="J292" s="286">
        <f>IFERROR(Macro!$D129*Team!J193/12+IF(AND(YEAR(J$5)&gt;2020,MONTH(J$5)=Macro!$D$52),Macro!$D129*AVERAGE(OFFSET(K193,0,0,1,-12))*Macro!$E129,0),"NA")</f>
        <v>0</v>
      </c>
      <c r="K292" s="287">
        <f>IFERROR(Macro!$D129*Team!K193/12+IF(AND(YEAR(K$5)&gt;2020,MONTH(K$5)=Macro!$D$52),Macro!$D129*AVERAGE(OFFSET(L193,0,0,1,-12))*Macro!$E129,0),"NA")</f>
        <v>0</v>
      </c>
      <c r="L292" s="288">
        <f>IFERROR(Macro!$D129*Team!L193/12+IF(AND(YEAR(L$5)&gt;2020,MONTH(L$5)=Macro!$D$52),Macro!$D129*AVERAGE(OFFSET(M193,0,0,1,-12))*Macro!$E129,0),"NA")</f>
        <v>0</v>
      </c>
      <c r="M292" s="38">
        <f>IFERROR(Macro!$D129*Team!M193/12+IF(AND(YEAR(M$5)&gt;2020,MONTH(M$5)=Macro!$D$52),Macro!$D129*AVERAGE(OFFSET(N193,0,0,1,-12))*Macro!$E129,0),"NA")</f>
        <v>0</v>
      </c>
      <c r="N292" s="39">
        <f>IFERROR(Macro!$D129*Team!N193/12+IF(AND(YEAR(N$5)&gt;2020,MONTH(N$5)=Macro!$D$52),Macro!$D129*AVERAGE(OFFSET(O193,0,0,1,-12))*Macro!$E129,0),"NA")</f>
        <v>0</v>
      </c>
      <c r="O292" s="40">
        <f>IFERROR(Macro!$D129*Team!O193/12+IF(AND(YEAR(O$5)&gt;2020,MONTH(O$5)=Macro!$D$52),Macro!$D129*AVERAGE(OFFSET(P193,0,0,1,-12))*Macro!$E129,0),"NA")</f>
        <v>0</v>
      </c>
      <c r="P292" s="38">
        <f>IFERROR(Macro!$D129*Team!P193/12+IF(AND(YEAR(P$5)&gt;2020,MONTH(P$5)=Macro!$D$52),Macro!$D129*AVERAGE(OFFSET(Q193,0,0,1,-12))*Macro!$E129,0),"NA")</f>
        <v>0</v>
      </c>
      <c r="Q292" s="39">
        <f>IFERROR(Macro!$D129*Team!Q193/12+IF(AND(YEAR(Q$5)&gt;2020,MONTH(Q$5)=Macro!$D$52),Macro!$D129*AVERAGE(OFFSET(R193,0,0,1,-12))*Macro!$E129,0),"NA")</f>
        <v>0</v>
      </c>
      <c r="R292" s="40">
        <f>IFERROR(Macro!$D129*Team!R193/12+IF(AND(YEAR(R$5)&gt;2020,MONTH(R$5)=Macro!$D$52),Macro!$D129*AVERAGE(OFFSET(S193,0,0,1,-12))*Macro!$E129,0),"NA")</f>
        <v>0</v>
      </c>
      <c r="S292" s="38">
        <f>IFERROR(Macro!$D129*Team!S193/12+IF(AND(YEAR(S$5)&gt;2020,MONTH(S$5)=Macro!$D$52),Macro!$D129*AVERAGE(OFFSET(T193,0,0,1,-12))*Macro!$E129,0),"NA")</f>
        <v>0</v>
      </c>
      <c r="T292" s="39">
        <f>IFERROR(Macro!$D129*Team!T193/12+IF(AND(YEAR(T$5)&gt;2020,MONTH(T$5)=Macro!$D$52),Macro!$D129*AVERAGE(OFFSET(U193,0,0,1,-12))*Macro!$E129,0),"NA")</f>
        <v>0</v>
      </c>
      <c r="U292" s="40">
        <f>IFERROR(Macro!$D129*Team!U193/12+IF(AND(YEAR(U$5)&gt;2020,MONTH(U$5)=Macro!$D$52),Macro!$D129*AVERAGE(OFFSET(V193,0,0,1,-12))*Macro!$E129,0),"NA")</f>
        <v>0</v>
      </c>
      <c r="V292" s="38" t="str">
        <f>IFERROR(Macro!$D129*Team!V193/12+IF(AND(YEAR(V$5)&gt;2020,MONTH(V$5)=Macro!$D$52),Macro!$D129*AVERAGE(OFFSET(W193,0,0,1,-12))*Macro!$E129,0),"NA")</f>
        <v>NA</v>
      </c>
      <c r="W292" s="39">
        <f>IFERROR(Macro!$D129*Team!W193/12+IF(AND(YEAR(W$5)&gt;2020,MONTH(W$5)=Macro!$D$52),Macro!$D129*AVERAGE(OFFSET(X193,0,0,1,-12))*Macro!$E129,0),"NA")</f>
        <v>0</v>
      </c>
      <c r="X292" s="40">
        <f>IFERROR(Macro!$D129*Team!X193/12+IF(AND(YEAR(X$5)&gt;2020,MONTH(X$5)=Macro!$D$52),Macro!$D129*AVERAGE(OFFSET(Y193,0,0,1,-12))*Macro!$E129,0),"NA")</f>
        <v>0</v>
      </c>
      <c r="Y292" s="38">
        <f>IFERROR(Macro!$D129*Team!Y193/12+IF(AND(YEAR(Y$5)&gt;2020,MONTH(Y$5)=Macro!$D$52),Macro!$D129*AVERAGE(OFFSET(Z193,0,0,1,-12))*Macro!$E129,0),"NA")</f>
        <v>0</v>
      </c>
      <c r="Z292" s="39">
        <f>IFERROR(Macro!$D129*Team!Z193/12+IF(AND(YEAR(Z$5)&gt;2020,MONTH(Z$5)=Macro!$D$52),Macro!$D129*AVERAGE(OFFSET(AA193,0,0,1,-12))*Macro!$E129,0),"NA")</f>
        <v>0</v>
      </c>
      <c r="AA292" s="40">
        <f>IFERROR(Macro!$D129*Team!AA193/12+IF(AND(YEAR(AA$5)&gt;2020,MONTH(AA$5)=Macro!$D$52),Macro!$D129*AVERAGE(OFFSET(AB193,0,0,1,-12))*Macro!$E129,0),"NA")</f>
        <v>0</v>
      </c>
      <c r="AB292" s="38">
        <f>IFERROR(Macro!$D129*Team!AB193/12+IF(AND(YEAR(AB$5)&gt;2020,MONTH(AB$5)=Macro!$D$52),Macro!$D129*AVERAGE(OFFSET(AC193,0,0,1,-12))*Macro!$E129,0),"NA")</f>
        <v>0</v>
      </c>
      <c r="AC292" s="39">
        <f>IFERROR(Macro!$D129*Team!AC193/12+IF(AND(YEAR(AC$5)&gt;2020,MONTH(AC$5)=Macro!$D$52),Macro!$D129*AVERAGE(OFFSET(AD193,0,0,1,-12))*Macro!$E129,0),"NA")</f>
        <v>0</v>
      </c>
      <c r="AD292" s="40">
        <f>IFERROR(Macro!$D129*Team!AD193/12+IF(AND(YEAR(AD$5)&gt;2020,MONTH(AD$5)=Macro!$D$52),Macro!$D129*AVERAGE(OFFSET(AE193,0,0,1,-12))*Macro!$E129,0),"NA")</f>
        <v>0</v>
      </c>
      <c r="AE292" s="38">
        <f>IFERROR(Macro!$D129*Team!AE193/12+IF(AND(YEAR(AE$5)&gt;2020,MONTH(AE$5)=Macro!$D$52),Macro!$D129*AVERAGE(OFFSET(AF193,0,0,1,-12))*Macro!$E129,0),"NA")</f>
        <v>0</v>
      </c>
      <c r="AF292" s="39">
        <f>IFERROR(Macro!$D129*Team!AF193/12+IF(AND(YEAR(AF$5)&gt;2020,MONTH(AF$5)=Macro!$D$52),Macro!$D129*AVERAGE(OFFSET(AG193,0,0,1,-12))*Macro!$E129,0),"NA")</f>
        <v>0</v>
      </c>
      <c r="AG292" s="40">
        <f>IFERROR(Macro!$D129*Team!AG193/12+IF(AND(YEAR(AG$5)&gt;2020,MONTH(AG$5)=Macro!$D$52),Macro!$D129*AVERAGE(OFFSET(AH193,0,0,1,-12))*Macro!$E129,0),"NA")</f>
        <v>0</v>
      </c>
      <c r="AH292" s="38" t="str">
        <f>IFERROR(Macro!$D129*Team!AH193/12+IF(AND(YEAR(AH$5)&gt;2020,MONTH(AH$5)=Macro!$D$52),Macro!$D129*AVERAGE(OFFSET(AI193,0,0,1,-12))*Macro!$E129,0),"NA")</f>
        <v>NA</v>
      </c>
      <c r="AI292" s="39">
        <f>IFERROR(Macro!$D129*Team!AI193/12+IF(AND(YEAR(AI$5)&gt;2020,MONTH(AI$5)=Macro!$D$52),Macro!$D129*AVERAGE(OFFSET(AJ193,0,0,1,-12))*Macro!$E129,0),"NA")</f>
        <v>0</v>
      </c>
      <c r="AJ292" s="40">
        <f>IFERROR(Macro!$D129*Team!AJ193/12+IF(AND(YEAR(AJ$5)&gt;2020,MONTH(AJ$5)=Macro!$D$52),Macro!$D129*AVERAGE(OFFSET(AK193,0,0,1,-12))*Macro!$E129,0),"NA")</f>
        <v>0</v>
      </c>
      <c r="AK292" s="38">
        <f>IFERROR(Macro!$D129*Team!AK193/12+IF(AND(YEAR(AK$5)&gt;2020,MONTH(AK$5)=Macro!$D$52),Macro!$D129*AVERAGE(OFFSET(AL193,0,0,1,-12))*Macro!$E129,0),"NA")</f>
        <v>0</v>
      </c>
      <c r="AL292" s="39">
        <f>IFERROR(Macro!$D129*Team!AL193/12+IF(AND(YEAR(AL$5)&gt;2020,MONTH(AL$5)=Macro!$D$52),Macro!$D129*AVERAGE(OFFSET(AM193,0,0,1,-12))*Macro!$E129,0),"NA")</f>
        <v>0</v>
      </c>
      <c r="AM292" s="40">
        <f>IFERROR(Macro!$D129*Team!AM193/12+IF(AND(YEAR(AM$5)&gt;2020,MONTH(AM$5)=Macro!$D$52),Macro!$D129*AVERAGE(OFFSET(AN193,0,0,1,-12))*Macro!$E129,0),"NA")</f>
        <v>0</v>
      </c>
      <c r="AN292" s="38">
        <f>IFERROR(Macro!$D129*Team!AN193/12+IF(AND(YEAR(AN$5)&gt;2020,MONTH(AN$5)=Macro!$D$52),Macro!$D129*AVERAGE(OFFSET(AO193,0,0,1,-12))*Macro!$E129,0),"NA")</f>
        <v>0</v>
      </c>
      <c r="AO292" s="39">
        <f>IFERROR(Macro!$D129*Team!AO193/12+IF(AND(YEAR(AO$5)&gt;2020,MONTH(AO$5)=Macro!$D$52),Macro!$D129*AVERAGE(OFFSET(AP193,0,0,1,-12))*Macro!$E129,0),"NA")</f>
        <v>0</v>
      </c>
      <c r="AP292" s="40">
        <f>IFERROR(Macro!$D129*Team!AP193/12+IF(AND(YEAR(AP$5)&gt;2020,MONTH(AP$5)=Macro!$D$52),Macro!$D129*AVERAGE(OFFSET(AQ193,0,0,1,-12))*Macro!$E129,0),"NA")</f>
        <v>0</v>
      </c>
      <c r="AQ292" s="38">
        <f>IFERROR(Macro!$D129*Team!AQ193/12+IF(AND(YEAR(AQ$5)&gt;2020,MONTH(AQ$5)=Macro!$D$52),Macro!$D129*AVERAGE(OFFSET(AR193,0,0,1,-12))*Macro!$E129,0),"NA")</f>
        <v>0</v>
      </c>
      <c r="AR292" s="39">
        <f>IFERROR(Macro!$D129*Team!AR193/12+IF(AND(YEAR(AR$5)&gt;2020,MONTH(AR$5)=Macro!$D$52),Macro!$D129*AVERAGE(OFFSET(AS193,0,0,1,-12))*Macro!$E129,0),"NA")</f>
        <v>0</v>
      </c>
      <c r="AS292" s="40">
        <f>IFERROR(Macro!$D129*Team!AS193/12+IF(AND(YEAR(AS$5)&gt;2020,MONTH(AS$5)=Macro!$D$52),Macro!$D129*AVERAGE(OFFSET(AT193,0,0,1,-12))*Macro!$E129,0),"NA")</f>
        <v>0</v>
      </c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</row>
    <row r="293" ht="12.0" customHeight="1">
      <c r="A293" s="282"/>
      <c r="B293" s="4"/>
      <c r="C293" s="37" t="str">
        <f t="shared" si="104"/>
        <v>[XX]</v>
      </c>
      <c r="D293" s="283">
        <f>IFERROR(Macro!$D130*Team!D194/12+IF(AND(YEAR(D$5)&gt;2020,MONTH(D$5)=Macro!$D$52),Macro!$D130*AVERAGE(OFFSET(E194,0,0,1,-12))*Macro!$E130,0),"NA")</f>
        <v>0</v>
      </c>
      <c r="E293" s="284">
        <f>IFERROR(Macro!$D130*Team!E194/12+IF(AND(YEAR(E$5)&gt;2020,MONTH(E$5)=Macro!$D$52),Macro!$D130*AVERAGE(OFFSET(F194,0,0,1,-12))*Macro!$E130,0),"NA")</f>
        <v>0</v>
      </c>
      <c r="F293" s="284">
        <f>IFERROR(Macro!$D130*Team!F194/12+IF(AND(YEAR(F$5)&gt;2020,MONTH(F$5)=Macro!$D$52),Macro!$D130*AVERAGE(OFFSET(G194,0,0,1,-12))*Macro!$E130,0),"NA")</f>
        <v>0</v>
      </c>
      <c r="G293" s="283">
        <f>IFERROR(Macro!$D130*Team!G194/12+IF(AND(YEAR(G$5)&gt;2020,MONTH(G$5)=Macro!$D$52),Macro!$D130*AVERAGE(OFFSET(H194,0,0,1,-12))*Macro!$E130,0),"NA")</f>
        <v>0</v>
      </c>
      <c r="H293" s="284">
        <f>IFERROR(Macro!$D130*Team!H194/12+IF(AND(YEAR(H$5)&gt;2020,MONTH(H$5)=Macro!$D$52),Macro!$D130*AVERAGE(OFFSET(I194,0,0,1,-12))*Macro!$E130,0),"NA")</f>
        <v>0</v>
      </c>
      <c r="I293" s="285">
        <f>IFERROR(Macro!$D130*Team!I194/12+IF(AND(YEAR(I$5)&gt;2020,MONTH(I$5)=Macro!$D$52),Macro!$D130*AVERAGE(OFFSET(J194,0,0,1,-12))*Macro!$E130,0),"NA")</f>
        <v>0</v>
      </c>
      <c r="J293" s="286">
        <f>IFERROR(Macro!$D130*Team!J194/12+IF(AND(YEAR(J$5)&gt;2020,MONTH(J$5)=Macro!$D$52),Macro!$D130*AVERAGE(OFFSET(K194,0,0,1,-12))*Macro!$E130,0),"NA")</f>
        <v>0</v>
      </c>
      <c r="K293" s="287">
        <f>IFERROR(Macro!$D130*Team!K194/12+IF(AND(YEAR(K$5)&gt;2020,MONTH(K$5)=Macro!$D$52),Macro!$D130*AVERAGE(OFFSET(L194,0,0,1,-12))*Macro!$E130,0),"NA")</f>
        <v>0</v>
      </c>
      <c r="L293" s="288">
        <f>IFERROR(Macro!$D130*Team!L194/12+IF(AND(YEAR(L$5)&gt;2020,MONTH(L$5)=Macro!$D$52),Macro!$D130*AVERAGE(OFFSET(M194,0,0,1,-12))*Macro!$E130,0),"NA")</f>
        <v>0</v>
      </c>
      <c r="M293" s="38">
        <f>IFERROR(Macro!$D130*Team!M194/12+IF(AND(YEAR(M$5)&gt;2020,MONTH(M$5)=Macro!$D$52),Macro!$D130*AVERAGE(OFFSET(N194,0,0,1,-12))*Macro!$E130,0),"NA")</f>
        <v>0</v>
      </c>
      <c r="N293" s="39">
        <f>IFERROR(Macro!$D130*Team!N194/12+IF(AND(YEAR(N$5)&gt;2020,MONTH(N$5)=Macro!$D$52),Macro!$D130*AVERAGE(OFFSET(O194,0,0,1,-12))*Macro!$E130,0),"NA")</f>
        <v>0</v>
      </c>
      <c r="O293" s="40">
        <f>IFERROR(Macro!$D130*Team!O194/12+IF(AND(YEAR(O$5)&gt;2020,MONTH(O$5)=Macro!$D$52),Macro!$D130*AVERAGE(OFFSET(P194,0,0,1,-12))*Macro!$E130,0),"NA")</f>
        <v>0</v>
      </c>
      <c r="P293" s="38">
        <f>IFERROR(Macro!$D130*Team!P194/12+IF(AND(YEAR(P$5)&gt;2020,MONTH(P$5)=Macro!$D$52),Macro!$D130*AVERAGE(OFFSET(Q194,0,0,1,-12))*Macro!$E130,0),"NA")</f>
        <v>0</v>
      </c>
      <c r="Q293" s="39">
        <f>IFERROR(Macro!$D130*Team!Q194/12+IF(AND(YEAR(Q$5)&gt;2020,MONTH(Q$5)=Macro!$D$52),Macro!$D130*AVERAGE(OFFSET(R194,0,0,1,-12))*Macro!$E130,0),"NA")</f>
        <v>0</v>
      </c>
      <c r="R293" s="40">
        <f>IFERROR(Macro!$D130*Team!R194/12+IF(AND(YEAR(R$5)&gt;2020,MONTH(R$5)=Macro!$D$52),Macro!$D130*AVERAGE(OFFSET(S194,0,0,1,-12))*Macro!$E130,0),"NA")</f>
        <v>0</v>
      </c>
      <c r="S293" s="38">
        <f>IFERROR(Macro!$D130*Team!S194/12+IF(AND(YEAR(S$5)&gt;2020,MONTH(S$5)=Macro!$D$52),Macro!$D130*AVERAGE(OFFSET(T194,0,0,1,-12))*Macro!$E130,0),"NA")</f>
        <v>0</v>
      </c>
      <c r="T293" s="39">
        <f>IFERROR(Macro!$D130*Team!T194/12+IF(AND(YEAR(T$5)&gt;2020,MONTH(T$5)=Macro!$D$52),Macro!$D130*AVERAGE(OFFSET(U194,0,0,1,-12))*Macro!$E130,0),"NA")</f>
        <v>0</v>
      </c>
      <c r="U293" s="40">
        <f>IFERROR(Macro!$D130*Team!U194/12+IF(AND(YEAR(U$5)&gt;2020,MONTH(U$5)=Macro!$D$52),Macro!$D130*AVERAGE(OFFSET(V194,0,0,1,-12))*Macro!$E130,0),"NA")</f>
        <v>0</v>
      </c>
      <c r="V293" s="38" t="str">
        <f>IFERROR(Macro!$D130*Team!V194/12+IF(AND(YEAR(V$5)&gt;2020,MONTH(V$5)=Macro!$D$52),Macro!$D130*AVERAGE(OFFSET(W194,0,0,1,-12))*Macro!$E130,0),"NA")</f>
        <v>NA</v>
      </c>
      <c r="W293" s="39">
        <f>IFERROR(Macro!$D130*Team!W194/12+IF(AND(YEAR(W$5)&gt;2020,MONTH(W$5)=Macro!$D$52),Macro!$D130*AVERAGE(OFFSET(X194,0,0,1,-12))*Macro!$E130,0),"NA")</f>
        <v>0</v>
      </c>
      <c r="X293" s="40">
        <f>IFERROR(Macro!$D130*Team!X194/12+IF(AND(YEAR(X$5)&gt;2020,MONTH(X$5)=Macro!$D$52),Macro!$D130*AVERAGE(OFFSET(Y194,0,0,1,-12))*Macro!$E130,0),"NA")</f>
        <v>0</v>
      </c>
      <c r="Y293" s="38">
        <f>IFERROR(Macro!$D130*Team!Y194/12+IF(AND(YEAR(Y$5)&gt;2020,MONTH(Y$5)=Macro!$D$52),Macro!$D130*AVERAGE(OFFSET(Z194,0,0,1,-12))*Macro!$E130,0),"NA")</f>
        <v>0</v>
      </c>
      <c r="Z293" s="39">
        <f>IFERROR(Macro!$D130*Team!Z194/12+IF(AND(YEAR(Z$5)&gt;2020,MONTH(Z$5)=Macro!$D$52),Macro!$D130*AVERAGE(OFFSET(AA194,0,0,1,-12))*Macro!$E130,0),"NA")</f>
        <v>0</v>
      </c>
      <c r="AA293" s="40">
        <f>IFERROR(Macro!$D130*Team!AA194/12+IF(AND(YEAR(AA$5)&gt;2020,MONTH(AA$5)=Macro!$D$52),Macro!$D130*AVERAGE(OFFSET(AB194,0,0,1,-12))*Macro!$E130,0),"NA")</f>
        <v>0</v>
      </c>
      <c r="AB293" s="38">
        <f>IFERROR(Macro!$D130*Team!AB194/12+IF(AND(YEAR(AB$5)&gt;2020,MONTH(AB$5)=Macro!$D$52),Macro!$D130*AVERAGE(OFFSET(AC194,0,0,1,-12))*Macro!$E130,0),"NA")</f>
        <v>0</v>
      </c>
      <c r="AC293" s="39">
        <f>IFERROR(Macro!$D130*Team!AC194/12+IF(AND(YEAR(AC$5)&gt;2020,MONTH(AC$5)=Macro!$D$52),Macro!$D130*AVERAGE(OFFSET(AD194,0,0,1,-12))*Macro!$E130,0),"NA")</f>
        <v>0</v>
      </c>
      <c r="AD293" s="40">
        <f>IFERROR(Macro!$D130*Team!AD194/12+IF(AND(YEAR(AD$5)&gt;2020,MONTH(AD$5)=Macro!$D$52),Macro!$D130*AVERAGE(OFFSET(AE194,0,0,1,-12))*Macro!$E130,0),"NA")</f>
        <v>0</v>
      </c>
      <c r="AE293" s="38">
        <f>IFERROR(Macro!$D130*Team!AE194/12+IF(AND(YEAR(AE$5)&gt;2020,MONTH(AE$5)=Macro!$D$52),Macro!$D130*AVERAGE(OFFSET(AF194,0,0,1,-12))*Macro!$E130,0),"NA")</f>
        <v>0</v>
      </c>
      <c r="AF293" s="39">
        <f>IFERROR(Macro!$D130*Team!AF194/12+IF(AND(YEAR(AF$5)&gt;2020,MONTH(AF$5)=Macro!$D$52),Macro!$D130*AVERAGE(OFFSET(AG194,0,0,1,-12))*Macro!$E130,0),"NA")</f>
        <v>0</v>
      </c>
      <c r="AG293" s="40">
        <f>IFERROR(Macro!$D130*Team!AG194/12+IF(AND(YEAR(AG$5)&gt;2020,MONTH(AG$5)=Macro!$D$52),Macro!$D130*AVERAGE(OFFSET(AH194,0,0,1,-12))*Macro!$E130,0),"NA")</f>
        <v>0</v>
      </c>
      <c r="AH293" s="38" t="str">
        <f>IFERROR(Macro!$D130*Team!AH194/12+IF(AND(YEAR(AH$5)&gt;2020,MONTH(AH$5)=Macro!$D$52),Macro!$D130*AVERAGE(OFFSET(AI194,0,0,1,-12))*Macro!$E130,0),"NA")</f>
        <v>NA</v>
      </c>
      <c r="AI293" s="39">
        <f>IFERROR(Macro!$D130*Team!AI194/12+IF(AND(YEAR(AI$5)&gt;2020,MONTH(AI$5)=Macro!$D$52),Macro!$D130*AVERAGE(OFFSET(AJ194,0,0,1,-12))*Macro!$E130,0),"NA")</f>
        <v>0</v>
      </c>
      <c r="AJ293" s="40">
        <f>IFERROR(Macro!$D130*Team!AJ194/12+IF(AND(YEAR(AJ$5)&gt;2020,MONTH(AJ$5)=Macro!$D$52),Macro!$D130*AVERAGE(OFFSET(AK194,0,0,1,-12))*Macro!$E130,0),"NA")</f>
        <v>0</v>
      </c>
      <c r="AK293" s="38">
        <f>IFERROR(Macro!$D130*Team!AK194/12+IF(AND(YEAR(AK$5)&gt;2020,MONTH(AK$5)=Macro!$D$52),Macro!$D130*AVERAGE(OFFSET(AL194,0,0,1,-12))*Macro!$E130,0),"NA")</f>
        <v>0</v>
      </c>
      <c r="AL293" s="39">
        <f>IFERROR(Macro!$D130*Team!AL194/12+IF(AND(YEAR(AL$5)&gt;2020,MONTH(AL$5)=Macro!$D$52),Macro!$D130*AVERAGE(OFFSET(AM194,0,0,1,-12))*Macro!$E130,0),"NA")</f>
        <v>0</v>
      </c>
      <c r="AM293" s="40">
        <f>IFERROR(Macro!$D130*Team!AM194/12+IF(AND(YEAR(AM$5)&gt;2020,MONTH(AM$5)=Macro!$D$52),Macro!$D130*AVERAGE(OFFSET(AN194,0,0,1,-12))*Macro!$E130,0),"NA")</f>
        <v>0</v>
      </c>
      <c r="AN293" s="38">
        <f>IFERROR(Macro!$D130*Team!AN194/12+IF(AND(YEAR(AN$5)&gt;2020,MONTH(AN$5)=Macro!$D$52),Macro!$D130*AVERAGE(OFFSET(AO194,0,0,1,-12))*Macro!$E130,0),"NA")</f>
        <v>0</v>
      </c>
      <c r="AO293" s="39">
        <f>IFERROR(Macro!$D130*Team!AO194/12+IF(AND(YEAR(AO$5)&gt;2020,MONTH(AO$5)=Macro!$D$52),Macro!$D130*AVERAGE(OFFSET(AP194,0,0,1,-12))*Macro!$E130,0),"NA")</f>
        <v>0</v>
      </c>
      <c r="AP293" s="40">
        <f>IFERROR(Macro!$D130*Team!AP194/12+IF(AND(YEAR(AP$5)&gt;2020,MONTH(AP$5)=Macro!$D$52),Macro!$D130*AVERAGE(OFFSET(AQ194,0,0,1,-12))*Macro!$E130,0),"NA")</f>
        <v>0</v>
      </c>
      <c r="AQ293" s="38">
        <f>IFERROR(Macro!$D130*Team!AQ194/12+IF(AND(YEAR(AQ$5)&gt;2020,MONTH(AQ$5)=Macro!$D$52),Macro!$D130*AVERAGE(OFFSET(AR194,0,0,1,-12))*Macro!$E130,0),"NA")</f>
        <v>0</v>
      </c>
      <c r="AR293" s="39">
        <f>IFERROR(Macro!$D130*Team!AR194/12+IF(AND(YEAR(AR$5)&gt;2020,MONTH(AR$5)=Macro!$D$52),Macro!$D130*AVERAGE(OFFSET(AS194,0,0,1,-12))*Macro!$E130,0),"NA")</f>
        <v>0</v>
      </c>
      <c r="AS293" s="40">
        <f>IFERROR(Macro!$D130*Team!AS194/12+IF(AND(YEAR(AS$5)&gt;2020,MONTH(AS$5)=Macro!$D$52),Macro!$D130*AVERAGE(OFFSET(AT194,0,0,1,-12))*Macro!$E130,0),"NA")</f>
        <v>0</v>
      </c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</row>
    <row r="294" ht="12.0" customHeight="1">
      <c r="A294" s="282"/>
      <c r="B294" s="4"/>
      <c r="C294" s="37" t="str">
        <f t="shared" si="104"/>
        <v>[XX]</v>
      </c>
      <c r="D294" s="283">
        <f>IFERROR(Macro!$D131*Team!D195/12+IF(AND(YEAR(D$5)&gt;2020,MONTH(D$5)=Macro!$D$52),Macro!$D131*AVERAGE(OFFSET(E195,0,0,1,-12))*Macro!$E131,0),"NA")</f>
        <v>0</v>
      </c>
      <c r="E294" s="284">
        <f>IFERROR(Macro!$D131*Team!E195/12+IF(AND(YEAR(E$5)&gt;2020,MONTH(E$5)=Macro!$D$52),Macro!$D131*AVERAGE(OFFSET(F195,0,0,1,-12))*Macro!$E131,0),"NA")</f>
        <v>0</v>
      </c>
      <c r="F294" s="284">
        <f>IFERROR(Macro!$D131*Team!F195/12+IF(AND(YEAR(F$5)&gt;2020,MONTH(F$5)=Macro!$D$52),Macro!$D131*AVERAGE(OFFSET(G195,0,0,1,-12))*Macro!$E131,0),"NA")</f>
        <v>0</v>
      </c>
      <c r="G294" s="283">
        <f>IFERROR(Macro!$D131*Team!G195/12+IF(AND(YEAR(G$5)&gt;2020,MONTH(G$5)=Macro!$D$52),Macro!$D131*AVERAGE(OFFSET(H195,0,0,1,-12))*Macro!$E131,0),"NA")</f>
        <v>0</v>
      </c>
      <c r="H294" s="284">
        <f>IFERROR(Macro!$D131*Team!H195/12+IF(AND(YEAR(H$5)&gt;2020,MONTH(H$5)=Macro!$D$52),Macro!$D131*AVERAGE(OFFSET(I195,0,0,1,-12))*Macro!$E131,0),"NA")</f>
        <v>0</v>
      </c>
      <c r="I294" s="285">
        <f>IFERROR(Macro!$D131*Team!I195/12+IF(AND(YEAR(I$5)&gt;2020,MONTH(I$5)=Macro!$D$52),Macro!$D131*AVERAGE(OFFSET(J195,0,0,1,-12))*Macro!$E131,0),"NA")</f>
        <v>0</v>
      </c>
      <c r="J294" s="286">
        <f>IFERROR(Macro!$D131*Team!J195/12+IF(AND(YEAR(J$5)&gt;2020,MONTH(J$5)=Macro!$D$52),Macro!$D131*AVERAGE(OFFSET(K195,0,0,1,-12))*Macro!$E131,0),"NA")</f>
        <v>0</v>
      </c>
      <c r="K294" s="287">
        <f>IFERROR(Macro!$D131*Team!K195/12+IF(AND(YEAR(K$5)&gt;2020,MONTH(K$5)=Macro!$D$52),Macro!$D131*AVERAGE(OFFSET(L195,0,0,1,-12))*Macro!$E131,0),"NA")</f>
        <v>0</v>
      </c>
      <c r="L294" s="288">
        <f>IFERROR(Macro!$D131*Team!L195/12+IF(AND(YEAR(L$5)&gt;2020,MONTH(L$5)=Macro!$D$52),Macro!$D131*AVERAGE(OFFSET(M195,0,0,1,-12))*Macro!$E131,0),"NA")</f>
        <v>0</v>
      </c>
      <c r="M294" s="38">
        <f>IFERROR(Macro!$D131*Team!M195/12+IF(AND(YEAR(M$5)&gt;2020,MONTH(M$5)=Macro!$D$52),Macro!$D131*AVERAGE(OFFSET(N195,0,0,1,-12))*Macro!$E131,0),"NA")</f>
        <v>0</v>
      </c>
      <c r="N294" s="39">
        <f>IFERROR(Macro!$D131*Team!N195/12+IF(AND(YEAR(N$5)&gt;2020,MONTH(N$5)=Macro!$D$52),Macro!$D131*AVERAGE(OFFSET(O195,0,0,1,-12))*Macro!$E131,0),"NA")</f>
        <v>0</v>
      </c>
      <c r="O294" s="40">
        <f>IFERROR(Macro!$D131*Team!O195/12+IF(AND(YEAR(O$5)&gt;2020,MONTH(O$5)=Macro!$D$52),Macro!$D131*AVERAGE(OFFSET(P195,0,0,1,-12))*Macro!$E131,0),"NA")</f>
        <v>0</v>
      </c>
      <c r="P294" s="38">
        <f>IFERROR(Macro!$D131*Team!P195/12+IF(AND(YEAR(P$5)&gt;2020,MONTH(P$5)=Macro!$D$52),Macro!$D131*AVERAGE(OFFSET(Q195,0,0,1,-12))*Macro!$E131,0),"NA")</f>
        <v>0</v>
      </c>
      <c r="Q294" s="39">
        <f>IFERROR(Macro!$D131*Team!Q195/12+IF(AND(YEAR(Q$5)&gt;2020,MONTH(Q$5)=Macro!$D$52),Macro!$D131*AVERAGE(OFFSET(R195,0,0,1,-12))*Macro!$E131,0),"NA")</f>
        <v>0</v>
      </c>
      <c r="R294" s="40">
        <f>IFERROR(Macro!$D131*Team!R195/12+IF(AND(YEAR(R$5)&gt;2020,MONTH(R$5)=Macro!$D$52),Macro!$D131*AVERAGE(OFFSET(S195,0,0,1,-12))*Macro!$E131,0),"NA")</f>
        <v>0</v>
      </c>
      <c r="S294" s="38">
        <f>IFERROR(Macro!$D131*Team!S195/12+IF(AND(YEAR(S$5)&gt;2020,MONTH(S$5)=Macro!$D$52),Macro!$D131*AVERAGE(OFFSET(T195,0,0,1,-12))*Macro!$E131,0),"NA")</f>
        <v>0</v>
      </c>
      <c r="T294" s="39">
        <f>IFERROR(Macro!$D131*Team!T195/12+IF(AND(YEAR(T$5)&gt;2020,MONTH(T$5)=Macro!$D$52),Macro!$D131*AVERAGE(OFFSET(U195,0,0,1,-12))*Macro!$E131,0),"NA")</f>
        <v>0</v>
      </c>
      <c r="U294" s="40">
        <f>IFERROR(Macro!$D131*Team!U195/12+IF(AND(YEAR(U$5)&gt;2020,MONTH(U$5)=Macro!$D$52),Macro!$D131*AVERAGE(OFFSET(V195,0,0,1,-12))*Macro!$E131,0),"NA")</f>
        <v>0</v>
      </c>
      <c r="V294" s="38" t="str">
        <f>IFERROR(Macro!$D131*Team!V195/12+IF(AND(YEAR(V$5)&gt;2020,MONTH(V$5)=Macro!$D$52),Macro!$D131*AVERAGE(OFFSET(W195,0,0,1,-12))*Macro!$E131,0),"NA")</f>
        <v>NA</v>
      </c>
      <c r="W294" s="39">
        <f>IFERROR(Macro!$D131*Team!W195/12+IF(AND(YEAR(W$5)&gt;2020,MONTH(W$5)=Macro!$D$52),Macro!$D131*AVERAGE(OFFSET(X195,0,0,1,-12))*Macro!$E131,0),"NA")</f>
        <v>0</v>
      </c>
      <c r="X294" s="40">
        <f>IFERROR(Macro!$D131*Team!X195/12+IF(AND(YEAR(X$5)&gt;2020,MONTH(X$5)=Macro!$D$52),Macro!$D131*AVERAGE(OFFSET(Y195,0,0,1,-12))*Macro!$E131,0),"NA")</f>
        <v>0</v>
      </c>
      <c r="Y294" s="38">
        <f>IFERROR(Macro!$D131*Team!Y195/12+IF(AND(YEAR(Y$5)&gt;2020,MONTH(Y$5)=Macro!$D$52),Macro!$D131*AVERAGE(OFFSET(Z195,0,0,1,-12))*Macro!$E131,0),"NA")</f>
        <v>0</v>
      </c>
      <c r="Z294" s="39">
        <f>IFERROR(Macro!$D131*Team!Z195/12+IF(AND(YEAR(Z$5)&gt;2020,MONTH(Z$5)=Macro!$D$52),Macro!$D131*AVERAGE(OFFSET(AA195,0,0,1,-12))*Macro!$E131,0),"NA")</f>
        <v>0</v>
      </c>
      <c r="AA294" s="40">
        <f>IFERROR(Macro!$D131*Team!AA195/12+IF(AND(YEAR(AA$5)&gt;2020,MONTH(AA$5)=Macro!$D$52),Macro!$D131*AVERAGE(OFFSET(AB195,0,0,1,-12))*Macro!$E131,0),"NA")</f>
        <v>0</v>
      </c>
      <c r="AB294" s="38">
        <f>IFERROR(Macro!$D131*Team!AB195/12+IF(AND(YEAR(AB$5)&gt;2020,MONTH(AB$5)=Macro!$D$52),Macro!$D131*AVERAGE(OFFSET(AC195,0,0,1,-12))*Macro!$E131,0),"NA")</f>
        <v>0</v>
      </c>
      <c r="AC294" s="39">
        <f>IFERROR(Macro!$D131*Team!AC195/12+IF(AND(YEAR(AC$5)&gt;2020,MONTH(AC$5)=Macro!$D$52),Macro!$D131*AVERAGE(OFFSET(AD195,0,0,1,-12))*Macro!$E131,0),"NA")</f>
        <v>0</v>
      </c>
      <c r="AD294" s="40">
        <f>IFERROR(Macro!$D131*Team!AD195/12+IF(AND(YEAR(AD$5)&gt;2020,MONTH(AD$5)=Macro!$D$52),Macro!$D131*AVERAGE(OFFSET(AE195,0,0,1,-12))*Macro!$E131,0),"NA")</f>
        <v>0</v>
      </c>
      <c r="AE294" s="38">
        <f>IFERROR(Macro!$D131*Team!AE195/12+IF(AND(YEAR(AE$5)&gt;2020,MONTH(AE$5)=Macro!$D$52),Macro!$D131*AVERAGE(OFFSET(AF195,0,0,1,-12))*Macro!$E131,0),"NA")</f>
        <v>0</v>
      </c>
      <c r="AF294" s="39">
        <f>IFERROR(Macro!$D131*Team!AF195/12+IF(AND(YEAR(AF$5)&gt;2020,MONTH(AF$5)=Macro!$D$52),Macro!$D131*AVERAGE(OFFSET(AG195,0,0,1,-12))*Macro!$E131,0),"NA")</f>
        <v>0</v>
      </c>
      <c r="AG294" s="40">
        <f>IFERROR(Macro!$D131*Team!AG195/12+IF(AND(YEAR(AG$5)&gt;2020,MONTH(AG$5)=Macro!$D$52),Macro!$D131*AVERAGE(OFFSET(AH195,0,0,1,-12))*Macro!$E131,0),"NA")</f>
        <v>0</v>
      </c>
      <c r="AH294" s="38" t="str">
        <f>IFERROR(Macro!$D131*Team!AH195/12+IF(AND(YEAR(AH$5)&gt;2020,MONTH(AH$5)=Macro!$D$52),Macro!$D131*AVERAGE(OFFSET(AI195,0,0,1,-12))*Macro!$E131,0),"NA")</f>
        <v>NA</v>
      </c>
      <c r="AI294" s="39">
        <f>IFERROR(Macro!$D131*Team!AI195/12+IF(AND(YEAR(AI$5)&gt;2020,MONTH(AI$5)=Macro!$D$52),Macro!$D131*AVERAGE(OFFSET(AJ195,0,0,1,-12))*Macro!$E131,0),"NA")</f>
        <v>0</v>
      </c>
      <c r="AJ294" s="40">
        <f>IFERROR(Macro!$D131*Team!AJ195/12+IF(AND(YEAR(AJ$5)&gt;2020,MONTH(AJ$5)=Macro!$D$52),Macro!$D131*AVERAGE(OFFSET(AK195,0,0,1,-12))*Macro!$E131,0),"NA")</f>
        <v>0</v>
      </c>
      <c r="AK294" s="38">
        <f>IFERROR(Macro!$D131*Team!AK195/12+IF(AND(YEAR(AK$5)&gt;2020,MONTH(AK$5)=Macro!$D$52),Macro!$D131*AVERAGE(OFFSET(AL195,0,0,1,-12))*Macro!$E131,0),"NA")</f>
        <v>0</v>
      </c>
      <c r="AL294" s="39">
        <f>IFERROR(Macro!$D131*Team!AL195/12+IF(AND(YEAR(AL$5)&gt;2020,MONTH(AL$5)=Macro!$D$52),Macro!$D131*AVERAGE(OFFSET(AM195,0,0,1,-12))*Macro!$E131,0),"NA")</f>
        <v>0</v>
      </c>
      <c r="AM294" s="40">
        <f>IFERROR(Macro!$D131*Team!AM195/12+IF(AND(YEAR(AM$5)&gt;2020,MONTH(AM$5)=Macro!$D$52),Macro!$D131*AVERAGE(OFFSET(AN195,0,0,1,-12))*Macro!$E131,0),"NA")</f>
        <v>0</v>
      </c>
      <c r="AN294" s="38">
        <f>IFERROR(Macro!$D131*Team!AN195/12+IF(AND(YEAR(AN$5)&gt;2020,MONTH(AN$5)=Macro!$D$52),Macro!$D131*AVERAGE(OFFSET(AO195,0,0,1,-12))*Macro!$E131,0),"NA")</f>
        <v>0</v>
      </c>
      <c r="AO294" s="39">
        <f>IFERROR(Macro!$D131*Team!AO195/12+IF(AND(YEAR(AO$5)&gt;2020,MONTH(AO$5)=Macro!$D$52),Macro!$D131*AVERAGE(OFFSET(AP195,0,0,1,-12))*Macro!$E131,0),"NA")</f>
        <v>0</v>
      </c>
      <c r="AP294" s="40">
        <f>IFERROR(Macro!$D131*Team!AP195/12+IF(AND(YEAR(AP$5)&gt;2020,MONTH(AP$5)=Macro!$D$52),Macro!$D131*AVERAGE(OFFSET(AQ195,0,0,1,-12))*Macro!$E131,0),"NA")</f>
        <v>0</v>
      </c>
      <c r="AQ294" s="38">
        <f>IFERROR(Macro!$D131*Team!AQ195/12+IF(AND(YEAR(AQ$5)&gt;2020,MONTH(AQ$5)=Macro!$D$52),Macro!$D131*AVERAGE(OFFSET(AR195,0,0,1,-12))*Macro!$E131,0),"NA")</f>
        <v>0</v>
      </c>
      <c r="AR294" s="39">
        <f>IFERROR(Macro!$D131*Team!AR195/12+IF(AND(YEAR(AR$5)&gt;2020,MONTH(AR$5)=Macro!$D$52),Macro!$D131*AVERAGE(OFFSET(AS195,0,0,1,-12))*Macro!$E131,0),"NA")</f>
        <v>0</v>
      </c>
      <c r="AS294" s="40">
        <f>IFERROR(Macro!$D131*Team!AS195/12+IF(AND(YEAR(AS$5)&gt;2020,MONTH(AS$5)=Macro!$D$52),Macro!$D131*AVERAGE(OFFSET(AT195,0,0,1,-12))*Macro!$E131,0),"NA")</f>
        <v>0</v>
      </c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</row>
    <row r="295" ht="12.0" customHeight="1">
      <c r="A295" s="282"/>
      <c r="B295" s="4"/>
      <c r="C295" s="37" t="str">
        <f t="shared" si="104"/>
        <v>[XX]</v>
      </c>
      <c r="D295" s="283">
        <f>IFERROR(Macro!$D132*Team!D196/12+IF(AND(YEAR(D$5)&gt;2020,MONTH(D$5)=Macro!$D$52),Macro!$D132*AVERAGE(OFFSET(E196,0,0,1,-12))*Macro!$E132,0),"NA")</f>
        <v>0</v>
      </c>
      <c r="E295" s="284">
        <f>IFERROR(Macro!$D132*Team!E196/12+IF(AND(YEAR(E$5)&gt;2020,MONTH(E$5)=Macro!$D$52),Macro!$D132*AVERAGE(OFFSET(F196,0,0,1,-12))*Macro!$E132,0),"NA")</f>
        <v>0</v>
      </c>
      <c r="F295" s="284">
        <f>IFERROR(Macro!$D132*Team!F196/12+IF(AND(YEAR(F$5)&gt;2020,MONTH(F$5)=Macro!$D$52),Macro!$D132*AVERAGE(OFFSET(G196,0,0,1,-12))*Macro!$E132,0),"NA")</f>
        <v>0</v>
      </c>
      <c r="G295" s="283">
        <f>IFERROR(Macro!$D132*Team!G196/12+IF(AND(YEAR(G$5)&gt;2020,MONTH(G$5)=Macro!$D$52),Macro!$D132*AVERAGE(OFFSET(H196,0,0,1,-12))*Macro!$E132,0),"NA")</f>
        <v>0</v>
      </c>
      <c r="H295" s="284">
        <f>IFERROR(Macro!$D132*Team!H196/12+IF(AND(YEAR(H$5)&gt;2020,MONTH(H$5)=Macro!$D$52),Macro!$D132*AVERAGE(OFFSET(I196,0,0,1,-12))*Macro!$E132,0),"NA")</f>
        <v>0</v>
      </c>
      <c r="I295" s="285">
        <f>IFERROR(Macro!$D132*Team!I196/12+IF(AND(YEAR(I$5)&gt;2020,MONTH(I$5)=Macro!$D$52),Macro!$D132*AVERAGE(OFFSET(J196,0,0,1,-12))*Macro!$E132,0),"NA")</f>
        <v>0</v>
      </c>
      <c r="J295" s="286">
        <f>IFERROR(Macro!$D132*Team!J196/12+IF(AND(YEAR(J$5)&gt;2020,MONTH(J$5)=Macro!$D$52),Macro!$D132*AVERAGE(OFFSET(K196,0,0,1,-12))*Macro!$E132,0),"NA")</f>
        <v>0</v>
      </c>
      <c r="K295" s="287">
        <f>IFERROR(Macro!$D132*Team!K196/12+IF(AND(YEAR(K$5)&gt;2020,MONTH(K$5)=Macro!$D$52),Macro!$D132*AVERAGE(OFFSET(L196,0,0,1,-12))*Macro!$E132,0),"NA")</f>
        <v>0</v>
      </c>
      <c r="L295" s="288">
        <f>IFERROR(Macro!$D132*Team!L196/12+IF(AND(YEAR(L$5)&gt;2020,MONTH(L$5)=Macro!$D$52),Macro!$D132*AVERAGE(OFFSET(M196,0,0,1,-12))*Macro!$E132,0),"NA")</f>
        <v>0</v>
      </c>
      <c r="M295" s="38">
        <f>IFERROR(Macro!$D132*Team!M196/12+IF(AND(YEAR(M$5)&gt;2020,MONTH(M$5)=Macro!$D$52),Macro!$D132*AVERAGE(OFFSET(N196,0,0,1,-12))*Macro!$E132,0),"NA")</f>
        <v>0</v>
      </c>
      <c r="N295" s="39">
        <f>IFERROR(Macro!$D132*Team!N196/12+IF(AND(YEAR(N$5)&gt;2020,MONTH(N$5)=Macro!$D$52),Macro!$D132*AVERAGE(OFFSET(O196,0,0,1,-12))*Macro!$E132,0),"NA")</f>
        <v>0</v>
      </c>
      <c r="O295" s="40">
        <f>IFERROR(Macro!$D132*Team!O196/12+IF(AND(YEAR(O$5)&gt;2020,MONTH(O$5)=Macro!$D$52),Macro!$D132*AVERAGE(OFFSET(P196,0,0,1,-12))*Macro!$E132,0),"NA")</f>
        <v>0</v>
      </c>
      <c r="P295" s="38">
        <f>IFERROR(Macro!$D132*Team!P196/12+IF(AND(YEAR(P$5)&gt;2020,MONTH(P$5)=Macro!$D$52),Macro!$D132*AVERAGE(OFFSET(Q196,0,0,1,-12))*Macro!$E132,0),"NA")</f>
        <v>0</v>
      </c>
      <c r="Q295" s="39">
        <f>IFERROR(Macro!$D132*Team!Q196/12+IF(AND(YEAR(Q$5)&gt;2020,MONTH(Q$5)=Macro!$D$52),Macro!$D132*AVERAGE(OFFSET(R196,0,0,1,-12))*Macro!$E132,0),"NA")</f>
        <v>0</v>
      </c>
      <c r="R295" s="40">
        <f>IFERROR(Macro!$D132*Team!R196/12+IF(AND(YEAR(R$5)&gt;2020,MONTH(R$5)=Macro!$D$52),Macro!$D132*AVERAGE(OFFSET(S196,0,0,1,-12))*Macro!$E132,0),"NA")</f>
        <v>0</v>
      </c>
      <c r="S295" s="38">
        <f>IFERROR(Macro!$D132*Team!S196/12+IF(AND(YEAR(S$5)&gt;2020,MONTH(S$5)=Macro!$D$52),Macro!$D132*AVERAGE(OFFSET(T196,0,0,1,-12))*Macro!$E132,0),"NA")</f>
        <v>0</v>
      </c>
      <c r="T295" s="39">
        <f>IFERROR(Macro!$D132*Team!T196/12+IF(AND(YEAR(T$5)&gt;2020,MONTH(T$5)=Macro!$D$52),Macro!$D132*AVERAGE(OFFSET(U196,0,0,1,-12))*Macro!$E132,0),"NA")</f>
        <v>0</v>
      </c>
      <c r="U295" s="40">
        <f>IFERROR(Macro!$D132*Team!U196/12+IF(AND(YEAR(U$5)&gt;2020,MONTH(U$5)=Macro!$D$52),Macro!$D132*AVERAGE(OFFSET(V196,0,0,1,-12))*Macro!$E132,0),"NA")</f>
        <v>0</v>
      </c>
      <c r="V295" s="38" t="str">
        <f>IFERROR(Macro!$D132*Team!V196/12+IF(AND(YEAR(V$5)&gt;2020,MONTH(V$5)=Macro!$D$52),Macro!$D132*AVERAGE(OFFSET(W196,0,0,1,-12))*Macro!$E132,0),"NA")</f>
        <v>NA</v>
      </c>
      <c r="W295" s="39">
        <f>IFERROR(Macro!$D132*Team!W196/12+IF(AND(YEAR(W$5)&gt;2020,MONTH(W$5)=Macro!$D$52),Macro!$D132*AVERAGE(OFFSET(X196,0,0,1,-12))*Macro!$E132,0),"NA")</f>
        <v>0</v>
      </c>
      <c r="X295" s="40">
        <f>IFERROR(Macro!$D132*Team!X196/12+IF(AND(YEAR(X$5)&gt;2020,MONTH(X$5)=Macro!$D$52),Macro!$D132*AVERAGE(OFFSET(Y196,0,0,1,-12))*Macro!$E132,0),"NA")</f>
        <v>0</v>
      </c>
      <c r="Y295" s="38">
        <f>IFERROR(Macro!$D132*Team!Y196/12+IF(AND(YEAR(Y$5)&gt;2020,MONTH(Y$5)=Macro!$D$52),Macro!$D132*AVERAGE(OFFSET(Z196,0,0,1,-12))*Macro!$E132,0),"NA")</f>
        <v>0</v>
      </c>
      <c r="Z295" s="39">
        <f>IFERROR(Macro!$D132*Team!Z196/12+IF(AND(YEAR(Z$5)&gt;2020,MONTH(Z$5)=Macro!$D$52),Macro!$D132*AVERAGE(OFFSET(AA196,0,0,1,-12))*Macro!$E132,0),"NA")</f>
        <v>0</v>
      </c>
      <c r="AA295" s="40">
        <f>IFERROR(Macro!$D132*Team!AA196/12+IF(AND(YEAR(AA$5)&gt;2020,MONTH(AA$5)=Macro!$D$52),Macro!$D132*AVERAGE(OFFSET(AB196,0,0,1,-12))*Macro!$E132,0),"NA")</f>
        <v>0</v>
      </c>
      <c r="AB295" s="38">
        <f>IFERROR(Macro!$D132*Team!AB196/12+IF(AND(YEAR(AB$5)&gt;2020,MONTH(AB$5)=Macro!$D$52),Macro!$D132*AVERAGE(OFFSET(AC196,0,0,1,-12))*Macro!$E132,0),"NA")</f>
        <v>0</v>
      </c>
      <c r="AC295" s="39">
        <f>IFERROR(Macro!$D132*Team!AC196/12+IF(AND(YEAR(AC$5)&gt;2020,MONTH(AC$5)=Macro!$D$52),Macro!$D132*AVERAGE(OFFSET(AD196,0,0,1,-12))*Macro!$E132,0),"NA")</f>
        <v>0</v>
      </c>
      <c r="AD295" s="40">
        <f>IFERROR(Macro!$D132*Team!AD196/12+IF(AND(YEAR(AD$5)&gt;2020,MONTH(AD$5)=Macro!$D$52),Macro!$D132*AVERAGE(OFFSET(AE196,0,0,1,-12))*Macro!$E132,0),"NA")</f>
        <v>0</v>
      </c>
      <c r="AE295" s="38">
        <f>IFERROR(Macro!$D132*Team!AE196/12+IF(AND(YEAR(AE$5)&gt;2020,MONTH(AE$5)=Macro!$D$52),Macro!$D132*AVERAGE(OFFSET(AF196,0,0,1,-12))*Macro!$E132,0),"NA")</f>
        <v>0</v>
      </c>
      <c r="AF295" s="39">
        <f>IFERROR(Macro!$D132*Team!AF196/12+IF(AND(YEAR(AF$5)&gt;2020,MONTH(AF$5)=Macro!$D$52),Macro!$D132*AVERAGE(OFFSET(AG196,0,0,1,-12))*Macro!$E132,0),"NA")</f>
        <v>0</v>
      </c>
      <c r="AG295" s="40">
        <f>IFERROR(Macro!$D132*Team!AG196/12+IF(AND(YEAR(AG$5)&gt;2020,MONTH(AG$5)=Macro!$D$52),Macro!$D132*AVERAGE(OFFSET(AH196,0,0,1,-12))*Macro!$E132,0),"NA")</f>
        <v>0</v>
      </c>
      <c r="AH295" s="38" t="str">
        <f>IFERROR(Macro!$D132*Team!AH196/12+IF(AND(YEAR(AH$5)&gt;2020,MONTH(AH$5)=Macro!$D$52),Macro!$D132*AVERAGE(OFFSET(AI196,0,0,1,-12))*Macro!$E132,0),"NA")</f>
        <v>NA</v>
      </c>
      <c r="AI295" s="39">
        <f>IFERROR(Macro!$D132*Team!AI196/12+IF(AND(YEAR(AI$5)&gt;2020,MONTH(AI$5)=Macro!$D$52),Macro!$D132*AVERAGE(OFFSET(AJ196,0,0,1,-12))*Macro!$E132,0),"NA")</f>
        <v>0</v>
      </c>
      <c r="AJ295" s="40">
        <f>IFERROR(Macro!$D132*Team!AJ196/12+IF(AND(YEAR(AJ$5)&gt;2020,MONTH(AJ$5)=Macro!$D$52),Macro!$D132*AVERAGE(OFFSET(AK196,0,0,1,-12))*Macro!$E132,0),"NA")</f>
        <v>0</v>
      </c>
      <c r="AK295" s="38">
        <f>IFERROR(Macro!$D132*Team!AK196/12+IF(AND(YEAR(AK$5)&gt;2020,MONTH(AK$5)=Macro!$D$52),Macro!$D132*AVERAGE(OFFSET(AL196,0,0,1,-12))*Macro!$E132,0),"NA")</f>
        <v>0</v>
      </c>
      <c r="AL295" s="39">
        <f>IFERROR(Macro!$D132*Team!AL196/12+IF(AND(YEAR(AL$5)&gt;2020,MONTH(AL$5)=Macro!$D$52),Macro!$D132*AVERAGE(OFFSET(AM196,0,0,1,-12))*Macro!$E132,0),"NA")</f>
        <v>0</v>
      </c>
      <c r="AM295" s="40">
        <f>IFERROR(Macro!$D132*Team!AM196/12+IF(AND(YEAR(AM$5)&gt;2020,MONTH(AM$5)=Macro!$D$52),Macro!$D132*AVERAGE(OFFSET(AN196,0,0,1,-12))*Macro!$E132,0),"NA")</f>
        <v>0</v>
      </c>
      <c r="AN295" s="38">
        <f>IFERROR(Macro!$D132*Team!AN196/12+IF(AND(YEAR(AN$5)&gt;2020,MONTH(AN$5)=Macro!$D$52),Macro!$D132*AVERAGE(OFFSET(AO196,0,0,1,-12))*Macro!$E132,0),"NA")</f>
        <v>0</v>
      </c>
      <c r="AO295" s="39">
        <f>IFERROR(Macro!$D132*Team!AO196/12+IF(AND(YEAR(AO$5)&gt;2020,MONTH(AO$5)=Macro!$D$52),Macro!$D132*AVERAGE(OFFSET(AP196,0,0,1,-12))*Macro!$E132,0),"NA")</f>
        <v>0</v>
      </c>
      <c r="AP295" s="40">
        <f>IFERROR(Macro!$D132*Team!AP196/12+IF(AND(YEAR(AP$5)&gt;2020,MONTH(AP$5)=Macro!$D$52),Macro!$D132*AVERAGE(OFFSET(AQ196,0,0,1,-12))*Macro!$E132,0),"NA")</f>
        <v>0</v>
      </c>
      <c r="AQ295" s="38">
        <f>IFERROR(Macro!$D132*Team!AQ196/12+IF(AND(YEAR(AQ$5)&gt;2020,MONTH(AQ$5)=Macro!$D$52),Macro!$D132*AVERAGE(OFFSET(AR196,0,0,1,-12))*Macro!$E132,0),"NA")</f>
        <v>0</v>
      </c>
      <c r="AR295" s="39">
        <f>IFERROR(Macro!$D132*Team!AR196/12+IF(AND(YEAR(AR$5)&gt;2020,MONTH(AR$5)=Macro!$D$52),Macro!$D132*AVERAGE(OFFSET(AS196,0,0,1,-12))*Macro!$E132,0),"NA")</f>
        <v>0</v>
      </c>
      <c r="AS295" s="40">
        <f>IFERROR(Macro!$D132*Team!AS196/12+IF(AND(YEAR(AS$5)&gt;2020,MONTH(AS$5)=Macro!$D$52),Macro!$D132*AVERAGE(OFFSET(AT196,0,0,1,-12))*Macro!$E132,0),"NA")</f>
        <v>0</v>
      </c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</row>
    <row r="296" ht="12.0" customHeight="1">
      <c r="A296" s="282"/>
      <c r="B296" s="4"/>
      <c r="C296" s="37" t="str">
        <f t="shared" si="104"/>
        <v>[XX]</v>
      </c>
      <c r="D296" s="289">
        <f>IFERROR(Macro!$D133*Team!D197/12+IF(AND(YEAR(D$5)&gt;2020,MONTH(D$5)=Macro!$D$52),Macro!$D133*AVERAGE(OFFSET(E197,0,0,1,-12))*Macro!$E133,0),"NA")</f>
        <v>0</v>
      </c>
      <c r="E296" s="290">
        <f>IFERROR(Macro!$D133*Team!E197/12+IF(AND(YEAR(E$5)&gt;2020,MONTH(E$5)=Macro!$D$52),Macro!$D133*AVERAGE(OFFSET(F197,0,0,1,-12))*Macro!$E133,0),"NA")</f>
        <v>0</v>
      </c>
      <c r="F296" s="290">
        <f>IFERROR(Macro!$D133*Team!F197/12+IF(AND(YEAR(F$5)&gt;2020,MONTH(F$5)=Macro!$D$52),Macro!$D133*AVERAGE(OFFSET(G197,0,0,1,-12))*Macro!$E133,0),"NA")</f>
        <v>0</v>
      </c>
      <c r="G296" s="289">
        <f>IFERROR(Macro!$D133*Team!G197/12+IF(AND(YEAR(G$5)&gt;2020,MONTH(G$5)=Macro!$D$52),Macro!$D133*AVERAGE(OFFSET(H197,0,0,1,-12))*Macro!$E133,0),"NA")</f>
        <v>0</v>
      </c>
      <c r="H296" s="290">
        <f>IFERROR(Macro!$D133*Team!H197/12+IF(AND(YEAR(H$5)&gt;2020,MONTH(H$5)=Macro!$D$52),Macro!$D133*AVERAGE(OFFSET(I197,0,0,1,-12))*Macro!$E133,0),"NA")</f>
        <v>0</v>
      </c>
      <c r="I296" s="291">
        <f>IFERROR(Macro!$D133*Team!I197/12+IF(AND(YEAR(I$5)&gt;2020,MONTH(I$5)=Macro!$D$52),Macro!$D133*AVERAGE(OFFSET(J197,0,0,1,-12))*Macro!$E133,0),"NA")</f>
        <v>0</v>
      </c>
      <c r="J296" s="292">
        <f>IFERROR(Macro!$D133*Team!J197/12+IF(AND(YEAR(J$5)&gt;2020,MONTH(J$5)=Macro!$D$52),Macro!$D133*AVERAGE(OFFSET(K197,0,0,1,-12))*Macro!$E133,0),"NA")</f>
        <v>0</v>
      </c>
      <c r="K296" s="293">
        <f>IFERROR(Macro!$D133*Team!K197/12+IF(AND(YEAR(K$5)&gt;2020,MONTH(K$5)=Macro!$D$52),Macro!$D133*AVERAGE(OFFSET(L197,0,0,1,-12))*Macro!$E133,0),"NA")</f>
        <v>0</v>
      </c>
      <c r="L296" s="294">
        <f>IFERROR(Macro!$D133*Team!L197/12+IF(AND(YEAR(L$5)&gt;2020,MONTH(L$5)=Macro!$D$52),Macro!$D133*AVERAGE(OFFSET(M197,0,0,1,-12))*Macro!$E133,0),"NA")</f>
        <v>0</v>
      </c>
      <c r="M296" s="241">
        <f>IFERROR(Macro!$D133*Team!M197/12+IF(AND(YEAR(M$5)&gt;2020,MONTH(M$5)=Macro!$D$52),Macro!$D133*AVERAGE(OFFSET(N197,0,0,1,-12))*Macro!$E133,0),"NA")</f>
        <v>0</v>
      </c>
      <c r="N296" s="242">
        <f>IFERROR(Macro!$D133*Team!N197/12+IF(AND(YEAR(N$5)&gt;2020,MONTH(N$5)=Macro!$D$52),Macro!$D133*AVERAGE(OFFSET(O197,0,0,1,-12))*Macro!$E133,0),"NA")</f>
        <v>0</v>
      </c>
      <c r="O296" s="243">
        <f>IFERROR(Macro!$D133*Team!O197/12+IF(AND(YEAR(O$5)&gt;2020,MONTH(O$5)=Macro!$D$52),Macro!$D133*AVERAGE(OFFSET(P197,0,0,1,-12))*Macro!$E133,0),"NA")</f>
        <v>0</v>
      </c>
      <c r="P296" s="241">
        <f>IFERROR(Macro!$D133*Team!P197/12+IF(AND(YEAR(P$5)&gt;2020,MONTH(P$5)=Macro!$D$52),Macro!$D133*AVERAGE(OFFSET(Q197,0,0,1,-12))*Macro!$E133,0),"NA")</f>
        <v>0</v>
      </c>
      <c r="Q296" s="242">
        <f>IFERROR(Macro!$D133*Team!Q197/12+IF(AND(YEAR(Q$5)&gt;2020,MONTH(Q$5)=Macro!$D$52),Macro!$D133*AVERAGE(OFFSET(R197,0,0,1,-12))*Macro!$E133,0),"NA")</f>
        <v>0</v>
      </c>
      <c r="R296" s="243">
        <f>IFERROR(Macro!$D133*Team!R197/12+IF(AND(YEAR(R$5)&gt;2020,MONTH(R$5)=Macro!$D$52),Macro!$D133*AVERAGE(OFFSET(S197,0,0,1,-12))*Macro!$E133,0),"NA")</f>
        <v>0</v>
      </c>
      <c r="S296" s="241">
        <f>IFERROR(Macro!$D133*Team!S197/12+IF(AND(YEAR(S$5)&gt;2020,MONTH(S$5)=Macro!$D$52),Macro!$D133*AVERAGE(OFFSET(T197,0,0,1,-12))*Macro!$E133,0),"NA")</f>
        <v>0</v>
      </c>
      <c r="T296" s="242">
        <f>IFERROR(Macro!$D133*Team!T197/12+IF(AND(YEAR(T$5)&gt;2020,MONTH(T$5)=Macro!$D$52),Macro!$D133*AVERAGE(OFFSET(U197,0,0,1,-12))*Macro!$E133,0),"NA")</f>
        <v>0</v>
      </c>
      <c r="U296" s="243">
        <f>IFERROR(Macro!$D133*Team!U197/12+IF(AND(YEAR(U$5)&gt;2020,MONTH(U$5)=Macro!$D$52),Macro!$D133*AVERAGE(OFFSET(V197,0,0,1,-12))*Macro!$E133,0),"NA")</f>
        <v>0</v>
      </c>
      <c r="V296" s="241" t="str">
        <f>IFERROR(Macro!$D133*Team!V197/12+IF(AND(YEAR(V$5)&gt;2020,MONTH(V$5)=Macro!$D$52),Macro!$D133*AVERAGE(OFFSET(W197,0,0,1,-12))*Macro!$E133,0),"NA")</f>
        <v>NA</v>
      </c>
      <c r="W296" s="242">
        <f>IFERROR(Macro!$D133*Team!W197/12+IF(AND(YEAR(W$5)&gt;2020,MONTH(W$5)=Macro!$D$52),Macro!$D133*AVERAGE(OFFSET(X197,0,0,1,-12))*Macro!$E133,0),"NA")</f>
        <v>0</v>
      </c>
      <c r="X296" s="243">
        <f>IFERROR(Macro!$D133*Team!X197/12+IF(AND(YEAR(X$5)&gt;2020,MONTH(X$5)=Macro!$D$52),Macro!$D133*AVERAGE(OFFSET(Y197,0,0,1,-12))*Macro!$E133,0),"NA")</f>
        <v>0</v>
      </c>
      <c r="Y296" s="241">
        <f>IFERROR(Macro!$D133*Team!Y197/12+IF(AND(YEAR(Y$5)&gt;2020,MONTH(Y$5)=Macro!$D$52),Macro!$D133*AVERAGE(OFFSET(Z197,0,0,1,-12))*Macro!$E133,0),"NA")</f>
        <v>0</v>
      </c>
      <c r="Z296" s="242">
        <f>IFERROR(Macro!$D133*Team!Z197/12+IF(AND(YEAR(Z$5)&gt;2020,MONTH(Z$5)=Macro!$D$52),Macro!$D133*AVERAGE(OFFSET(AA197,0,0,1,-12))*Macro!$E133,0),"NA")</f>
        <v>0</v>
      </c>
      <c r="AA296" s="243">
        <f>IFERROR(Macro!$D133*Team!AA197/12+IF(AND(YEAR(AA$5)&gt;2020,MONTH(AA$5)=Macro!$D$52),Macro!$D133*AVERAGE(OFFSET(AB197,0,0,1,-12))*Macro!$E133,0),"NA")</f>
        <v>0</v>
      </c>
      <c r="AB296" s="241">
        <f>IFERROR(Macro!$D133*Team!AB197/12+IF(AND(YEAR(AB$5)&gt;2020,MONTH(AB$5)=Macro!$D$52),Macro!$D133*AVERAGE(OFFSET(AC197,0,0,1,-12))*Macro!$E133,0),"NA")</f>
        <v>0</v>
      </c>
      <c r="AC296" s="242">
        <f>IFERROR(Macro!$D133*Team!AC197/12+IF(AND(YEAR(AC$5)&gt;2020,MONTH(AC$5)=Macro!$D$52),Macro!$D133*AVERAGE(OFFSET(AD197,0,0,1,-12))*Macro!$E133,0),"NA")</f>
        <v>0</v>
      </c>
      <c r="AD296" s="243">
        <f>IFERROR(Macro!$D133*Team!AD197/12+IF(AND(YEAR(AD$5)&gt;2020,MONTH(AD$5)=Macro!$D$52),Macro!$D133*AVERAGE(OFFSET(AE197,0,0,1,-12))*Macro!$E133,0),"NA")</f>
        <v>0</v>
      </c>
      <c r="AE296" s="241">
        <f>IFERROR(Macro!$D133*Team!AE197/12+IF(AND(YEAR(AE$5)&gt;2020,MONTH(AE$5)=Macro!$D$52),Macro!$D133*AVERAGE(OFFSET(AF197,0,0,1,-12))*Macro!$E133,0),"NA")</f>
        <v>0</v>
      </c>
      <c r="AF296" s="242">
        <f>IFERROR(Macro!$D133*Team!AF197/12+IF(AND(YEAR(AF$5)&gt;2020,MONTH(AF$5)=Macro!$D$52),Macro!$D133*AVERAGE(OFFSET(AG197,0,0,1,-12))*Macro!$E133,0),"NA")</f>
        <v>0</v>
      </c>
      <c r="AG296" s="243">
        <f>IFERROR(Macro!$D133*Team!AG197/12+IF(AND(YEAR(AG$5)&gt;2020,MONTH(AG$5)=Macro!$D$52),Macro!$D133*AVERAGE(OFFSET(AH197,0,0,1,-12))*Macro!$E133,0),"NA")</f>
        <v>0</v>
      </c>
      <c r="AH296" s="241" t="str">
        <f>IFERROR(Macro!$D133*Team!AH197/12+IF(AND(YEAR(AH$5)&gt;2020,MONTH(AH$5)=Macro!$D$52),Macro!$D133*AVERAGE(OFFSET(AI197,0,0,1,-12))*Macro!$E133,0),"NA")</f>
        <v>NA</v>
      </c>
      <c r="AI296" s="242">
        <f>IFERROR(Macro!$D133*Team!AI197/12+IF(AND(YEAR(AI$5)&gt;2020,MONTH(AI$5)=Macro!$D$52),Macro!$D133*AVERAGE(OFFSET(AJ197,0,0,1,-12))*Macro!$E133,0),"NA")</f>
        <v>0</v>
      </c>
      <c r="AJ296" s="243">
        <f>IFERROR(Macro!$D133*Team!AJ197/12+IF(AND(YEAR(AJ$5)&gt;2020,MONTH(AJ$5)=Macro!$D$52),Macro!$D133*AVERAGE(OFFSET(AK197,0,0,1,-12))*Macro!$E133,0),"NA")</f>
        <v>0</v>
      </c>
      <c r="AK296" s="241">
        <f>IFERROR(Macro!$D133*Team!AK197/12+IF(AND(YEAR(AK$5)&gt;2020,MONTH(AK$5)=Macro!$D$52),Macro!$D133*AVERAGE(OFFSET(AL197,0,0,1,-12))*Macro!$E133,0),"NA")</f>
        <v>0</v>
      </c>
      <c r="AL296" s="242">
        <f>IFERROR(Macro!$D133*Team!AL197/12+IF(AND(YEAR(AL$5)&gt;2020,MONTH(AL$5)=Macro!$D$52),Macro!$D133*AVERAGE(OFFSET(AM197,0,0,1,-12))*Macro!$E133,0),"NA")</f>
        <v>0</v>
      </c>
      <c r="AM296" s="243">
        <f>IFERROR(Macro!$D133*Team!AM197/12+IF(AND(YEAR(AM$5)&gt;2020,MONTH(AM$5)=Macro!$D$52),Macro!$D133*AVERAGE(OFFSET(AN197,0,0,1,-12))*Macro!$E133,0),"NA")</f>
        <v>0</v>
      </c>
      <c r="AN296" s="241">
        <f>IFERROR(Macro!$D133*Team!AN197/12+IF(AND(YEAR(AN$5)&gt;2020,MONTH(AN$5)=Macro!$D$52),Macro!$D133*AVERAGE(OFFSET(AO197,0,0,1,-12))*Macro!$E133,0),"NA")</f>
        <v>0</v>
      </c>
      <c r="AO296" s="242">
        <f>IFERROR(Macro!$D133*Team!AO197/12+IF(AND(YEAR(AO$5)&gt;2020,MONTH(AO$5)=Macro!$D$52),Macro!$D133*AVERAGE(OFFSET(AP197,0,0,1,-12))*Macro!$E133,0),"NA")</f>
        <v>0</v>
      </c>
      <c r="AP296" s="243">
        <f>IFERROR(Macro!$D133*Team!AP197/12+IF(AND(YEAR(AP$5)&gt;2020,MONTH(AP$5)=Macro!$D$52),Macro!$D133*AVERAGE(OFFSET(AQ197,0,0,1,-12))*Macro!$E133,0),"NA")</f>
        <v>0</v>
      </c>
      <c r="AQ296" s="241">
        <f>IFERROR(Macro!$D133*Team!AQ197/12+IF(AND(YEAR(AQ$5)&gt;2020,MONTH(AQ$5)=Macro!$D$52),Macro!$D133*AVERAGE(OFFSET(AR197,0,0,1,-12))*Macro!$E133,0),"NA")</f>
        <v>0</v>
      </c>
      <c r="AR296" s="242">
        <f>IFERROR(Macro!$D133*Team!AR197/12+IF(AND(YEAR(AR$5)&gt;2020,MONTH(AR$5)=Macro!$D$52),Macro!$D133*AVERAGE(OFFSET(AS197,0,0,1,-12))*Macro!$E133,0),"NA")</f>
        <v>0</v>
      </c>
      <c r="AS296" s="243">
        <f>IFERROR(Macro!$D133*Team!AS197/12+IF(AND(YEAR(AS$5)&gt;2020,MONTH(AS$5)=Macro!$D$52),Macro!$D133*AVERAGE(OFFSET(AT197,0,0,1,-12))*Macro!$E133,0),"NA")</f>
        <v>0</v>
      </c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</row>
    <row r="297" ht="12.0" customHeight="1">
      <c r="A297" s="8"/>
      <c r="B297" s="8"/>
      <c r="C297" s="270" t="s">
        <v>73</v>
      </c>
      <c r="D297" s="51">
        <f t="shared" ref="D297:AS297" si="105">SUM(D289:D296)</f>
        <v>25000</v>
      </c>
      <c r="E297" s="52">
        <f t="shared" si="105"/>
        <v>25000</v>
      </c>
      <c r="F297" s="52">
        <f t="shared" si="105"/>
        <v>25000</v>
      </c>
      <c r="G297" s="51">
        <f t="shared" si="105"/>
        <v>25000</v>
      </c>
      <c r="H297" s="52">
        <f t="shared" si="105"/>
        <v>25000</v>
      </c>
      <c r="I297" s="53">
        <f t="shared" si="105"/>
        <v>25000</v>
      </c>
      <c r="J297" s="51">
        <f t="shared" si="105"/>
        <v>25000</v>
      </c>
      <c r="K297" s="52">
        <f t="shared" si="105"/>
        <v>25000</v>
      </c>
      <c r="L297" s="53">
        <f t="shared" si="105"/>
        <v>25000</v>
      </c>
      <c r="M297" s="51">
        <f t="shared" si="105"/>
        <v>25000</v>
      </c>
      <c r="N297" s="52">
        <f t="shared" si="105"/>
        <v>37500</v>
      </c>
      <c r="O297" s="53">
        <f t="shared" si="105"/>
        <v>37500</v>
      </c>
      <c r="P297" s="51">
        <f t="shared" si="105"/>
        <v>37500</v>
      </c>
      <c r="Q297" s="52">
        <f t="shared" si="105"/>
        <v>37500</v>
      </c>
      <c r="R297" s="53">
        <f t="shared" si="105"/>
        <v>37500</v>
      </c>
      <c r="S297" s="51">
        <f t="shared" si="105"/>
        <v>50000</v>
      </c>
      <c r="T297" s="52">
        <f t="shared" si="105"/>
        <v>50000</v>
      </c>
      <c r="U297" s="53">
        <f t="shared" si="105"/>
        <v>50000</v>
      </c>
      <c r="V297" s="51">
        <f t="shared" si="105"/>
        <v>0</v>
      </c>
      <c r="W297" s="52">
        <f t="shared" si="105"/>
        <v>50000</v>
      </c>
      <c r="X297" s="53">
        <f t="shared" si="105"/>
        <v>50000</v>
      </c>
      <c r="Y297" s="51">
        <f t="shared" si="105"/>
        <v>62500</v>
      </c>
      <c r="Z297" s="52">
        <f t="shared" si="105"/>
        <v>62500</v>
      </c>
      <c r="AA297" s="53">
        <f t="shared" si="105"/>
        <v>62500</v>
      </c>
      <c r="AB297" s="51">
        <f t="shared" si="105"/>
        <v>62500</v>
      </c>
      <c r="AC297" s="52">
        <f t="shared" si="105"/>
        <v>62500</v>
      </c>
      <c r="AD297" s="53">
        <f t="shared" si="105"/>
        <v>62500</v>
      </c>
      <c r="AE297" s="51">
        <f t="shared" si="105"/>
        <v>75000</v>
      </c>
      <c r="AF297" s="52">
        <f t="shared" si="105"/>
        <v>75000</v>
      </c>
      <c r="AG297" s="53">
        <f t="shared" si="105"/>
        <v>75000</v>
      </c>
      <c r="AH297" s="51">
        <f t="shared" si="105"/>
        <v>0</v>
      </c>
      <c r="AI297" s="52">
        <f t="shared" si="105"/>
        <v>91666.66667</v>
      </c>
      <c r="AJ297" s="53">
        <f t="shared" si="105"/>
        <v>91666.66667</v>
      </c>
      <c r="AK297" s="51">
        <f t="shared" si="105"/>
        <v>104166.6667</v>
      </c>
      <c r="AL297" s="52">
        <f t="shared" si="105"/>
        <v>104166.6667</v>
      </c>
      <c r="AM297" s="53">
        <f t="shared" si="105"/>
        <v>104166.6667</v>
      </c>
      <c r="AN297" s="51">
        <f t="shared" si="105"/>
        <v>104166.6667</v>
      </c>
      <c r="AO297" s="52">
        <f t="shared" si="105"/>
        <v>104166.6667</v>
      </c>
      <c r="AP297" s="53">
        <f t="shared" si="105"/>
        <v>104166.6667</v>
      </c>
      <c r="AQ297" s="51">
        <f t="shared" si="105"/>
        <v>116666.6667</v>
      </c>
      <c r="AR297" s="52">
        <f t="shared" si="105"/>
        <v>116666.6667</v>
      </c>
      <c r="AS297" s="53">
        <f t="shared" si="105"/>
        <v>116666.6667</v>
      </c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</row>
    <row r="298" ht="12.0" customHeight="1">
      <c r="A298" s="4"/>
      <c r="B298" s="4"/>
      <c r="C298" s="4"/>
      <c r="D298" s="51"/>
      <c r="E298" s="52"/>
      <c r="F298" s="52"/>
      <c r="G298" s="51"/>
      <c r="H298" s="52"/>
      <c r="I298" s="53"/>
      <c r="J298" s="51"/>
      <c r="K298" s="52"/>
      <c r="L298" s="53"/>
      <c r="M298" s="51"/>
      <c r="N298" s="52"/>
      <c r="O298" s="53"/>
      <c r="P298" s="51"/>
      <c r="Q298" s="52"/>
      <c r="R298" s="53"/>
      <c r="S298" s="51"/>
      <c r="T298" s="52"/>
      <c r="U298" s="53"/>
      <c r="V298" s="51"/>
      <c r="W298" s="52"/>
      <c r="X298" s="53"/>
      <c r="Y298" s="51"/>
      <c r="Z298" s="52"/>
      <c r="AA298" s="53"/>
      <c r="AB298" s="51"/>
      <c r="AC298" s="52"/>
      <c r="AD298" s="53"/>
      <c r="AE298" s="51"/>
      <c r="AF298" s="52"/>
      <c r="AG298" s="53"/>
      <c r="AH298" s="51"/>
      <c r="AI298" s="52"/>
      <c r="AJ298" s="53"/>
      <c r="AK298" s="51"/>
      <c r="AL298" s="52"/>
      <c r="AM298" s="53"/>
      <c r="AN298" s="51"/>
      <c r="AO298" s="52"/>
      <c r="AP298" s="53"/>
      <c r="AQ298" s="51"/>
      <c r="AR298" s="52"/>
      <c r="AS298" s="53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</row>
    <row r="299" ht="12.0" customHeight="1">
      <c r="A299" s="54"/>
      <c r="B299" s="270" t="s">
        <v>132</v>
      </c>
      <c r="C299" s="4"/>
      <c r="D299" s="64"/>
      <c r="E299" s="4"/>
      <c r="F299" s="4"/>
      <c r="G299" s="64"/>
      <c r="H299" s="4"/>
      <c r="I299" s="65"/>
      <c r="J299" s="64"/>
      <c r="K299" s="4"/>
      <c r="L299" s="65"/>
      <c r="M299" s="64"/>
      <c r="N299" s="4"/>
      <c r="O299" s="65"/>
      <c r="P299" s="64"/>
      <c r="Q299" s="4"/>
      <c r="R299" s="65"/>
      <c r="S299" s="64"/>
      <c r="T299" s="4"/>
      <c r="U299" s="65"/>
      <c r="V299" s="64"/>
      <c r="W299" s="4"/>
      <c r="X299" s="65"/>
      <c r="Y299" s="64"/>
      <c r="Z299" s="4"/>
      <c r="AA299" s="65"/>
      <c r="AB299" s="64"/>
      <c r="AC299" s="4"/>
      <c r="AD299" s="65"/>
      <c r="AE299" s="64"/>
      <c r="AF299" s="4"/>
      <c r="AG299" s="65"/>
      <c r="AH299" s="64"/>
      <c r="AI299" s="4"/>
      <c r="AJ299" s="65"/>
      <c r="AK299" s="64"/>
      <c r="AL299" s="4"/>
      <c r="AM299" s="65"/>
      <c r="AN299" s="64"/>
      <c r="AO299" s="4"/>
      <c r="AP299" s="65"/>
      <c r="AQ299" s="64"/>
      <c r="AR299" s="4"/>
      <c r="AS299" s="65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</row>
    <row r="300" ht="12.0" customHeight="1">
      <c r="A300" s="282"/>
      <c r="B300" s="4"/>
      <c r="C300" s="37" t="str">
        <f t="shared" ref="C300:C309" si="106">C201</f>
        <v>CEO</v>
      </c>
      <c r="D300" s="283">
        <f>IFERROR(Macro!$D136*Team!D201/12+IF(AND(YEAR(D$5)&gt;2020,MONTH(D$5)=Macro!$D$52),Macro!$D136*AVERAGE(OFFSET(E201,0,0,1,-12))*Macro!$E136,0),"NA")</f>
        <v>16666.66667</v>
      </c>
      <c r="E300" s="284">
        <f>IFERROR(Macro!$D136*Team!E201/12+IF(AND(YEAR(E$5)&gt;2020,MONTH(E$5)=Macro!$D$52),Macro!$D136*AVERAGE(OFFSET(F201,0,0,1,-12))*Macro!$E136,0),"NA")</f>
        <v>16666.66667</v>
      </c>
      <c r="F300" s="284">
        <f>IFERROR(Macro!$D136*Team!F201/12+IF(AND(YEAR(F$5)&gt;2020,MONTH(F$5)=Macro!$D$52),Macro!$D136*AVERAGE(OFFSET(G201,0,0,1,-12))*Macro!$E136,0),"NA")</f>
        <v>16666.66667</v>
      </c>
      <c r="G300" s="283">
        <f>IFERROR(Macro!$D136*Team!G201/12+IF(AND(YEAR(G$5)&gt;2020,MONTH(G$5)=Macro!$D$52),Macro!$D136*AVERAGE(OFFSET(H201,0,0,1,-12))*Macro!$E136,0),"NA")</f>
        <v>16666.66667</v>
      </c>
      <c r="H300" s="284">
        <f>IFERROR(Macro!$D136*Team!H201/12+IF(AND(YEAR(H$5)&gt;2020,MONTH(H$5)=Macro!$D$52),Macro!$D136*AVERAGE(OFFSET(I201,0,0,1,-12))*Macro!$E136,0),"NA")</f>
        <v>16666.66667</v>
      </c>
      <c r="I300" s="285">
        <f>IFERROR(Macro!$D136*Team!I201/12+IF(AND(YEAR(I$5)&gt;2020,MONTH(I$5)=Macro!$D$52),Macro!$D136*AVERAGE(OFFSET(J201,0,0,1,-12))*Macro!$E136,0),"NA")</f>
        <v>16666.66667</v>
      </c>
      <c r="J300" s="286">
        <f>IFERROR(Macro!$D136*Team!J201/12+IF(AND(YEAR(J$5)&gt;2020,MONTH(J$5)=Macro!$D$52),Macro!$D136*AVERAGE(OFFSET(K201,0,0,1,-12))*Macro!$E136,0),"NA")</f>
        <v>16666.66667</v>
      </c>
      <c r="K300" s="287">
        <f>IFERROR(Macro!$D136*Team!K201/12+IF(AND(YEAR(K$5)&gt;2020,MONTH(K$5)=Macro!$D$52),Macro!$D136*AVERAGE(OFFSET(L201,0,0,1,-12))*Macro!$E136,0),"NA")</f>
        <v>16666.66667</v>
      </c>
      <c r="L300" s="288">
        <f>IFERROR(Macro!$D136*Team!L201/12+IF(AND(YEAR(L$5)&gt;2020,MONTH(L$5)=Macro!$D$52),Macro!$D136*AVERAGE(OFFSET(M201,0,0,1,-12))*Macro!$E136,0),"NA")</f>
        <v>16666.66667</v>
      </c>
      <c r="M300" s="38">
        <f>IFERROR(Macro!$D136*Team!M201/12+IF(AND(YEAR(M$5)&gt;2020,MONTH(M$5)=Macro!$D$52),Macro!$D136*AVERAGE(OFFSET(N201,0,0,1,-12))*Macro!$E136,0),"NA")</f>
        <v>16666.66667</v>
      </c>
      <c r="N300" s="39">
        <f>IFERROR(Macro!$D136*Team!N201/12+IF(AND(YEAR(N$5)&gt;2020,MONTH(N$5)=Macro!$D$52),Macro!$D136*AVERAGE(OFFSET(O201,0,0,1,-12))*Macro!$E136,0),"NA")</f>
        <v>16666.66667</v>
      </c>
      <c r="O300" s="40">
        <f>IFERROR(Macro!$D136*Team!O201/12+IF(AND(YEAR(O$5)&gt;2020,MONTH(O$5)=Macro!$D$52),Macro!$D136*AVERAGE(OFFSET(P201,0,0,1,-12))*Macro!$E136,0),"NA")</f>
        <v>16666.66667</v>
      </c>
      <c r="P300" s="38">
        <f>IFERROR(Macro!$D136*Team!P201/12+IF(AND(YEAR(P$5)&gt;2020,MONTH(P$5)=Macro!$D$52),Macro!$D136*AVERAGE(OFFSET(Q201,0,0,1,-12))*Macro!$E136,0),"NA")</f>
        <v>16666.66667</v>
      </c>
      <c r="Q300" s="39">
        <f>IFERROR(Macro!$D136*Team!Q201/12+IF(AND(YEAR(Q$5)&gt;2020,MONTH(Q$5)=Macro!$D$52),Macro!$D136*AVERAGE(OFFSET(R201,0,0,1,-12))*Macro!$E136,0),"NA")</f>
        <v>16666.66667</v>
      </c>
      <c r="R300" s="40">
        <f>IFERROR(Macro!$D136*Team!R201/12+IF(AND(YEAR(R$5)&gt;2020,MONTH(R$5)=Macro!$D$52),Macro!$D136*AVERAGE(OFFSET(S201,0,0,1,-12))*Macro!$E136,0),"NA")</f>
        <v>16666.66667</v>
      </c>
      <c r="S300" s="38">
        <f>IFERROR(Macro!$D136*Team!S201/12+IF(AND(YEAR(S$5)&gt;2020,MONTH(S$5)=Macro!$D$52),Macro!$D136*AVERAGE(OFFSET(T201,0,0,1,-12))*Macro!$E136,0),"NA")</f>
        <v>16666.66667</v>
      </c>
      <c r="T300" s="39">
        <f>IFERROR(Macro!$D136*Team!T201/12+IF(AND(YEAR(T$5)&gt;2020,MONTH(T$5)=Macro!$D$52),Macro!$D136*AVERAGE(OFFSET(U201,0,0,1,-12))*Macro!$E136,0),"NA")</f>
        <v>16666.66667</v>
      </c>
      <c r="U300" s="40">
        <f>IFERROR(Macro!$D136*Team!U201/12+IF(AND(YEAR(U$5)&gt;2020,MONTH(U$5)=Macro!$D$52),Macro!$D136*AVERAGE(OFFSET(V201,0,0,1,-12))*Macro!$E136,0),"NA")</f>
        <v>16666.66667</v>
      </c>
      <c r="V300" s="38" t="str">
        <f>IFERROR(Macro!$D136*Team!V201/12+IF(AND(YEAR(V$5)&gt;2020,MONTH(V$5)=Macro!$D$52),Macro!$D136*AVERAGE(OFFSET(W201,0,0,1,-12))*Macro!$E136,0),"NA")</f>
        <v>NA</v>
      </c>
      <c r="W300" s="39">
        <f>IFERROR(Macro!$D136*Team!W201/12+IF(AND(YEAR(W$5)&gt;2020,MONTH(W$5)=Macro!$D$52),Macro!$D136*AVERAGE(OFFSET(X201,0,0,1,-12))*Macro!$E136,0),"NA")</f>
        <v>16666.66667</v>
      </c>
      <c r="X300" s="40">
        <f>IFERROR(Macro!$D136*Team!X201/12+IF(AND(YEAR(X$5)&gt;2020,MONTH(X$5)=Macro!$D$52),Macro!$D136*AVERAGE(OFFSET(Y201,0,0,1,-12))*Macro!$E136,0),"NA")</f>
        <v>16666.66667</v>
      </c>
      <c r="Y300" s="38">
        <f>IFERROR(Macro!$D136*Team!Y201/12+IF(AND(YEAR(Y$5)&gt;2020,MONTH(Y$5)=Macro!$D$52),Macro!$D136*AVERAGE(OFFSET(Z201,0,0,1,-12))*Macro!$E136,0),"NA")</f>
        <v>16666.66667</v>
      </c>
      <c r="Z300" s="39">
        <f>IFERROR(Macro!$D136*Team!Z201/12+IF(AND(YEAR(Z$5)&gt;2020,MONTH(Z$5)=Macro!$D$52),Macro!$D136*AVERAGE(OFFSET(AA201,0,0,1,-12))*Macro!$E136,0),"NA")</f>
        <v>16666.66667</v>
      </c>
      <c r="AA300" s="40">
        <f>IFERROR(Macro!$D136*Team!AA201/12+IF(AND(YEAR(AA$5)&gt;2020,MONTH(AA$5)=Macro!$D$52),Macro!$D136*AVERAGE(OFFSET(AB201,0,0,1,-12))*Macro!$E136,0),"NA")</f>
        <v>16666.66667</v>
      </c>
      <c r="AB300" s="38">
        <f>IFERROR(Macro!$D136*Team!AB201/12+IF(AND(YEAR(AB$5)&gt;2020,MONTH(AB$5)=Macro!$D$52),Macro!$D136*AVERAGE(OFFSET(AC201,0,0,1,-12))*Macro!$E136,0),"NA")</f>
        <v>16666.66667</v>
      </c>
      <c r="AC300" s="39">
        <f>IFERROR(Macro!$D136*Team!AC201/12+IF(AND(YEAR(AC$5)&gt;2020,MONTH(AC$5)=Macro!$D$52),Macro!$D136*AVERAGE(OFFSET(AD201,0,0,1,-12))*Macro!$E136,0),"NA")</f>
        <v>16666.66667</v>
      </c>
      <c r="AD300" s="40">
        <f>IFERROR(Macro!$D136*Team!AD201/12+IF(AND(YEAR(AD$5)&gt;2020,MONTH(AD$5)=Macro!$D$52),Macro!$D136*AVERAGE(OFFSET(AE201,0,0,1,-12))*Macro!$E136,0),"NA")</f>
        <v>16666.66667</v>
      </c>
      <c r="AE300" s="38">
        <f>IFERROR(Macro!$D136*Team!AE201/12+IF(AND(YEAR(AE$5)&gt;2020,MONTH(AE$5)=Macro!$D$52),Macro!$D136*AVERAGE(OFFSET(AF201,0,0,1,-12))*Macro!$E136,0),"NA")</f>
        <v>16666.66667</v>
      </c>
      <c r="AF300" s="39">
        <f>IFERROR(Macro!$D136*Team!AF201/12+IF(AND(YEAR(AF$5)&gt;2020,MONTH(AF$5)=Macro!$D$52),Macro!$D136*AVERAGE(OFFSET(AG201,0,0,1,-12))*Macro!$E136,0),"NA")</f>
        <v>16666.66667</v>
      </c>
      <c r="AG300" s="40">
        <f>IFERROR(Macro!$D136*Team!AG201/12+IF(AND(YEAR(AG$5)&gt;2020,MONTH(AG$5)=Macro!$D$52),Macro!$D136*AVERAGE(OFFSET(AH201,0,0,1,-12))*Macro!$E136,0),"NA")</f>
        <v>16666.66667</v>
      </c>
      <c r="AH300" s="38" t="str">
        <f>IFERROR(Macro!$D136*Team!AH201/12+IF(AND(YEAR(AH$5)&gt;2020,MONTH(AH$5)=Macro!$D$52),Macro!$D136*AVERAGE(OFFSET(AI201,0,0,1,-12))*Macro!$E136,0),"NA")</f>
        <v>NA</v>
      </c>
      <c r="AI300" s="39">
        <f>IFERROR(Macro!$D136*Team!AI201/12+IF(AND(YEAR(AI$5)&gt;2020,MONTH(AI$5)=Macro!$D$52),Macro!$D136*AVERAGE(OFFSET(AJ201,0,0,1,-12))*Macro!$E136,0),"NA")</f>
        <v>16666.66667</v>
      </c>
      <c r="AJ300" s="40">
        <f>IFERROR(Macro!$D136*Team!AJ201/12+IF(AND(YEAR(AJ$5)&gt;2020,MONTH(AJ$5)=Macro!$D$52),Macro!$D136*AVERAGE(OFFSET(AK201,0,0,1,-12))*Macro!$E136,0),"NA")</f>
        <v>16666.66667</v>
      </c>
      <c r="AK300" s="38">
        <f>IFERROR(Macro!$D136*Team!AK201/12+IF(AND(YEAR(AK$5)&gt;2020,MONTH(AK$5)=Macro!$D$52),Macro!$D136*AVERAGE(OFFSET(AL201,0,0,1,-12))*Macro!$E136,0),"NA")</f>
        <v>16666.66667</v>
      </c>
      <c r="AL300" s="39">
        <f>IFERROR(Macro!$D136*Team!AL201/12+IF(AND(YEAR(AL$5)&gt;2020,MONTH(AL$5)=Macro!$D$52),Macro!$D136*AVERAGE(OFFSET(AM201,0,0,1,-12))*Macro!$E136,0),"NA")</f>
        <v>16666.66667</v>
      </c>
      <c r="AM300" s="40">
        <f>IFERROR(Macro!$D136*Team!AM201/12+IF(AND(YEAR(AM$5)&gt;2020,MONTH(AM$5)=Macro!$D$52),Macro!$D136*AVERAGE(OFFSET(AN201,0,0,1,-12))*Macro!$E136,0),"NA")</f>
        <v>16666.66667</v>
      </c>
      <c r="AN300" s="38">
        <f>IFERROR(Macro!$D136*Team!AN201/12+IF(AND(YEAR(AN$5)&gt;2020,MONTH(AN$5)=Macro!$D$52),Macro!$D136*AVERAGE(OFFSET(AO201,0,0,1,-12))*Macro!$E136,0),"NA")</f>
        <v>16666.66667</v>
      </c>
      <c r="AO300" s="39">
        <f>IFERROR(Macro!$D136*Team!AO201/12+IF(AND(YEAR(AO$5)&gt;2020,MONTH(AO$5)=Macro!$D$52),Macro!$D136*AVERAGE(OFFSET(AP201,0,0,1,-12))*Macro!$E136,0),"NA")</f>
        <v>16666.66667</v>
      </c>
      <c r="AP300" s="40">
        <f>IFERROR(Macro!$D136*Team!AP201/12+IF(AND(YEAR(AP$5)&gt;2020,MONTH(AP$5)=Macro!$D$52),Macro!$D136*AVERAGE(OFFSET(AQ201,0,0,1,-12))*Macro!$E136,0),"NA")</f>
        <v>16666.66667</v>
      </c>
      <c r="AQ300" s="38">
        <f>IFERROR(Macro!$D136*Team!AQ201/12+IF(AND(YEAR(AQ$5)&gt;2020,MONTH(AQ$5)=Macro!$D$52),Macro!$D136*AVERAGE(OFFSET(AR201,0,0,1,-12))*Macro!$E136,0),"NA")</f>
        <v>16666.66667</v>
      </c>
      <c r="AR300" s="39">
        <f>IFERROR(Macro!$D136*Team!AR201/12+IF(AND(YEAR(AR$5)&gt;2020,MONTH(AR$5)=Macro!$D$52),Macro!$D136*AVERAGE(OFFSET(AS201,0,0,1,-12))*Macro!$E136,0),"NA")</f>
        <v>16666.66667</v>
      </c>
      <c r="AS300" s="40">
        <f>IFERROR(Macro!$D136*Team!AS201/12+IF(AND(YEAR(AS$5)&gt;2020,MONTH(AS$5)=Macro!$D$52),Macro!$D136*AVERAGE(OFFSET(AT201,0,0,1,-12))*Macro!$E136,0),"NA")</f>
        <v>16666.66667</v>
      </c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</row>
    <row r="301" ht="12.0" customHeight="1">
      <c r="A301" s="282"/>
      <c r="B301" s="4"/>
      <c r="C301" s="37" t="str">
        <f t="shared" si="106"/>
        <v>COO</v>
      </c>
      <c r="D301" s="283">
        <f>IFERROR(Macro!$D137*Team!D202/12+IF(AND(YEAR(D$5)&gt;2020,MONTH(D$5)=Macro!$D$52),Macro!$D137*AVERAGE(OFFSET(E202,0,0,1,-12))*Macro!$E137,0),"NA")</f>
        <v>16666.66667</v>
      </c>
      <c r="E301" s="284">
        <f>IFERROR(Macro!$D137*Team!E202/12+IF(AND(YEAR(E$5)&gt;2020,MONTH(E$5)=Macro!$D$52),Macro!$D137*AVERAGE(OFFSET(F202,0,0,1,-12))*Macro!$E137,0),"NA")</f>
        <v>16666.66667</v>
      </c>
      <c r="F301" s="284">
        <f>IFERROR(Macro!$D137*Team!F202/12+IF(AND(YEAR(F$5)&gt;2020,MONTH(F$5)=Macro!$D$52),Macro!$D137*AVERAGE(OFFSET(G202,0,0,1,-12))*Macro!$E137,0),"NA")</f>
        <v>16666.66667</v>
      </c>
      <c r="G301" s="283">
        <f>IFERROR(Macro!$D137*Team!G202/12+IF(AND(YEAR(G$5)&gt;2020,MONTH(G$5)=Macro!$D$52),Macro!$D137*AVERAGE(OFFSET(H202,0,0,1,-12))*Macro!$E137,0),"NA")</f>
        <v>16666.66667</v>
      </c>
      <c r="H301" s="284">
        <f>IFERROR(Macro!$D137*Team!H202/12+IF(AND(YEAR(H$5)&gt;2020,MONTH(H$5)=Macro!$D$52),Macro!$D137*AVERAGE(OFFSET(I202,0,0,1,-12))*Macro!$E137,0),"NA")</f>
        <v>16666.66667</v>
      </c>
      <c r="I301" s="285">
        <f>IFERROR(Macro!$D137*Team!I202/12+IF(AND(YEAR(I$5)&gt;2020,MONTH(I$5)=Macro!$D$52),Macro!$D137*AVERAGE(OFFSET(J202,0,0,1,-12))*Macro!$E137,0),"NA")</f>
        <v>16666.66667</v>
      </c>
      <c r="J301" s="286">
        <f>IFERROR(Macro!$D137*Team!J202/12+IF(AND(YEAR(J$5)&gt;2020,MONTH(J$5)=Macro!$D$52),Macro!$D137*AVERAGE(OFFSET(K202,0,0,1,-12))*Macro!$E137,0),"NA")</f>
        <v>16666.66667</v>
      </c>
      <c r="K301" s="287">
        <f>IFERROR(Macro!$D137*Team!K202/12+IF(AND(YEAR(K$5)&gt;2020,MONTH(K$5)=Macro!$D$52),Macro!$D137*AVERAGE(OFFSET(L202,0,0,1,-12))*Macro!$E137,0),"NA")</f>
        <v>16666.66667</v>
      </c>
      <c r="L301" s="288">
        <f>IFERROR(Macro!$D137*Team!L202/12+IF(AND(YEAR(L$5)&gt;2020,MONTH(L$5)=Macro!$D$52),Macro!$D137*AVERAGE(OFFSET(M202,0,0,1,-12))*Macro!$E137,0),"NA")</f>
        <v>16666.66667</v>
      </c>
      <c r="M301" s="38">
        <f>IFERROR(Macro!$D137*Team!M202/12+IF(AND(YEAR(M$5)&gt;2020,MONTH(M$5)=Macro!$D$52),Macro!$D137*AVERAGE(OFFSET(N202,0,0,1,-12))*Macro!$E137,0),"NA")</f>
        <v>16666.66667</v>
      </c>
      <c r="N301" s="39">
        <f>IFERROR(Macro!$D137*Team!N202/12+IF(AND(YEAR(N$5)&gt;2020,MONTH(N$5)=Macro!$D$52),Macro!$D137*AVERAGE(OFFSET(O202,0,0,1,-12))*Macro!$E137,0),"NA")</f>
        <v>16666.66667</v>
      </c>
      <c r="O301" s="40">
        <f>IFERROR(Macro!$D137*Team!O202/12+IF(AND(YEAR(O$5)&gt;2020,MONTH(O$5)=Macro!$D$52),Macro!$D137*AVERAGE(OFFSET(P202,0,0,1,-12))*Macro!$E137,0),"NA")</f>
        <v>16666.66667</v>
      </c>
      <c r="P301" s="38">
        <f>IFERROR(Macro!$D137*Team!P202/12+IF(AND(YEAR(P$5)&gt;2020,MONTH(P$5)=Macro!$D$52),Macro!$D137*AVERAGE(OFFSET(Q202,0,0,1,-12))*Macro!$E137,0),"NA")</f>
        <v>16666.66667</v>
      </c>
      <c r="Q301" s="39">
        <f>IFERROR(Macro!$D137*Team!Q202/12+IF(AND(YEAR(Q$5)&gt;2020,MONTH(Q$5)=Macro!$D$52),Macro!$D137*AVERAGE(OFFSET(R202,0,0,1,-12))*Macro!$E137,0),"NA")</f>
        <v>16666.66667</v>
      </c>
      <c r="R301" s="40">
        <f>IFERROR(Macro!$D137*Team!R202/12+IF(AND(YEAR(R$5)&gt;2020,MONTH(R$5)=Macro!$D$52),Macro!$D137*AVERAGE(OFFSET(S202,0,0,1,-12))*Macro!$E137,0),"NA")</f>
        <v>16666.66667</v>
      </c>
      <c r="S301" s="38">
        <f>IFERROR(Macro!$D137*Team!S202/12+IF(AND(YEAR(S$5)&gt;2020,MONTH(S$5)=Macro!$D$52),Macro!$D137*AVERAGE(OFFSET(T202,0,0,1,-12))*Macro!$E137,0),"NA")</f>
        <v>16666.66667</v>
      </c>
      <c r="T301" s="39">
        <f>IFERROR(Macro!$D137*Team!T202/12+IF(AND(YEAR(T$5)&gt;2020,MONTH(T$5)=Macro!$D$52),Macro!$D137*AVERAGE(OFFSET(U202,0,0,1,-12))*Macro!$E137,0),"NA")</f>
        <v>16666.66667</v>
      </c>
      <c r="U301" s="40">
        <f>IFERROR(Macro!$D137*Team!U202/12+IF(AND(YEAR(U$5)&gt;2020,MONTH(U$5)=Macro!$D$52),Macro!$D137*AVERAGE(OFFSET(V202,0,0,1,-12))*Macro!$E137,0),"NA")</f>
        <v>16666.66667</v>
      </c>
      <c r="V301" s="38" t="str">
        <f>IFERROR(Macro!$D137*Team!V202/12+IF(AND(YEAR(V$5)&gt;2020,MONTH(V$5)=Macro!$D$52),Macro!$D137*AVERAGE(OFFSET(W202,0,0,1,-12))*Macro!$E137,0),"NA")</f>
        <v>NA</v>
      </c>
      <c r="W301" s="39">
        <f>IFERROR(Macro!$D137*Team!W202/12+IF(AND(YEAR(W$5)&gt;2020,MONTH(W$5)=Macro!$D$52),Macro!$D137*AVERAGE(OFFSET(X202,0,0,1,-12))*Macro!$E137,0),"NA")</f>
        <v>16666.66667</v>
      </c>
      <c r="X301" s="40">
        <f>IFERROR(Macro!$D137*Team!X202/12+IF(AND(YEAR(X$5)&gt;2020,MONTH(X$5)=Macro!$D$52),Macro!$D137*AVERAGE(OFFSET(Y202,0,0,1,-12))*Macro!$E137,0),"NA")</f>
        <v>16666.66667</v>
      </c>
      <c r="Y301" s="38">
        <f>IFERROR(Macro!$D137*Team!Y202/12+IF(AND(YEAR(Y$5)&gt;2020,MONTH(Y$5)=Macro!$D$52),Macro!$D137*AVERAGE(OFFSET(Z202,0,0,1,-12))*Macro!$E137,0),"NA")</f>
        <v>16666.66667</v>
      </c>
      <c r="Z301" s="39">
        <f>IFERROR(Macro!$D137*Team!Z202/12+IF(AND(YEAR(Z$5)&gt;2020,MONTH(Z$5)=Macro!$D$52),Macro!$D137*AVERAGE(OFFSET(AA202,0,0,1,-12))*Macro!$E137,0),"NA")</f>
        <v>16666.66667</v>
      </c>
      <c r="AA301" s="40">
        <f>IFERROR(Macro!$D137*Team!AA202/12+IF(AND(YEAR(AA$5)&gt;2020,MONTH(AA$5)=Macro!$D$52),Macro!$D137*AVERAGE(OFFSET(AB202,0,0,1,-12))*Macro!$E137,0),"NA")</f>
        <v>16666.66667</v>
      </c>
      <c r="AB301" s="38">
        <f>IFERROR(Macro!$D137*Team!AB202/12+IF(AND(YEAR(AB$5)&gt;2020,MONTH(AB$5)=Macro!$D$52),Macro!$D137*AVERAGE(OFFSET(AC202,0,0,1,-12))*Macro!$E137,0),"NA")</f>
        <v>16666.66667</v>
      </c>
      <c r="AC301" s="39">
        <f>IFERROR(Macro!$D137*Team!AC202/12+IF(AND(YEAR(AC$5)&gt;2020,MONTH(AC$5)=Macro!$D$52),Macro!$D137*AVERAGE(OFFSET(AD202,0,0,1,-12))*Macro!$E137,0),"NA")</f>
        <v>16666.66667</v>
      </c>
      <c r="AD301" s="40">
        <f>IFERROR(Macro!$D137*Team!AD202/12+IF(AND(YEAR(AD$5)&gt;2020,MONTH(AD$5)=Macro!$D$52),Macro!$D137*AVERAGE(OFFSET(AE202,0,0,1,-12))*Macro!$E137,0),"NA")</f>
        <v>16666.66667</v>
      </c>
      <c r="AE301" s="38">
        <f>IFERROR(Macro!$D137*Team!AE202/12+IF(AND(YEAR(AE$5)&gt;2020,MONTH(AE$5)=Macro!$D$52),Macro!$D137*AVERAGE(OFFSET(AF202,0,0,1,-12))*Macro!$E137,0),"NA")</f>
        <v>16666.66667</v>
      </c>
      <c r="AF301" s="39">
        <f>IFERROR(Macro!$D137*Team!AF202/12+IF(AND(YEAR(AF$5)&gt;2020,MONTH(AF$5)=Macro!$D$52),Macro!$D137*AVERAGE(OFFSET(AG202,0,0,1,-12))*Macro!$E137,0),"NA")</f>
        <v>16666.66667</v>
      </c>
      <c r="AG301" s="40">
        <f>IFERROR(Macro!$D137*Team!AG202/12+IF(AND(YEAR(AG$5)&gt;2020,MONTH(AG$5)=Macro!$D$52),Macro!$D137*AVERAGE(OFFSET(AH202,0,0,1,-12))*Macro!$E137,0),"NA")</f>
        <v>16666.66667</v>
      </c>
      <c r="AH301" s="38" t="str">
        <f>IFERROR(Macro!$D137*Team!AH202/12+IF(AND(YEAR(AH$5)&gt;2020,MONTH(AH$5)=Macro!$D$52),Macro!$D137*AVERAGE(OFFSET(AI202,0,0,1,-12))*Macro!$E137,0),"NA")</f>
        <v>NA</v>
      </c>
      <c r="AI301" s="39">
        <f>IFERROR(Macro!$D137*Team!AI202/12+IF(AND(YEAR(AI$5)&gt;2020,MONTH(AI$5)=Macro!$D$52),Macro!$D137*AVERAGE(OFFSET(AJ202,0,0,1,-12))*Macro!$E137,0),"NA")</f>
        <v>16666.66667</v>
      </c>
      <c r="AJ301" s="40">
        <f>IFERROR(Macro!$D137*Team!AJ202/12+IF(AND(YEAR(AJ$5)&gt;2020,MONTH(AJ$5)=Macro!$D$52),Macro!$D137*AVERAGE(OFFSET(AK202,0,0,1,-12))*Macro!$E137,0),"NA")</f>
        <v>16666.66667</v>
      </c>
      <c r="AK301" s="38">
        <f>IFERROR(Macro!$D137*Team!AK202/12+IF(AND(YEAR(AK$5)&gt;2020,MONTH(AK$5)=Macro!$D$52),Macro!$D137*AVERAGE(OFFSET(AL202,0,0,1,-12))*Macro!$E137,0),"NA")</f>
        <v>16666.66667</v>
      </c>
      <c r="AL301" s="39">
        <f>IFERROR(Macro!$D137*Team!AL202/12+IF(AND(YEAR(AL$5)&gt;2020,MONTH(AL$5)=Macro!$D$52),Macro!$D137*AVERAGE(OFFSET(AM202,0,0,1,-12))*Macro!$E137,0),"NA")</f>
        <v>16666.66667</v>
      </c>
      <c r="AM301" s="40">
        <f>IFERROR(Macro!$D137*Team!AM202/12+IF(AND(YEAR(AM$5)&gt;2020,MONTH(AM$5)=Macro!$D$52),Macro!$D137*AVERAGE(OFFSET(AN202,0,0,1,-12))*Macro!$E137,0),"NA")</f>
        <v>16666.66667</v>
      </c>
      <c r="AN301" s="38">
        <f>IFERROR(Macro!$D137*Team!AN202/12+IF(AND(YEAR(AN$5)&gt;2020,MONTH(AN$5)=Macro!$D$52),Macro!$D137*AVERAGE(OFFSET(AO202,0,0,1,-12))*Macro!$E137,0),"NA")</f>
        <v>16666.66667</v>
      </c>
      <c r="AO301" s="39">
        <f>IFERROR(Macro!$D137*Team!AO202/12+IF(AND(YEAR(AO$5)&gt;2020,MONTH(AO$5)=Macro!$D$52),Macro!$D137*AVERAGE(OFFSET(AP202,0,0,1,-12))*Macro!$E137,0),"NA")</f>
        <v>16666.66667</v>
      </c>
      <c r="AP301" s="40">
        <f>IFERROR(Macro!$D137*Team!AP202/12+IF(AND(YEAR(AP$5)&gt;2020,MONTH(AP$5)=Macro!$D$52),Macro!$D137*AVERAGE(OFFSET(AQ202,0,0,1,-12))*Macro!$E137,0),"NA")</f>
        <v>16666.66667</v>
      </c>
      <c r="AQ301" s="38">
        <f>IFERROR(Macro!$D137*Team!AQ202/12+IF(AND(YEAR(AQ$5)&gt;2020,MONTH(AQ$5)=Macro!$D$52),Macro!$D137*AVERAGE(OFFSET(AR202,0,0,1,-12))*Macro!$E137,0),"NA")</f>
        <v>16666.66667</v>
      </c>
      <c r="AR301" s="39">
        <f>IFERROR(Macro!$D137*Team!AR202/12+IF(AND(YEAR(AR$5)&gt;2020,MONTH(AR$5)=Macro!$D$52),Macro!$D137*AVERAGE(OFFSET(AS202,0,0,1,-12))*Macro!$E137,0),"NA")</f>
        <v>16666.66667</v>
      </c>
      <c r="AS301" s="40">
        <f>IFERROR(Macro!$D137*Team!AS202/12+IF(AND(YEAR(AS$5)&gt;2020,MONTH(AS$5)=Macro!$D$52),Macro!$D137*AVERAGE(OFFSET(AT202,0,0,1,-12))*Macro!$E137,0),"NA")</f>
        <v>16666.66667</v>
      </c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</row>
    <row r="302" ht="12.0" customHeight="1">
      <c r="A302" s="282"/>
      <c r="B302" s="4"/>
      <c r="C302" s="37" t="str">
        <f t="shared" si="106"/>
        <v>Head of Talent / HR</v>
      </c>
      <c r="D302" s="283">
        <f>IFERROR(Macro!$D138*Team!D203/12+IF(AND(YEAR(D$5)&gt;2020,MONTH(D$5)=Macro!$D$52),Macro!$D138*AVERAGE(OFFSET(E203,0,0,1,-12))*Macro!$E138,0),"NA")</f>
        <v>12500</v>
      </c>
      <c r="E302" s="284">
        <f>IFERROR(Macro!$D138*Team!E203/12+IF(AND(YEAR(E$5)&gt;2020,MONTH(E$5)=Macro!$D$52),Macro!$D138*AVERAGE(OFFSET(F203,0,0,1,-12))*Macro!$E138,0),"NA")</f>
        <v>12500</v>
      </c>
      <c r="F302" s="284">
        <f>IFERROR(Macro!$D138*Team!F203/12+IF(AND(YEAR(F$5)&gt;2020,MONTH(F$5)=Macro!$D$52),Macro!$D138*AVERAGE(OFFSET(G203,0,0,1,-12))*Macro!$E138,0),"NA")</f>
        <v>12500</v>
      </c>
      <c r="G302" s="283">
        <f>IFERROR(Macro!$D138*Team!G203/12+IF(AND(YEAR(G$5)&gt;2020,MONTH(G$5)=Macro!$D$52),Macro!$D138*AVERAGE(OFFSET(H203,0,0,1,-12))*Macro!$E138,0),"NA")</f>
        <v>12500</v>
      </c>
      <c r="H302" s="284">
        <f>IFERROR(Macro!$D138*Team!H203/12+IF(AND(YEAR(H$5)&gt;2020,MONTH(H$5)=Macro!$D$52),Macro!$D138*AVERAGE(OFFSET(I203,0,0,1,-12))*Macro!$E138,0),"NA")</f>
        <v>12500</v>
      </c>
      <c r="I302" s="285">
        <f>IFERROR(Macro!$D138*Team!I203/12+IF(AND(YEAR(I$5)&gt;2020,MONTH(I$5)=Macro!$D$52),Macro!$D138*AVERAGE(OFFSET(J203,0,0,1,-12))*Macro!$E138,0),"NA")</f>
        <v>12500</v>
      </c>
      <c r="J302" s="286">
        <f>IFERROR(Macro!$D138*Team!J203/12+IF(AND(YEAR(J$5)&gt;2020,MONTH(J$5)=Macro!$D$52),Macro!$D138*AVERAGE(OFFSET(K203,0,0,1,-12))*Macro!$E138,0),"NA")</f>
        <v>12500</v>
      </c>
      <c r="K302" s="287">
        <f>IFERROR(Macro!$D138*Team!K203/12+IF(AND(YEAR(K$5)&gt;2020,MONTH(K$5)=Macro!$D$52),Macro!$D138*AVERAGE(OFFSET(L203,0,0,1,-12))*Macro!$E138,0),"NA")</f>
        <v>12500</v>
      </c>
      <c r="L302" s="288">
        <f>IFERROR(Macro!$D138*Team!L203/12+IF(AND(YEAR(L$5)&gt;2020,MONTH(L$5)=Macro!$D$52),Macro!$D138*AVERAGE(OFFSET(M203,0,0,1,-12))*Macro!$E138,0),"NA")</f>
        <v>12500</v>
      </c>
      <c r="M302" s="38">
        <f>IFERROR(Macro!$D138*Team!M203/12+IF(AND(YEAR(M$5)&gt;2020,MONTH(M$5)=Macro!$D$52),Macro!$D138*AVERAGE(OFFSET(N203,0,0,1,-12))*Macro!$E138,0),"NA")</f>
        <v>12500</v>
      </c>
      <c r="N302" s="39">
        <f>IFERROR(Macro!$D138*Team!N203/12+IF(AND(YEAR(N$5)&gt;2020,MONTH(N$5)=Macro!$D$52),Macro!$D138*AVERAGE(OFFSET(O203,0,0,1,-12))*Macro!$E138,0),"NA")</f>
        <v>12500</v>
      </c>
      <c r="O302" s="40">
        <f>IFERROR(Macro!$D138*Team!O203/12+IF(AND(YEAR(O$5)&gt;2020,MONTH(O$5)=Macro!$D$52),Macro!$D138*AVERAGE(OFFSET(P203,0,0,1,-12))*Macro!$E138,0),"NA")</f>
        <v>12500</v>
      </c>
      <c r="P302" s="38">
        <f>IFERROR(Macro!$D138*Team!P203/12+IF(AND(YEAR(P$5)&gt;2020,MONTH(P$5)=Macro!$D$52),Macro!$D138*AVERAGE(OFFSET(Q203,0,0,1,-12))*Macro!$E138,0),"NA")</f>
        <v>12500</v>
      </c>
      <c r="Q302" s="39">
        <f>IFERROR(Macro!$D138*Team!Q203/12+IF(AND(YEAR(Q$5)&gt;2020,MONTH(Q$5)=Macro!$D$52),Macro!$D138*AVERAGE(OFFSET(R203,0,0,1,-12))*Macro!$E138,0),"NA")</f>
        <v>12500</v>
      </c>
      <c r="R302" s="40">
        <f>IFERROR(Macro!$D138*Team!R203/12+IF(AND(YEAR(R$5)&gt;2020,MONTH(R$5)=Macro!$D$52),Macro!$D138*AVERAGE(OFFSET(S203,0,0,1,-12))*Macro!$E138,0),"NA")</f>
        <v>12500</v>
      </c>
      <c r="S302" s="38">
        <f>IFERROR(Macro!$D138*Team!S203/12+IF(AND(YEAR(S$5)&gt;2020,MONTH(S$5)=Macro!$D$52),Macro!$D138*AVERAGE(OFFSET(T203,0,0,1,-12))*Macro!$E138,0),"NA")</f>
        <v>12500</v>
      </c>
      <c r="T302" s="39">
        <f>IFERROR(Macro!$D138*Team!T203/12+IF(AND(YEAR(T$5)&gt;2020,MONTH(T$5)=Macro!$D$52),Macro!$D138*AVERAGE(OFFSET(U203,0,0,1,-12))*Macro!$E138,0),"NA")</f>
        <v>12500</v>
      </c>
      <c r="U302" s="40">
        <f>IFERROR(Macro!$D138*Team!U203/12+IF(AND(YEAR(U$5)&gt;2020,MONTH(U$5)=Macro!$D$52),Macro!$D138*AVERAGE(OFFSET(V203,0,0,1,-12))*Macro!$E138,0),"NA")</f>
        <v>12500</v>
      </c>
      <c r="V302" s="38" t="str">
        <f>IFERROR(Macro!$D138*Team!V203/12+IF(AND(YEAR(V$5)&gt;2020,MONTH(V$5)=Macro!$D$52),Macro!$D138*AVERAGE(OFFSET(W203,0,0,1,-12))*Macro!$E138,0),"NA")</f>
        <v>NA</v>
      </c>
      <c r="W302" s="39">
        <f>IFERROR(Macro!$D138*Team!W203/12+IF(AND(YEAR(W$5)&gt;2020,MONTH(W$5)=Macro!$D$52),Macro!$D138*AVERAGE(OFFSET(X203,0,0,1,-12))*Macro!$E138,0),"NA")</f>
        <v>12500</v>
      </c>
      <c r="X302" s="40">
        <f>IFERROR(Macro!$D138*Team!X203/12+IF(AND(YEAR(X$5)&gt;2020,MONTH(X$5)=Macro!$D$52),Macro!$D138*AVERAGE(OFFSET(Y203,0,0,1,-12))*Macro!$E138,0),"NA")</f>
        <v>12500</v>
      </c>
      <c r="Y302" s="38">
        <f>IFERROR(Macro!$D138*Team!Y203/12+IF(AND(YEAR(Y$5)&gt;2020,MONTH(Y$5)=Macro!$D$52),Macro!$D138*AVERAGE(OFFSET(Z203,0,0,1,-12))*Macro!$E138,0),"NA")</f>
        <v>12500</v>
      </c>
      <c r="Z302" s="39">
        <f>IFERROR(Macro!$D138*Team!Z203/12+IF(AND(YEAR(Z$5)&gt;2020,MONTH(Z$5)=Macro!$D$52),Macro!$D138*AVERAGE(OFFSET(AA203,0,0,1,-12))*Macro!$E138,0),"NA")</f>
        <v>12500</v>
      </c>
      <c r="AA302" s="40">
        <f>IFERROR(Macro!$D138*Team!AA203/12+IF(AND(YEAR(AA$5)&gt;2020,MONTH(AA$5)=Macro!$D$52),Macro!$D138*AVERAGE(OFFSET(AB203,0,0,1,-12))*Macro!$E138,0),"NA")</f>
        <v>12500</v>
      </c>
      <c r="AB302" s="38">
        <f>IFERROR(Macro!$D138*Team!AB203/12+IF(AND(YEAR(AB$5)&gt;2020,MONTH(AB$5)=Macro!$D$52),Macro!$D138*AVERAGE(OFFSET(AC203,0,0,1,-12))*Macro!$E138,0),"NA")</f>
        <v>12500</v>
      </c>
      <c r="AC302" s="39">
        <f>IFERROR(Macro!$D138*Team!AC203/12+IF(AND(YEAR(AC$5)&gt;2020,MONTH(AC$5)=Macro!$D$52),Macro!$D138*AVERAGE(OFFSET(AD203,0,0,1,-12))*Macro!$E138,0),"NA")</f>
        <v>12500</v>
      </c>
      <c r="AD302" s="40">
        <f>IFERROR(Macro!$D138*Team!AD203/12+IF(AND(YEAR(AD$5)&gt;2020,MONTH(AD$5)=Macro!$D$52),Macro!$D138*AVERAGE(OFFSET(AE203,0,0,1,-12))*Macro!$E138,0),"NA")</f>
        <v>12500</v>
      </c>
      <c r="AE302" s="38">
        <f>IFERROR(Macro!$D138*Team!AE203/12+IF(AND(YEAR(AE$5)&gt;2020,MONTH(AE$5)=Macro!$D$52),Macro!$D138*AVERAGE(OFFSET(AF203,0,0,1,-12))*Macro!$E138,0),"NA")</f>
        <v>12500</v>
      </c>
      <c r="AF302" s="39">
        <f>IFERROR(Macro!$D138*Team!AF203/12+IF(AND(YEAR(AF$5)&gt;2020,MONTH(AF$5)=Macro!$D$52),Macro!$D138*AVERAGE(OFFSET(AG203,0,0,1,-12))*Macro!$E138,0),"NA")</f>
        <v>12500</v>
      </c>
      <c r="AG302" s="40">
        <f>IFERROR(Macro!$D138*Team!AG203/12+IF(AND(YEAR(AG$5)&gt;2020,MONTH(AG$5)=Macro!$D$52),Macro!$D138*AVERAGE(OFFSET(AH203,0,0,1,-12))*Macro!$E138,0),"NA")</f>
        <v>12500</v>
      </c>
      <c r="AH302" s="38" t="str">
        <f>IFERROR(Macro!$D138*Team!AH203/12+IF(AND(YEAR(AH$5)&gt;2020,MONTH(AH$5)=Macro!$D$52),Macro!$D138*AVERAGE(OFFSET(AI203,0,0,1,-12))*Macro!$E138,0),"NA")</f>
        <v>NA</v>
      </c>
      <c r="AI302" s="39">
        <f>IFERROR(Macro!$D138*Team!AI203/12+IF(AND(YEAR(AI$5)&gt;2020,MONTH(AI$5)=Macro!$D$52),Macro!$D138*AVERAGE(OFFSET(AJ203,0,0,1,-12))*Macro!$E138,0),"NA")</f>
        <v>12500</v>
      </c>
      <c r="AJ302" s="40">
        <f>IFERROR(Macro!$D138*Team!AJ203/12+IF(AND(YEAR(AJ$5)&gt;2020,MONTH(AJ$5)=Macro!$D$52),Macro!$D138*AVERAGE(OFFSET(AK203,0,0,1,-12))*Macro!$E138,0),"NA")</f>
        <v>12500</v>
      </c>
      <c r="AK302" s="38">
        <f>IFERROR(Macro!$D138*Team!AK203/12+IF(AND(YEAR(AK$5)&gt;2020,MONTH(AK$5)=Macro!$D$52),Macro!$D138*AVERAGE(OFFSET(AL203,0,0,1,-12))*Macro!$E138,0),"NA")</f>
        <v>12500</v>
      </c>
      <c r="AL302" s="39">
        <f>IFERROR(Macro!$D138*Team!AL203/12+IF(AND(YEAR(AL$5)&gt;2020,MONTH(AL$5)=Macro!$D$52),Macro!$D138*AVERAGE(OFFSET(AM203,0,0,1,-12))*Macro!$E138,0),"NA")</f>
        <v>12500</v>
      </c>
      <c r="AM302" s="40">
        <f>IFERROR(Macro!$D138*Team!AM203/12+IF(AND(YEAR(AM$5)&gt;2020,MONTH(AM$5)=Macro!$D$52),Macro!$D138*AVERAGE(OFFSET(AN203,0,0,1,-12))*Macro!$E138,0),"NA")</f>
        <v>12500</v>
      </c>
      <c r="AN302" s="38">
        <f>IFERROR(Macro!$D138*Team!AN203/12+IF(AND(YEAR(AN$5)&gt;2020,MONTH(AN$5)=Macro!$D$52),Macro!$D138*AVERAGE(OFFSET(AO203,0,0,1,-12))*Macro!$E138,0),"NA")</f>
        <v>12500</v>
      </c>
      <c r="AO302" s="39">
        <f>IFERROR(Macro!$D138*Team!AO203/12+IF(AND(YEAR(AO$5)&gt;2020,MONTH(AO$5)=Macro!$D$52),Macro!$D138*AVERAGE(OFFSET(AP203,0,0,1,-12))*Macro!$E138,0),"NA")</f>
        <v>12500</v>
      </c>
      <c r="AP302" s="40">
        <f>IFERROR(Macro!$D138*Team!AP203/12+IF(AND(YEAR(AP$5)&gt;2020,MONTH(AP$5)=Macro!$D$52),Macro!$D138*AVERAGE(OFFSET(AQ203,0,0,1,-12))*Macro!$E138,0),"NA")</f>
        <v>12500</v>
      </c>
      <c r="AQ302" s="38">
        <f>IFERROR(Macro!$D138*Team!AQ203/12+IF(AND(YEAR(AQ$5)&gt;2020,MONTH(AQ$5)=Macro!$D$52),Macro!$D138*AVERAGE(OFFSET(AR203,0,0,1,-12))*Macro!$E138,0),"NA")</f>
        <v>12500</v>
      </c>
      <c r="AR302" s="39">
        <f>IFERROR(Macro!$D138*Team!AR203/12+IF(AND(YEAR(AR$5)&gt;2020,MONTH(AR$5)=Macro!$D$52),Macro!$D138*AVERAGE(OFFSET(AS203,0,0,1,-12))*Macro!$E138,0),"NA")</f>
        <v>12500</v>
      </c>
      <c r="AS302" s="40">
        <f>IFERROR(Macro!$D138*Team!AS203/12+IF(AND(YEAR(AS$5)&gt;2020,MONTH(AS$5)=Macro!$D$52),Macro!$D138*AVERAGE(OFFSET(AT203,0,0,1,-12))*Macro!$E138,0),"NA")</f>
        <v>12500</v>
      </c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</row>
    <row r="303" ht="12.0" customHeight="1">
      <c r="A303" s="282"/>
      <c r="B303" s="4"/>
      <c r="C303" s="37" t="str">
        <f t="shared" si="106"/>
        <v>Office Admin / EA</v>
      </c>
      <c r="D303" s="283">
        <f>IFERROR(Macro!$D139*Team!D204/12+IF(AND(YEAR(D$5)&gt;2020,MONTH(D$5)=Macro!$D$52),Macro!$D139*AVERAGE(OFFSET(E204,0,0,1,-12))*Macro!$E139,0),"NA")</f>
        <v>12500</v>
      </c>
      <c r="E303" s="284">
        <f>IFERROR(Macro!$D139*Team!E204/12+IF(AND(YEAR(E$5)&gt;2020,MONTH(E$5)=Macro!$D$52),Macro!$D139*AVERAGE(OFFSET(F204,0,0,1,-12))*Macro!$E139,0),"NA")</f>
        <v>12500</v>
      </c>
      <c r="F303" s="284">
        <f>IFERROR(Macro!$D139*Team!F204/12+IF(AND(YEAR(F$5)&gt;2020,MONTH(F$5)=Macro!$D$52),Macro!$D139*AVERAGE(OFFSET(G204,0,0,1,-12))*Macro!$E139,0),"NA")</f>
        <v>12500</v>
      </c>
      <c r="G303" s="283">
        <f>IFERROR(Macro!$D139*Team!G204/12+IF(AND(YEAR(G$5)&gt;2020,MONTH(G$5)=Macro!$D$52),Macro!$D139*AVERAGE(OFFSET(H204,0,0,1,-12))*Macro!$E139,0),"NA")</f>
        <v>12500</v>
      </c>
      <c r="H303" s="284">
        <f>IFERROR(Macro!$D139*Team!H204/12+IF(AND(YEAR(H$5)&gt;2020,MONTH(H$5)=Macro!$D$52),Macro!$D139*AVERAGE(OFFSET(I204,0,0,1,-12))*Macro!$E139,0),"NA")</f>
        <v>12500</v>
      </c>
      <c r="I303" s="285">
        <f>IFERROR(Macro!$D139*Team!I204/12+IF(AND(YEAR(I$5)&gt;2020,MONTH(I$5)=Macro!$D$52),Macro!$D139*AVERAGE(OFFSET(J204,0,0,1,-12))*Macro!$E139,0),"NA")</f>
        <v>12500</v>
      </c>
      <c r="J303" s="286">
        <f>IFERROR(Macro!$D139*Team!J204/12+IF(AND(YEAR(J$5)&gt;2020,MONTH(J$5)=Macro!$D$52),Macro!$D139*AVERAGE(OFFSET(K204,0,0,1,-12))*Macro!$E139,0),"NA")</f>
        <v>12500</v>
      </c>
      <c r="K303" s="287">
        <f>IFERROR(Macro!$D139*Team!K204/12+IF(AND(YEAR(K$5)&gt;2020,MONTH(K$5)=Macro!$D$52),Macro!$D139*AVERAGE(OFFSET(L204,0,0,1,-12))*Macro!$E139,0),"NA")</f>
        <v>12500</v>
      </c>
      <c r="L303" s="288">
        <f>IFERROR(Macro!$D139*Team!L204/12+IF(AND(YEAR(L$5)&gt;2020,MONTH(L$5)=Macro!$D$52),Macro!$D139*AVERAGE(OFFSET(M204,0,0,1,-12))*Macro!$E139,0),"NA")</f>
        <v>12500</v>
      </c>
      <c r="M303" s="38">
        <f>IFERROR(Macro!$D139*Team!M204/12+IF(AND(YEAR(M$5)&gt;2020,MONTH(M$5)=Macro!$D$52),Macro!$D139*AVERAGE(OFFSET(N204,0,0,1,-12))*Macro!$E139,0),"NA")</f>
        <v>12500</v>
      </c>
      <c r="N303" s="39">
        <f>IFERROR(Macro!$D139*Team!N204/12+IF(AND(YEAR(N$5)&gt;2020,MONTH(N$5)=Macro!$D$52),Macro!$D139*AVERAGE(OFFSET(O204,0,0,1,-12))*Macro!$E139,0),"NA")</f>
        <v>12500</v>
      </c>
      <c r="O303" s="40">
        <f>IFERROR(Macro!$D139*Team!O204/12+IF(AND(YEAR(O$5)&gt;2020,MONTH(O$5)=Macro!$D$52),Macro!$D139*AVERAGE(OFFSET(P204,0,0,1,-12))*Macro!$E139,0),"NA")</f>
        <v>12500</v>
      </c>
      <c r="P303" s="38">
        <f>IFERROR(Macro!$D139*Team!P204/12+IF(AND(YEAR(P$5)&gt;2020,MONTH(P$5)=Macro!$D$52),Macro!$D139*AVERAGE(OFFSET(Q204,0,0,1,-12))*Macro!$E139,0),"NA")</f>
        <v>12500</v>
      </c>
      <c r="Q303" s="39">
        <f>IFERROR(Macro!$D139*Team!Q204/12+IF(AND(YEAR(Q$5)&gt;2020,MONTH(Q$5)=Macro!$D$52),Macro!$D139*AVERAGE(OFFSET(R204,0,0,1,-12))*Macro!$E139,0),"NA")</f>
        <v>12500</v>
      </c>
      <c r="R303" s="40">
        <f>IFERROR(Macro!$D139*Team!R204/12+IF(AND(YEAR(R$5)&gt;2020,MONTH(R$5)=Macro!$D$52),Macro!$D139*AVERAGE(OFFSET(S204,0,0,1,-12))*Macro!$E139,0),"NA")</f>
        <v>12500</v>
      </c>
      <c r="S303" s="38">
        <f>IFERROR(Macro!$D139*Team!S204/12+IF(AND(YEAR(S$5)&gt;2020,MONTH(S$5)=Macro!$D$52),Macro!$D139*AVERAGE(OFFSET(T204,0,0,1,-12))*Macro!$E139,0),"NA")</f>
        <v>12500</v>
      </c>
      <c r="T303" s="39">
        <f>IFERROR(Macro!$D139*Team!T204/12+IF(AND(YEAR(T$5)&gt;2020,MONTH(T$5)=Macro!$D$52),Macro!$D139*AVERAGE(OFFSET(U204,0,0,1,-12))*Macro!$E139,0),"NA")</f>
        <v>12500</v>
      </c>
      <c r="U303" s="40">
        <f>IFERROR(Macro!$D139*Team!U204/12+IF(AND(YEAR(U$5)&gt;2020,MONTH(U$5)=Macro!$D$52),Macro!$D139*AVERAGE(OFFSET(V204,0,0,1,-12))*Macro!$E139,0),"NA")</f>
        <v>12500</v>
      </c>
      <c r="V303" s="38" t="str">
        <f>IFERROR(Macro!$D139*Team!V204/12+IF(AND(YEAR(V$5)&gt;2020,MONTH(V$5)=Macro!$D$52),Macro!$D139*AVERAGE(OFFSET(W204,0,0,1,-12))*Macro!$E139,0),"NA")</f>
        <v>NA</v>
      </c>
      <c r="W303" s="39">
        <f>IFERROR(Macro!$D139*Team!W204/12+IF(AND(YEAR(W$5)&gt;2020,MONTH(W$5)=Macro!$D$52),Macro!$D139*AVERAGE(OFFSET(X204,0,0,1,-12))*Macro!$E139,0),"NA")</f>
        <v>12500</v>
      </c>
      <c r="X303" s="40">
        <f>IFERROR(Macro!$D139*Team!X204/12+IF(AND(YEAR(X$5)&gt;2020,MONTH(X$5)=Macro!$D$52),Macro!$D139*AVERAGE(OFFSET(Y204,0,0,1,-12))*Macro!$E139,0),"NA")</f>
        <v>12500</v>
      </c>
      <c r="Y303" s="38">
        <f>IFERROR(Macro!$D139*Team!Y204/12+IF(AND(YEAR(Y$5)&gt;2020,MONTH(Y$5)=Macro!$D$52),Macro!$D139*AVERAGE(OFFSET(Z204,0,0,1,-12))*Macro!$E139,0),"NA")</f>
        <v>12500</v>
      </c>
      <c r="Z303" s="39">
        <f>IFERROR(Macro!$D139*Team!Z204/12+IF(AND(YEAR(Z$5)&gt;2020,MONTH(Z$5)=Macro!$D$52),Macro!$D139*AVERAGE(OFFSET(AA204,0,0,1,-12))*Macro!$E139,0),"NA")</f>
        <v>12500</v>
      </c>
      <c r="AA303" s="40">
        <f>IFERROR(Macro!$D139*Team!AA204/12+IF(AND(YEAR(AA$5)&gt;2020,MONTH(AA$5)=Macro!$D$52),Macro!$D139*AVERAGE(OFFSET(AB204,0,0,1,-12))*Macro!$E139,0),"NA")</f>
        <v>12500</v>
      </c>
      <c r="AB303" s="38">
        <f>IFERROR(Macro!$D139*Team!AB204/12+IF(AND(YEAR(AB$5)&gt;2020,MONTH(AB$5)=Macro!$D$52),Macro!$D139*AVERAGE(OFFSET(AC204,0,0,1,-12))*Macro!$E139,0),"NA")</f>
        <v>12500</v>
      </c>
      <c r="AC303" s="39">
        <f>IFERROR(Macro!$D139*Team!AC204/12+IF(AND(YEAR(AC$5)&gt;2020,MONTH(AC$5)=Macro!$D$52),Macro!$D139*AVERAGE(OFFSET(AD204,0,0,1,-12))*Macro!$E139,0),"NA")</f>
        <v>12500</v>
      </c>
      <c r="AD303" s="40">
        <f>IFERROR(Macro!$D139*Team!AD204/12+IF(AND(YEAR(AD$5)&gt;2020,MONTH(AD$5)=Macro!$D$52),Macro!$D139*AVERAGE(OFFSET(AE204,0,0,1,-12))*Macro!$E139,0),"NA")</f>
        <v>12500</v>
      </c>
      <c r="AE303" s="38">
        <f>IFERROR(Macro!$D139*Team!AE204/12+IF(AND(YEAR(AE$5)&gt;2020,MONTH(AE$5)=Macro!$D$52),Macro!$D139*AVERAGE(OFFSET(AF204,0,0,1,-12))*Macro!$E139,0),"NA")</f>
        <v>12500</v>
      </c>
      <c r="AF303" s="39">
        <f>IFERROR(Macro!$D139*Team!AF204/12+IF(AND(YEAR(AF$5)&gt;2020,MONTH(AF$5)=Macro!$D$52),Macro!$D139*AVERAGE(OFFSET(AG204,0,0,1,-12))*Macro!$E139,0),"NA")</f>
        <v>12500</v>
      </c>
      <c r="AG303" s="40">
        <f>IFERROR(Macro!$D139*Team!AG204/12+IF(AND(YEAR(AG$5)&gt;2020,MONTH(AG$5)=Macro!$D$52),Macro!$D139*AVERAGE(OFFSET(AH204,0,0,1,-12))*Macro!$E139,0),"NA")</f>
        <v>12500</v>
      </c>
      <c r="AH303" s="38" t="str">
        <f>IFERROR(Macro!$D139*Team!AH204/12+IF(AND(YEAR(AH$5)&gt;2020,MONTH(AH$5)=Macro!$D$52),Macro!$D139*AVERAGE(OFFSET(AI204,0,0,1,-12))*Macro!$E139,0),"NA")</f>
        <v>NA</v>
      </c>
      <c r="AI303" s="39">
        <f>IFERROR(Macro!$D139*Team!AI204/12+IF(AND(YEAR(AI$5)&gt;2020,MONTH(AI$5)=Macro!$D$52),Macro!$D139*AVERAGE(OFFSET(AJ204,0,0,1,-12))*Macro!$E139,0),"NA")</f>
        <v>12500</v>
      </c>
      <c r="AJ303" s="40">
        <f>IFERROR(Macro!$D139*Team!AJ204/12+IF(AND(YEAR(AJ$5)&gt;2020,MONTH(AJ$5)=Macro!$D$52),Macro!$D139*AVERAGE(OFFSET(AK204,0,0,1,-12))*Macro!$E139,0),"NA")</f>
        <v>12500</v>
      </c>
      <c r="AK303" s="38">
        <f>IFERROR(Macro!$D139*Team!AK204/12+IF(AND(YEAR(AK$5)&gt;2020,MONTH(AK$5)=Macro!$D$52),Macro!$D139*AVERAGE(OFFSET(AL204,0,0,1,-12))*Macro!$E139,0),"NA")</f>
        <v>12500</v>
      </c>
      <c r="AL303" s="39">
        <f>IFERROR(Macro!$D139*Team!AL204/12+IF(AND(YEAR(AL$5)&gt;2020,MONTH(AL$5)=Macro!$D$52),Macro!$D139*AVERAGE(OFFSET(AM204,0,0,1,-12))*Macro!$E139,0),"NA")</f>
        <v>12500</v>
      </c>
      <c r="AM303" s="40">
        <f>IFERROR(Macro!$D139*Team!AM204/12+IF(AND(YEAR(AM$5)&gt;2020,MONTH(AM$5)=Macro!$D$52),Macro!$D139*AVERAGE(OFFSET(AN204,0,0,1,-12))*Macro!$E139,0),"NA")</f>
        <v>12500</v>
      </c>
      <c r="AN303" s="38">
        <f>IFERROR(Macro!$D139*Team!AN204/12+IF(AND(YEAR(AN$5)&gt;2020,MONTH(AN$5)=Macro!$D$52),Macro!$D139*AVERAGE(OFFSET(AO204,0,0,1,-12))*Macro!$E139,0),"NA")</f>
        <v>12500</v>
      </c>
      <c r="AO303" s="39">
        <f>IFERROR(Macro!$D139*Team!AO204/12+IF(AND(YEAR(AO$5)&gt;2020,MONTH(AO$5)=Macro!$D$52),Macro!$D139*AVERAGE(OFFSET(AP204,0,0,1,-12))*Macro!$E139,0),"NA")</f>
        <v>12500</v>
      </c>
      <c r="AP303" s="40">
        <f>IFERROR(Macro!$D139*Team!AP204/12+IF(AND(YEAR(AP$5)&gt;2020,MONTH(AP$5)=Macro!$D$52),Macro!$D139*AVERAGE(OFFSET(AQ204,0,0,1,-12))*Macro!$E139,0),"NA")</f>
        <v>12500</v>
      </c>
      <c r="AQ303" s="38">
        <f>IFERROR(Macro!$D139*Team!AQ204/12+IF(AND(YEAR(AQ$5)&gt;2020,MONTH(AQ$5)=Macro!$D$52),Macro!$D139*AVERAGE(OFFSET(AR204,0,0,1,-12))*Macro!$E139,0),"NA")</f>
        <v>12500</v>
      </c>
      <c r="AR303" s="39">
        <f>IFERROR(Macro!$D139*Team!AR204/12+IF(AND(YEAR(AR$5)&gt;2020,MONTH(AR$5)=Macro!$D$52),Macro!$D139*AVERAGE(OFFSET(AS204,0,0,1,-12))*Macro!$E139,0),"NA")</f>
        <v>12500</v>
      </c>
      <c r="AS303" s="40">
        <f>IFERROR(Macro!$D139*Team!AS204/12+IF(AND(YEAR(AS$5)&gt;2020,MONTH(AS$5)=Macro!$D$52),Macro!$D139*AVERAGE(OFFSET(AT204,0,0,1,-12))*Macro!$E139,0),"NA")</f>
        <v>12500</v>
      </c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</row>
    <row r="304" ht="12.0" customHeight="1">
      <c r="A304" s="282"/>
      <c r="B304" s="4"/>
      <c r="C304" s="37" t="str">
        <f t="shared" si="106"/>
        <v>Finance Director</v>
      </c>
      <c r="D304" s="283">
        <f>IFERROR(Macro!$D140*Team!D205/12+IF(AND(YEAR(D$5)&gt;2020,MONTH(D$5)=Macro!$D$52),Macro!$D140*AVERAGE(OFFSET(E205,0,0,1,-12))*Macro!$E140,0),"NA")</f>
        <v>0</v>
      </c>
      <c r="E304" s="284">
        <f>IFERROR(Macro!$D140*Team!E205/12+IF(AND(YEAR(E$5)&gt;2020,MONTH(E$5)=Macro!$D$52),Macro!$D140*AVERAGE(OFFSET(F205,0,0,1,-12))*Macro!$E140,0),"NA")</f>
        <v>0</v>
      </c>
      <c r="F304" s="284">
        <f>IFERROR(Macro!$D140*Team!F205/12+IF(AND(YEAR(F$5)&gt;2020,MONTH(F$5)=Macro!$D$52),Macro!$D140*AVERAGE(OFFSET(G205,0,0,1,-12))*Macro!$E140,0),"NA")</f>
        <v>0</v>
      </c>
      <c r="G304" s="283">
        <f>IFERROR(Macro!$D140*Team!G205/12+IF(AND(YEAR(G$5)&gt;2020,MONTH(G$5)=Macro!$D$52),Macro!$D140*AVERAGE(OFFSET(H205,0,0,1,-12))*Macro!$E140,0),"NA")</f>
        <v>0</v>
      </c>
      <c r="H304" s="284">
        <f>IFERROR(Macro!$D140*Team!H205/12+IF(AND(YEAR(H$5)&gt;2020,MONTH(H$5)=Macro!$D$52),Macro!$D140*AVERAGE(OFFSET(I205,0,0,1,-12))*Macro!$E140,0),"NA")</f>
        <v>0</v>
      </c>
      <c r="I304" s="285">
        <f>IFERROR(Macro!$D140*Team!I205/12+IF(AND(YEAR(I$5)&gt;2020,MONTH(I$5)=Macro!$D$52),Macro!$D140*AVERAGE(OFFSET(J205,0,0,1,-12))*Macro!$E140,0),"NA")</f>
        <v>0</v>
      </c>
      <c r="J304" s="286">
        <f>IFERROR(Macro!$D140*Team!J205/12+IF(AND(YEAR(J$5)&gt;2020,MONTH(J$5)=Macro!$D$52),Macro!$D140*AVERAGE(OFFSET(K205,0,0,1,-12))*Macro!$E140,0),"NA")</f>
        <v>0</v>
      </c>
      <c r="K304" s="287">
        <f>IFERROR(Macro!$D140*Team!K205/12+IF(AND(YEAR(K$5)&gt;2020,MONTH(K$5)=Macro!$D$52),Macro!$D140*AVERAGE(OFFSET(L205,0,0,1,-12))*Macro!$E140,0),"NA")</f>
        <v>0</v>
      </c>
      <c r="L304" s="288">
        <f>IFERROR(Macro!$D140*Team!L205/12+IF(AND(YEAR(L$5)&gt;2020,MONTH(L$5)=Macro!$D$52),Macro!$D140*AVERAGE(OFFSET(M205,0,0,1,-12))*Macro!$E140,0),"NA")</f>
        <v>0</v>
      </c>
      <c r="M304" s="38">
        <f>IFERROR(Macro!$D140*Team!M205/12+IF(AND(YEAR(M$5)&gt;2020,MONTH(M$5)=Macro!$D$52),Macro!$D140*AVERAGE(OFFSET(N205,0,0,1,-12))*Macro!$E140,0),"NA")</f>
        <v>0</v>
      </c>
      <c r="N304" s="39">
        <f>IFERROR(Macro!$D140*Team!N205/12+IF(AND(YEAR(N$5)&gt;2020,MONTH(N$5)=Macro!$D$52),Macro!$D140*AVERAGE(OFFSET(O205,0,0,1,-12))*Macro!$E140,0),"NA")</f>
        <v>0</v>
      </c>
      <c r="O304" s="40">
        <f>IFERROR(Macro!$D140*Team!O205/12+IF(AND(YEAR(O$5)&gt;2020,MONTH(O$5)=Macro!$D$52),Macro!$D140*AVERAGE(OFFSET(P205,0,0,1,-12))*Macro!$E140,0),"NA")</f>
        <v>0</v>
      </c>
      <c r="P304" s="38">
        <f>IFERROR(Macro!$D140*Team!P205/12+IF(AND(YEAR(P$5)&gt;2020,MONTH(P$5)=Macro!$D$52),Macro!$D140*AVERAGE(OFFSET(Q205,0,0,1,-12))*Macro!$E140,0),"NA")</f>
        <v>0</v>
      </c>
      <c r="Q304" s="39">
        <f>IFERROR(Macro!$D140*Team!Q205/12+IF(AND(YEAR(Q$5)&gt;2020,MONTH(Q$5)=Macro!$D$52),Macro!$D140*AVERAGE(OFFSET(R205,0,0,1,-12))*Macro!$E140,0),"NA")</f>
        <v>0</v>
      </c>
      <c r="R304" s="40">
        <f>IFERROR(Macro!$D140*Team!R205/12+IF(AND(YEAR(R$5)&gt;2020,MONTH(R$5)=Macro!$D$52),Macro!$D140*AVERAGE(OFFSET(S205,0,0,1,-12))*Macro!$E140,0),"NA")</f>
        <v>0</v>
      </c>
      <c r="S304" s="38">
        <f>IFERROR(Macro!$D140*Team!S205/12+IF(AND(YEAR(S$5)&gt;2020,MONTH(S$5)=Macro!$D$52),Macro!$D140*AVERAGE(OFFSET(T205,0,0,1,-12))*Macro!$E140,0),"NA")</f>
        <v>0</v>
      </c>
      <c r="T304" s="39">
        <f>IFERROR(Macro!$D140*Team!T205/12+IF(AND(YEAR(T$5)&gt;2020,MONTH(T$5)=Macro!$D$52),Macro!$D140*AVERAGE(OFFSET(U205,0,0,1,-12))*Macro!$E140,0),"NA")</f>
        <v>0</v>
      </c>
      <c r="U304" s="40">
        <f>IFERROR(Macro!$D140*Team!U205/12+IF(AND(YEAR(U$5)&gt;2020,MONTH(U$5)=Macro!$D$52),Macro!$D140*AVERAGE(OFFSET(V205,0,0,1,-12))*Macro!$E140,0),"NA")</f>
        <v>0</v>
      </c>
      <c r="V304" s="38" t="str">
        <f>IFERROR(Macro!$D140*Team!V205/12+IF(AND(YEAR(V$5)&gt;2020,MONTH(V$5)=Macro!$D$52),Macro!$D140*AVERAGE(OFFSET(W205,0,0,1,-12))*Macro!$E140,0),"NA")</f>
        <v>NA</v>
      </c>
      <c r="W304" s="39">
        <f>IFERROR(Macro!$D140*Team!W205/12+IF(AND(YEAR(W$5)&gt;2020,MONTH(W$5)=Macro!$D$52),Macro!$D140*AVERAGE(OFFSET(X205,0,0,1,-12))*Macro!$E140,0),"NA")</f>
        <v>0</v>
      </c>
      <c r="X304" s="40">
        <f>IFERROR(Macro!$D140*Team!X205/12+IF(AND(YEAR(X$5)&gt;2020,MONTH(X$5)=Macro!$D$52),Macro!$D140*AVERAGE(OFFSET(Y205,0,0,1,-12))*Macro!$E140,0),"NA")</f>
        <v>0</v>
      </c>
      <c r="Y304" s="38">
        <f>IFERROR(Macro!$D140*Team!Y205/12+IF(AND(YEAR(Y$5)&gt;2020,MONTH(Y$5)=Macro!$D$52),Macro!$D140*AVERAGE(OFFSET(Z205,0,0,1,-12))*Macro!$E140,0),"NA")</f>
        <v>0</v>
      </c>
      <c r="Z304" s="39">
        <f>IFERROR(Macro!$D140*Team!Z205/12+IF(AND(YEAR(Z$5)&gt;2020,MONTH(Z$5)=Macro!$D$52),Macro!$D140*AVERAGE(OFFSET(AA205,0,0,1,-12))*Macro!$E140,0),"NA")</f>
        <v>0</v>
      </c>
      <c r="AA304" s="40">
        <f>IFERROR(Macro!$D140*Team!AA205/12+IF(AND(YEAR(AA$5)&gt;2020,MONTH(AA$5)=Macro!$D$52),Macro!$D140*AVERAGE(OFFSET(AB205,0,0,1,-12))*Macro!$E140,0),"NA")</f>
        <v>0</v>
      </c>
      <c r="AB304" s="38">
        <f>IFERROR(Macro!$D140*Team!AB205/12+IF(AND(YEAR(AB$5)&gt;2020,MONTH(AB$5)=Macro!$D$52),Macro!$D140*AVERAGE(OFFSET(AC205,0,0,1,-12))*Macro!$E140,0),"NA")</f>
        <v>0</v>
      </c>
      <c r="AC304" s="39">
        <f>IFERROR(Macro!$D140*Team!AC205/12+IF(AND(YEAR(AC$5)&gt;2020,MONTH(AC$5)=Macro!$D$52),Macro!$D140*AVERAGE(OFFSET(AD205,0,0,1,-12))*Macro!$E140,0),"NA")</f>
        <v>0</v>
      </c>
      <c r="AD304" s="40">
        <f>IFERROR(Macro!$D140*Team!AD205/12+IF(AND(YEAR(AD$5)&gt;2020,MONTH(AD$5)=Macro!$D$52),Macro!$D140*AVERAGE(OFFSET(AE205,0,0,1,-12))*Macro!$E140,0),"NA")</f>
        <v>0</v>
      </c>
      <c r="AE304" s="38">
        <f>IFERROR(Macro!$D140*Team!AE205/12+IF(AND(YEAR(AE$5)&gt;2020,MONTH(AE$5)=Macro!$D$52),Macro!$D140*AVERAGE(OFFSET(AF205,0,0,1,-12))*Macro!$E140,0),"NA")</f>
        <v>0</v>
      </c>
      <c r="AF304" s="39">
        <f>IFERROR(Macro!$D140*Team!AF205/12+IF(AND(YEAR(AF$5)&gt;2020,MONTH(AF$5)=Macro!$D$52),Macro!$D140*AVERAGE(OFFSET(AG205,0,0,1,-12))*Macro!$E140,0),"NA")</f>
        <v>0</v>
      </c>
      <c r="AG304" s="40">
        <f>IFERROR(Macro!$D140*Team!AG205/12+IF(AND(YEAR(AG$5)&gt;2020,MONTH(AG$5)=Macro!$D$52),Macro!$D140*AVERAGE(OFFSET(AH205,0,0,1,-12))*Macro!$E140,0),"NA")</f>
        <v>0</v>
      </c>
      <c r="AH304" s="38" t="str">
        <f>IFERROR(Macro!$D140*Team!AH205/12+IF(AND(YEAR(AH$5)&gt;2020,MONTH(AH$5)=Macro!$D$52),Macro!$D140*AVERAGE(OFFSET(AI205,0,0,1,-12))*Macro!$E140,0),"NA")</f>
        <v>NA</v>
      </c>
      <c r="AI304" s="39">
        <f>IFERROR(Macro!$D140*Team!AI205/12+IF(AND(YEAR(AI$5)&gt;2020,MONTH(AI$5)=Macro!$D$52),Macro!$D140*AVERAGE(OFFSET(AJ205,0,0,1,-12))*Macro!$E140,0),"NA")</f>
        <v>0</v>
      </c>
      <c r="AJ304" s="40">
        <f>IFERROR(Macro!$D140*Team!AJ205/12+IF(AND(YEAR(AJ$5)&gt;2020,MONTH(AJ$5)=Macro!$D$52),Macro!$D140*AVERAGE(OFFSET(AK205,0,0,1,-12))*Macro!$E140,0),"NA")</f>
        <v>0</v>
      </c>
      <c r="AK304" s="38">
        <f>IFERROR(Macro!$D140*Team!AK205/12+IF(AND(YEAR(AK$5)&gt;2020,MONTH(AK$5)=Macro!$D$52),Macro!$D140*AVERAGE(OFFSET(AL205,0,0,1,-12))*Macro!$E140,0),"NA")</f>
        <v>0</v>
      </c>
      <c r="AL304" s="39">
        <f>IFERROR(Macro!$D140*Team!AL205/12+IF(AND(YEAR(AL$5)&gt;2020,MONTH(AL$5)=Macro!$D$52),Macro!$D140*AVERAGE(OFFSET(AM205,0,0,1,-12))*Macro!$E140,0),"NA")</f>
        <v>0</v>
      </c>
      <c r="AM304" s="40">
        <f>IFERROR(Macro!$D140*Team!AM205/12+IF(AND(YEAR(AM$5)&gt;2020,MONTH(AM$5)=Macro!$D$52),Macro!$D140*AVERAGE(OFFSET(AN205,0,0,1,-12))*Macro!$E140,0),"NA")</f>
        <v>0</v>
      </c>
      <c r="AN304" s="38">
        <f>IFERROR(Macro!$D140*Team!AN205/12+IF(AND(YEAR(AN$5)&gt;2020,MONTH(AN$5)=Macro!$D$52),Macro!$D140*AVERAGE(OFFSET(AO205,0,0,1,-12))*Macro!$E140,0),"NA")</f>
        <v>0</v>
      </c>
      <c r="AO304" s="39">
        <f>IFERROR(Macro!$D140*Team!AO205/12+IF(AND(YEAR(AO$5)&gt;2020,MONTH(AO$5)=Macro!$D$52),Macro!$D140*AVERAGE(OFFSET(AP205,0,0,1,-12))*Macro!$E140,0),"NA")</f>
        <v>0</v>
      </c>
      <c r="AP304" s="40">
        <f>IFERROR(Macro!$D140*Team!AP205/12+IF(AND(YEAR(AP$5)&gt;2020,MONTH(AP$5)=Macro!$D$52),Macro!$D140*AVERAGE(OFFSET(AQ205,0,0,1,-12))*Macro!$E140,0),"NA")</f>
        <v>0</v>
      </c>
      <c r="AQ304" s="38">
        <f>IFERROR(Macro!$D140*Team!AQ205/12+IF(AND(YEAR(AQ$5)&gt;2020,MONTH(AQ$5)=Macro!$D$52),Macro!$D140*AVERAGE(OFFSET(AR205,0,0,1,-12))*Macro!$E140,0),"NA")</f>
        <v>0</v>
      </c>
      <c r="AR304" s="39">
        <f>IFERROR(Macro!$D140*Team!AR205/12+IF(AND(YEAR(AR$5)&gt;2020,MONTH(AR$5)=Macro!$D$52),Macro!$D140*AVERAGE(OFFSET(AS205,0,0,1,-12))*Macro!$E140,0),"NA")</f>
        <v>0</v>
      </c>
      <c r="AS304" s="40">
        <f>IFERROR(Macro!$D140*Team!AS205/12+IF(AND(YEAR(AS$5)&gt;2020,MONTH(AS$5)=Macro!$D$52),Macro!$D140*AVERAGE(OFFSET(AT205,0,0,1,-12))*Macro!$E140,0),"NA")</f>
        <v>0</v>
      </c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</row>
    <row r="305" ht="12.0" customHeight="1">
      <c r="A305" s="282"/>
      <c r="B305" s="4"/>
      <c r="C305" s="37" t="str">
        <f t="shared" si="106"/>
        <v>[XX]</v>
      </c>
      <c r="D305" s="283">
        <f>IFERROR(Macro!$D141*Team!D206/12+IF(AND(YEAR(D$5)&gt;2020,MONTH(D$5)=Macro!$D$52),Macro!$D141*AVERAGE(OFFSET(E206,0,0,1,-12))*Macro!$E141,0),"NA")</f>
        <v>0</v>
      </c>
      <c r="E305" s="284">
        <f>IFERROR(Macro!$D141*Team!E206/12+IF(AND(YEAR(E$5)&gt;2020,MONTH(E$5)=Macro!$D$52),Macro!$D141*AVERAGE(OFFSET(F206,0,0,1,-12))*Macro!$E141,0),"NA")</f>
        <v>0</v>
      </c>
      <c r="F305" s="284">
        <f>IFERROR(Macro!$D141*Team!F206/12+IF(AND(YEAR(F$5)&gt;2020,MONTH(F$5)=Macro!$D$52),Macro!$D141*AVERAGE(OFFSET(G206,0,0,1,-12))*Macro!$E141,0),"NA")</f>
        <v>0</v>
      </c>
      <c r="G305" s="283">
        <f>IFERROR(Macro!$D141*Team!G206/12+IF(AND(YEAR(G$5)&gt;2020,MONTH(G$5)=Macro!$D$52),Macro!$D141*AVERAGE(OFFSET(H206,0,0,1,-12))*Macro!$E141,0),"NA")</f>
        <v>0</v>
      </c>
      <c r="H305" s="284">
        <f>IFERROR(Macro!$D141*Team!H206/12+IF(AND(YEAR(H$5)&gt;2020,MONTH(H$5)=Macro!$D$52),Macro!$D141*AVERAGE(OFFSET(I206,0,0,1,-12))*Macro!$E141,0),"NA")</f>
        <v>0</v>
      </c>
      <c r="I305" s="285">
        <f>IFERROR(Macro!$D141*Team!I206/12+IF(AND(YEAR(I$5)&gt;2020,MONTH(I$5)=Macro!$D$52),Macro!$D141*AVERAGE(OFFSET(J206,0,0,1,-12))*Macro!$E141,0),"NA")</f>
        <v>0</v>
      </c>
      <c r="J305" s="286">
        <f>IFERROR(Macro!$D141*Team!J206/12+IF(AND(YEAR(J$5)&gt;2020,MONTH(J$5)=Macro!$D$52),Macro!$D141*AVERAGE(OFFSET(K206,0,0,1,-12))*Macro!$E141,0),"NA")</f>
        <v>0</v>
      </c>
      <c r="K305" s="287">
        <f>IFERROR(Macro!$D141*Team!K206/12+IF(AND(YEAR(K$5)&gt;2020,MONTH(K$5)=Macro!$D$52),Macro!$D141*AVERAGE(OFFSET(L206,0,0,1,-12))*Macro!$E141,0),"NA")</f>
        <v>0</v>
      </c>
      <c r="L305" s="288">
        <f>IFERROR(Macro!$D141*Team!L206/12+IF(AND(YEAR(L$5)&gt;2020,MONTH(L$5)=Macro!$D$52),Macro!$D141*AVERAGE(OFFSET(M206,0,0,1,-12))*Macro!$E141,0),"NA")</f>
        <v>0</v>
      </c>
      <c r="M305" s="38">
        <f>IFERROR(Macro!$D141*Team!M206/12+IF(AND(YEAR(M$5)&gt;2020,MONTH(M$5)=Macro!$D$52),Macro!$D141*AVERAGE(OFFSET(N206,0,0,1,-12))*Macro!$E141,0),"NA")</f>
        <v>0</v>
      </c>
      <c r="N305" s="39">
        <f>IFERROR(Macro!$D141*Team!N206/12+IF(AND(YEAR(N$5)&gt;2020,MONTH(N$5)=Macro!$D$52),Macro!$D141*AVERAGE(OFFSET(O206,0,0,1,-12))*Macro!$E141,0),"NA")</f>
        <v>0</v>
      </c>
      <c r="O305" s="40">
        <f>IFERROR(Macro!$D141*Team!O206/12+IF(AND(YEAR(O$5)&gt;2020,MONTH(O$5)=Macro!$D$52),Macro!$D141*AVERAGE(OFFSET(P206,0,0,1,-12))*Macro!$E141,0),"NA")</f>
        <v>0</v>
      </c>
      <c r="P305" s="38">
        <f>IFERROR(Macro!$D141*Team!P206/12+IF(AND(YEAR(P$5)&gt;2020,MONTH(P$5)=Macro!$D$52),Macro!$D141*AVERAGE(OFFSET(Q206,0,0,1,-12))*Macro!$E141,0),"NA")</f>
        <v>0</v>
      </c>
      <c r="Q305" s="39">
        <f>IFERROR(Macro!$D141*Team!Q206/12+IF(AND(YEAR(Q$5)&gt;2020,MONTH(Q$5)=Macro!$D$52),Macro!$D141*AVERAGE(OFFSET(R206,0,0,1,-12))*Macro!$E141,0),"NA")</f>
        <v>0</v>
      </c>
      <c r="R305" s="40">
        <f>IFERROR(Macro!$D141*Team!R206/12+IF(AND(YEAR(R$5)&gt;2020,MONTH(R$5)=Macro!$D$52),Macro!$D141*AVERAGE(OFFSET(S206,0,0,1,-12))*Macro!$E141,0),"NA")</f>
        <v>0</v>
      </c>
      <c r="S305" s="38">
        <f>IFERROR(Macro!$D141*Team!S206/12+IF(AND(YEAR(S$5)&gt;2020,MONTH(S$5)=Macro!$D$52),Macro!$D141*AVERAGE(OFFSET(T206,0,0,1,-12))*Macro!$E141,0),"NA")</f>
        <v>0</v>
      </c>
      <c r="T305" s="39">
        <f>IFERROR(Macro!$D141*Team!T206/12+IF(AND(YEAR(T$5)&gt;2020,MONTH(T$5)=Macro!$D$52),Macro!$D141*AVERAGE(OFFSET(U206,0,0,1,-12))*Macro!$E141,0),"NA")</f>
        <v>0</v>
      </c>
      <c r="U305" s="40">
        <f>IFERROR(Macro!$D141*Team!U206/12+IF(AND(YEAR(U$5)&gt;2020,MONTH(U$5)=Macro!$D$52),Macro!$D141*AVERAGE(OFFSET(V206,0,0,1,-12))*Macro!$E141,0),"NA")</f>
        <v>0</v>
      </c>
      <c r="V305" s="38" t="str">
        <f>IFERROR(Macro!$D141*Team!V206/12+IF(AND(YEAR(V$5)&gt;2020,MONTH(V$5)=Macro!$D$52),Macro!$D141*AVERAGE(OFFSET(W206,0,0,1,-12))*Macro!$E141,0),"NA")</f>
        <v>NA</v>
      </c>
      <c r="W305" s="39">
        <f>IFERROR(Macro!$D141*Team!W206/12+IF(AND(YEAR(W$5)&gt;2020,MONTH(W$5)=Macro!$D$52),Macro!$D141*AVERAGE(OFFSET(X206,0,0,1,-12))*Macro!$E141,0),"NA")</f>
        <v>0</v>
      </c>
      <c r="X305" s="40">
        <f>IFERROR(Macro!$D141*Team!X206/12+IF(AND(YEAR(X$5)&gt;2020,MONTH(X$5)=Macro!$D$52),Macro!$D141*AVERAGE(OFFSET(Y206,0,0,1,-12))*Macro!$E141,0),"NA")</f>
        <v>0</v>
      </c>
      <c r="Y305" s="38">
        <f>IFERROR(Macro!$D141*Team!Y206/12+IF(AND(YEAR(Y$5)&gt;2020,MONTH(Y$5)=Macro!$D$52),Macro!$D141*AVERAGE(OFFSET(Z206,0,0,1,-12))*Macro!$E141,0),"NA")</f>
        <v>0</v>
      </c>
      <c r="Z305" s="39">
        <f>IFERROR(Macro!$D141*Team!Z206/12+IF(AND(YEAR(Z$5)&gt;2020,MONTH(Z$5)=Macro!$D$52),Macro!$D141*AVERAGE(OFFSET(AA206,0,0,1,-12))*Macro!$E141,0),"NA")</f>
        <v>0</v>
      </c>
      <c r="AA305" s="40">
        <f>IFERROR(Macro!$D141*Team!AA206/12+IF(AND(YEAR(AA$5)&gt;2020,MONTH(AA$5)=Macro!$D$52),Macro!$D141*AVERAGE(OFFSET(AB206,0,0,1,-12))*Macro!$E141,0),"NA")</f>
        <v>0</v>
      </c>
      <c r="AB305" s="38">
        <f>IFERROR(Macro!$D141*Team!AB206/12+IF(AND(YEAR(AB$5)&gt;2020,MONTH(AB$5)=Macro!$D$52),Macro!$D141*AVERAGE(OFFSET(AC206,0,0,1,-12))*Macro!$E141,0),"NA")</f>
        <v>0</v>
      </c>
      <c r="AC305" s="39">
        <f>IFERROR(Macro!$D141*Team!AC206/12+IF(AND(YEAR(AC$5)&gt;2020,MONTH(AC$5)=Macro!$D$52),Macro!$D141*AVERAGE(OFFSET(AD206,0,0,1,-12))*Macro!$E141,0),"NA")</f>
        <v>0</v>
      </c>
      <c r="AD305" s="40">
        <f>IFERROR(Macro!$D141*Team!AD206/12+IF(AND(YEAR(AD$5)&gt;2020,MONTH(AD$5)=Macro!$D$52),Macro!$D141*AVERAGE(OFFSET(AE206,0,0,1,-12))*Macro!$E141,0),"NA")</f>
        <v>0</v>
      </c>
      <c r="AE305" s="38">
        <f>IFERROR(Macro!$D141*Team!AE206/12+IF(AND(YEAR(AE$5)&gt;2020,MONTH(AE$5)=Macro!$D$52),Macro!$D141*AVERAGE(OFFSET(AF206,0,0,1,-12))*Macro!$E141,0),"NA")</f>
        <v>0</v>
      </c>
      <c r="AF305" s="39">
        <f>IFERROR(Macro!$D141*Team!AF206/12+IF(AND(YEAR(AF$5)&gt;2020,MONTH(AF$5)=Macro!$D$52),Macro!$D141*AVERAGE(OFFSET(AG206,0,0,1,-12))*Macro!$E141,0),"NA")</f>
        <v>0</v>
      </c>
      <c r="AG305" s="40">
        <f>IFERROR(Macro!$D141*Team!AG206/12+IF(AND(YEAR(AG$5)&gt;2020,MONTH(AG$5)=Macro!$D$52),Macro!$D141*AVERAGE(OFFSET(AH206,0,0,1,-12))*Macro!$E141,0),"NA")</f>
        <v>0</v>
      </c>
      <c r="AH305" s="38" t="str">
        <f>IFERROR(Macro!$D141*Team!AH206/12+IF(AND(YEAR(AH$5)&gt;2020,MONTH(AH$5)=Macro!$D$52),Macro!$D141*AVERAGE(OFFSET(AI206,0,0,1,-12))*Macro!$E141,0),"NA")</f>
        <v>NA</v>
      </c>
      <c r="AI305" s="39">
        <f>IFERROR(Macro!$D141*Team!AI206/12+IF(AND(YEAR(AI$5)&gt;2020,MONTH(AI$5)=Macro!$D$52),Macro!$D141*AVERAGE(OFFSET(AJ206,0,0,1,-12))*Macro!$E141,0),"NA")</f>
        <v>0</v>
      </c>
      <c r="AJ305" s="40">
        <f>IFERROR(Macro!$D141*Team!AJ206/12+IF(AND(YEAR(AJ$5)&gt;2020,MONTH(AJ$5)=Macro!$D$52),Macro!$D141*AVERAGE(OFFSET(AK206,0,0,1,-12))*Macro!$E141,0),"NA")</f>
        <v>0</v>
      </c>
      <c r="AK305" s="38">
        <f>IFERROR(Macro!$D141*Team!AK206/12+IF(AND(YEAR(AK$5)&gt;2020,MONTH(AK$5)=Macro!$D$52),Macro!$D141*AVERAGE(OFFSET(AL206,0,0,1,-12))*Macro!$E141,0),"NA")</f>
        <v>0</v>
      </c>
      <c r="AL305" s="39">
        <f>IFERROR(Macro!$D141*Team!AL206/12+IF(AND(YEAR(AL$5)&gt;2020,MONTH(AL$5)=Macro!$D$52),Macro!$D141*AVERAGE(OFFSET(AM206,0,0,1,-12))*Macro!$E141,0),"NA")</f>
        <v>0</v>
      </c>
      <c r="AM305" s="40">
        <f>IFERROR(Macro!$D141*Team!AM206/12+IF(AND(YEAR(AM$5)&gt;2020,MONTH(AM$5)=Macro!$D$52),Macro!$D141*AVERAGE(OFFSET(AN206,0,0,1,-12))*Macro!$E141,0),"NA")</f>
        <v>0</v>
      </c>
      <c r="AN305" s="38">
        <f>IFERROR(Macro!$D141*Team!AN206/12+IF(AND(YEAR(AN$5)&gt;2020,MONTH(AN$5)=Macro!$D$52),Macro!$D141*AVERAGE(OFFSET(AO206,0,0,1,-12))*Macro!$E141,0),"NA")</f>
        <v>0</v>
      </c>
      <c r="AO305" s="39">
        <f>IFERROR(Macro!$D141*Team!AO206/12+IF(AND(YEAR(AO$5)&gt;2020,MONTH(AO$5)=Macro!$D$52),Macro!$D141*AVERAGE(OFFSET(AP206,0,0,1,-12))*Macro!$E141,0),"NA")</f>
        <v>0</v>
      </c>
      <c r="AP305" s="40">
        <f>IFERROR(Macro!$D141*Team!AP206/12+IF(AND(YEAR(AP$5)&gt;2020,MONTH(AP$5)=Macro!$D$52),Macro!$D141*AVERAGE(OFFSET(AQ206,0,0,1,-12))*Macro!$E141,0),"NA")</f>
        <v>0</v>
      </c>
      <c r="AQ305" s="38">
        <f>IFERROR(Macro!$D141*Team!AQ206/12+IF(AND(YEAR(AQ$5)&gt;2020,MONTH(AQ$5)=Macro!$D$52),Macro!$D141*AVERAGE(OFFSET(AR206,0,0,1,-12))*Macro!$E141,0),"NA")</f>
        <v>0</v>
      </c>
      <c r="AR305" s="39">
        <f>IFERROR(Macro!$D141*Team!AR206/12+IF(AND(YEAR(AR$5)&gt;2020,MONTH(AR$5)=Macro!$D$52),Macro!$D141*AVERAGE(OFFSET(AS206,0,0,1,-12))*Macro!$E141,0),"NA")</f>
        <v>0</v>
      </c>
      <c r="AS305" s="40">
        <f>IFERROR(Macro!$D141*Team!AS206/12+IF(AND(YEAR(AS$5)&gt;2020,MONTH(AS$5)=Macro!$D$52),Macro!$D141*AVERAGE(OFFSET(AT206,0,0,1,-12))*Macro!$E141,0),"NA")</f>
        <v>0</v>
      </c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</row>
    <row r="306" ht="12.0" customHeight="1">
      <c r="A306" s="282"/>
      <c r="B306" s="4"/>
      <c r="C306" s="37" t="str">
        <f t="shared" si="106"/>
        <v>[XX]</v>
      </c>
      <c r="D306" s="283">
        <f>IFERROR(Macro!$D142*Team!D207/12+IF(AND(YEAR(D$5)&gt;2020,MONTH(D$5)=Macro!$D$52),Macro!$D142*AVERAGE(OFFSET(E207,0,0,1,-12))*Macro!$E142,0),"NA")</f>
        <v>0</v>
      </c>
      <c r="E306" s="284">
        <f>IFERROR(Macro!$D142*Team!E207/12+IF(AND(YEAR(E$5)&gt;2020,MONTH(E$5)=Macro!$D$52),Macro!$D142*AVERAGE(OFFSET(F207,0,0,1,-12))*Macro!$E142,0),"NA")</f>
        <v>0</v>
      </c>
      <c r="F306" s="284">
        <f>IFERROR(Macro!$D142*Team!F207/12+IF(AND(YEAR(F$5)&gt;2020,MONTH(F$5)=Macro!$D$52),Macro!$D142*AVERAGE(OFFSET(G207,0,0,1,-12))*Macro!$E142,0),"NA")</f>
        <v>0</v>
      </c>
      <c r="G306" s="283">
        <f>IFERROR(Macro!$D142*Team!G207/12+IF(AND(YEAR(G$5)&gt;2020,MONTH(G$5)=Macro!$D$52),Macro!$D142*AVERAGE(OFFSET(H207,0,0,1,-12))*Macro!$E142,0),"NA")</f>
        <v>0</v>
      </c>
      <c r="H306" s="284">
        <f>IFERROR(Macro!$D142*Team!H207/12+IF(AND(YEAR(H$5)&gt;2020,MONTH(H$5)=Macro!$D$52),Macro!$D142*AVERAGE(OFFSET(I207,0,0,1,-12))*Macro!$E142,0),"NA")</f>
        <v>0</v>
      </c>
      <c r="I306" s="285">
        <f>IFERROR(Macro!$D142*Team!I207/12+IF(AND(YEAR(I$5)&gt;2020,MONTH(I$5)=Macro!$D$52),Macro!$D142*AVERAGE(OFFSET(J207,0,0,1,-12))*Macro!$E142,0),"NA")</f>
        <v>0</v>
      </c>
      <c r="J306" s="286">
        <f>IFERROR(Macro!$D142*Team!J207/12+IF(AND(YEAR(J$5)&gt;2020,MONTH(J$5)=Macro!$D$52),Macro!$D142*AVERAGE(OFFSET(K207,0,0,1,-12))*Macro!$E142,0),"NA")</f>
        <v>0</v>
      </c>
      <c r="K306" s="287">
        <f>IFERROR(Macro!$D142*Team!K207/12+IF(AND(YEAR(K$5)&gt;2020,MONTH(K$5)=Macro!$D$52),Macro!$D142*AVERAGE(OFFSET(L207,0,0,1,-12))*Macro!$E142,0),"NA")</f>
        <v>0</v>
      </c>
      <c r="L306" s="288">
        <f>IFERROR(Macro!$D142*Team!L207/12+IF(AND(YEAR(L$5)&gt;2020,MONTH(L$5)=Macro!$D$52),Macro!$D142*AVERAGE(OFFSET(M207,0,0,1,-12))*Macro!$E142,0),"NA")</f>
        <v>0</v>
      </c>
      <c r="M306" s="38">
        <f>IFERROR(Macro!$D142*Team!M207/12+IF(AND(YEAR(M$5)&gt;2020,MONTH(M$5)=Macro!$D$52),Macro!$D142*AVERAGE(OFFSET(N207,0,0,1,-12))*Macro!$E142,0),"NA")</f>
        <v>0</v>
      </c>
      <c r="N306" s="39">
        <f>IFERROR(Macro!$D142*Team!N207/12+IF(AND(YEAR(N$5)&gt;2020,MONTH(N$5)=Macro!$D$52),Macro!$D142*AVERAGE(OFFSET(O207,0,0,1,-12))*Macro!$E142,0),"NA")</f>
        <v>0</v>
      </c>
      <c r="O306" s="40">
        <f>IFERROR(Macro!$D142*Team!O207/12+IF(AND(YEAR(O$5)&gt;2020,MONTH(O$5)=Macro!$D$52),Macro!$D142*AVERAGE(OFFSET(P207,0,0,1,-12))*Macro!$E142,0),"NA")</f>
        <v>0</v>
      </c>
      <c r="P306" s="38">
        <f>IFERROR(Macro!$D142*Team!P207/12+IF(AND(YEAR(P$5)&gt;2020,MONTH(P$5)=Macro!$D$52),Macro!$D142*AVERAGE(OFFSET(Q207,0,0,1,-12))*Macro!$E142,0),"NA")</f>
        <v>0</v>
      </c>
      <c r="Q306" s="39">
        <f>IFERROR(Macro!$D142*Team!Q207/12+IF(AND(YEAR(Q$5)&gt;2020,MONTH(Q$5)=Macro!$D$52),Macro!$D142*AVERAGE(OFFSET(R207,0,0,1,-12))*Macro!$E142,0),"NA")</f>
        <v>0</v>
      </c>
      <c r="R306" s="40">
        <f>IFERROR(Macro!$D142*Team!R207/12+IF(AND(YEAR(R$5)&gt;2020,MONTH(R$5)=Macro!$D$52),Macro!$D142*AVERAGE(OFFSET(S207,0,0,1,-12))*Macro!$E142,0),"NA")</f>
        <v>0</v>
      </c>
      <c r="S306" s="38">
        <f>IFERROR(Macro!$D142*Team!S207/12+IF(AND(YEAR(S$5)&gt;2020,MONTH(S$5)=Macro!$D$52),Macro!$D142*AVERAGE(OFFSET(T207,0,0,1,-12))*Macro!$E142,0),"NA")</f>
        <v>0</v>
      </c>
      <c r="T306" s="39">
        <f>IFERROR(Macro!$D142*Team!T207/12+IF(AND(YEAR(T$5)&gt;2020,MONTH(T$5)=Macro!$D$52),Macro!$D142*AVERAGE(OFFSET(U207,0,0,1,-12))*Macro!$E142,0),"NA")</f>
        <v>0</v>
      </c>
      <c r="U306" s="40">
        <f>IFERROR(Macro!$D142*Team!U207/12+IF(AND(YEAR(U$5)&gt;2020,MONTH(U$5)=Macro!$D$52),Macro!$D142*AVERAGE(OFFSET(V207,0,0,1,-12))*Macro!$E142,0),"NA")</f>
        <v>0</v>
      </c>
      <c r="V306" s="38" t="str">
        <f>IFERROR(Macro!$D142*Team!V207/12+IF(AND(YEAR(V$5)&gt;2020,MONTH(V$5)=Macro!$D$52),Macro!$D142*AVERAGE(OFFSET(W207,0,0,1,-12))*Macro!$E142,0),"NA")</f>
        <v>NA</v>
      </c>
      <c r="W306" s="39">
        <f>IFERROR(Macro!$D142*Team!W207/12+IF(AND(YEAR(W$5)&gt;2020,MONTH(W$5)=Macro!$D$52),Macro!$D142*AVERAGE(OFFSET(X207,0,0,1,-12))*Macro!$E142,0),"NA")</f>
        <v>0</v>
      </c>
      <c r="X306" s="40">
        <f>IFERROR(Macro!$D142*Team!X207/12+IF(AND(YEAR(X$5)&gt;2020,MONTH(X$5)=Macro!$D$52),Macro!$D142*AVERAGE(OFFSET(Y207,0,0,1,-12))*Macro!$E142,0),"NA")</f>
        <v>0</v>
      </c>
      <c r="Y306" s="38">
        <f>IFERROR(Macro!$D142*Team!Y207/12+IF(AND(YEAR(Y$5)&gt;2020,MONTH(Y$5)=Macro!$D$52),Macro!$D142*AVERAGE(OFFSET(Z207,0,0,1,-12))*Macro!$E142,0),"NA")</f>
        <v>0</v>
      </c>
      <c r="Z306" s="39">
        <f>IFERROR(Macro!$D142*Team!Z207/12+IF(AND(YEAR(Z$5)&gt;2020,MONTH(Z$5)=Macro!$D$52),Macro!$D142*AVERAGE(OFFSET(AA207,0,0,1,-12))*Macro!$E142,0),"NA")</f>
        <v>0</v>
      </c>
      <c r="AA306" s="40">
        <f>IFERROR(Macro!$D142*Team!AA207/12+IF(AND(YEAR(AA$5)&gt;2020,MONTH(AA$5)=Macro!$D$52),Macro!$D142*AVERAGE(OFFSET(AB207,0,0,1,-12))*Macro!$E142,0),"NA")</f>
        <v>0</v>
      </c>
      <c r="AB306" s="38">
        <f>IFERROR(Macro!$D142*Team!AB207/12+IF(AND(YEAR(AB$5)&gt;2020,MONTH(AB$5)=Macro!$D$52),Macro!$D142*AVERAGE(OFFSET(AC207,0,0,1,-12))*Macro!$E142,0),"NA")</f>
        <v>0</v>
      </c>
      <c r="AC306" s="39">
        <f>IFERROR(Macro!$D142*Team!AC207/12+IF(AND(YEAR(AC$5)&gt;2020,MONTH(AC$5)=Macro!$D$52),Macro!$D142*AVERAGE(OFFSET(AD207,0,0,1,-12))*Macro!$E142,0),"NA")</f>
        <v>0</v>
      </c>
      <c r="AD306" s="40">
        <f>IFERROR(Macro!$D142*Team!AD207/12+IF(AND(YEAR(AD$5)&gt;2020,MONTH(AD$5)=Macro!$D$52),Macro!$D142*AVERAGE(OFFSET(AE207,0,0,1,-12))*Macro!$E142,0),"NA")</f>
        <v>0</v>
      </c>
      <c r="AE306" s="38">
        <f>IFERROR(Macro!$D142*Team!AE207/12+IF(AND(YEAR(AE$5)&gt;2020,MONTH(AE$5)=Macro!$D$52),Macro!$D142*AVERAGE(OFFSET(AF207,0,0,1,-12))*Macro!$E142,0),"NA")</f>
        <v>0</v>
      </c>
      <c r="AF306" s="39">
        <f>IFERROR(Macro!$D142*Team!AF207/12+IF(AND(YEAR(AF$5)&gt;2020,MONTH(AF$5)=Macro!$D$52),Macro!$D142*AVERAGE(OFFSET(AG207,0,0,1,-12))*Macro!$E142,0),"NA")</f>
        <v>0</v>
      </c>
      <c r="AG306" s="40">
        <f>IFERROR(Macro!$D142*Team!AG207/12+IF(AND(YEAR(AG$5)&gt;2020,MONTH(AG$5)=Macro!$D$52),Macro!$D142*AVERAGE(OFFSET(AH207,0,0,1,-12))*Macro!$E142,0),"NA")</f>
        <v>0</v>
      </c>
      <c r="AH306" s="38" t="str">
        <f>IFERROR(Macro!$D142*Team!AH207/12+IF(AND(YEAR(AH$5)&gt;2020,MONTH(AH$5)=Macro!$D$52),Macro!$D142*AVERAGE(OFFSET(AI207,0,0,1,-12))*Macro!$E142,0),"NA")</f>
        <v>NA</v>
      </c>
      <c r="AI306" s="39">
        <f>IFERROR(Macro!$D142*Team!AI207/12+IF(AND(YEAR(AI$5)&gt;2020,MONTH(AI$5)=Macro!$D$52),Macro!$D142*AVERAGE(OFFSET(AJ207,0,0,1,-12))*Macro!$E142,0),"NA")</f>
        <v>0</v>
      </c>
      <c r="AJ306" s="40">
        <f>IFERROR(Macro!$D142*Team!AJ207/12+IF(AND(YEAR(AJ$5)&gt;2020,MONTH(AJ$5)=Macro!$D$52),Macro!$D142*AVERAGE(OFFSET(AK207,0,0,1,-12))*Macro!$E142,0),"NA")</f>
        <v>0</v>
      </c>
      <c r="AK306" s="38">
        <f>IFERROR(Macro!$D142*Team!AK207/12+IF(AND(YEAR(AK$5)&gt;2020,MONTH(AK$5)=Macro!$D$52),Macro!$D142*AVERAGE(OFFSET(AL207,0,0,1,-12))*Macro!$E142,0),"NA")</f>
        <v>0</v>
      </c>
      <c r="AL306" s="39">
        <f>IFERROR(Macro!$D142*Team!AL207/12+IF(AND(YEAR(AL$5)&gt;2020,MONTH(AL$5)=Macro!$D$52),Macro!$D142*AVERAGE(OFFSET(AM207,0,0,1,-12))*Macro!$E142,0),"NA")</f>
        <v>0</v>
      </c>
      <c r="AM306" s="40">
        <f>IFERROR(Macro!$D142*Team!AM207/12+IF(AND(YEAR(AM$5)&gt;2020,MONTH(AM$5)=Macro!$D$52),Macro!$D142*AVERAGE(OFFSET(AN207,0,0,1,-12))*Macro!$E142,0),"NA")</f>
        <v>0</v>
      </c>
      <c r="AN306" s="38">
        <f>IFERROR(Macro!$D142*Team!AN207/12+IF(AND(YEAR(AN$5)&gt;2020,MONTH(AN$5)=Macro!$D$52),Macro!$D142*AVERAGE(OFFSET(AO207,0,0,1,-12))*Macro!$E142,0),"NA")</f>
        <v>0</v>
      </c>
      <c r="AO306" s="39">
        <f>IFERROR(Macro!$D142*Team!AO207/12+IF(AND(YEAR(AO$5)&gt;2020,MONTH(AO$5)=Macro!$D$52),Macro!$D142*AVERAGE(OFFSET(AP207,0,0,1,-12))*Macro!$E142,0),"NA")</f>
        <v>0</v>
      </c>
      <c r="AP306" s="40">
        <f>IFERROR(Macro!$D142*Team!AP207/12+IF(AND(YEAR(AP$5)&gt;2020,MONTH(AP$5)=Macro!$D$52),Macro!$D142*AVERAGE(OFFSET(AQ207,0,0,1,-12))*Macro!$E142,0),"NA")</f>
        <v>0</v>
      </c>
      <c r="AQ306" s="38">
        <f>IFERROR(Macro!$D142*Team!AQ207/12+IF(AND(YEAR(AQ$5)&gt;2020,MONTH(AQ$5)=Macro!$D$52),Macro!$D142*AVERAGE(OFFSET(AR207,0,0,1,-12))*Macro!$E142,0),"NA")</f>
        <v>0</v>
      </c>
      <c r="AR306" s="39">
        <f>IFERROR(Macro!$D142*Team!AR207/12+IF(AND(YEAR(AR$5)&gt;2020,MONTH(AR$5)=Macro!$D$52),Macro!$D142*AVERAGE(OFFSET(AS207,0,0,1,-12))*Macro!$E142,0),"NA")</f>
        <v>0</v>
      </c>
      <c r="AS306" s="40">
        <f>IFERROR(Macro!$D142*Team!AS207/12+IF(AND(YEAR(AS$5)&gt;2020,MONTH(AS$5)=Macro!$D$52),Macro!$D142*AVERAGE(OFFSET(AT207,0,0,1,-12))*Macro!$E142,0),"NA")</f>
        <v>0</v>
      </c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</row>
    <row r="307" ht="12.0" customHeight="1">
      <c r="A307" s="282"/>
      <c r="B307" s="4"/>
      <c r="C307" s="37" t="str">
        <f t="shared" si="106"/>
        <v>[XX]</v>
      </c>
      <c r="D307" s="283">
        <f>IFERROR(Macro!$D143*Team!D208/12+IF(AND(YEAR(D$5)&gt;2020,MONTH(D$5)=Macro!$D$52),Macro!$D143*AVERAGE(OFFSET(E208,0,0,1,-12))*Macro!$E143,0),"NA")</f>
        <v>0</v>
      </c>
      <c r="E307" s="284">
        <f>IFERROR(Macro!$D143*Team!E208/12+IF(AND(YEAR(E$5)&gt;2020,MONTH(E$5)=Macro!$D$52),Macro!$D143*AVERAGE(OFFSET(F208,0,0,1,-12))*Macro!$E143,0),"NA")</f>
        <v>0</v>
      </c>
      <c r="F307" s="284">
        <f>IFERROR(Macro!$D143*Team!F208/12+IF(AND(YEAR(F$5)&gt;2020,MONTH(F$5)=Macro!$D$52),Macro!$D143*AVERAGE(OFFSET(G208,0,0,1,-12))*Macro!$E143,0),"NA")</f>
        <v>0</v>
      </c>
      <c r="G307" s="283">
        <f>IFERROR(Macro!$D143*Team!G208/12+IF(AND(YEAR(G$5)&gt;2020,MONTH(G$5)=Macro!$D$52),Macro!$D143*AVERAGE(OFFSET(H208,0,0,1,-12))*Macro!$E143,0),"NA")</f>
        <v>0</v>
      </c>
      <c r="H307" s="284">
        <f>IFERROR(Macro!$D143*Team!H208/12+IF(AND(YEAR(H$5)&gt;2020,MONTH(H$5)=Macro!$D$52),Macro!$D143*AVERAGE(OFFSET(I208,0,0,1,-12))*Macro!$E143,0),"NA")</f>
        <v>0</v>
      </c>
      <c r="I307" s="285">
        <f>IFERROR(Macro!$D143*Team!I208/12+IF(AND(YEAR(I$5)&gt;2020,MONTH(I$5)=Macro!$D$52),Macro!$D143*AVERAGE(OFFSET(J208,0,0,1,-12))*Macro!$E143,0),"NA")</f>
        <v>0</v>
      </c>
      <c r="J307" s="286">
        <f>IFERROR(Macro!$D143*Team!J208/12+IF(AND(YEAR(J$5)&gt;2020,MONTH(J$5)=Macro!$D$52),Macro!$D143*AVERAGE(OFFSET(K208,0,0,1,-12))*Macro!$E143,0),"NA")</f>
        <v>0</v>
      </c>
      <c r="K307" s="287">
        <f>IFERROR(Macro!$D143*Team!K208/12+IF(AND(YEAR(K$5)&gt;2020,MONTH(K$5)=Macro!$D$52),Macro!$D143*AVERAGE(OFFSET(L208,0,0,1,-12))*Macro!$E143,0),"NA")</f>
        <v>0</v>
      </c>
      <c r="L307" s="288">
        <f>IFERROR(Macro!$D143*Team!L208/12+IF(AND(YEAR(L$5)&gt;2020,MONTH(L$5)=Macro!$D$52),Macro!$D143*AVERAGE(OFFSET(M208,0,0,1,-12))*Macro!$E143,0),"NA")</f>
        <v>0</v>
      </c>
      <c r="M307" s="38">
        <f>IFERROR(Macro!$D143*Team!M208/12+IF(AND(YEAR(M$5)&gt;2020,MONTH(M$5)=Macro!$D$52),Macro!$D143*AVERAGE(OFFSET(N208,0,0,1,-12))*Macro!$E143,0),"NA")</f>
        <v>0</v>
      </c>
      <c r="N307" s="39">
        <f>IFERROR(Macro!$D143*Team!N208/12+IF(AND(YEAR(N$5)&gt;2020,MONTH(N$5)=Macro!$D$52),Macro!$D143*AVERAGE(OFFSET(O208,0,0,1,-12))*Macro!$E143,0),"NA")</f>
        <v>0</v>
      </c>
      <c r="O307" s="40">
        <f>IFERROR(Macro!$D143*Team!O208/12+IF(AND(YEAR(O$5)&gt;2020,MONTH(O$5)=Macro!$D$52),Macro!$D143*AVERAGE(OFFSET(P208,0,0,1,-12))*Macro!$E143,0),"NA")</f>
        <v>0</v>
      </c>
      <c r="P307" s="38">
        <f>IFERROR(Macro!$D143*Team!P208/12+IF(AND(YEAR(P$5)&gt;2020,MONTH(P$5)=Macro!$D$52),Macro!$D143*AVERAGE(OFFSET(Q208,0,0,1,-12))*Macro!$E143,0),"NA")</f>
        <v>0</v>
      </c>
      <c r="Q307" s="39">
        <f>IFERROR(Macro!$D143*Team!Q208/12+IF(AND(YEAR(Q$5)&gt;2020,MONTH(Q$5)=Macro!$D$52),Macro!$D143*AVERAGE(OFFSET(R208,0,0,1,-12))*Macro!$E143,0),"NA")</f>
        <v>0</v>
      </c>
      <c r="R307" s="40">
        <f>IFERROR(Macro!$D143*Team!R208/12+IF(AND(YEAR(R$5)&gt;2020,MONTH(R$5)=Macro!$D$52),Macro!$D143*AVERAGE(OFFSET(S208,0,0,1,-12))*Macro!$E143,0),"NA")</f>
        <v>0</v>
      </c>
      <c r="S307" s="38">
        <f>IFERROR(Macro!$D143*Team!S208/12+IF(AND(YEAR(S$5)&gt;2020,MONTH(S$5)=Macro!$D$52),Macro!$D143*AVERAGE(OFFSET(T208,0,0,1,-12))*Macro!$E143,0),"NA")</f>
        <v>0</v>
      </c>
      <c r="T307" s="39">
        <f>IFERROR(Macro!$D143*Team!T208/12+IF(AND(YEAR(T$5)&gt;2020,MONTH(T$5)=Macro!$D$52),Macro!$D143*AVERAGE(OFFSET(U208,0,0,1,-12))*Macro!$E143,0),"NA")</f>
        <v>0</v>
      </c>
      <c r="U307" s="40">
        <f>IFERROR(Macro!$D143*Team!U208/12+IF(AND(YEAR(U$5)&gt;2020,MONTH(U$5)=Macro!$D$52),Macro!$D143*AVERAGE(OFFSET(V208,0,0,1,-12))*Macro!$E143,0),"NA")</f>
        <v>0</v>
      </c>
      <c r="V307" s="38" t="str">
        <f>IFERROR(Macro!$D143*Team!V208/12+IF(AND(YEAR(V$5)&gt;2020,MONTH(V$5)=Macro!$D$52),Macro!$D143*AVERAGE(OFFSET(W208,0,0,1,-12))*Macro!$E143,0),"NA")</f>
        <v>NA</v>
      </c>
      <c r="W307" s="39">
        <f>IFERROR(Macro!$D143*Team!W208/12+IF(AND(YEAR(W$5)&gt;2020,MONTH(W$5)=Macro!$D$52),Macro!$D143*AVERAGE(OFFSET(X208,0,0,1,-12))*Macro!$E143,0),"NA")</f>
        <v>0</v>
      </c>
      <c r="X307" s="40">
        <f>IFERROR(Macro!$D143*Team!X208/12+IF(AND(YEAR(X$5)&gt;2020,MONTH(X$5)=Macro!$D$52),Macro!$D143*AVERAGE(OFFSET(Y208,0,0,1,-12))*Macro!$E143,0),"NA")</f>
        <v>0</v>
      </c>
      <c r="Y307" s="38">
        <f>IFERROR(Macro!$D143*Team!Y208/12+IF(AND(YEAR(Y$5)&gt;2020,MONTH(Y$5)=Macro!$D$52),Macro!$D143*AVERAGE(OFFSET(Z208,0,0,1,-12))*Macro!$E143,0),"NA")</f>
        <v>0</v>
      </c>
      <c r="Z307" s="39">
        <f>IFERROR(Macro!$D143*Team!Z208/12+IF(AND(YEAR(Z$5)&gt;2020,MONTH(Z$5)=Macro!$D$52),Macro!$D143*AVERAGE(OFFSET(AA208,0,0,1,-12))*Macro!$E143,0),"NA")</f>
        <v>0</v>
      </c>
      <c r="AA307" s="40">
        <f>IFERROR(Macro!$D143*Team!AA208/12+IF(AND(YEAR(AA$5)&gt;2020,MONTH(AA$5)=Macro!$D$52),Macro!$D143*AVERAGE(OFFSET(AB208,0,0,1,-12))*Macro!$E143,0),"NA")</f>
        <v>0</v>
      </c>
      <c r="AB307" s="38">
        <f>IFERROR(Macro!$D143*Team!AB208/12+IF(AND(YEAR(AB$5)&gt;2020,MONTH(AB$5)=Macro!$D$52),Macro!$D143*AVERAGE(OFFSET(AC208,0,0,1,-12))*Macro!$E143,0),"NA")</f>
        <v>0</v>
      </c>
      <c r="AC307" s="39">
        <f>IFERROR(Macro!$D143*Team!AC208/12+IF(AND(YEAR(AC$5)&gt;2020,MONTH(AC$5)=Macro!$D$52),Macro!$D143*AVERAGE(OFFSET(AD208,0,0,1,-12))*Macro!$E143,0),"NA")</f>
        <v>0</v>
      </c>
      <c r="AD307" s="40">
        <f>IFERROR(Macro!$D143*Team!AD208/12+IF(AND(YEAR(AD$5)&gt;2020,MONTH(AD$5)=Macro!$D$52),Macro!$D143*AVERAGE(OFFSET(AE208,0,0,1,-12))*Macro!$E143,0),"NA")</f>
        <v>0</v>
      </c>
      <c r="AE307" s="38">
        <f>IFERROR(Macro!$D143*Team!AE208/12+IF(AND(YEAR(AE$5)&gt;2020,MONTH(AE$5)=Macro!$D$52),Macro!$D143*AVERAGE(OFFSET(AF208,0,0,1,-12))*Macro!$E143,0),"NA")</f>
        <v>0</v>
      </c>
      <c r="AF307" s="39">
        <f>IFERROR(Macro!$D143*Team!AF208/12+IF(AND(YEAR(AF$5)&gt;2020,MONTH(AF$5)=Macro!$D$52),Macro!$D143*AVERAGE(OFFSET(AG208,0,0,1,-12))*Macro!$E143,0),"NA")</f>
        <v>0</v>
      </c>
      <c r="AG307" s="40">
        <f>IFERROR(Macro!$D143*Team!AG208/12+IF(AND(YEAR(AG$5)&gt;2020,MONTH(AG$5)=Macro!$D$52),Macro!$D143*AVERAGE(OFFSET(AH208,0,0,1,-12))*Macro!$E143,0),"NA")</f>
        <v>0</v>
      </c>
      <c r="AH307" s="38" t="str">
        <f>IFERROR(Macro!$D143*Team!AH208/12+IF(AND(YEAR(AH$5)&gt;2020,MONTH(AH$5)=Macro!$D$52),Macro!$D143*AVERAGE(OFFSET(AI208,0,0,1,-12))*Macro!$E143,0),"NA")</f>
        <v>NA</v>
      </c>
      <c r="AI307" s="39">
        <f>IFERROR(Macro!$D143*Team!AI208/12+IF(AND(YEAR(AI$5)&gt;2020,MONTH(AI$5)=Macro!$D$52),Macro!$D143*AVERAGE(OFFSET(AJ208,0,0,1,-12))*Macro!$E143,0),"NA")</f>
        <v>0</v>
      </c>
      <c r="AJ307" s="40">
        <f>IFERROR(Macro!$D143*Team!AJ208/12+IF(AND(YEAR(AJ$5)&gt;2020,MONTH(AJ$5)=Macro!$D$52),Macro!$D143*AVERAGE(OFFSET(AK208,0,0,1,-12))*Macro!$E143,0),"NA")</f>
        <v>0</v>
      </c>
      <c r="AK307" s="38">
        <f>IFERROR(Macro!$D143*Team!AK208/12+IF(AND(YEAR(AK$5)&gt;2020,MONTH(AK$5)=Macro!$D$52),Macro!$D143*AVERAGE(OFFSET(AL208,0,0,1,-12))*Macro!$E143,0),"NA")</f>
        <v>0</v>
      </c>
      <c r="AL307" s="39">
        <f>IFERROR(Macro!$D143*Team!AL208/12+IF(AND(YEAR(AL$5)&gt;2020,MONTH(AL$5)=Macro!$D$52),Macro!$D143*AVERAGE(OFFSET(AM208,0,0,1,-12))*Macro!$E143,0),"NA")</f>
        <v>0</v>
      </c>
      <c r="AM307" s="40">
        <f>IFERROR(Macro!$D143*Team!AM208/12+IF(AND(YEAR(AM$5)&gt;2020,MONTH(AM$5)=Macro!$D$52),Macro!$D143*AVERAGE(OFFSET(AN208,0,0,1,-12))*Macro!$E143,0),"NA")</f>
        <v>0</v>
      </c>
      <c r="AN307" s="38">
        <f>IFERROR(Macro!$D143*Team!AN208/12+IF(AND(YEAR(AN$5)&gt;2020,MONTH(AN$5)=Macro!$D$52),Macro!$D143*AVERAGE(OFFSET(AO208,0,0,1,-12))*Macro!$E143,0),"NA")</f>
        <v>0</v>
      </c>
      <c r="AO307" s="39">
        <f>IFERROR(Macro!$D143*Team!AO208/12+IF(AND(YEAR(AO$5)&gt;2020,MONTH(AO$5)=Macro!$D$52),Macro!$D143*AVERAGE(OFFSET(AP208,0,0,1,-12))*Macro!$E143,0),"NA")</f>
        <v>0</v>
      </c>
      <c r="AP307" s="40">
        <f>IFERROR(Macro!$D143*Team!AP208/12+IF(AND(YEAR(AP$5)&gt;2020,MONTH(AP$5)=Macro!$D$52),Macro!$D143*AVERAGE(OFFSET(AQ208,0,0,1,-12))*Macro!$E143,0),"NA")</f>
        <v>0</v>
      </c>
      <c r="AQ307" s="38">
        <f>IFERROR(Macro!$D143*Team!AQ208/12+IF(AND(YEAR(AQ$5)&gt;2020,MONTH(AQ$5)=Macro!$D$52),Macro!$D143*AVERAGE(OFFSET(AR208,0,0,1,-12))*Macro!$E143,0),"NA")</f>
        <v>0</v>
      </c>
      <c r="AR307" s="39">
        <f>IFERROR(Macro!$D143*Team!AR208/12+IF(AND(YEAR(AR$5)&gt;2020,MONTH(AR$5)=Macro!$D$52),Macro!$D143*AVERAGE(OFFSET(AS208,0,0,1,-12))*Macro!$E143,0),"NA")</f>
        <v>0</v>
      </c>
      <c r="AS307" s="40">
        <f>IFERROR(Macro!$D143*Team!AS208/12+IF(AND(YEAR(AS$5)&gt;2020,MONTH(AS$5)=Macro!$D$52),Macro!$D143*AVERAGE(OFFSET(AT208,0,0,1,-12))*Macro!$E143,0),"NA")</f>
        <v>0</v>
      </c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</row>
    <row r="308" ht="12.0" customHeight="1">
      <c r="A308" s="282"/>
      <c r="B308" s="4"/>
      <c r="C308" s="37" t="str">
        <f t="shared" si="106"/>
        <v>[XX]</v>
      </c>
      <c r="D308" s="283">
        <f>IFERROR(Macro!$D144*Team!D209/12+IF(AND(YEAR(D$5)&gt;2020,MONTH(D$5)=Macro!$D$52),Macro!$D144*AVERAGE(OFFSET(E209,0,0,1,-12))*Macro!$E144,0),"NA")</f>
        <v>0</v>
      </c>
      <c r="E308" s="284">
        <f>IFERROR(Macro!$D144*Team!E209/12+IF(AND(YEAR(E$5)&gt;2020,MONTH(E$5)=Macro!$D$52),Macro!$D144*AVERAGE(OFFSET(F209,0,0,1,-12))*Macro!$E144,0),"NA")</f>
        <v>0</v>
      </c>
      <c r="F308" s="284">
        <f>IFERROR(Macro!$D144*Team!F209/12+IF(AND(YEAR(F$5)&gt;2020,MONTH(F$5)=Macro!$D$52),Macro!$D144*AVERAGE(OFFSET(G209,0,0,1,-12))*Macro!$E144,0),"NA")</f>
        <v>0</v>
      </c>
      <c r="G308" s="283">
        <f>IFERROR(Macro!$D144*Team!G209/12+IF(AND(YEAR(G$5)&gt;2020,MONTH(G$5)=Macro!$D$52),Macro!$D144*AVERAGE(OFFSET(H209,0,0,1,-12))*Macro!$E144,0),"NA")</f>
        <v>0</v>
      </c>
      <c r="H308" s="284">
        <f>IFERROR(Macro!$D144*Team!H209/12+IF(AND(YEAR(H$5)&gt;2020,MONTH(H$5)=Macro!$D$52),Macro!$D144*AVERAGE(OFFSET(I209,0,0,1,-12))*Macro!$E144,0),"NA")</f>
        <v>0</v>
      </c>
      <c r="I308" s="285">
        <f>IFERROR(Macro!$D144*Team!I209/12+IF(AND(YEAR(I$5)&gt;2020,MONTH(I$5)=Macro!$D$52),Macro!$D144*AVERAGE(OFFSET(J209,0,0,1,-12))*Macro!$E144,0),"NA")</f>
        <v>0</v>
      </c>
      <c r="J308" s="286">
        <f>IFERROR(Macro!$D144*Team!J209/12+IF(AND(YEAR(J$5)&gt;2020,MONTH(J$5)=Macro!$D$52),Macro!$D144*AVERAGE(OFFSET(K209,0,0,1,-12))*Macro!$E144,0),"NA")</f>
        <v>0</v>
      </c>
      <c r="K308" s="287">
        <f>IFERROR(Macro!$D144*Team!K209/12+IF(AND(YEAR(K$5)&gt;2020,MONTH(K$5)=Macro!$D$52),Macro!$D144*AVERAGE(OFFSET(L209,0,0,1,-12))*Macro!$E144,0),"NA")</f>
        <v>0</v>
      </c>
      <c r="L308" s="288">
        <f>IFERROR(Macro!$D144*Team!L209/12+IF(AND(YEAR(L$5)&gt;2020,MONTH(L$5)=Macro!$D$52),Macro!$D144*AVERAGE(OFFSET(M209,0,0,1,-12))*Macro!$E144,0),"NA")</f>
        <v>0</v>
      </c>
      <c r="M308" s="38">
        <f>IFERROR(Macro!$D144*Team!M209/12+IF(AND(YEAR(M$5)&gt;2020,MONTH(M$5)=Macro!$D$52),Macro!$D144*AVERAGE(OFFSET(N209,0,0,1,-12))*Macro!$E144,0),"NA")</f>
        <v>0</v>
      </c>
      <c r="N308" s="39">
        <f>IFERROR(Macro!$D144*Team!N209/12+IF(AND(YEAR(N$5)&gt;2020,MONTH(N$5)=Macro!$D$52),Macro!$D144*AVERAGE(OFFSET(O209,0,0,1,-12))*Macro!$E144,0),"NA")</f>
        <v>0</v>
      </c>
      <c r="O308" s="40">
        <f>IFERROR(Macro!$D144*Team!O209/12+IF(AND(YEAR(O$5)&gt;2020,MONTH(O$5)=Macro!$D$52),Macro!$D144*AVERAGE(OFFSET(P209,0,0,1,-12))*Macro!$E144,0),"NA")</f>
        <v>0</v>
      </c>
      <c r="P308" s="38">
        <f>IFERROR(Macro!$D144*Team!P209/12+IF(AND(YEAR(P$5)&gt;2020,MONTH(P$5)=Macro!$D$52),Macro!$D144*AVERAGE(OFFSET(Q209,0,0,1,-12))*Macro!$E144,0),"NA")</f>
        <v>0</v>
      </c>
      <c r="Q308" s="39">
        <f>IFERROR(Macro!$D144*Team!Q209/12+IF(AND(YEAR(Q$5)&gt;2020,MONTH(Q$5)=Macro!$D$52),Macro!$D144*AVERAGE(OFFSET(R209,0,0,1,-12))*Macro!$E144,0),"NA")</f>
        <v>0</v>
      </c>
      <c r="R308" s="40">
        <f>IFERROR(Macro!$D144*Team!R209/12+IF(AND(YEAR(R$5)&gt;2020,MONTH(R$5)=Macro!$D$52),Macro!$D144*AVERAGE(OFFSET(S209,0,0,1,-12))*Macro!$E144,0),"NA")</f>
        <v>0</v>
      </c>
      <c r="S308" s="38">
        <f>IFERROR(Macro!$D144*Team!S209/12+IF(AND(YEAR(S$5)&gt;2020,MONTH(S$5)=Macro!$D$52),Macro!$D144*AVERAGE(OFFSET(T209,0,0,1,-12))*Macro!$E144,0),"NA")</f>
        <v>0</v>
      </c>
      <c r="T308" s="39">
        <f>IFERROR(Macro!$D144*Team!T209/12+IF(AND(YEAR(T$5)&gt;2020,MONTH(T$5)=Macro!$D$52),Macro!$D144*AVERAGE(OFFSET(U209,0,0,1,-12))*Macro!$E144,0),"NA")</f>
        <v>0</v>
      </c>
      <c r="U308" s="40">
        <f>IFERROR(Macro!$D144*Team!U209/12+IF(AND(YEAR(U$5)&gt;2020,MONTH(U$5)=Macro!$D$52),Macro!$D144*AVERAGE(OFFSET(V209,0,0,1,-12))*Macro!$E144,0),"NA")</f>
        <v>0</v>
      </c>
      <c r="V308" s="38" t="str">
        <f>IFERROR(Macro!$D144*Team!V209/12+IF(AND(YEAR(V$5)&gt;2020,MONTH(V$5)=Macro!$D$52),Macro!$D144*AVERAGE(OFFSET(W209,0,0,1,-12))*Macro!$E144,0),"NA")</f>
        <v>NA</v>
      </c>
      <c r="W308" s="39">
        <f>IFERROR(Macro!$D144*Team!W209/12+IF(AND(YEAR(W$5)&gt;2020,MONTH(W$5)=Macro!$D$52),Macro!$D144*AVERAGE(OFFSET(X209,0,0,1,-12))*Macro!$E144,0),"NA")</f>
        <v>0</v>
      </c>
      <c r="X308" s="40">
        <f>IFERROR(Macro!$D144*Team!X209/12+IF(AND(YEAR(X$5)&gt;2020,MONTH(X$5)=Macro!$D$52),Macro!$D144*AVERAGE(OFFSET(Y209,0,0,1,-12))*Macro!$E144,0),"NA")</f>
        <v>0</v>
      </c>
      <c r="Y308" s="38">
        <f>IFERROR(Macro!$D144*Team!Y209/12+IF(AND(YEAR(Y$5)&gt;2020,MONTH(Y$5)=Macro!$D$52),Macro!$D144*AVERAGE(OFFSET(Z209,0,0,1,-12))*Macro!$E144,0),"NA")</f>
        <v>0</v>
      </c>
      <c r="Z308" s="39">
        <f>IFERROR(Macro!$D144*Team!Z209/12+IF(AND(YEAR(Z$5)&gt;2020,MONTH(Z$5)=Macro!$D$52),Macro!$D144*AVERAGE(OFFSET(AA209,0,0,1,-12))*Macro!$E144,0),"NA")</f>
        <v>0</v>
      </c>
      <c r="AA308" s="40">
        <f>IFERROR(Macro!$D144*Team!AA209/12+IF(AND(YEAR(AA$5)&gt;2020,MONTH(AA$5)=Macro!$D$52),Macro!$D144*AVERAGE(OFFSET(AB209,0,0,1,-12))*Macro!$E144,0),"NA")</f>
        <v>0</v>
      </c>
      <c r="AB308" s="38">
        <f>IFERROR(Macro!$D144*Team!AB209/12+IF(AND(YEAR(AB$5)&gt;2020,MONTH(AB$5)=Macro!$D$52),Macro!$D144*AVERAGE(OFFSET(AC209,0,0,1,-12))*Macro!$E144,0),"NA")</f>
        <v>0</v>
      </c>
      <c r="AC308" s="39">
        <f>IFERROR(Macro!$D144*Team!AC209/12+IF(AND(YEAR(AC$5)&gt;2020,MONTH(AC$5)=Macro!$D$52),Macro!$D144*AVERAGE(OFFSET(AD209,0,0,1,-12))*Macro!$E144,0),"NA")</f>
        <v>0</v>
      </c>
      <c r="AD308" s="40">
        <f>IFERROR(Macro!$D144*Team!AD209/12+IF(AND(YEAR(AD$5)&gt;2020,MONTH(AD$5)=Macro!$D$52),Macro!$D144*AVERAGE(OFFSET(AE209,0,0,1,-12))*Macro!$E144,0),"NA")</f>
        <v>0</v>
      </c>
      <c r="AE308" s="38">
        <f>IFERROR(Macro!$D144*Team!AE209/12+IF(AND(YEAR(AE$5)&gt;2020,MONTH(AE$5)=Macro!$D$52),Macro!$D144*AVERAGE(OFFSET(AF209,0,0,1,-12))*Macro!$E144,0),"NA")</f>
        <v>0</v>
      </c>
      <c r="AF308" s="39">
        <f>IFERROR(Macro!$D144*Team!AF209/12+IF(AND(YEAR(AF$5)&gt;2020,MONTH(AF$5)=Macro!$D$52),Macro!$D144*AVERAGE(OFFSET(AG209,0,0,1,-12))*Macro!$E144,0),"NA")</f>
        <v>0</v>
      </c>
      <c r="AG308" s="40">
        <f>IFERROR(Macro!$D144*Team!AG209/12+IF(AND(YEAR(AG$5)&gt;2020,MONTH(AG$5)=Macro!$D$52),Macro!$D144*AVERAGE(OFFSET(AH209,0,0,1,-12))*Macro!$E144,0),"NA")</f>
        <v>0</v>
      </c>
      <c r="AH308" s="38" t="str">
        <f>IFERROR(Macro!$D144*Team!AH209/12+IF(AND(YEAR(AH$5)&gt;2020,MONTH(AH$5)=Macro!$D$52),Macro!$D144*AVERAGE(OFFSET(AI209,0,0,1,-12))*Macro!$E144,0),"NA")</f>
        <v>NA</v>
      </c>
      <c r="AI308" s="39">
        <f>IFERROR(Macro!$D144*Team!AI209/12+IF(AND(YEAR(AI$5)&gt;2020,MONTH(AI$5)=Macro!$D$52),Macro!$D144*AVERAGE(OFFSET(AJ209,0,0,1,-12))*Macro!$E144,0),"NA")</f>
        <v>0</v>
      </c>
      <c r="AJ308" s="40">
        <f>IFERROR(Macro!$D144*Team!AJ209/12+IF(AND(YEAR(AJ$5)&gt;2020,MONTH(AJ$5)=Macro!$D$52),Macro!$D144*AVERAGE(OFFSET(AK209,0,0,1,-12))*Macro!$E144,0),"NA")</f>
        <v>0</v>
      </c>
      <c r="AK308" s="38">
        <f>IFERROR(Macro!$D144*Team!AK209/12+IF(AND(YEAR(AK$5)&gt;2020,MONTH(AK$5)=Macro!$D$52),Macro!$D144*AVERAGE(OFFSET(AL209,0,0,1,-12))*Macro!$E144,0),"NA")</f>
        <v>0</v>
      </c>
      <c r="AL308" s="39">
        <f>IFERROR(Macro!$D144*Team!AL209/12+IF(AND(YEAR(AL$5)&gt;2020,MONTH(AL$5)=Macro!$D$52),Macro!$D144*AVERAGE(OFFSET(AM209,0,0,1,-12))*Macro!$E144,0),"NA")</f>
        <v>0</v>
      </c>
      <c r="AM308" s="40">
        <f>IFERROR(Macro!$D144*Team!AM209/12+IF(AND(YEAR(AM$5)&gt;2020,MONTH(AM$5)=Macro!$D$52),Macro!$D144*AVERAGE(OFFSET(AN209,0,0,1,-12))*Macro!$E144,0),"NA")</f>
        <v>0</v>
      </c>
      <c r="AN308" s="38">
        <f>IFERROR(Macro!$D144*Team!AN209/12+IF(AND(YEAR(AN$5)&gt;2020,MONTH(AN$5)=Macro!$D$52),Macro!$D144*AVERAGE(OFFSET(AO209,0,0,1,-12))*Macro!$E144,0),"NA")</f>
        <v>0</v>
      </c>
      <c r="AO308" s="39">
        <f>IFERROR(Macro!$D144*Team!AO209/12+IF(AND(YEAR(AO$5)&gt;2020,MONTH(AO$5)=Macro!$D$52),Macro!$D144*AVERAGE(OFFSET(AP209,0,0,1,-12))*Macro!$E144,0),"NA")</f>
        <v>0</v>
      </c>
      <c r="AP308" s="40">
        <f>IFERROR(Macro!$D144*Team!AP209/12+IF(AND(YEAR(AP$5)&gt;2020,MONTH(AP$5)=Macro!$D$52),Macro!$D144*AVERAGE(OFFSET(AQ209,0,0,1,-12))*Macro!$E144,0),"NA")</f>
        <v>0</v>
      </c>
      <c r="AQ308" s="38">
        <f>IFERROR(Macro!$D144*Team!AQ209/12+IF(AND(YEAR(AQ$5)&gt;2020,MONTH(AQ$5)=Macro!$D$52),Macro!$D144*AVERAGE(OFFSET(AR209,0,0,1,-12))*Macro!$E144,0),"NA")</f>
        <v>0</v>
      </c>
      <c r="AR308" s="39">
        <f>IFERROR(Macro!$D144*Team!AR209/12+IF(AND(YEAR(AR$5)&gt;2020,MONTH(AR$5)=Macro!$D$52),Macro!$D144*AVERAGE(OFFSET(AS209,0,0,1,-12))*Macro!$E144,0),"NA")</f>
        <v>0</v>
      </c>
      <c r="AS308" s="40">
        <f>IFERROR(Macro!$D144*Team!AS209/12+IF(AND(YEAR(AS$5)&gt;2020,MONTH(AS$5)=Macro!$D$52),Macro!$D144*AVERAGE(OFFSET(AT209,0,0,1,-12))*Macro!$E144,0),"NA")</f>
        <v>0</v>
      </c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</row>
    <row r="309" ht="12.0" customHeight="1">
      <c r="A309" s="282"/>
      <c r="B309" s="4"/>
      <c r="C309" s="277" t="str">
        <f t="shared" si="106"/>
        <v>[XX]</v>
      </c>
      <c r="D309" s="289">
        <f>IFERROR(Macro!$D145*Team!D210/12+IF(AND(YEAR(D$5)&gt;2020,MONTH(D$5)=Macro!$D$52),Macro!$D145*AVERAGE(OFFSET(E210,0,0,1,-12))*Macro!$E145,0),"NA")</f>
        <v>0</v>
      </c>
      <c r="E309" s="290">
        <f>IFERROR(Macro!$D145*Team!E210/12+IF(AND(YEAR(E$5)&gt;2020,MONTH(E$5)=Macro!$D$52),Macro!$D145*AVERAGE(OFFSET(F210,0,0,1,-12))*Macro!$E145,0),"NA")</f>
        <v>0</v>
      </c>
      <c r="F309" s="290">
        <f>IFERROR(Macro!$D145*Team!F210/12+IF(AND(YEAR(F$5)&gt;2020,MONTH(F$5)=Macro!$D$52),Macro!$D145*AVERAGE(OFFSET(G210,0,0,1,-12))*Macro!$E145,0),"NA")</f>
        <v>0</v>
      </c>
      <c r="G309" s="289">
        <f>IFERROR(Macro!$D145*Team!G210/12+IF(AND(YEAR(G$5)&gt;2020,MONTH(G$5)=Macro!$D$52),Macro!$D145*AVERAGE(OFFSET(H210,0,0,1,-12))*Macro!$E145,0),"NA")</f>
        <v>0</v>
      </c>
      <c r="H309" s="290">
        <f>IFERROR(Macro!$D145*Team!H210/12+IF(AND(YEAR(H$5)&gt;2020,MONTH(H$5)=Macro!$D$52),Macro!$D145*AVERAGE(OFFSET(I210,0,0,1,-12))*Macro!$E145,0),"NA")</f>
        <v>0</v>
      </c>
      <c r="I309" s="291">
        <f>IFERROR(Macro!$D145*Team!I210/12+IF(AND(YEAR(I$5)&gt;2020,MONTH(I$5)=Macro!$D$52),Macro!$D145*AVERAGE(OFFSET(J210,0,0,1,-12))*Macro!$E145,0),"NA")</f>
        <v>0</v>
      </c>
      <c r="J309" s="292">
        <f>IFERROR(Macro!$D145*Team!J210/12+IF(AND(YEAR(J$5)&gt;2020,MONTH(J$5)=Macro!$D$52),Macro!$D145*AVERAGE(OFFSET(K210,0,0,1,-12))*Macro!$E145,0),"NA")</f>
        <v>0</v>
      </c>
      <c r="K309" s="293">
        <f>IFERROR(Macro!$D145*Team!K210/12+IF(AND(YEAR(K$5)&gt;2020,MONTH(K$5)=Macro!$D$52),Macro!$D145*AVERAGE(OFFSET(L210,0,0,1,-12))*Macro!$E145,0),"NA")</f>
        <v>0</v>
      </c>
      <c r="L309" s="294">
        <f>IFERROR(Macro!$D145*Team!L210/12+IF(AND(YEAR(L$5)&gt;2020,MONTH(L$5)=Macro!$D$52),Macro!$D145*AVERAGE(OFFSET(M210,0,0,1,-12))*Macro!$E145,0),"NA")</f>
        <v>0</v>
      </c>
      <c r="M309" s="241">
        <f>IFERROR(Macro!$D145*Team!M210/12+IF(AND(YEAR(M$5)&gt;2020,MONTH(M$5)=Macro!$D$52),Macro!$D145*AVERAGE(OFFSET(N210,0,0,1,-12))*Macro!$E145,0),"NA")</f>
        <v>0</v>
      </c>
      <c r="N309" s="242">
        <f>IFERROR(Macro!$D145*Team!N210/12+IF(AND(YEAR(N$5)&gt;2020,MONTH(N$5)=Macro!$D$52),Macro!$D145*AVERAGE(OFFSET(O210,0,0,1,-12))*Macro!$E145,0),"NA")</f>
        <v>0</v>
      </c>
      <c r="O309" s="243">
        <f>IFERROR(Macro!$D145*Team!O210/12+IF(AND(YEAR(O$5)&gt;2020,MONTH(O$5)=Macro!$D$52),Macro!$D145*AVERAGE(OFFSET(P210,0,0,1,-12))*Macro!$E145,0),"NA")</f>
        <v>0</v>
      </c>
      <c r="P309" s="241">
        <f>IFERROR(Macro!$D145*Team!P210/12+IF(AND(YEAR(P$5)&gt;2020,MONTH(P$5)=Macro!$D$52),Macro!$D145*AVERAGE(OFFSET(Q210,0,0,1,-12))*Macro!$E145,0),"NA")</f>
        <v>0</v>
      </c>
      <c r="Q309" s="242">
        <f>IFERROR(Macro!$D145*Team!Q210/12+IF(AND(YEAR(Q$5)&gt;2020,MONTH(Q$5)=Macro!$D$52),Macro!$D145*AVERAGE(OFFSET(R210,0,0,1,-12))*Macro!$E145,0),"NA")</f>
        <v>0</v>
      </c>
      <c r="R309" s="243">
        <f>IFERROR(Macro!$D145*Team!R210/12+IF(AND(YEAR(R$5)&gt;2020,MONTH(R$5)=Macro!$D$52),Macro!$D145*AVERAGE(OFFSET(S210,0,0,1,-12))*Macro!$E145,0),"NA")</f>
        <v>0</v>
      </c>
      <c r="S309" s="241">
        <f>IFERROR(Macro!$D145*Team!S210/12+IF(AND(YEAR(S$5)&gt;2020,MONTH(S$5)=Macro!$D$52),Macro!$D145*AVERAGE(OFFSET(T210,0,0,1,-12))*Macro!$E145,0),"NA")</f>
        <v>0</v>
      </c>
      <c r="T309" s="242">
        <f>IFERROR(Macro!$D145*Team!T210/12+IF(AND(YEAR(T$5)&gt;2020,MONTH(T$5)=Macro!$D$52),Macro!$D145*AVERAGE(OFFSET(U210,0,0,1,-12))*Macro!$E145,0),"NA")</f>
        <v>0</v>
      </c>
      <c r="U309" s="243">
        <f>IFERROR(Macro!$D145*Team!U210/12+IF(AND(YEAR(U$5)&gt;2020,MONTH(U$5)=Macro!$D$52),Macro!$D145*AVERAGE(OFFSET(V210,0,0,1,-12))*Macro!$E145,0),"NA")</f>
        <v>0</v>
      </c>
      <c r="V309" s="241" t="str">
        <f>IFERROR(Macro!$D145*Team!V210/12+IF(AND(YEAR(V$5)&gt;2020,MONTH(V$5)=Macro!$D$52),Macro!$D145*AVERAGE(OFFSET(W210,0,0,1,-12))*Macro!$E145,0),"NA")</f>
        <v>NA</v>
      </c>
      <c r="W309" s="242">
        <f>IFERROR(Macro!$D145*Team!W210/12+IF(AND(YEAR(W$5)&gt;2020,MONTH(W$5)=Macro!$D$52),Macro!$D145*AVERAGE(OFFSET(X210,0,0,1,-12))*Macro!$E145,0),"NA")</f>
        <v>0</v>
      </c>
      <c r="X309" s="243">
        <f>IFERROR(Macro!$D145*Team!X210/12+IF(AND(YEAR(X$5)&gt;2020,MONTH(X$5)=Macro!$D$52),Macro!$D145*AVERAGE(OFFSET(Y210,0,0,1,-12))*Macro!$E145,0),"NA")</f>
        <v>0</v>
      </c>
      <c r="Y309" s="241">
        <f>IFERROR(Macro!$D145*Team!Y210/12+IF(AND(YEAR(Y$5)&gt;2020,MONTH(Y$5)=Macro!$D$52),Macro!$D145*AVERAGE(OFFSET(Z210,0,0,1,-12))*Macro!$E145,0),"NA")</f>
        <v>0</v>
      </c>
      <c r="Z309" s="242">
        <f>IFERROR(Macro!$D145*Team!Z210/12+IF(AND(YEAR(Z$5)&gt;2020,MONTH(Z$5)=Macro!$D$52),Macro!$D145*AVERAGE(OFFSET(AA210,0,0,1,-12))*Macro!$E145,0),"NA")</f>
        <v>0</v>
      </c>
      <c r="AA309" s="243">
        <f>IFERROR(Macro!$D145*Team!AA210/12+IF(AND(YEAR(AA$5)&gt;2020,MONTH(AA$5)=Macro!$D$52),Macro!$D145*AVERAGE(OFFSET(AB210,0,0,1,-12))*Macro!$E145,0),"NA")</f>
        <v>0</v>
      </c>
      <c r="AB309" s="241">
        <f>IFERROR(Macro!$D145*Team!AB210/12+IF(AND(YEAR(AB$5)&gt;2020,MONTH(AB$5)=Macro!$D$52),Macro!$D145*AVERAGE(OFFSET(AC210,0,0,1,-12))*Macro!$E145,0),"NA")</f>
        <v>0</v>
      </c>
      <c r="AC309" s="242">
        <f>IFERROR(Macro!$D145*Team!AC210/12+IF(AND(YEAR(AC$5)&gt;2020,MONTH(AC$5)=Macro!$D$52),Macro!$D145*AVERAGE(OFFSET(AD210,0,0,1,-12))*Macro!$E145,0),"NA")</f>
        <v>0</v>
      </c>
      <c r="AD309" s="243">
        <f>IFERROR(Macro!$D145*Team!AD210/12+IF(AND(YEAR(AD$5)&gt;2020,MONTH(AD$5)=Macro!$D$52),Macro!$D145*AVERAGE(OFFSET(AE210,0,0,1,-12))*Macro!$E145,0),"NA")</f>
        <v>0</v>
      </c>
      <c r="AE309" s="241">
        <f>IFERROR(Macro!$D145*Team!AE210/12+IF(AND(YEAR(AE$5)&gt;2020,MONTH(AE$5)=Macro!$D$52),Macro!$D145*AVERAGE(OFFSET(AF210,0,0,1,-12))*Macro!$E145,0),"NA")</f>
        <v>0</v>
      </c>
      <c r="AF309" s="242">
        <f>IFERROR(Macro!$D145*Team!AF210/12+IF(AND(YEAR(AF$5)&gt;2020,MONTH(AF$5)=Macro!$D$52),Macro!$D145*AVERAGE(OFFSET(AG210,0,0,1,-12))*Macro!$E145,0),"NA")</f>
        <v>0</v>
      </c>
      <c r="AG309" s="243">
        <f>IFERROR(Macro!$D145*Team!AG210/12+IF(AND(YEAR(AG$5)&gt;2020,MONTH(AG$5)=Macro!$D$52),Macro!$D145*AVERAGE(OFFSET(AH210,0,0,1,-12))*Macro!$E145,0),"NA")</f>
        <v>0</v>
      </c>
      <c r="AH309" s="241" t="str">
        <f>IFERROR(Macro!$D145*Team!AH210/12+IF(AND(YEAR(AH$5)&gt;2020,MONTH(AH$5)=Macro!$D$52),Macro!$D145*AVERAGE(OFFSET(AI210,0,0,1,-12))*Macro!$E145,0),"NA")</f>
        <v>NA</v>
      </c>
      <c r="AI309" s="242">
        <f>IFERROR(Macro!$D145*Team!AI210/12+IF(AND(YEAR(AI$5)&gt;2020,MONTH(AI$5)=Macro!$D$52),Macro!$D145*AVERAGE(OFFSET(AJ210,0,0,1,-12))*Macro!$E145,0),"NA")</f>
        <v>0</v>
      </c>
      <c r="AJ309" s="243">
        <f>IFERROR(Macro!$D145*Team!AJ210/12+IF(AND(YEAR(AJ$5)&gt;2020,MONTH(AJ$5)=Macro!$D$52),Macro!$D145*AVERAGE(OFFSET(AK210,0,0,1,-12))*Macro!$E145,0),"NA")</f>
        <v>0</v>
      </c>
      <c r="AK309" s="241">
        <f>IFERROR(Macro!$D145*Team!AK210/12+IF(AND(YEAR(AK$5)&gt;2020,MONTH(AK$5)=Macro!$D$52),Macro!$D145*AVERAGE(OFFSET(AL210,0,0,1,-12))*Macro!$E145,0),"NA")</f>
        <v>0</v>
      </c>
      <c r="AL309" s="242">
        <f>IFERROR(Macro!$D145*Team!AL210/12+IF(AND(YEAR(AL$5)&gt;2020,MONTH(AL$5)=Macro!$D$52),Macro!$D145*AVERAGE(OFFSET(AM210,0,0,1,-12))*Macro!$E145,0),"NA")</f>
        <v>0</v>
      </c>
      <c r="AM309" s="243">
        <f>IFERROR(Macro!$D145*Team!AM210/12+IF(AND(YEAR(AM$5)&gt;2020,MONTH(AM$5)=Macro!$D$52),Macro!$D145*AVERAGE(OFFSET(AN210,0,0,1,-12))*Macro!$E145,0),"NA")</f>
        <v>0</v>
      </c>
      <c r="AN309" s="241">
        <f>IFERROR(Macro!$D145*Team!AN210/12+IF(AND(YEAR(AN$5)&gt;2020,MONTH(AN$5)=Macro!$D$52),Macro!$D145*AVERAGE(OFFSET(AO210,0,0,1,-12))*Macro!$E145,0),"NA")</f>
        <v>0</v>
      </c>
      <c r="AO309" s="242">
        <f>IFERROR(Macro!$D145*Team!AO210/12+IF(AND(YEAR(AO$5)&gt;2020,MONTH(AO$5)=Macro!$D$52),Macro!$D145*AVERAGE(OFFSET(AP210,0,0,1,-12))*Macro!$E145,0),"NA")</f>
        <v>0</v>
      </c>
      <c r="AP309" s="243">
        <f>IFERROR(Macro!$D145*Team!AP210/12+IF(AND(YEAR(AP$5)&gt;2020,MONTH(AP$5)=Macro!$D$52),Macro!$D145*AVERAGE(OFFSET(AQ210,0,0,1,-12))*Macro!$E145,0),"NA")</f>
        <v>0</v>
      </c>
      <c r="AQ309" s="241">
        <f>IFERROR(Macro!$D145*Team!AQ210/12+IF(AND(YEAR(AQ$5)&gt;2020,MONTH(AQ$5)=Macro!$D$52),Macro!$D145*AVERAGE(OFFSET(AR210,0,0,1,-12))*Macro!$E145,0),"NA")</f>
        <v>0</v>
      </c>
      <c r="AR309" s="242">
        <f>IFERROR(Macro!$D145*Team!AR210/12+IF(AND(YEAR(AR$5)&gt;2020,MONTH(AR$5)=Macro!$D$52),Macro!$D145*AVERAGE(OFFSET(AS210,0,0,1,-12))*Macro!$E145,0),"NA")</f>
        <v>0</v>
      </c>
      <c r="AS309" s="243">
        <f>IFERROR(Macro!$D145*Team!AS210/12+IF(AND(YEAR(AS$5)&gt;2020,MONTH(AS$5)=Macro!$D$52),Macro!$D145*AVERAGE(OFFSET(AT210,0,0,1,-12))*Macro!$E145,0),"NA")</f>
        <v>0</v>
      </c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</row>
    <row r="310" ht="12.0" customHeight="1">
      <c r="A310" s="8"/>
      <c r="B310" s="8"/>
      <c r="C310" s="270" t="s">
        <v>73</v>
      </c>
      <c r="D310" s="51">
        <f t="shared" ref="D310:AS310" si="107">SUM(D300:D309)</f>
        <v>58333.33333</v>
      </c>
      <c r="E310" s="52">
        <f t="shared" si="107"/>
        <v>58333.33333</v>
      </c>
      <c r="F310" s="52">
        <f t="shared" si="107"/>
        <v>58333.33333</v>
      </c>
      <c r="G310" s="51">
        <f t="shared" si="107"/>
        <v>58333.33333</v>
      </c>
      <c r="H310" s="52">
        <f t="shared" si="107"/>
        <v>58333.33333</v>
      </c>
      <c r="I310" s="53">
        <f t="shared" si="107"/>
        <v>58333.33333</v>
      </c>
      <c r="J310" s="51">
        <f t="shared" si="107"/>
        <v>58333.33333</v>
      </c>
      <c r="K310" s="52">
        <f t="shared" si="107"/>
        <v>58333.33333</v>
      </c>
      <c r="L310" s="53">
        <f t="shared" si="107"/>
        <v>58333.33333</v>
      </c>
      <c r="M310" s="51">
        <f t="shared" si="107"/>
        <v>58333.33333</v>
      </c>
      <c r="N310" s="52">
        <f t="shared" si="107"/>
        <v>58333.33333</v>
      </c>
      <c r="O310" s="53">
        <f t="shared" si="107"/>
        <v>58333.33333</v>
      </c>
      <c r="P310" s="51">
        <f t="shared" si="107"/>
        <v>58333.33333</v>
      </c>
      <c r="Q310" s="52">
        <f t="shared" si="107"/>
        <v>58333.33333</v>
      </c>
      <c r="R310" s="53">
        <f t="shared" si="107"/>
        <v>58333.33333</v>
      </c>
      <c r="S310" s="51">
        <f t="shared" si="107"/>
        <v>58333.33333</v>
      </c>
      <c r="T310" s="52">
        <f t="shared" si="107"/>
        <v>58333.33333</v>
      </c>
      <c r="U310" s="53">
        <f t="shared" si="107"/>
        <v>58333.33333</v>
      </c>
      <c r="V310" s="51">
        <f t="shared" si="107"/>
        <v>0</v>
      </c>
      <c r="W310" s="52">
        <f t="shared" si="107"/>
        <v>58333.33333</v>
      </c>
      <c r="X310" s="53">
        <f t="shared" si="107"/>
        <v>58333.33333</v>
      </c>
      <c r="Y310" s="51">
        <f t="shared" si="107"/>
        <v>58333.33333</v>
      </c>
      <c r="Z310" s="52">
        <f t="shared" si="107"/>
        <v>58333.33333</v>
      </c>
      <c r="AA310" s="53">
        <f t="shared" si="107"/>
        <v>58333.33333</v>
      </c>
      <c r="AB310" s="51">
        <f t="shared" si="107"/>
        <v>58333.33333</v>
      </c>
      <c r="AC310" s="52">
        <f t="shared" si="107"/>
        <v>58333.33333</v>
      </c>
      <c r="AD310" s="53">
        <f t="shared" si="107"/>
        <v>58333.33333</v>
      </c>
      <c r="AE310" s="51">
        <f t="shared" si="107"/>
        <v>58333.33333</v>
      </c>
      <c r="AF310" s="52">
        <f t="shared" si="107"/>
        <v>58333.33333</v>
      </c>
      <c r="AG310" s="53">
        <f t="shared" si="107"/>
        <v>58333.33333</v>
      </c>
      <c r="AH310" s="51">
        <f t="shared" si="107"/>
        <v>0</v>
      </c>
      <c r="AI310" s="52">
        <f t="shared" si="107"/>
        <v>58333.33333</v>
      </c>
      <c r="AJ310" s="53">
        <f t="shared" si="107"/>
        <v>58333.33333</v>
      </c>
      <c r="AK310" s="51">
        <f t="shared" si="107"/>
        <v>58333.33333</v>
      </c>
      <c r="AL310" s="52">
        <f t="shared" si="107"/>
        <v>58333.33333</v>
      </c>
      <c r="AM310" s="53">
        <f t="shared" si="107"/>
        <v>58333.33333</v>
      </c>
      <c r="AN310" s="51">
        <f t="shared" si="107"/>
        <v>58333.33333</v>
      </c>
      <c r="AO310" s="52">
        <f t="shared" si="107"/>
        <v>58333.33333</v>
      </c>
      <c r="AP310" s="53">
        <f t="shared" si="107"/>
        <v>58333.33333</v>
      </c>
      <c r="AQ310" s="51">
        <f t="shared" si="107"/>
        <v>58333.33333</v>
      </c>
      <c r="AR310" s="52">
        <f t="shared" si="107"/>
        <v>58333.33333</v>
      </c>
      <c r="AS310" s="53">
        <f t="shared" si="107"/>
        <v>58333.33333</v>
      </c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</row>
    <row r="311" ht="12.0" customHeight="1">
      <c r="A311" s="282"/>
      <c r="B311" s="4"/>
      <c r="C311" s="37"/>
      <c r="D311" s="34"/>
      <c r="E311" s="35"/>
      <c r="F311" s="35"/>
      <c r="G311" s="34"/>
      <c r="H311" s="35"/>
      <c r="I311" s="36"/>
      <c r="J311" s="34"/>
      <c r="K311" s="35"/>
      <c r="L311" s="36"/>
      <c r="M311" s="34"/>
      <c r="N311" s="35"/>
      <c r="O311" s="36"/>
      <c r="P311" s="34"/>
      <c r="Q311" s="35"/>
      <c r="R311" s="36"/>
      <c r="S311" s="34"/>
      <c r="T311" s="35"/>
      <c r="U311" s="36"/>
      <c r="V311" s="34"/>
      <c r="W311" s="35"/>
      <c r="X311" s="36"/>
      <c r="Y311" s="34"/>
      <c r="Z311" s="35"/>
      <c r="AA311" s="36"/>
      <c r="AB311" s="34"/>
      <c r="AC311" s="35"/>
      <c r="AD311" s="36"/>
      <c r="AE311" s="34"/>
      <c r="AF311" s="35"/>
      <c r="AG311" s="36"/>
      <c r="AH311" s="34"/>
      <c r="AI311" s="35"/>
      <c r="AJ311" s="36"/>
      <c r="AK311" s="34"/>
      <c r="AL311" s="35"/>
      <c r="AM311" s="36"/>
      <c r="AN311" s="34"/>
      <c r="AO311" s="35"/>
      <c r="AP311" s="36"/>
      <c r="AQ311" s="34"/>
      <c r="AR311" s="35"/>
      <c r="AS311" s="36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</row>
    <row r="312" ht="12.0" customHeight="1">
      <c r="A312" s="4"/>
      <c r="B312" s="262" t="s">
        <v>223</v>
      </c>
      <c r="C312" s="29"/>
      <c r="D312" s="30"/>
      <c r="E312" s="31"/>
      <c r="F312" s="31"/>
      <c r="G312" s="30"/>
      <c r="H312" s="31"/>
      <c r="I312" s="32"/>
      <c r="J312" s="30"/>
      <c r="K312" s="31"/>
      <c r="L312" s="32"/>
      <c r="M312" s="30"/>
      <c r="N312" s="31"/>
      <c r="O312" s="32"/>
      <c r="P312" s="30"/>
      <c r="Q312" s="31"/>
      <c r="R312" s="32"/>
      <c r="S312" s="30"/>
      <c r="T312" s="31"/>
      <c r="U312" s="32"/>
      <c r="V312" s="30"/>
      <c r="W312" s="31"/>
      <c r="X312" s="281"/>
      <c r="Y312" s="30"/>
      <c r="Z312" s="31"/>
      <c r="AA312" s="32"/>
      <c r="AB312" s="30"/>
      <c r="AC312" s="31"/>
      <c r="AD312" s="32"/>
      <c r="AE312" s="30"/>
      <c r="AF312" s="31"/>
      <c r="AG312" s="32"/>
      <c r="AH312" s="30"/>
      <c r="AI312" s="31"/>
      <c r="AJ312" s="32"/>
      <c r="AK312" s="30"/>
      <c r="AL312" s="31"/>
      <c r="AM312" s="32"/>
      <c r="AN312" s="30"/>
      <c r="AO312" s="31"/>
      <c r="AP312" s="32"/>
      <c r="AQ312" s="30"/>
      <c r="AR312" s="31"/>
      <c r="AS312" s="32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</row>
    <row r="313" ht="4.5" customHeight="1">
      <c r="A313" s="4"/>
      <c r="B313" s="8"/>
      <c r="C313" s="4"/>
      <c r="D313" s="25"/>
      <c r="E313" s="26"/>
      <c r="F313" s="26"/>
      <c r="G313" s="25"/>
      <c r="H313" s="26"/>
      <c r="I313" s="27"/>
      <c r="J313" s="25"/>
      <c r="K313" s="26"/>
      <c r="L313" s="27"/>
      <c r="M313" s="25"/>
      <c r="N313" s="26"/>
      <c r="O313" s="27"/>
      <c r="P313" s="25"/>
      <c r="Q313" s="26"/>
      <c r="R313" s="27"/>
      <c r="S313" s="25"/>
      <c r="T313" s="26"/>
      <c r="U313" s="27"/>
      <c r="V313" s="25"/>
      <c r="W313" s="26"/>
      <c r="X313" s="27"/>
      <c r="Y313" s="25"/>
      <c r="Z313" s="26"/>
      <c r="AA313" s="27"/>
      <c r="AB313" s="25"/>
      <c r="AC313" s="26"/>
      <c r="AD313" s="27"/>
      <c r="AE313" s="25"/>
      <c r="AF313" s="26"/>
      <c r="AG313" s="27"/>
      <c r="AH313" s="25"/>
      <c r="AI313" s="26"/>
      <c r="AJ313" s="27"/>
      <c r="AK313" s="25"/>
      <c r="AL313" s="26"/>
      <c r="AM313" s="27"/>
      <c r="AN313" s="25"/>
      <c r="AO313" s="26"/>
      <c r="AP313" s="27"/>
      <c r="AQ313" s="25"/>
      <c r="AR313" s="26"/>
      <c r="AS313" s="27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</row>
    <row r="314" ht="12.0" customHeight="1">
      <c r="A314" s="54"/>
      <c r="B314" s="270" t="s">
        <v>224</v>
      </c>
      <c r="C314" s="4"/>
      <c r="D314" s="64"/>
      <c r="E314" s="4"/>
      <c r="F314" s="4"/>
      <c r="G314" s="64"/>
      <c r="H314" s="4"/>
      <c r="I314" s="65"/>
      <c r="J314" s="64"/>
      <c r="K314" s="4"/>
      <c r="L314" s="65"/>
      <c r="M314" s="64"/>
      <c r="N314" s="4"/>
      <c r="O314" s="65"/>
      <c r="P314" s="64"/>
      <c r="Q314" s="4"/>
      <c r="R314" s="65"/>
      <c r="S314" s="64"/>
      <c r="T314" s="4"/>
      <c r="U314" s="65"/>
      <c r="V314" s="64"/>
      <c r="W314" s="4"/>
      <c r="X314" s="65"/>
      <c r="Y314" s="64"/>
      <c r="Z314" s="4"/>
      <c r="AA314" s="65"/>
      <c r="AB314" s="64"/>
      <c r="AC314" s="4"/>
      <c r="AD314" s="65"/>
      <c r="AE314" s="64"/>
      <c r="AF314" s="4"/>
      <c r="AG314" s="65"/>
      <c r="AH314" s="64"/>
      <c r="AI314" s="4"/>
      <c r="AJ314" s="65"/>
      <c r="AK314" s="64"/>
      <c r="AL314" s="4"/>
      <c r="AM314" s="65"/>
      <c r="AN314" s="64"/>
      <c r="AO314" s="4"/>
      <c r="AP314" s="65"/>
      <c r="AQ314" s="64"/>
      <c r="AR314" s="4"/>
      <c r="AS314" s="65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</row>
    <row r="315" ht="12.0" customHeight="1">
      <c r="A315" s="282"/>
      <c r="B315" s="4"/>
      <c r="C315" s="37" t="str">
        <f t="shared" ref="C315:C326" si="109">C216</f>
        <v>CRO</v>
      </c>
      <c r="D315" s="61" t="b">
        <f t="shared" ref="D315:AS315" si="108">D117&gt;0</f>
        <v>0</v>
      </c>
      <c r="E315" s="62" t="b">
        <f t="shared" si="108"/>
        <v>0</v>
      </c>
      <c r="F315" s="62" t="b">
        <f t="shared" si="108"/>
        <v>0</v>
      </c>
      <c r="G315" s="61" t="b">
        <f t="shared" si="108"/>
        <v>0</v>
      </c>
      <c r="H315" s="62" t="b">
        <f t="shared" si="108"/>
        <v>0</v>
      </c>
      <c r="I315" s="63" t="b">
        <f t="shared" si="108"/>
        <v>0</v>
      </c>
      <c r="J315" s="61" t="b">
        <f t="shared" si="108"/>
        <v>0</v>
      </c>
      <c r="K315" s="62" t="b">
        <f t="shared" si="108"/>
        <v>0</v>
      </c>
      <c r="L315" s="63" t="b">
        <f t="shared" si="108"/>
        <v>0</v>
      </c>
      <c r="M315" s="61" t="b">
        <f t="shared" si="108"/>
        <v>1</v>
      </c>
      <c r="N315" s="62" t="b">
        <f t="shared" si="108"/>
        <v>1</v>
      </c>
      <c r="O315" s="63" t="b">
        <f t="shared" si="108"/>
        <v>1</v>
      </c>
      <c r="P315" s="61" t="b">
        <f t="shared" si="108"/>
        <v>1</v>
      </c>
      <c r="Q315" s="62" t="b">
        <f t="shared" si="108"/>
        <v>1</v>
      </c>
      <c r="R315" s="63" t="b">
        <f t="shared" si="108"/>
        <v>1</v>
      </c>
      <c r="S315" s="61" t="b">
        <f t="shared" si="108"/>
        <v>1</v>
      </c>
      <c r="T315" s="62" t="b">
        <f t="shared" si="108"/>
        <v>1</v>
      </c>
      <c r="U315" s="63" t="b">
        <f t="shared" si="108"/>
        <v>1</v>
      </c>
      <c r="V315" s="61" t="b">
        <f t="shared" si="108"/>
        <v>1</v>
      </c>
      <c r="W315" s="62" t="b">
        <f t="shared" si="108"/>
        <v>1</v>
      </c>
      <c r="X315" s="63" t="b">
        <f t="shared" si="108"/>
        <v>1</v>
      </c>
      <c r="Y315" s="61" t="b">
        <f t="shared" si="108"/>
        <v>1</v>
      </c>
      <c r="Z315" s="62" t="b">
        <f t="shared" si="108"/>
        <v>1</v>
      </c>
      <c r="AA315" s="63" t="b">
        <f t="shared" si="108"/>
        <v>1</v>
      </c>
      <c r="AB315" s="61" t="b">
        <f t="shared" si="108"/>
        <v>1</v>
      </c>
      <c r="AC315" s="62" t="b">
        <f t="shared" si="108"/>
        <v>1</v>
      </c>
      <c r="AD315" s="63" t="b">
        <f t="shared" si="108"/>
        <v>1</v>
      </c>
      <c r="AE315" s="61" t="b">
        <f t="shared" si="108"/>
        <v>1</v>
      </c>
      <c r="AF315" s="62" t="b">
        <f t="shared" si="108"/>
        <v>1</v>
      </c>
      <c r="AG315" s="63" t="b">
        <f t="shared" si="108"/>
        <v>1</v>
      </c>
      <c r="AH315" s="61" t="b">
        <f t="shared" si="108"/>
        <v>1</v>
      </c>
      <c r="AI315" s="62" t="b">
        <f t="shared" si="108"/>
        <v>1</v>
      </c>
      <c r="AJ315" s="63" t="b">
        <f t="shared" si="108"/>
        <v>1</v>
      </c>
      <c r="AK315" s="61" t="b">
        <f t="shared" si="108"/>
        <v>1</v>
      </c>
      <c r="AL315" s="62" t="b">
        <f t="shared" si="108"/>
        <v>1</v>
      </c>
      <c r="AM315" s="63" t="b">
        <f t="shared" si="108"/>
        <v>1</v>
      </c>
      <c r="AN315" s="61" t="b">
        <f t="shared" si="108"/>
        <v>1</v>
      </c>
      <c r="AO315" s="62" t="b">
        <f t="shared" si="108"/>
        <v>1</v>
      </c>
      <c r="AP315" s="63" t="b">
        <f t="shared" si="108"/>
        <v>1</v>
      </c>
      <c r="AQ315" s="61" t="b">
        <f t="shared" si="108"/>
        <v>1</v>
      </c>
      <c r="AR315" s="62" t="b">
        <f t="shared" si="108"/>
        <v>1</v>
      </c>
      <c r="AS315" s="63" t="b">
        <f t="shared" si="108"/>
        <v>1</v>
      </c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</row>
    <row r="316" ht="12.0" customHeight="1">
      <c r="A316" s="282"/>
      <c r="B316" s="4"/>
      <c r="C316" s="37" t="str">
        <f t="shared" si="109"/>
        <v>AE</v>
      </c>
      <c r="D316" s="61" t="b">
        <f t="shared" ref="D316:AS316" si="110">D118&gt;0</f>
        <v>1</v>
      </c>
      <c r="E316" s="62" t="b">
        <f t="shared" si="110"/>
        <v>1</v>
      </c>
      <c r="F316" s="62" t="b">
        <f t="shared" si="110"/>
        <v>1</v>
      </c>
      <c r="G316" s="61" t="b">
        <f t="shared" si="110"/>
        <v>1</v>
      </c>
      <c r="H316" s="62" t="b">
        <f t="shared" si="110"/>
        <v>1</v>
      </c>
      <c r="I316" s="63" t="b">
        <f t="shared" si="110"/>
        <v>1</v>
      </c>
      <c r="J316" s="61" t="b">
        <f t="shared" si="110"/>
        <v>1</v>
      </c>
      <c r="K316" s="62" t="b">
        <f t="shared" si="110"/>
        <v>1</v>
      </c>
      <c r="L316" s="63" t="b">
        <f t="shared" si="110"/>
        <v>1</v>
      </c>
      <c r="M316" s="61" t="b">
        <f t="shared" si="110"/>
        <v>1</v>
      </c>
      <c r="N316" s="62" t="b">
        <f t="shared" si="110"/>
        <v>1</v>
      </c>
      <c r="O316" s="63" t="b">
        <f t="shared" si="110"/>
        <v>1</v>
      </c>
      <c r="P316" s="61" t="b">
        <f t="shared" si="110"/>
        <v>1</v>
      </c>
      <c r="Q316" s="62" t="b">
        <f t="shared" si="110"/>
        <v>1</v>
      </c>
      <c r="R316" s="63" t="b">
        <f t="shared" si="110"/>
        <v>1</v>
      </c>
      <c r="S316" s="61" t="b">
        <f t="shared" si="110"/>
        <v>1</v>
      </c>
      <c r="T316" s="62" t="b">
        <f t="shared" si="110"/>
        <v>1</v>
      </c>
      <c r="U316" s="63" t="b">
        <f t="shared" si="110"/>
        <v>1</v>
      </c>
      <c r="V316" s="61" t="b">
        <f t="shared" si="110"/>
        <v>1</v>
      </c>
      <c r="W316" s="62" t="b">
        <f t="shared" si="110"/>
        <v>1</v>
      </c>
      <c r="X316" s="63" t="b">
        <f t="shared" si="110"/>
        <v>1</v>
      </c>
      <c r="Y316" s="61" t="b">
        <f t="shared" si="110"/>
        <v>1</v>
      </c>
      <c r="Z316" s="62" t="b">
        <f t="shared" si="110"/>
        <v>1</v>
      </c>
      <c r="AA316" s="63" t="b">
        <f t="shared" si="110"/>
        <v>1</v>
      </c>
      <c r="AB316" s="61" t="b">
        <f t="shared" si="110"/>
        <v>1</v>
      </c>
      <c r="AC316" s="62" t="b">
        <f t="shared" si="110"/>
        <v>1</v>
      </c>
      <c r="AD316" s="63" t="b">
        <f t="shared" si="110"/>
        <v>1</v>
      </c>
      <c r="AE316" s="61" t="b">
        <f t="shared" si="110"/>
        <v>1</v>
      </c>
      <c r="AF316" s="62" t="b">
        <f t="shared" si="110"/>
        <v>1</v>
      </c>
      <c r="AG316" s="63" t="b">
        <f t="shared" si="110"/>
        <v>1</v>
      </c>
      <c r="AH316" s="61" t="b">
        <f t="shared" si="110"/>
        <v>1</v>
      </c>
      <c r="AI316" s="62" t="b">
        <f t="shared" si="110"/>
        <v>1</v>
      </c>
      <c r="AJ316" s="63" t="b">
        <f t="shared" si="110"/>
        <v>1</v>
      </c>
      <c r="AK316" s="61" t="b">
        <f t="shared" si="110"/>
        <v>1</v>
      </c>
      <c r="AL316" s="62" t="b">
        <f t="shared" si="110"/>
        <v>1</v>
      </c>
      <c r="AM316" s="63" t="b">
        <f t="shared" si="110"/>
        <v>1</v>
      </c>
      <c r="AN316" s="61" t="b">
        <f t="shared" si="110"/>
        <v>1</v>
      </c>
      <c r="AO316" s="62" t="b">
        <f t="shared" si="110"/>
        <v>1</v>
      </c>
      <c r="AP316" s="63" t="b">
        <f t="shared" si="110"/>
        <v>1</v>
      </c>
      <c r="AQ316" s="61" t="b">
        <f t="shared" si="110"/>
        <v>1</v>
      </c>
      <c r="AR316" s="62" t="b">
        <f t="shared" si="110"/>
        <v>1</v>
      </c>
      <c r="AS316" s="63" t="b">
        <f t="shared" si="110"/>
        <v>1</v>
      </c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</row>
    <row r="317" ht="12.0" customHeight="1">
      <c r="A317" s="282"/>
      <c r="B317" s="4"/>
      <c r="C317" s="37" t="str">
        <f t="shared" si="109"/>
        <v>AE manager</v>
      </c>
      <c r="D317" s="61" t="b">
        <f t="shared" ref="D317:AS317" si="111">D119&gt;0</f>
        <v>0</v>
      </c>
      <c r="E317" s="62" t="b">
        <f t="shared" si="111"/>
        <v>0</v>
      </c>
      <c r="F317" s="62" t="b">
        <f t="shared" si="111"/>
        <v>0</v>
      </c>
      <c r="G317" s="61" t="b">
        <f t="shared" si="111"/>
        <v>0</v>
      </c>
      <c r="H317" s="62" t="b">
        <f t="shared" si="111"/>
        <v>0</v>
      </c>
      <c r="I317" s="63" t="b">
        <f t="shared" si="111"/>
        <v>0</v>
      </c>
      <c r="J317" s="61" t="b">
        <f t="shared" si="111"/>
        <v>0</v>
      </c>
      <c r="K317" s="62" t="b">
        <f t="shared" si="111"/>
        <v>0</v>
      </c>
      <c r="L317" s="63" t="b">
        <f t="shared" si="111"/>
        <v>0</v>
      </c>
      <c r="M317" s="61" t="b">
        <f t="shared" si="111"/>
        <v>0</v>
      </c>
      <c r="N317" s="62" t="b">
        <f t="shared" si="111"/>
        <v>0</v>
      </c>
      <c r="O317" s="63" t="b">
        <f t="shared" si="111"/>
        <v>0</v>
      </c>
      <c r="P317" s="61" t="b">
        <f t="shared" si="111"/>
        <v>0</v>
      </c>
      <c r="Q317" s="62" t="b">
        <f t="shared" si="111"/>
        <v>0</v>
      </c>
      <c r="R317" s="63" t="b">
        <f t="shared" si="111"/>
        <v>0</v>
      </c>
      <c r="S317" s="61" t="b">
        <f t="shared" si="111"/>
        <v>0</v>
      </c>
      <c r="T317" s="62" t="b">
        <f t="shared" si="111"/>
        <v>0</v>
      </c>
      <c r="U317" s="63" t="b">
        <f t="shared" si="111"/>
        <v>0</v>
      </c>
      <c r="V317" s="61" t="b">
        <f t="shared" si="111"/>
        <v>0</v>
      </c>
      <c r="W317" s="62" t="b">
        <f t="shared" si="111"/>
        <v>0</v>
      </c>
      <c r="X317" s="63" t="b">
        <f t="shared" si="111"/>
        <v>0</v>
      </c>
      <c r="Y317" s="61" t="b">
        <f t="shared" si="111"/>
        <v>0</v>
      </c>
      <c r="Z317" s="62" t="b">
        <f t="shared" si="111"/>
        <v>0</v>
      </c>
      <c r="AA317" s="63" t="b">
        <f t="shared" si="111"/>
        <v>0</v>
      </c>
      <c r="AB317" s="61" t="b">
        <f t="shared" si="111"/>
        <v>0</v>
      </c>
      <c r="AC317" s="62" t="b">
        <f t="shared" si="111"/>
        <v>0</v>
      </c>
      <c r="AD317" s="63" t="b">
        <f t="shared" si="111"/>
        <v>0</v>
      </c>
      <c r="AE317" s="61" t="b">
        <f t="shared" si="111"/>
        <v>0</v>
      </c>
      <c r="AF317" s="62" t="b">
        <f t="shared" si="111"/>
        <v>0</v>
      </c>
      <c r="AG317" s="63" t="b">
        <f t="shared" si="111"/>
        <v>0</v>
      </c>
      <c r="AH317" s="61" t="b">
        <f t="shared" si="111"/>
        <v>1</v>
      </c>
      <c r="AI317" s="62" t="b">
        <f t="shared" si="111"/>
        <v>1</v>
      </c>
      <c r="AJ317" s="63" t="b">
        <f t="shared" si="111"/>
        <v>1</v>
      </c>
      <c r="AK317" s="61" t="b">
        <f t="shared" si="111"/>
        <v>1</v>
      </c>
      <c r="AL317" s="62" t="b">
        <f t="shared" si="111"/>
        <v>1</v>
      </c>
      <c r="AM317" s="63" t="b">
        <f t="shared" si="111"/>
        <v>1</v>
      </c>
      <c r="AN317" s="61" t="b">
        <f t="shared" si="111"/>
        <v>1</v>
      </c>
      <c r="AO317" s="62" t="b">
        <f t="shared" si="111"/>
        <v>1</v>
      </c>
      <c r="AP317" s="63" t="b">
        <f t="shared" si="111"/>
        <v>1</v>
      </c>
      <c r="AQ317" s="61" t="b">
        <f t="shared" si="111"/>
        <v>1</v>
      </c>
      <c r="AR317" s="62" t="b">
        <f t="shared" si="111"/>
        <v>1</v>
      </c>
      <c r="AS317" s="63" t="b">
        <f t="shared" si="111"/>
        <v>1</v>
      </c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</row>
    <row r="318" ht="12.0" customHeight="1">
      <c r="A318" s="282"/>
      <c r="B318" s="4"/>
      <c r="C318" s="37" t="str">
        <f t="shared" si="109"/>
        <v>SE</v>
      </c>
      <c r="D318" s="61" t="b">
        <f t="shared" ref="D318:AS318" si="112">D120&gt;0</f>
        <v>1</v>
      </c>
      <c r="E318" s="62" t="b">
        <f t="shared" si="112"/>
        <v>1</v>
      </c>
      <c r="F318" s="62" t="b">
        <f t="shared" si="112"/>
        <v>1</v>
      </c>
      <c r="G318" s="61" t="b">
        <f t="shared" si="112"/>
        <v>1</v>
      </c>
      <c r="H318" s="62" t="b">
        <f t="shared" si="112"/>
        <v>1</v>
      </c>
      <c r="I318" s="63" t="b">
        <f t="shared" si="112"/>
        <v>1</v>
      </c>
      <c r="J318" s="61" t="b">
        <f t="shared" si="112"/>
        <v>1</v>
      </c>
      <c r="K318" s="62" t="b">
        <f t="shared" si="112"/>
        <v>1</v>
      </c>
      <c r="L318" s="63" t="b">
        <f t="shared" si="112"/>
        <v>1</v>
      </c>
      <c r="M318" s="61" t="b">
        <f t="shared" si="112"/>
        <v>1</v>
      </c>
      <c r="N318" s="62" t="b">
        <f t="shared" si="112"/>
        <v>1</v>
      </c>
      <c r="O318" s="63" t="b">
        <f t="shared" si="112"/>
        <v>1</v>
      </c>
      <c r="P318" s="61" t="b">
        <f t="shared" si="112"/>
        <v>1</v>
      </c>
      <c r="Q318" s="62" t="b">
        <f t="shared" si="112"/>
        <v>1</v>
      </c>
      <c r="R318" s="63" t="b">
        <f t="shared" si="112"/>
        <v>1</v>
      </c>
      <c r="S318" s="61" t="b">
        <f t="shared" si="112"/>
        <v>1</v>
      </c>
      <c r="T318" s="62" t="b">
        <f t="shared" si="112"/>
        <v>1</v>
      </c>
      <c r="U318" s="63" t="b">
        <f t="shared" si="112"/>
        <v>1</v>
      </c>
      <c r="V318" s="61" t="b">
        <f t="shared" si="112"/>
        <v>1</v>
      </c>
      <c r="W318" s="62" t="b">
        <f t="shared" si="112"/>
        <v>1</v>
      </c>
      <c r="X318" s="63" t="b">
        <f t="shared" si="112"/>
        <v>1</v>
      </c>
      <c r="Y318" s="61" t="b">
        <f t="shared" si="112"/>
        <v>1</v>
      </c>
      <c r="Z318" s="62" t="b">
        <f t="shared" si="112"/>
        <v>1</v>
      </c>
      <c r="AA318" s="63" t="b">
        <f t="shared" si="112"/>
        <v>1</v>
      </c>
      <c r="AB318" s="61" t="b">
        <f t="shared" si="112"/>
        <v>1</v>
      </c>
      <c r="AC318" s="62" t="b">
        <f t="shared" si="112"/>
        <v>1</v>
      </c>
      <c r="AD318" s="63" t="b">
        <f t="shared" si="112"/>
        <v>1</v>
      </c>
      <c r="AE318" s="61" t="b">
        <f t="shared" si="112"/>
        <v>1</v>
      </c>
      <c r="AF318" s="62" t="b">
        <f t="shared" si="112"/>
        <v>1</v>
      </c>
      <c r="AG318" s="63" t="b">
        <f t="shared" si="112"/>
        <v>1</v>
      </c>
      <c r="AH318" s="61" t="b">
        <f t="shared" si="112"/>
        <v>1</v>
      </c>
      <c r="AI318" s="62" t="b">
        <f t="shared" si="112"/>
        <v>1</v>
      </c>
      <c r="AJ318" s="63" t="b">
        <f t="shared" si="112"/>
        <v>1</v>
      </c>
      <c r="AK318" s="61" t="b">
        <f t="shared" si="112"/>
        <v>1</v>
      </c>
      <c r="AL318" s="62" t="b">
        <f t="shared" si="112"/>
        <v>1</v>
      </c>
      <c r="AM318" s="63" t="b">
        <f t="shared" si="112"/>
        <v>1</v>
      </c>
      <c r="AN318" s="61" t="b">
        <f t="shared" si="112"/>
        <v>1</v>
      </c>
      <c r="AO318" s="62" t="b">
        <f t="shared" si="112"/>
        <v>1</v>
      </c>
      <c r="AP318" s="63" t="b">
        <f t="shared" si="112"/>
        <v>1</v>
      </c>
      <c r="AQ318" s="61" t="b">
        <f t="shared" si="112"/>
        <v>1</v>
      </c>
      <c r="AR318" s="62" t="b">
        <f t="shared" si="112"/>
        <v>1</v>
      </c>
      <c r="AS318" s="63" t="b">
        <f t="shared" si="112"/>
        <v>1</v>
      </c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</row>
    <row r="319" ht="12.0" customHeight="1">
      <c r="A319" s="282"/>
      <c r="B319" s="4"/>
      <c r="C319" s="37" t="str">
        <f t="shared" si="109"/>
        <v>SE manager</v>
      </c>
      <c r="D319" s="61" t="b">
        <f t="shared" ref="D319:AS319" si="113">D121&gt;0</f>
        <v>0</v>
      </c>
      <c r="E319" s="62" t="b">
        <f t="shared" si="113"/>
        <v>0</v>
      </c>
      <c r="F319" s="62" t="b">
        <f t="shared" si="113"/>
        <v>0</v>
      </c>
      <c r="G319" s="61" t="b">
        <f t="shared" si="113"/>
        <v>0</v>
      </c>
      <c r="H319" s="62" t="b">
        <f t="shared" si="113"/>
        <v>0</v>
      </c>
      <c r="I319" s="63" t="b">
        <f t="shared" si="113"/>
        <v>0</v>
      </c>
      <c r="J319" s="61" t="b">
        <f t="shared" si="113"/>
        <v>0</v>
      </c>
      <c r="K319" s="62" t="b">
        <f t="shared" si="113"/>
        <v>0</v>
      </c>
      <c r="L319" s="63" t="b">
        <f t="shared" si="113"/>
        <v>0</v>
      </c>
      <c r="M319" s="61" t="b">
        <f t="shared" si="113"/>
        <v>0</v>
      </c>
      <c r="N319" s="62" t="b">
        <f t="shared" si="113"/>
        <v>0</v>
      </c>
      <c r="O319" s="63" t="b">
        <f t="shared" si="113"/>
        <v>0</v>
      </c>
      <c r="P319" s="61" t="b">
        <f t="shared" si="113"/>
        <v>0</v>
      </c>
      <c r="Q319" s="62" t="b">
        <f t="shared" si="113"/>
        <v>0</v>
      </c>
      <c r="R319" s="63" t="b">
        <f t="shared" si="113"/>
        <v>0</v>
      </c>
      <c r="S319" s="61" t="b">
        <f t="shared" si="113"/>
        <v>0</v>
      </c>
      <c r="T319" s="62" t="b">
        <f t="shared" si="113"/>
        <v>0</v>
      </c>
      <c r="U319" s="63" t="b">
        <f t="shared" si="113"/>
        <v>0</v>
      </c>
      <c r="V319" s="61" t="b">
        <f t="shared" si="113"/>
        <v>0</v>
      </c>
      <c r="W319" s="62" t="b">
        <f t="shared" si="113"/>
        <v>0</v>
      </c>
      <c r="X319" s="63" t="b">
        <f t="shared" si="113"/>
        <v>0</v>
      </c>
      <c r="Y319" s="61" t="b">
        <f t="shared" si="113"/>
        <v>0</v>
      </c>
      <c r="Z319" s="62" t="b">
        <f t="shared" si="113"/>
        <v>0</v>
      </c>
      <c r="AA319" s="63" t="b">
        <f t="shared" si="113"/>
        <v>0</v>
      </c>
      <c r="AB319" s="61" t="b">
        <f t="shared" si="113"/>
        <v>0</v>
      </c>
      <c r="AC319" s="62" t="b">
        <f t="shared" si="113"/>
        <v>0</v>
      </c>
      <c r="AD319" s="63" t="b">
        <f t="shared" si="113"/>
        <v>0</v>
      </c>
      <c r="AE319" s="61" t="b">
        <f t="shared" si="113"/>
        <v>0</v>
      </c>
      <c r="AF319" s="62" t="b">
        <f t="shared" si="113"/>
        <v>0</v>
      </c>
      <c r="AG319" s="63" t="b">
        <f t="shared" si="113"/>
        <v>0</v>
      </c>
      <c r="AH319" s="61" t="b">
        <f t="shared" si="113"/>
        <v>0</v>
      </c>
      <c r="AI319" s="62" t="b">
        <f t="shared" si="113"/>
        <v>0</v>
      </c>
      <c r="AJ319" s="63" t="b">
        <f t="shared" si="113"/>
        <v>0</v>
      </c>
      <c r="AK319" s="61" t="b">
        <f t="shared" si="113"/>
        <v>0</v>
      </c>
      <c r="AL319" s="62" t="b">
        <f t="shared" si="113"/>
        <v>0</v>
      </c>
      <c r="AM319" s="63" t="b">
        <f t="shared" si="113"/>
        <v>0</v>
      </c>
      <c r="AN319" s="61" t="b">
        <f t="shared" si="113"/>
        <v>0</v>
      </c>
      <c r="AO319" s="62" t="b">
        <f t="shared" si="113"/>
        <v>0</v>
      </c>
      <c r="AP319" s="63" t="b">
        <f t="shared" si="113"/>
        <v>0</v>
      </c>
      <c r="AQ319" s="61" t="b">
        <f t="shared" si="113"/>
        <v>0</v>
      </c>
      <c r="AR319" s="62" t="b">
        <f t="shared" si="113"/>
        <v>0</v>
      </c>
      <c r="AS319" s="63" t="b">
        <f t="shared" si="113"/>
        <v>0</v>
      </c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</row>
    <row r="320" ht="12.0" customHeight="1">
      <c r="A320" s="282"/>
      <c r="B320" s="4"/>
      <c r="C320" s="37" t="str">
        <f t="shared" si="109"/>
        <v>Sales Ops</v>
      </c>
      <c r="D320" s="61" t="b">
        <f t="shared" ref="D320:AS320" si="114">D122&gt;0</f>
        <v>0</v>
      </c>
      <c r="E320" s="62" t="b">
        <f t="shared" si="114"/>
        <v>0</v>
      </c>
      <c r="F320" s="62" t="b">
        <f t="shared" si="114"/>
        <v>0</v>
      </c>
      <c r="G320" s="61" t="b">
        <f t="shared" si="114"/>
        <v>0</v>
      </c>
      <c r="H320" s="62" t="b">
        <f t="shared" si="114"/>
        <v>0</v>
      </c>
      <c r="I320" s="63" t="b">
        <f t="shared" si="114"/>
        <v>0</v>
      </c>
      <c r="J320" s="61" t="b">
        <f t="shared" si="114"/>
        <v>0</v>
      </c>
      <c r="K320" s="62" t="b">
        <f t="shared" si="114"/>
        <v>0</v>
      </c>
      <c r="L320" s="63" t="b">
        <f t="shared" si="114"/>
        <v>0</v>
      </c>
      <c r="M320" s="61" t="b">
        <f t="shared" si="114"/>
        <v>0</v>
      </c>
      <c r="N320" s="62" t="b">
        <f t="shared" si="114"/>
        <v>0</v>
      </c>
      <c r="O320" s="63" t="b">
        <f t="shared" si="114"/>
        <v>0</v>
      </c>
      <c r="P320" s="61" t="b">
        <f t="shared" si="114"/>
        <v>0</v>
      </c>
      <c r="Q320" s="62" t="b">
        <f t="shared" si="114"/>
        <v>0</v>
      </c>
      <c r="R320" s="63" t="b">
        <f t="shared" si="114"/>
        <v>1</v>
      </c>
      <c r="S320" s="61" t="b">
        <f t="shared" si="114"/>
        <v>1</v>
      </c>
      <c r="T320" s="62" t="b">
        <f t="shared" si="114"/>
        <v>1</v>
      </c>
      <c r="U320" s="63" t="b">
        <f t="shared" si="114"/>
        <v>1</v>
      </c>
      <c r="V320" s="61" t="b">
        <f t="shared" si="114"/>
        <v>1</v>
      </c>
      <c r="W320" s="62" t="b">
        <f t="shared" si="114"/>
        <v>1</v>
      </c>
      <c r="X320" s="63" t="b">
        <f t="shared" si="114"/>
        <v>1</v>
      </c>
      <c r="Y320" s="61" t="b">
        <f t="shared" si="114"/>
        <v>1</v>
      </c>
      <c r="Z320" s="62" t="b">
        <f t="shared" si="114"/>
        <v>1</v>
      </c>
      <c r="AA320" s="63" t="b">
        <f t="shared" si="114"/>
        <v>1</v>
      </c>
      <c r="AB320" s="61" t="b">
        <f t="shared" si="114"/>
        <v>1</v>
      </c>
      <c r="AC320" s="62" t="b">
        <f t="shared" si="114"/>
        <v>1</v>
      </c>
      <c r="AD320" s="63" t="b">
        <f t="shared" si="114"/>
        <v>1</v>
      </c>
      <c r="AE320" s="61" t="b">
        <f t="shared" si="114"/>
        <v>1</v>
      </c>
      <c r="AF320" s="62" t="b">
        <f t="shared" si="114"/>
        <v>1</v>
      </c>
      <c r="AG320" s="63" t="b">
        <f t="shared" si="114"/>
        <v>1</v>
      </c>
      <c r="AH320" s="61" t="b">
        <f t="shared" si="114"/>
        <v>1</v>
      </c>
      <c r="AI320" s="62" t="b">
        <f t="shared" si="114"/>
        <v>1</v>
      </c>
      <c r="AJ320" s="63" t="b">
        <f t="shared" si="114"/>
        <v>1</v>
      </c>
      <c r="AK320" s="61" t="b">
        <f t="shared" si="114"/>
        <v>1</v>
      </c>
      <c r="AL320" s="62" t="b">
        <f t="shared" si="114"/>
        <v>1</v>
      </c>
      <c r="AM320" s="63" t="b">
        <f t="shared" si="114"/>
        <v>1</v>
      </c>
      <c r="AN320" s="61" t="b">
        <f t="shared" si="114"/>
        <v>1</v>
      </c>
      <c r="AO320" s="62" t="b">
        <f t="shared" si="114"/>
        <v>1</v>
      </c>
      <c r="AP320" s="63" t="b">
        <f t="shared" si="114"/>
        <v>1</v>
      </c>
      <c r="AQ320" s="61" t="b">
        <f t="shared" si="114"/>
        <v>1</v>
      </c>
      <c r="AR320" s="62" t="b">
        <f t="shared" si="114"/>
        <v>1</v>
      </c>
      <c r="AS320" s="63" t="b">
        <f t="shared" si="114"/>
        <v>1</v>
      </c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</row>
    <row r="321" ht="12.0" customHeight="1">
      <c r="A321" s="282"/>
      <c r="B321" s="4"/>
      <c r="C321" s="37" t="str">
        <f t="shared" si="109"/>
        <v>[XX]</v>
      </c>
      <c r="D321" s="61" t="b">
        <f t="shared" ref="D321:AS321" si="115">D123&gt;0</f>
        <v>0</v>
      </c>
      <c r="E321" s="62" t="b">
        <f t="shared" si="115"/>
        <v>0</v>
      </c>
      <c r="F321" s="62" t="b">
        <f t="shared" si="115"/>
        <v>0</v>
      </c>
      <c r="G321" s="61" t="b">
        <f t="shared" si="115"/>
        <v>0</v>
      </c>
      <c r="H321" s="62" t="b">
        <f t="shared" si="115"/>
        <v>0</v>
      </c>
      <c r="I321" s="63" t="b">
        <f t="shared" si="115"/>
        <v>0</v>
      </c>
      <c r="J321" s="61" t="b">
        <f t="shared" si="115"/>
        <v>0</v>
      </c>
      <c r="K321" s="62" t="b">
        <f t="shared" si="115"/>
        <v>0</v>
      </c>
      <c r="L321" s="63" t="b">
        <f t="shared" si="115"/>
        <v>0</v>
      </c>
      <c r="M321" s="61" t="b">
        <f t="shared" si="115"/>
        <v>0</v>
      </c>
      <c r="N321" s="62" t="b">
        <f t="shared" si="115"/>
        <v>0</v>
      </c>
      <c r="O321" s="63" t="b">
        <f t="shared" si="115"/>
        <v>0</v>
      </c>
      <c r="P321" s="61" t="b">
        <f t="shared" si="115"/>
        <v>0</v>
      </c>
      <c r="Q321" s="62" t="b">
        <f t="shared" si="115"/>
        <v>0</v>
      </c>
      <c r="R321" s="63" t="b">
        <f t="shared" si="115"/>
        <v>0</v>
      </c>
      <c r="S321" s="61" t="b">
        <f t="shared" si="115"/>
        <v>0</v>
      </c>
      <c r="T321" s="62" t="b">
        <f t="shared" si="115"/>
        <v>0</v>
      </c>
      <c r="U321" s="63" t="b">
        <f t="shared" si="115"/>
        <v>0</v>
      </c>
      <c r="V321" s="61" t="b">
        <f t="shared" si="115"/>
        <v>0</v>
      </c>
      <c r="W321" s="62" t="b">
        <f t="shared" si="115"/>
        <v>0</v>
      </c>
      <c r="X321" s="63" t="b">
        <f t="shared" si="115"/>
        <v>0</v>
      </c>
      <c r="Y321" s="61" t="b">
        <f t="shared" si="115"/>
        <v>0</v>
      </c>
      <c r="Z321" s="62" t="b">
        <f t="shared" si="115"/>
        <v>0</v>
      </c>
      <c r="AA321" s="63" t="b">
        <f t="shared" si="115"/>
        <v>0</v>
      </c>
      <c r="AB321" s="61" t="b">
        <f t="shared" si="115"/>
        <v>0</v>
      </c>
      <c r="AC321" s="62" t="b">
        <f t="shared" si="115"/>
        <v>0</v>
      </c>
      <c r="AD321" s="63" t="b">
        <f t="shared" si="115"/>
        <v>0</v>
      </c>
      <c r="AE321" s="61" t="b">
        <f t="shared" si="115"/>
        <v>0</v>
      </c>
      <c r="AF321" s="62" t="b">
        <f t="shared" si="115"/>
        <v>0</v>
      </c>
      <c r="AG321" s="63" t="b">
        <f t="shared" si="115"/>
        <v>0</v>
      </c>
      <c r="AH321" s="61" t="b">
        <f t="shared" si="115"/>
        <v>0</v>
      </c>
      <c r="AI321" s="62" t="b">
        <f t="shared" si="115"/>
        <v>0</v>
      </c>
      <c r="AJ321" s="63" t="b">
        <f t="shared" si="115"/>
        <v>0</v>
      </c>
      <c r="AK321" s="61" t="b">
        <f t="shared" si="115"/>
        <v>0</v>
      </c>
      <c r="AL321" s="62" t="b">
        <f t="shared" si="115"/>
        <v>0</v>
      </c>
      <c r="AM321" s="63" t="b">
        <f t="shared" si="115"/>
        <v>0</v>
      </c>
      <c r="AN321" s="61" t="b">
        <f t="shared" si="115"/>
        <v>0</v>
      </c>
      <c r="AO321" s="62" t="b">
        <f t="shared" si="115"/>
        <v>0</v>
      </c>
      <c r="AP321" s="63" t="b">
        <f t="shared" si="115"/>
        <v>0</v>
      </c>
      <c r="AQ321" s="61" t="b">
        <f t="shared" si="115"/>
        <v>0</v>
      </c>
      <c r="AR321" s="62" t="b">
        <f t="shared" si="115"/>
        <v>0</v>
      </c>
      <c r="AS321" s="63" t="b">
        <f t="shared" si="115"/>
        <v>0</v>
      </c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</row>
    <row r="322" ht="12.0" customHeight="1">
      <c r="A322" s="282"/>
      <c r="B322" s="4"/>
      <c r="C322" s="37" t="str">
        <f t="shared" si="109"/>
        <v>[XX]</v>
      </c>
      <c r="D322" s="61" t="b">
        <f t="shared" ref="D322:AS322" si="116">D124&gt;0</f>
        <v>0</v>
      </c>
      <c r="E322" s="62" t="b">
        <f t="shared" si="116"/>
        <v>0</v>
      </c>
      <c r="F322" s="62" t="b">
        <f t="shared" si="116"/>
        <v>0</v>
      </c>
      <c r="G322" s="61" t="b">
        <f t="shared" si="116"/>
        <v>0</v>
      </c>
      <c r="H322" s="62" t="b">
        <f t="shared" si="116"/>
        <v>0</v>
      </c>
      <c r="I322" s="63" t="b">
        <f t="shared" si="116"/>
        <v>0</v>
      </c>
      <c r="J322" s="61" t="b">
        <f t="shared" si="116"/>
        <v>0</v>
      </c>
      <c r="K322" s="62" t="b">
        <f t="shared" si="116"/>
        <v>0</v>
      </c>
      <c r="L322" s="63" t="b">
        <f t="shared" si="116"/>
        <v>0</v>
      </c>
      <c r="M322" s="61" t="b">
        <f t="shared" si="116"/>
        <v>0</v>
      </c>
      <c r="N322" s="62" t="b">
        <f t="shared" si="116"/>
        <v>0</v>
      </c>
      <c r="O322" s="63" t="b">
        <f t="shared" si="116"/>
        <v>0</v>
      </c>
      <c r="P322" s="61" t="b">
        <f t="shared" si="116"/>
        <v>0</v>
      </c>
      <c r="Q322" s="62" t="b">
        <f t="shared" si="116"/>
        <v>0</v>
      </c>
      <c r="R322" s="63" t="b">
        <f t="shared" si="116"/>
        <v>0</v>
      </c>
      <c r="S322" s="61" t="b">
        <f t="shared" si="116"/>
        <v>0</v>
      </c>
      <c r="T322" s="62" t="b">
        <f t="shared" si="116"/>
        <v>0</v>
      </c>
      <c r="U322" s="63" t="b">
        <f t="shared" si="116"/>
        <v>0</v>
      </c>
      <c r="V322" s="61" t="b">
        <f t="shared" si="116"/>
        <v>0</v>
      </c>
      <c r="W322" s="62" t="b">
        <f t="shared" si="116"/>
        <v>0</v>
      </c>
      <c r="X322" s="63" t="b">
        <f t="shared" si="116"/>
        <v>0</v>
      </c>
      <c r="Y322" s="61" t="b">
        <f t="shared" si="116"/>
        <v>0</v>
      </c>
      <c r="Z322" s="62" t="b">
        <f t="shared" si="116"/>
        <v>0</v>
      </c>
      <c r="AA322" s="63" t="b">
        <f t="shared" si="116"/>
        <v>0</v>
      </c>
      <c r="AB322" s="61" t="b">
        <f t="shared" si="116"/>
        <v>0</v>
      </c>
      <c r="AC322" s="62" t="b">
        <f t="shared" si="116"/>
        <v>0</v>
      </c>
      <c r="AD322" s="63" t="b">
        <f t="shared" si="116"/>
        <v>0</v>
      </c>
      <c r="AE322" s="61" t="b">
        <f t="shared" si="116"/>
        <v>0</v>
      </c>
      <c r="AF322" s="62" t="b">
        <f t="shared" si="116"/>
        <v>0</v>
      </c>
      <c r="AG322" s="63" t="b">
        <f t="shared" si="116"/>
        <v>0</v>
      </c>
      <c r="AH322" s="61" t="b">
        <f t="shared" si="116"/>
        <v>0</v>
      </c>
      <c r="AI322" s="62" t="b">
        <f t="shared" si="116"/>
        <v>0</v>
      </c>
      <c r="AJ322" s="63" t="b">
        <f t="shared" si="116"/>
        <v>0</v>
      </c>
      <c r="AK322" s="61" t="b">
        <f t="shared" si="116"/>
        <v>0</v>
      </c>
      <c r="AL322" s="62" t="b">
        <f t="shared" si="116"/>
        <v>0</v>
      </c>
      <c r="AM322" s="63" t="b">
        <f t="shared" si="116"/>
        <v>0</v>
      </c>
      <c r="AN322" s="61" t="b">
        <f t="shared" si="116"/>
        <v>0</v>
      </c>
      <c r="AO322" s="62" t="b">
        <f t="shared" si="116"/>
        <v>0</v>
      </c>
      <c r="AP322" s="63" t="b">
        <f t="shared" si="116"/>
        <v>0</v>
      </c>
      <c r="AQ322" s="61" t="b">
        <f t="shared" si="116"/>
        <v>0</v>
      </c>
      <c r="AR322" s="62" t="b">
        <f t="shared" si="116"/>
        <v>0</v>
      </c>
      <c r="AS322" s="63" t="b">
        <f t="shared" si="116"/>
        <v>0</v>
      </c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</row>
    <row r="323" ht="12.0" customHeight="1">
      <c r="A323" s="282"/>
      <c r="B323" s="4"/>
      <c r="C323" s="37" t="str">
        <f t="shared" si="109"/>
        <v>[XX]</v>
      </c>
      <c r="D323" s="61" t="b">
        <f t="shared" ref="D323:AS323" si="117">D125&gt;0</f>
        <v>0</v>
      </c>
      <c r="E323" s="62" t="b">
        <f t="shared" si="117"/>
        <v>0</v>
      </c>
      <c r="F323" s="62" t="b">
        <f t="shared" si="117"/>
        <v>0</v>
      </c>
      <c r="G323" s="61" t="b">
        <f t="shared" si="117"/>
        <v>0</v>
      </c>
      <c r="H323" s="62" t="b">
        <f t="shared" si="117"/>
        <v>0</v>
      </c>
      <c r="I323" s="63" t="b">
        <f t="shared" si="117"/>
        <v>0</v>
      </c>
      <c r="J323" s="61" t="b">
        <f t="shared" si="117"/>
        <v>0</v>
      </c>
      <c r="K323" s="62" t="b">
        <f t="shared" si="117"/>
        <v>0</v>
      </c>
      <c r="L323" s="63" t="b">
        <f t="shared" si="117"/>
        <v>0</v>
      </c>
      <c r="M323" s="61" t="b">
        <f t="shared" si="117"/>
        <v>0</v>
      </c>
      <c r="N323" s="62" t="b">
        <f t="shared" si="117"/>
        <v>0</v>
      </c>
      <c r="O323" s="63" t="b">
        <f t="shared" si="117"/>
        <v>0</v>
      </c>
      <c r="P323" s="61" t="b">
        <f t="shared" si="117"/>
        <v>0</v>
      </c>
      <c r="Q323" s="62" t="b">
        <f t="shared" si="117"/>
        <v>0</v>
      </c>
      <c r="R323" s="63" t="b">
        <f t="shared" si="117"/>
        <v>0</v>
      </c>
      <c r="S323" s="61" t="b">
        <f t="shared" si="117"/>
        <v>0</v>
      </c>
      <c r="T323" s="62" t="b">
        <f t="shared" si="117"/>
        <v>0</v>
      </c>
      <c r="U323" s="63" t="b">
        <f t="shared" si="117"/>
        <v>0</v>
      </c>
      <c r="V323" s="61" t="b">
        <f t="shared" si="117"/>
        <v>0</v>
      </c>
      <c r="W323" s="62" t="b">
        <f t="shared" si="117"/>
        <v>0</v>
      </c>
      <c r="X323" s="63" t="b">
        <f t="shared" si="117"/>
        <v>0</v>
      </c>
      <c r="Y323" s="61" t="b">
        <f t="shared" si="117"/>
        <v>0</v>
      </c>
      <c r="Z323" s="62" t="b">
        <f t="shared" si="117"/>
        <v>0</v>
      </c>
      <c r="AA323" s="63" t="b">
        <f t="shared" si="117"/>
        <v>0</v>
      </c>
      <c r="AB323" s="61" t="b">
        <f t="shared" si="117"/>
        <v>0</v>
      </c>
      <c r="AC323" s="62" t="b">
        <f t="shared" si="117"/>
        <v>0</v>
      </c>
      <c r="AD323" s="63" t="b">
        <f t="shared" si="117"/>
        <v>0</v>
      </c>
      <c r="AE323" s="61" t="b">
        <f t="shared" si="117"/>
        <v>0</v>
      </c>
      <c r="AF323" s="62" t="b">
        <f t="shared" si="117"/>
        <v>0</v>
      </c>
      <c r="AG323" s="63" t="b">
        <f t="shared" si="117"/>
        <v>0</v>
      </c>
      <c r="AH323" s="61" t="b">
        <f t="shared" si="117"/>
        <v>0</v>
      </c>
      <c r="AI323" s="62" t="b">
        <f t="shared" si="117"/>
        <v>0</v>
      </c>
      <c r="AJ323" s="63" t="b">
        <f t="shared" si="117"/>
        <v>0</v>
      </c>
      <c r="AK323" s="61" t="b">
        <f t="shared" si="117"/>
        <v>0</v>
      </c>
      <c r="AL323" s="62" t="b">
        <f t="shared" si="117"/>
        <v>0</v>
      </c>
      <c r="AM323" s="63" t="b">
        <f t="shared" si="117"/>
        <v>0</v>
      </c>
      <c r="AN323" s="61" t="b">
        <f t="shared" si="117"/>
        <v>0</v>
      </c>
      <c r="AO323" s="62" t="b">
        <f t="shared" si="117"/>
        <v>0</v>
      </c>
      <c r="AP323" s="63" t="b">
        <f t="shared" si="117"/>
        <v>0</v>
      </c>
      <c r="AQ323" s="61" t="b">
        <f t="shared" si="117"/>
        <v>0</v>
      </c>
      <c r="AR323" s="62" t="b">
        <f t="shared" si="117"/>
        <v>0</v>
      </c>
      <c r="AS323" s="63" t="b">
        <f t="shared" si="117"/>
        <v>0</v>
      </c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</row>
    <row r="324" ht="12.0" customHeight="1">
      <c r="A324" s="282"/>
      <c r="B324" s="4"/>
      <c r="C324" s="37" t="str">
        <f t="shared" si="109"/>
        <v>[XX]</v>
      </c>
      <c r="D324" s="61" t="b">
        <f t="shared" ref="D324:AS324" si="118">D126&gt;0</f>
        <v>0</v>
      </c>
      <c r="E324" s="62" t="b">
        <f t="shared" si="118"/>
        <v>0</v>
      </c>
      <c r="F324" s="62" t="b">
        <f t="shared" si="118"/>
        <v>0</v>
      </c>
      <c r="G324" s="61" t="b">
        <f t="shared" si="118"/>
        <v>0</v>
      </c>
      <c r="H324" s="62" t="b">
        <f t="shared" si="118"/>
        <v>0</v>
      </c>
      <c r="I324" s="63" t="b">
        <f t="shared" si="118"/>
        <v>0</v>
      </c>
      <c r="J324" s="61" t="b">
        <f t="shared" si="118"/>
        <v>0</v>
      </c>
      <c r="K324" s="62" t="b">
        <f t="shared" si="118"/>
        <v>0</v>
      </c>
      <c r="L324" s="63" t="b">
        <f t="shared" si="118"/>
        <v>0</v>
      </c>
      <c r="M324" s="61" t="b">
        <f t="shared" si="118"/>
        <v>0</v>
      </c>
      <c r="N324" s="62" t="b">
        <f t="shared" si="118"/>
        <v>0</v>
      </c>
      <c r="O324" s="63" t="b">
        <f t="shared" si="118"/>
        <v>0</v>
      </c>
      <c r="P324" s="61" t="b">
        <f t="shared" si="118"/>
        <v>0</v>
      </c>
      <c r="Q324" s="62" t="b">
        <f t="shared" si="118"/>
        <v>0</v>
      </c>
      <c r="R324" s="63" t="b">
        <f t="shared" si="118"/>
        <v>0</v>
      </c>
      <c r="S324" s="61" t="b">
        <f t="shared" si="118"/>
        <v>0</v>
      </c>
      <c r="T324" s="62" t="b">
        <f t="shared" si="118"/>
        <v>0</v>
      </c>
      <c r="U324" s="63" t="b">
        <f t="shared" si="118"/>
        <v>0</v>
      </c>
      <c r="V324" s="61" t="b">
        <f t="shared" si="118"/>
        <v>0</v>
      </c>
      <c r="W324" s="62" t="b">
        <f t="shared" si="118"/>
        <v>0</v>
      </c>
      <c r="X324" s="63" t="b">
        <f t="shared" si="118"/>
        <v>0</v>
      </c>
      <c r="Y324" s="61" t="b">
        <f t="shared" si="118"/>
        <v>0</v>
      </c>
      <c r="Z324" s="62" t="b">
        <f t="shared" si="118"/>
        <v>0</v>
      </c>
      <c r="AA324" s="63" t="b">
        <f t="shared" si="118"/>
        <v>0</v>
      </c>
      <c r="AB324" s="61" t="b">
        <f t="shared" si="118"/>
        <v>0</v>
      </c>
      <c r="AC324" s="62" t="b">
        <f t="shared" si="118"/>
        <v>0</v>
      </c>
      <c r="AD324" s="63" t="b">
        <f t="shared" si="118"/>
        <v>0</v>
      </c>
      <c r="AE324" s="61" t="b">
        <f t="shared" si="118"/>
        <v>0</v>
      </c>
      <c r="AF324" s="62" t="b">
        <f t="shared" si="118"/>
        <v>0</v>
      </c>
      <c r="AG324" s="63" t="b">
        <f t="shared" si="118"/>
        <v>0</v>
      </c>
      <c r="AH324" s="61" t="b">
        <f t="shared" si="118"/>
        <v>0</v>
      </c>
      <c r="AI324" s="62" t="b">
        <f t="shared" si="118"/>
        <v>0</v>
      </c>
      <c r="AJ324" s="63" t="b">
        <f t="shared" si="118"/>
        <v>0</v>
      </c>
      <c r="AK324" s="61" t="b">
        <f t="shared" si="118"/>
        <v>0</v>
      </c>
      <c r="AL324" s="62" t="b">
        <f t="shared" si="118"/>
        <v>0</v>
      </c>
      <c r="AM324" s="63" t="b">
        <f t="shared" si="118"/>
        <v>0</v>
      </c>
      <c r="AN324" s="61" t="b">
        <f t="shared" si="118"/>
        <v>0</v>
      </c>
      <c r="AO324" s="62" t="b">
        <f t="shared" si="118"/>
        <v>0</v>
      </c>
      <c r="AP324" s="63" t="b">
        <f t="shared" si="118"/>
        <v>0</v>
      </c>
      <c r="AQ324" s="61" t="b">
        <f t="shared" si="118"/>
        <v>0</v>
      </c>
      <c r="AR324" s="62" t="b">
        <f t="shared" si="118"/>
        <v>0</v>
      </c>
      <c r="AS324" s="63" t="b">
        <f t="shared" si="118"/>
        <v>0</v>
      </c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</row>
    <row r="325" ht="12.0" customHeight="1">
      <c r="A325" s="282"/>
      <c r="B325" s="4"/>
      <c r="C325" s="37" t="str">
        <f t="shared" si="109"/>
        <v>[XX]</v>
      </c>
      <c r="D325" s="61" t="b">
        <f t="shared" ref="D325:AS325" si="119">D127&gt;0</f>
        <v>0</v>
      </c>
      <c r="E325" s="62" t="b">
        <f t="shared" si="119"/>
        <v>0</v>
      </c>
      <c r="F325" s="62" t="b">
        <f t="shared" si="119"/>
        <v>0</v>
      </c>
      <c r="G325" s="61" t="b">
        <f t="shared" si="119"/>
        <v>0</v>
      </c>
      <c r="H325" s="62" t="b">
        <f t="shared" si="119"/>
        <v>0</v>
      </c>
      <c r="I325" s="63" t="b">
        <f t="shared" si="119"/>
        <v>0</v>
      </c>
      <c r="J325" s="61" t="b">
        <f t="shared" si="119"/>
        <v>0</v>
      </c>
      <c r="K325" s="62" t="b">
        <f t="shared" si="119"/>
        <v>0</v>
      </c>
      <c r="L325" s="63" t="b">
        <f t="shared" si="119"/>
        <v>0</v>
      </c>
      <c r="M325" s="61" t="b">
        <f t="shared" si="119"/>
        <v>0</v>
      </c>
      <c r="N325" s="62" t="b">
        <f t="shared" si="119"/>
        <v>0</v>
      </c>
      <c r="O325" s="63" t="b">
        <f t="shared" si="119"/>
        <v>0</v>
      </c>
      <c r="P325" s="61" t="b">
        <f t="shared" si="119"/>
        <v>0</v>
      </c>
      <c r="Q325" s="62" t="b">
        <f t="shared" si="119"/>
        <v>0</v>
      </c>
      <c r="R325" s="63" t="b">
        <f t="shared" si="119"/>
        <v>0</v>
      </c>
      <c r="S325" s="61" t="b">
        <f t="shared" si="119"/>
        <v>0</v>
      </c>
      <c r="T325" s="62" t="b">
        <f t="shared" si="119"/>
        <v>0</v>
      </c>
      <c r="U325" s="63" t="b">
        <f t="shared" si="119"/>
        <v>0</v>
      </c>
      <c r="V325" s="61" t="b">
        <f t="shared" si="119"/>
        <v>0</v>
      </c>
      <c r="W325" s="62" t="b">
        <f t="shared" si="119"/>
        <v>0</v>
      </c>
      <c r="X325" s="63" t="b">
        <f t="shared" si="119"/>
        <v>0</v>
      </c>
      <c r="Y325" s="61" t="b">
        <f t="shared" si="119"/>
        <v>0</v>
      </c>
      <c r="Z325" s="62" t="b">
        <f t="shared" si="119"/>
        <v>0</v>
      </c>
      <c r="AA325" s="63" t="b">
        <f t="shared" si="119"/>
        <v>0</v>
      </c>
      <c r="AB325" s="61" t="b">
        <f t="shared" si="119"/>
        <v>0</v>
      </c>
      <c r="AC325" s="62" t="b">
        <f t="shared" si="119"/>
        <v>0</v>
      </c>
      <c r="AD325" s="63" t="b">
        <f t="shared" si="119"/>
        <v>0</v>
      </c>
      <c r="AE325" s="61" t="b">
        <f t="shared" si="119"/>
        <v>0</v>
      </c>
      <c r="AF325" s="62" t="b">
        <f t="shared" si="119"/>
        <v>0</v>
      </c>
      <c r="AG325" s="63" t="b">
        <f t="shared" si="119"/>
        <v>0</v>
      </c>
      <c r="AH325" s="61" t="b">
        <f t="shared" si="119"/>
        <v>0</v>
      </c>
      <c r="AI325" s="62" t="b">
        <f t="shared" si="119"/>
        <v>0</v>
      </c>
      <c r="AJ325" s="63" t="b">
        <f t="shared" si="119"/>
        <v>0</v>
      </c>
      <c r="AK325" s="61" t="b">
        <f t="shared" si="119"/>
        <v>0</v>
      </c>
      <c r="AL325" s="62" t="b">
        <f t="shared" si="119"/>
        <v>0</v>
      </c>
      <c r="AM325" s="63" t="b">
        <f t="shared" si="119"/>
        <v>0</v>
      </c>
      <c r="AN325" s="61" t="b">
        <f t="shared" si="119"/>
        <v>0</v>
      </c>
      <c r="AO325" s="62" t="b">
        <f t="shared" si="119"/>
        <v>0</v>
      </c>
      <c r="AP325" s="63" t="b">
        <f t="shared" si="119"/>
        <v>0</v>
      </c>
      <c r="AQ325" s="61" t="b">
        <f t="shared" si="119"/>
        <v>0</v>
      </c>
      <c r="AR325" s="62" t="b">
        <f t="shared" si="119"/>
        <v>0</v>
      </c>
      <c r="AS325" s="63" t="b">
        <f t="shared" si="119"/>
        <v>0</v>
      </c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</row>
    <row r="326" ht="12.0" customHeight="1">
      <c r="A326" s="282"/>
      <c r="B326" s="4"/>
      <c r="C326" s="277" t="str">
        <f t="shared" si="109"/>
        <v>[XX]</v>
      </c>
      <c r="D326" s="230" t="b">
        <f t="shared" ref="D326:AS326" si="120">D128&gt;0</f>
        <v>0</v>
      </c>
      <c r="E326" s="254" t="b">
        <f t="shared" si="120"/>
        <v>0</v>
      </c>
      <c r="F326" s="254" t="b">
        <f t="shared" si="120"/>
        <v>0</v>
      </c>
      <c r="G326" s="230" t="b">
        <f t="shared" si="120"/>
        <v>0</v>
      </c>
      <c r="H326" s="254" t="b">
        <f t="shared" si="120"/>
        <v>0</v>
      </c>
      <c r="I326" s="255" t="b">
        <f t="shared" si="120"/>
        <v>0</v>
      </c>
      <c r="J326" s="230" t="b">
        <f t="shared" si="120"/>
        <v>0</v>
      </c>
      <c r="K326" s="254" t="b">
        <f t="shared" si="120"/>
        <v>0</v>
      </c>
      <c r="L326" s="255" t="b">
        <f t="shared" si="120"/>
        <v>0</v>
      </c>
      <c r="M326" s="230" t="b">
        <f t="shared" si="120"/>
        <v>0</v>
      </c>
      <c r="N326" s="254" t="b">
        <f t="shared" si="120"/>
        <v>0</v>
      </c>
      <c r="O326" s="255" t="b">
        <f t="shared" si="120"/>
        <v>0</v>
      </c>
      <c r="P326" s="230" t="b">
        <f t="shared" si="120"/>
        <v>0</v>
      </c>
      <c r="Q326" s="254" t="b">
        <f t="shared" si="120"/>
        <v>0</v>
      </c>
      <c r="R326" s="255" t="b">
        <f t="shared" si="120"/>
        <v>0</v>
      </c>
      <c r="S326" s="230" t="b">
        <f t="shared" si="120"/>
        <v>0</v>
      </c>
      <c r="T326" s="254" t="b">
        <f t="shared" si="120"/>
        <v>0</v>
      </c>
      <c r="U326" s="255" t="b">
        <f t="shared" si="120"/>
        <v>0</v>
      </c>
      <c r="V326" s="230" t="b">
        <f t="shared" si="120"/>
        <v>0</v>
      </c>
      <c r="W326" s="254" t="b">
        <f t="shared" si="120"/>
        <v>0</v>
      </c>
      <c r="X326" s="255" t="b">
        <f t="shared" si="120"/>
        <v>0</v>
      </c>
      <c r="Y326" s="230" t="b">
        <f t="shared" si="120"/>
        <v>0</v>
      </c>
      <c r="Z326" s="254" t="b">
        <f t="shared" si="120"/>
        <v>0</v>
      </c>
      <c r="AA326" s="255" t="b">
        <f t="shared" si="120"/>
        <v>0</v>
      </c>
      <c r="AB326" s="230" t="b">
        <f t="shared" si="120"/>
        <v>0</v>
      </c>
      <c r="AC326" s="254" t="b">
        <f t="shared" si="120"/>
        <v>0</v>
      </c>
      <c r="AD326" s="255" t="b">
        <f t="shared" si="120"/>
        <v>0</v>
      </c>
      <c r="AE326" s="230" t="b">
        <f t="shared" si="120"/>
        <v>0</v>
      </c>
      <c r="AF326" s="254" t="b">
        <f t="shared" si="120"/>
        <v>0</v>
      </c>
      <c r="AG326" s="255" t="b">
        <f t="shared" si="120"/>
        <v>0</v>
      </c>
      <c r="AH326" s="230" t="b">
        <f t="shared" si="120"/>
        <v>0</v>
      </c>
      <c r="AI326" s="254" t="b">
        <f t="shared" si="120"/>
        <v>0</v>
      </c>
      <c r="AJ326" s="255" t="b">
        <f t="shared" si="120"/>
        <v>0</v>
      </c>
      <c r="AK326" s="230" t="b">
        <f t="shared" si="120"/>
        <v>0</v>
      </c>
      <c r="AL326" s="254" t="b">
        <f t="shared" si="120"/>
        <v>0</v>
      </c>
      <c r="AM326" s="255" t="b">
        <f t="shared" si="120"/>
        <v>0</v>
      </c>
      <c r="AN326" s="230" t="b">
        <f t="shared" si="120"/>
        <v>0</v>
      </c>
      <c r="AO326" s="254" t="b">
        <f t="shared" si="120"/>
        <v>0</v>
      </c>
      <c r="AP326" s="255" t="b">
        <f t="shared" si="120"/>
        <v>0</v>
      </c>
      <c r="AQ326" s="230" t="b">
        <f t="shared" si="120"/>
        <v>0</v>
      </c>
      <c r="AR326" s="254" t="b">
        <f t="shared" si="120"/>
        <v>0</v>
      </c>
      <c r="AS326" s="255" t="b">
        <f t="shared" si="120"/>
        <v>0</v>
      </c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</row>
    <row r="327" ht="12.0" customHeight="1">
      <c r="A327" s="8"/>
      <c r="B327" s="8"/>
      <c r="C327" s="270" t="s">
        <v>73</v>
      </c>
      <c r="D327" s="51">
        <f t="shared" ref="D327:AS327" si="121">SUM(D315:D326)</f>
        <v>0</v>
      </c>
      <c r="E327" s="52">
        <f t="shared" si="121"/>
        <v>0</v>
      </c>
      <c r="F327" s="52">
        <f t="shared" si="121"/>
        <v>0</v>
      </c>
      <c r="G327" s="51">
        <f t="shared" si="121"/>
        <v>0</v>
      </c>
      <c r="H327" s="52">
        <f t="shared" si="121"/>
        <v>0</v>
      </c>
      <c r="I327" s="53">
        <f t="shared" si="121"/>
        <v>0</v>
      </c>
      <c r="J327" s="51">
        <f t="shared" si="121"/>
        <v>0</v>
      </c>
      <c r="K327" s="52">
        <f t="shared" si="121"/>
        <v>0</v>
      </c>
      <c r="L327" s="53">
        <f t="shared" si="121"/>
        <v>0</v>
      </c>
      <c r="M327" s="51">
        <f t="shared" si="121"/>
        <v>0</v>
      </c>
      <c r="N327" s="52">
        <f t="shared" si="121"/>
        <v>0</v>
      </c>
      <c r="O327" s="53">
        <f t="shared" si="121"/>
        <v>0</v>
      </c>
      <c r="P327" s="51">
        <f t="shared" si="121"/>
        <v>0</v>
      </c>
      <c r="Q327" s="52">
        <f t="shared" si="121"/>
        <v>0</v>
      </c>
      <c r="R327" s="53">
        <f t="shared" si="121"/>
        <v>0</v>
      </c>
      <c r="S327" s="51">
        <f t="shared" si="121"/>
        <v>0</v>
      </c>
      <c r="T327" s="52">
        <f t="shared" si="121"/>
        <v>0</v>
      </c>
      <c r="U327" s="53">
        <f t="shared" si="121"/>
        <v>0</v>
      </c>
      <c r="V327" s="51">
        <f t="shared" si="121"/>
        <v>0</v>
      </c>
      <c r="W327" s="52">
        <f t="shared" si="121"/>
        <v>0</v>
      </c>
      <c r="X327" s="53">
        <f t="shared" si="121"/>
        <v>0</v>
      </c>
      <c r="Y327" s="51">
        <f t="shared" si="121"/>
        <v>0</v>
      </c>
      <c r="Z327" s="52">
        <f t="shared" si="121"/>
        <v>0</v>
      </c>
      <c r="AA327" s="53">
        <f t="shared" si="121"/>
        <v>0</v>
      </c>
      <c r="AB327" s="51">
        <f t="shared" si="121"/>
        <v>0</v>
      </c>
      <c r="AC327" s="52">
        <f t="shared" si="121"/>
        <v>0</v>
      </c>
      <c r="AD327" s="53">
        <f t="shared" si="121"/>
        <v>0</v>
      </c>
      <c r="AE327" s="51">
        <f t="shared" si="121"/>
        <v>0</v>
      </c>
      <c r="AF327" s="52">
        <f t="shared" si="121"/>
        <v>0</v>
      </c>
      <c r="AG327" s="53">
        <f t="shared" si="121"/>
        <v>0</v>
      </c>
      <c r="AH327" s="51">
        <f t="shared" si="121"/>
        <v>0</v>
      </c>
      <c r="AI327" s="52">
        <f t="shared" si="121"/>
        <v>0</v>
      </c>
      <c r="AJ327" s="53">
        <f t="shared" si="121"/>
        <v>0</v>
      </c>
      <c r="AK327" s="51">
        <f t="shared" si="121"/>
        <v>0</v>
      </c>
      <c r="AL327" s="52">
        <f t="shared" si="121"/>
        <v>0</v>
      </c>
      <c r="AM327" s="53">
        <f t="shared" si="121"/>
        <v>0</v>
      </c>
      <c r="AN327" s="51">
        <f t="shared" si="121"/>
        <v>0</v>
      </c>
      <c r="AO327" s="52">
        <f t="shared" si="121"/>
        <v>0</v>
      </c>
      <c r="AP327" s="53">
        <f t="shared" si="121"/>
        <v>0</v>
      </c>
      <c r="AQ327" s="51">
        <f t="shared" si="121"/>
        <v>0</v>
      </c>
      <c r="AR327" s="52">
        <f t="shared" si="121"/>
        <v>0</v>
      </c>
      <c r="AS327" s="53">
        <f t="shared" si="121"/>
        <v>0</v>
      </c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</row>
    <row r="328" ht="12.0" customHeight="1">
      <c r="A328" s="282"/>
      <c r="B328" s="4"/>
      <c r="C328" s="37"/>
      <c r="D328" s="34"/>
      <c r="E328" s="35"/>
      <c r="F328" s="35"/>
      <c r="G328" s="34"/>
      <c r="H328" s="35"/>
      <c r="I328" s="36"/>
      <c r="J328" s="34"/>
      <c r="K328" s="35"/>
      <c r="L328" s="36"/>
      <c r="M328" s="34"/>
      <c r="N328" s="35"/>
      <c r="O328" s="36"/>
      <c r="P328" s="34"/>
      <c r="Q328" s="35"/>
      <c r="R328" s="36"/>
      <c r="S328" s="34"/>
      <c r="T328" s="35"/>
      <c r="U328" s="36"/>
      <c r="V328" s="34"/>
      <c r="W328" s="35"/>
      <c r="X328" s="36"/>
      <c r="Y328" s="34"/>
      <c r="Z328" s="35"/>
      <c r="AA328" s="36"/>
      <c r="AB328" s="34"/>
      <c r="AC328" s="35"/>
      <c r="AD328" s="36"/>
      <c r="AE328" s="34"/>
      <c r="AF328" s="35"/>
      <c r="AG328" s="36"/>
      <c r="AH328" s="34"/>
      <c r="AI328" s="35"/>
      <c r="AJ328" s="36"/>
      <c r="AK328" s="34"/>
      <c r="AL328" s="35"/>
      <c r="AM328" s="36"/>
      <c r="AN328" s="34"/>
      <c r="AO328" s="35"/>
      <c r="AP328" s="36"/>
      <c r="AQ328" s="34"/>
      <c r="AR328" s="35"/>
      <c r="AS328" s="36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</row>
    <row r="329" ht="12.0" customHeight="1">
      <c r="A329" s="54"/>
      <c r="B329" s="270" t="s">
        <v>225</v>
      </c>
      <c r="C329" s="4"/>
      <c r="D329" s="64"/>
      <c r="E329" s="4"/>
      <c r="F329" s="4"/>
      <c r="G329" s="64"/>
      <c r="H329" s="4"/>
      <c r="I329" s="65"/>
      <c r="J329" s="64"/>
      <c r="K329" s="4"/>
      <c r="L329" s="65"/>
      <c r="M329" s="64"/>
      <c r="N329" s="4"/>
      <c r="O329" s="65"/>
      <c r="P329" s="64"/>
      <c r="Q329" s="4"/>
      <c r="R329" s="65"/>
      <c r="S329" s="64"/>
      <c r="T329" s="4"/>
      <c r="U329" s="65"/>
      <c r="V329" s="64"/>
      <c r="W329" s="4"/>
      <c r="X329" s="65"/>
      <c r="Y329" s="64"/>
      <c r="Z329" s="4"/>
      <c r="AA329" s="65"/>
      <c r="AB329" s="64"/>
      <c r="AC329" s="4"/>
      <c r="AD329" s="65"/>
      <c r="AE329" s="64"/>
      <c r="AF329" s="4"/>
      <c r="AG329" s="65"/>
      <c r="AH329" s="64"/>
      <c r="AI329" s="4"/>
      <c r="AJ329" s="65"/>
      <c r="AK329" s="64"/>
      <c r="AL329" s="4"/>
      <c r="AM329" s="65"/>
      <c r="AN329" s="64"/>
      <c r="AO329" s="4"/>
      <c r="AP329" s="65"/>
      <c r="AQ329" s="64"/>
      <c r="AR329" s="4"/>
      <c r="AS329" s="65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</row>
    <row r="330" ht="12.0" customHeight="1">
      <c r="A330" s="282"/>
      <c r="B330" s="4"/>
      <c r="C330" s="37" t="str">
        <f t="shared" ref="C330:C341" si="122">C315</f>
        <v>CRO</v>
      </c>
      <c r="D330" s="212">
        <v>0.0</v>
      </c>
      <c r="E330" s="213">
        <v>0.0</v>
      </c>
      <c r="F330" s="213">
        <v>0.0</v>
      </c>
      <c r="G330" s="212">
        <v>0.0</v>
      </c>
      <c r="H330" s="213">
        <v>0.0</v>
      </c>
      <c r="I330" s="214">
        <v>0.0</v>
      </c>
      <c r="J330" s="212">
        <v>0.0</v>
      </c>
      <c r="K330" s="213">
        <v>0.0</v>
      </c>
      <c r="L330" s="214">
        <v>0.0</v>
      </c>
      <c r="M330" s="34" t="str">
        <f>M315*Macro!$H31*'Top line'!M$17</f>
        <v>#VALUE!</v>
      </c>
      <c r="N330" s="35" t="str">
        <f>N315*Macro!$H31*'Top line'!N$17</f>
        <v>#VALUE!</v>
      </c>
      <c r="O330" s="36" t="str">
        <f>O315*Macro!$H31*'Top line'!O$17</f>
        <v>#VALUE!</v>
      </c>
      <c r="P330" s="34" t="str">
        <f>P315*Macro!$H31*'Top line'!P$17</f>
        <v>#VALUE!</v>
      </c>
      <c r="Q330" s="35" t="str">
        <f>Q315*Macro!$H31*'Top line'!Q$17</f>
        <v>#VALUE!</v>
      </c>
      <c r="R330" s="36" t="str">
        <f>R315*Macro!$H31*'Top line'!R$17</f>
        <v>#VALUE!</v>
      </c>
      <c r="S330" s="34" t="str">
        <f>S315*Macro!$H31*'Top line'!S$17</f>
        <v>#VALUE!</v>
      </c>
      <c r="T330" s="35" t="str">
        <f>T315*Macro!$H31*'Top line'!T$17</f>
        <v>#VALUE!</v>
      </c>
      <c r="U330" s="36" t="str">
        <f>U315*Macro!$H31*'Top line'!U$17</f>
        <v>#VALUE!</v>
      </c>
      <c r="V330" s="34" t="str">
        <f>V315*Macro!$H31*'Top line'!V$17</f>
        <v>#VALUE!</v>
      </c>
      <c r="W330" s="35" t="str">
        <f>W315*Macro!$H31*'Top line'!W$17</f>
        <v>#VALUE!</v>
      </c>
      <c r="X330" s="36" t="str">
        <f>X315*Macro!$H31*'Top line'!X$17</f>
        <v>#VALUE!</v>
      </c>
      <c r="Y330" s="34" t="str">
        <f>Y315*Macro!$H31*'Top line'!Y$17</f>
        <v>#VALUE!</v>
      </c>
      <c r="Z330" s="35" t="str">
        <f>Z315*Macro!$H31*'Top line'!Z$17</f>
        <v>#VALUE!</v>
      </c>
      <c r="AA330" s="36" t="str">
        <f>AA315*Macro!$H31*'Top line'!AA$17</f>
        <v>#VALUE!</v>
      </c>
      <c r="AB330" s="34" t="str">
        <f>AB315*Macro!$H31*'Top line'!AB$17</f>
        <v>#VALUE!</v>
      </c>
      <c r="AC330" s="35" t="str">
        <f>AC315*Macro!$H31*'Top line'!AC$17</f>
        <v>#VALUE!</v>
      </c>
      <c r="AD330" s="36" t="str">
        <f>AD315*Macro!$H31*'Top line'!AD$17</f>
        <v>#VALUE!</v>
      </c>
      <c r="AE330" s="34" t="str">
        <f>AE315*Macro!$H31*'Top line'!AE$17</f>
        <v>#VALUE!</v>
      </c>
      <c r="AF330" s="35" t="str">
        <f>AF315*Macro!$H31*'Top line'!AF$17</f>
        <v>#VALUE!</v>
      </c>
      <c r="AG330" s="36" t="str">
        <f>AG315*Macro!$H31*'Top line'!AG$17</f>
        <v>#VALUE!</v>
      </c>
      <c r="AH330" s="34" t="str">
        <f>AH315*Macro!$H31*'Top line'!AH$17</f>
        <v>#VALUE!</v>
      </c>
      <c r="AI330" s="35" t="str">
        <f>AI315*Macro!$H31*'Top line'!AI$17</f>
        <v>#VALUE!</v>
      </c>
      <c r="AJ330" s="36" t="str">
        <f>AJ315*Macro!$H31*'Top line'!AJ$17</f>
        <v>#VALUE!</v>
      </c>
      <c r="AK330" s="34" t="str">
        <f>AK315*Macro!$H31*'Top line'!AK$17</f>
        <v>#VALUE!</v>
      </c>
      <c r="AL330" s="35" t="str">
        <f>AL315*Macro!$H31*'Top line'!AL$17</f>
        <v>#VALUE!</v>
      </c>
      <c r="AM330" s="36" t="str">
        <f>AM315*Macro!$H31*'Top line'!AM$17</f>
        <v>#VALUE!</v>
      </c>
      <c r="AN330" s="34" t="str">
        <f>AN315*Macro!$H31*'Top line'!AN$17</f>
        <v>#VALUE!</v>
      </c>
      <c r="AO330" s="35" t="str">
        <f>AO315*Macro!$H31*'Top line'!AO$17</f>
        <v>#VALUE!</v>
      </c>
      <c r="AP330" s="36" t="str">
        <f>AP315*Macro!$H31*'Top line'!AP$17</f>
        <v>#VALUE!</v>
      </c>
      <c r="AQ330" s="34" t="str">
        <f>AQ315*Macro!$H31*'Top line'!AQ$17</f>
        <v>#VALUE!</v>
      </c>
      <c r="AR330" s="35" t="str">
        <f>AR315*Macro!$H31*'Top line'!AR$17</f>
        <v>#VALUE!</v>
      </c>
      <c r="AS330" s="36" t="str">
        <f>AS315*Macro!$H31*'Top line'!AS$17</f>
        <v>#VALUE!</v>
      </c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</row>
    <row r="331" ht="12.0" customHeight="1">
      <c r="A331" s="282"/>
      <c r="B331" s="4"/>
      <c r="C331" s="37" t="str">
        <f t="shared" si="122"/>
        <v>AE</v>
      </c>
      <c r="D331" s="212">
        <v>3000.0</v>
      </c>
      <c r="E331" s="213">
        <v>3000.0</v>
      </c>
      <c r="F331" s="213">
        <v>3000.0</v>
      </c>
      <c r="G331" s="212">
        <v>7500.0</v>
      </c>
      <c r="H331" s="213">
        <v>7500.0</v>
      </c>
      <c r="I331" s="214">
        <v>7500.0</v>
      </c>
      <c r="J331" s="212">
        <v>24000.0</v>
      </c>
      <c r="K331" s="213">
        <v>24000.0</v>
      </c>
      <c r="L331" s="214">
        <v>24000.0</v>
      </c>
      <c r="M331" s="34" t="str">
        <f>M316*Macro!$H32*'Top line'!M$17</f>
        <v>#VALUE!</v>
      </c>
      <c r="N331" s="35" t="str">
        <f>N316*Macro!$H32*'Top line'!N$17</f>
        <v>#VALUE!</v>
      </c>
      <c r="O331" s="36" t="str">
        <f>O316*Macro!$H32*'Top line'!O$17</f>
        <v>#VALUE!</v>
      </c>
      <c r="P331" s="34" t="str">
        <f>P316*Macro!$H32*'Top line'!P$17</f>
        <v>#VALUE!</v>
      </c>
      <c r="Q331" s="35" t="str">
        <f>Q316*Macro!$H32*'Top line'!Q$17</f>
        <v>#VALUE!</v>
      </c>
      <c r="R331" s="36" t="str">
        <f>R316*Macro!$H32*'Top line'!R$17</f>
        <v>#VALUE!</v>
      </c>
      <c r="S331" s="34" t="str">
        <f>S316*Macro!$H32*'Top line'!S$17</f>
        <v>#VALUE!</v>
      </c>
      <c r="T331" s="35" t="str">
        <f>T316*Macro!$H32*'Top line'!T$17</f>
        <v>#VALUE!</v>
      </c>
      <c r="U331" s="36" t="str">
        <f>U316*Macro!$H32*'Top line'!U$17</f>
        <v>#VALUE!</v>
      </c>
      <c r="V331" s="34" t="str">
        <f>V316*Macro!$H32*'Top line'!V$17</f>
        <v>#VALUE!</v>
      </c>
      <c r="W331" s="35" t="str">
        <f>W316*Macro!$H32*'Top line'!W$17</f>
        <v>#VALUE!</v>
      </c>
      <c r="X331" s="36" t="str">
        <f>X316*Macro!$H32*'Top line'!X$17</f>
        <v>#VALUE!</v>
      </c>
      <c r="Y331" s="34" t="str">
        <f>Y316*Macro!$H32*'Top line'!Y$17</f>
        <v>#VALUE!</v>
      </c>
      <c r="Z331" s="35" t="str">
        <f>Z316*Macro!$H32*'Top line'!Z$17</f>
        <v>#VALUE!</v>
      </c>
      <c r="AA331" s="36" t="str">
        <f>AA316*Macro!$H32*'Top line'!AA$17</f>
        <v>#VALUE!</v>
      </c>
      <c r="AB331" s="34" t="str">
        <f>AB316*Macro!$H32*'Top line'!AB$17</f>
        <v>#VALUE!</v>
      </c>
      <c r="AC331" s="35" t="str">
        <f>AC316*Macro!$H32*'Top line'!AC$17</f>
        <v>#VALUE!</v>
      </c>
      <c r="AD331" s="36" t="str">
        <f>AD316*Macro!$H32*'Top line'!AD$17</f>
        <v>#VALUE!</v>
      </c>
      <c r="AE331" s="34" t="str">
        <f>AE316*Macro!$H32*'Top line'!AE$17</f>
        <v>#VALUE!</v>
      </c>
      <c r="AF331" s="35" t="str">
        <f>AF316*Macro!$H32*'Top line'!AF$17</f>
        <v>#VALUE!</v>
      </c>
      <c r="AG331" s="36" t="str">
        <f>AG316*Macro!$H32*'Top line'!AG$17</f>
        <v>#VALUE!</v>
      </c>
      <c r="AH331" s="34" t="str">
        <f>AH316*Macro!$H32*'Top line'!AH$17</f>
        <v>#VALUE!</v>
      </c>
      <c r="AI331" s="35" t="str">
        <f>AI316*Macro!$H32*'Top line'!AI$17</f>
        <v>#VALUE!</v>
      </c>
      <c r="AJ331" s="36" t="str">
        <f>AJ316*Macro!$H32*'Top line'!AJ$17</f>
        <v>#VALUE!</v>
      </c>
      <c r="AK331" s="34" t="str">
        <f>AK316*Macro!$H32*'Top line'!AK$17</f>
        <v>#VALUE!</v>
      </c>
      <c r="AL331" s="35" t="str">
        <f>AL316*Macro!$H32*'Top line'!AL$17</f>
        <v>#VALUE!</v>
      </c>
      <c r="AM331" s="36" t="str">
        <f>AM316*Macro!$H32*'Top line'!AM$17</f>
        <v>#VALUE!</v>
      </c>
      <c r="AN331" s="34" t="str">
        <f>AN316*Macro!$H32*'Top line'!AN$17</f>
        <v>#VALUE!</v>
      </c>
      <c r="AO331" s="35" t="str">
        <f>AO316*Macro!$H32*'Top line'!AO$17</f>
        <v>#VALUE!</v>
      </c>
      <c r="AP331" s="36" t="str">
        <f>AP316*Macro!$H32*'Top line'!AP$17</f>
        <v>#VALUE!</v>
      </c>
      <c r="AQ331" s="34" t="str">
        <f>AQ316*Macro!$H32*'Top line'!AQ$17</f>
        <v>#VALUE!</v>
      </c>
      <c r="AR331" s="35" t="str">
        <f>AR316*Macro!$H32*'Top line'!AR$17</f>
        <v>#VALUE!</v>
      </c>
      <c r="AS331" s="36" t="str">
        <f>AS316*Macro!$H32*'Top line'!AS$17</f>
        <v>#VALUE!</v>
      </c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</row>
    <row r="332" ht="12.0" customHeight="1">
      <c r="A332" s="282"/>
      <c r="B332" s="4"/>
      <c r="C332" s="37" t="str">
        <f t="shared" si="122"/>
        <v>AE manager</v>
      </c>
      <c r="D332" s="212">
        <v>0.0</v>
      </c>
      <c r="E332" s="213">
        <v>0.0</v>
      </c>
      <c r="F332" s="213">
        <v>0.0</v>
      </c>
      <c r="G332" s="212">
        <v>0.0</v>
      </c>
      <c r="H332" s="213">
        <v>0.0</v>
      </c>
      <c r="I332" s="214">
        <v>0.0</v>
      </c>
      <c r="J332" s="212">
        <v>0.0</v>
      </c>
      <c r="K332" s="213">
        <v>0.0</v>
      </c>
      <c r="L332" s="214">
        <v>0.0</v>
      </c>
      <c r="M332" s="34" t="str">
        <f>M317*Macro!$H33*'Top line'!M$17</f>
        <v>#VALUE!</v>
      </c>
      <c r="N332" s="35" t="str">
        <f>N317*Macro!$H33*'Top line'!N$17</f>
        <v>#VALUE!</v>
      </c>
      <c r="O332" s="36" t="str">
        <f>O317*Macro!$H33*'Top line'!O$17</f>
        <v>#VALUE!</v>
      </c>
      <c r="P332" s="34" t="str">
        <f>P317*Macro!$H33*'Top line'!P$17</f>
        <v>#VALUE!</v>
      </c>
      <c r="Q332" s="35" t="str">
        <f>Q317*Macro!$H33*'Top line'!Q$17</f>
        <v>#VALUE!</v>
      </c>
      <c r="R332" s="36" t="str">
        <f>R317*Macro!$H33*'Top line'!R$17</f>
        <v>#VALUE!</v>
      </c>
      <c r="S332" s="34" t="str">
        <f>S317*Macro!$H33*'Top line'!S$17</f>
        <v>#VALUE!</v>
      </c>
      <c r="T332" s="35" t="str">
        <f>T317*Macro!$H33*'Top line'!T$17</f>
        <v>#VALUE!</v>
      </c>
      <c r="U332" s="36" t="str">
        <f>U317*Macro!$H33*'Top line'!U$17</f>
        <v>#VALUE!</v>
      </c>
      <c r="V332" s="34" t="str">
        <f>V317*Macro!$H33*'Top line'!V$17</f>
        <v>#VALUE!</v>
      </c>
      <c r="W332" s="35" t="str">
        <f>W317*Macro!$H33*'Top line'!W$17</f>
        <v>#VALUE!</v>
      </c>
      <c r="X332" s="36" t="str">
        <f>X317*Macro!$H33*'Top line'!X$17</f>
        <v>#VALUE!</v>
      </c>
      <c r="Y332" s="34" t="str">
        <f>Y317*Macro!$H33*'Top line'!Y$17</f>
        <v>#VALUE!</v>
      </c>
      <c r="Z332" s="35" t="str">
        <f>Z317*Macro!$H33*'Top line'!Z$17</f>
        <v>#VALUE!</v>
      </c>
      <c r="AA332" s="36" t="str">
        <f>AA317*Macro!$H33*'Top line'!AA$17</f>
        <v>#VALUE!</v>
      </c>
      <c r="AB332" s="34" t="str">
        <f>AB317*Macro!$H33*'Top line'!AB$17</f>
        <v>#VALUE!</v>
      </c>
      <c r="AC332" s="35" t="str">
        <f>AC317*Macro!$H33*'Top line'!AC$17</f>
        <v>#VALUE!</v>
      </c>
      <c r="AD332" s="36" t="str">
        <f>AD317*Macro!$H33*'Top line'!AD$17</f>
        <v>#VALUE!</v>
      </c>
      <c r="AE332" s="34" t="str">
        <f>AE317*Macro!$H33*'Top line'!AE$17</f>
        <v>#VALUE!</v>
      </c>
      <c r="AF332" s="35" t="str">
        <f>AF317*Macro!$H33*'Top line'!AF$17</f>
        <v>#VALUE!</v>
      </c>
      <c r="AG332" s="36" t="str">
        <f>AG317*Macro!$H33*'Top line'!AG$17</f>
        <v>#VALUE!</v>
      </c>
      <c r="AH332" s="34" t="str">
        <f>AH317*Macro!$H33*'Top line'!AH$17</f>
        <v>#VALUE!</v>
      </c>
      <c r="AI332" s="35" t="str">
        <f>AI317*Macro!$H33*'Top line'!AI$17</f>
        <v>#VALUE!</v>
      </c>
      <c r="AJ332" s="36" t="str">
        <f>AJ317*Macro!$H33*'Top line'!AJ$17</f>
        <v>#VALUE!</v>
      </c>
      <c r="AK332" s="34" t="str">
        <f>AK317*Macro!$H33*'Top line'!AK$17</f>
        <v>#VALUE!</v>
      </c>
      <c r="AL332" s="35" t="str">
        <f>AL317*Macro!$H33*'Top line'!AL$17</f>
        <v>#VALUE!</v>
      </c>
      <c r="AM332" s="36" t="str">
        <f>AM317*Macro!$H33*'Top line'!AM$17</f>
        <v>#VALUE!</v>
      </c>
      <c r="AN332" s="34" t="str">
        <f>AN317*Macro!$H33*'Top line'!AN$17</f>
        <v>#VALUE!</v>
      </c>
      <c r="AO332" s="35" t="str">
        <f>AO317*Macro!$H33*'Top line'!AO$17</f>
        <v>#VALUE!</v>
      </c>
      <c r="AP332" s="36" t="str">
        <f>AP317*Macro!$H33*'Top line'!AP$17</f>
        <v>#VALUE!</v>
      </c>
      <c r="AQ332" s="34" t="str">
        <f>AQ317*Macro!$H33*'Top line'!AQ$17</f>
        <v>#VALUE!</v>
      </c>
      <c r="AR332" s="35" t="str">
        <f>AR317*Macro!$H33*'Top line'!AR$17</f>
        <v>#VALUE!</v>
      </c>
      <c r="AS332" s="36" t="str">
        <f>AS317*Macro!$H33*'Top line'!AS$17</f>
        <v>#VALUE!</v>
      </c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</row>
    <row r="333" ht="12.0" customHeight="1">
      <c r="A333" s="282"/>
      <c r="B333" s="4"/>
      <c r="C333" s="37" t="str">
        <f t="shared" si="122"/>
        <v>SE</v>
      </c>
      <c r="D333" s="212">
        <v>200.0</v>
      </c>
      <c r="E333" s="213">
        <v>200.0</v>
      </c>
      <c r="F333" s="213">
        <v>200.0</v>
      </c>
      <c r="G333" s="212">
        <v>500.0</v>
      </c>
      <c r="H333" s="213">
        <v>500.0</v>
      </c>
      <c r="I333" s="214">
        <v>500.0</v>
      </c>
      <c r="J333" s="212">
        <v>1600.0</v>
      </c>
      <c r="K333" s="213">
        <v>1600.0</v>
      </c>
      <c r="L333" s="214">
        <v>1600.0</v>
      </c>
      <c r="M333" s="34" t="str">
        <f>M318*Macro!$H34*'Top line'!M$17</f>
        <v>#VALUE!</v>
      </c>
      <c r="N333" s="35" t="str">
        <f>N318*Macro!$H34*'Top line'!N$17</f>
        <v>#VALUE!</v>
      </c>
      <c r="O333" s="36" t="str">
        <f>O318*Macro!$H34*'Top line'!O$17</f>
        <v>#VALUE!</v>
      </c>
      <c r="P333" s="34" t="str">
        <f>P318*Macro!$H34*'Top line'!P$17</f>
        <v>#VALUE!</v>
      </c>
      <c r="Q333" s="35" t="str">
        <f>Q318*Macro!$H34*'Top line'!Q$17</f>
        <v>#VALUE!</v>
      </c>
      <c r="R333" s="36" t="str">
        <f>R318*Macro!$H34*'Top line'!R$17</f>
        <v>#VALUE!</v>
      </c>
      <c r="S333" s="34" t="str">
        <f>S318*Macro!$H34*'Top line'!S$17</f>
        <v>#VALUE!</v>
      </c>
      <c r="T333" s="35" t="str">
        <f>T318*Macro!$H34*'Top line'!T$17</f>
        <v>#VALUE!</v>
      </c>
      <c r="U333" s="36" t="str">
        <f>U318*Macro!$H34*'Top line'!U$17</f>
        <v>#VALUE!</v>
      </c>
      <c r="V333" s="34" t="str">
        <f>V318*Macro!$H34*'Top line'!V$17</f>
        <v>#VALUE!</v>
      </c>
      <c r="W333" s="35" t="str">
        <f>W318*Macro!$H34*'Top line'!W$17</f>
        <v>#VALUE!</v>
      </c>
      <c r="X333" s="36" t="str">
        <f>X318*Macro!$H34*'Top line'!X$17</f>
        <v>#VALUE!</v>
      </c>
      <c r="Y333" s="34" t="str">
        <f>Y318*Macro!$H34*'Top line'!Y$17</f>
        <v>#VALUE!</v>
      </c>
      <c r="Z333" s="35" t="str">
        <f>Z318*Macro!$H34*'Top line'!Z$17</f>
        <v>#VALUE!</v>
      </c>
      <c r="AA333" s="36" t="str">
        <f>AA318*Macro!$H34*'Top line'!AA$17</f>
        <v>#VALUE!</v>
      </c>
      <c r="AB333" s="34" t="str">
        <f>AB318*Macro!$H34*'Top line'!AB$17</f>
        <v>#VALUE!</v>
      </c>
      <c r="AC333" s="35" t="str">
        <f>AC318*Macro!$H34*'Top line'!AC$17</f>
        <v>#VALUE!</v>
      </c>
      <c r="AD333" s="36" t="str">
        <f>AD318*Macro!$H34*'Top line'!AD$17</f>
        <v>#VALUE!</v>
      </c>
      <c r="AE333" s="34" t="str">
        <f>AE318*Macro!$H34*'Top line'!AE$17</f>
        <v>#VALUE!</v>
      </c>
      <c r="AF333" s="35" t="str">
        <f>AF318*Macro!$H34*'Top line'!AF$17</f>
        <v>#VALUE!</v>
      </c>
      <c r="AG333" s="36" t="str">
        <f>AG318*Macro!$H34*'Top line'!AG$17</f>
        <v>#VALUE!</v>
      </c>
      <c r="AH333" s="34" t="str">
        <f>AH318*Macro!$H34*'Top line'!AH$17</f>
        <v>#VALUE!</v>
      </c>
      <c r="AI333" s="35" t="str">
        <f>AI318*Macro!$H34*'Top line'!AI$17</f>
        <v>#VALUE!</v>
      </c>
      <c r="AJ333" s="36" t="str">
        <f>AJ318*Macro!$H34*'Top line'!AJ$17</f>
        <v>#VALUE!</v>
      </c>
      <c r="AK333" s="34" t="str">
        <f>AK318*Macro!$H34*'Top line'!AK$17</f>
        <v>#VALUE!</v>
      </c>
      <c r="AL333" s="35" t="str">
        <f>AL318*Macro!$H34*'Top line'!AL$17</f>
        <v>#VALUE!</v>
      </c>
      <c r="AM333" s="36" t="str">
        <f>AM318*Macro!$H34*'Top line'!AM$17</f>
        <v>#VALUE!</v>
      </c>
      <c r="AN333" s="34" t="str">
        <f>AN318*Macro!$H34*'Top line'!AN$17</f>
        <v>#VALUE!</v>
      </c>
      <c r="AO333" s="35" t="str">
        <f>AO318*Macro!$H34*'Top line'!AO$17</f>
        <v>#VALUE!</v>
      </c>
      <c r="AP333" s="36" t="str">
        <f>AP318*Macro!$H34*'Top line'!AP$17</f>
        <v>#VALUE!</v>
      </c>
      <c r="AQ333" s="34" t="str">
        <f>AQ318*Macro!$H34*'Top line'!AQ$17</f>
        <v>#VALUE!</v>
      </c>
      <c r="AR333" s="35" t="str">
        <f>AR318*Macro!$H34*'Top line'!AR$17</f>
        <v>#VALUE!</v>
      </c>
      <c r="AS333" s="36" t="str">
        <f>AS318*Macro!$H34*'Top line'!AS$17</f>
        <v>#VALUE!</v>
      </c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</row>
    <row r="334" ht="12.0" customHeight="1">
      <c r="A334" s="282"/>
      <c r="B334" s="4"/>
      <c r="C334" s="37" t="str">
        <f t="shared" si="122"/>
        <v>SE manager</v>
      </c>
      <c r="D334" s="212">
        <v>0.0</v>
      </c>
      <c r="E334" s="213">
        <v>0.0</v>
      </c>
      <c r="F334" s="213">
        <v>0.0</v>
      </c>
      <c r="G334" s="212">
        <v>0.0</v>
      </c>
      <c r="H334" s="213">
        <v>0.0</v>
      </c>
      <c r="I334" s="214">
        <v>0.0</v>
      </c>
      <c r="J334" s="212">
        <v>0.0</v>
      </c>
      <c r="K334" s="213">
        <v>0.0</v>
      </c>
      <c r="L334" s="214">
        <v>0.0</v>
      </c>
      <c r="M334" s="34" t="str">
        <f>M319*Macro!$H35*'Top line'!M$17</f>
        <v>#VALUE!</v>
      </c>
      <c r="N334" s="35" t="str">
        <f>N319*Macro!$H35*'Top line'!N$17</f>
        <v>#VALUE!</v>
      </c>
      <c r="O334" s="36" t="str">
        <f>O319*Macro!$H35*'Top line'!O$17</f>
        <v>#VALUE!</v>
      </c>
      <c r="P334" s="34" t="str">
        <f>P319*Macro!$H35*'Top line'!P$17</f>
        <v>#VALUE!</v>
      </c>
      <c r="Q334" s="35" t="str">
        <f>Q319*Macro!$H35*'Top line'!Q$17</f>
        <v>#VALUE!</v>
      </c>
      <c r="R334" s="36" t="str">
        <f>R319*Macro!$H35*'Top line'!R$17</f>
        <v>#VALUE!</v>
      </c>
      <c r="S334" s="34" t="str">
        <f>S319*Macro!$H35*'Top line'!S$17</f>
        <v>#VALUE!</v>
      </c>
      <c r="T334" s="35" t="str">
        <f>T319*Macro!$H35*'Top line'!T$17</f>
        <v>#VALUE!</v>
      </c>
      <c r="U334" s="36" t="str">
        <f>U319*Macro!$H35*'Top line'!U$17</f>
        <v>#VALUE!</v>
      </c>
      <c r="V334" s="34" t="str">
        <f>V319*Macro!$H35*'Top line'!V$17</f>
        <v>#VALUE!</v>
      </c>
      <c r="W334" s="35" t="str">
        <f>W319*Macro!$H35*'Top line'!W$17</f>
        <v>#VALUE!</v>
      </c>
      <c r="X334" s="36" t="str">
        <f>X319*Macro!$H35*'Top line'!X$17</f>
        <v>#VALUE!</v>
      </c>
      <c r="Y334" s="34" t="str">
        <f>Y319*Macro!$H35*'Top line'!Y$17</f>
        <v>#VALUE!</v>
      </c>
      <c r="Z334" s="35" t="str">
        <f>Z319*Macro!$H35*'Top line'!Z$17</f>
        <v>#VALUE!</v>
      </c>
      <c r="AA334" s="36" t="str">
        <f>AA319*Macro!$H35*'Top line'!AA$17</f>
        <v>#VALUE!</v>
      </c>
      <c r="AB334" s="34" t="str">
        <f>AB319*Macro!$H35*'Top line'!AB$17</f>
        <v>#VALUE!</v>
      </c>
      <c r="AC334" s="35" t="str">
        <f>AC319*Macro!$H35*'Top line'!AC$17</f>
        <v>#VALUE!</v>
      </c>
      <c r="AD334" s="36" t="str">
        <f>AD319*Macro!$H35*'Top line'!AD$17</f>
        <v>#VALUE!</v>
      </c>
      <c r="AE334" s="34" t="str">
        <f>AE319*Macro!$H35*'Top line'!AE$17</f>
        <v>#VALUE!</v>
      </c>
      <c r="AF334" s="35" t="str">
        <f>AF319*Macro!$H35*'Top line'!AF$17</f>
        <v>#VALUE!</v>
      </c>
      <c r="AG334" s="36" t="str">
        <f>AG319*Macro!$H35*'Top line'!AG$17</f>
        <v>#VALUE!</v>
      </c>
      <c r="AH334" s="34" t="str">
        <f>AH319*Macro!$H35*'Top line'!AH$17</f>
        <v>#VALUE!</v>
      </c>
      <c r="AI334" s="35" t="str">
        <f>AI319*Macro!$H35*'Top line'!AI$17</f>
        <v>#VALUE!</v>
      </c>
      <c r="AJ334" s="36" t="str">
        <f>AJ319*Macro!$H35*'Top line'!AJ$17</f>
        <v>#VALUE!</v>
      </c>
      <c r="AK334" s="34" t="str">
        <f>AK319*Macro!$H35*'Top line'!AK$17</f>
        <v>#VALUE!</v>
      </c>
      <c r="AL334" s="35" t="str">
        <f>AL319*Macro!$H35*'Top line'!AL$17</f>
        <v>#VALUE!</v>
      </c>
      <c r="AM334" s="36" t="str">
        <f>AM319*Macro!$H35*'Top line'!AM$17</f>
        <v>#VALUE!</v>
      </c>
      <c r="AN334" s="34" t="str">
        <f>AN319*Macro!$H35*'Top line'!AN$17</f>
        <v>#VALUE!</v>
      </c>
      <c r="AO334" s="35" t="str">
        <f>AO319*Macro!$H35*'Top line'!AO$17</f>
        <v>#VALUE!</v>
      </c>
      <c r="AP334" s="36" t="str">
        <f>AP319*Macro!$H35*'Top line'!AP$17</f>
        <v>#VALUE!</v>
      </c>
      <c r="AQ334" s="34" t="str">
        <f>AQ319*Macro!$H35*'Top line'!AQ$17</f>
        <v>#VALUE!</v>
      </c>
      <c r="AR334" s="35" t="str">
        <f>AR319*Macro!$H35*'Top line'!AR$17</f>
        <v>#VALUE!</v>
      </c>
      <c r="AS334" s="36" t="str">
        <f>AS319*Macro!$H35*'Top line'!AS$17</f>
        <v>#VALUE!</v>
      </c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</row>
    <row r="335" ht="12.0" customHeight="1">
      <c r="A335" s="282"/>
      <c r="B335" s="4"/>
      <c r="C335" s="37" t="str">
        <f t="shared" si="122"/>
        <v>Sales Ops</v>
      </c>
      <c r="D335" s="212">
        <v>0.0</v>
      </c>
      <c r="E335" s="213">
        <v>0.0</v>
      </c>
      <c r="F335" s="213">
        <v>0.0</v>
      </c>
      <c r="G335" s="212">
        <v>0.0</v>
      </c>
      <c r="H335" s="213">
        <v>0.0</v>
      </c>
      <c r="I335" s="214">
        <v>0.0</v>
      </c>
      <c r="J335" s="212">
        <v>0.0</v>
      </c>
      <c r="K335" s="213">
        <v>0.0</v>
      </c>
      <c r="L335" s="214">
        <v>0.0</v>
      </c>
      <c r="M335" s="34" t="str">
        <f>M320*Macro!$H36*'Top line'!M$17</f>
        <v>#VALUE!</v>
      </c>
      <c r="N335" s="35" t="str">
        <f>N320*Macro!$H36*'Top line'!N$17</f>
        <v>#VALUE!</v>
      </c>
      <c r="O335" s="36" t="str">
        <f>O320*Macro!$H36*'Top line'!O$17</f>
        <v>#VALUE!</v>
      </c>
      <c r="P335" s="34" t="str">
        <f>P320*Macro!$H36*'Top line'!P$17</f>
        <v>#VALUE!</v>
      </c>
      <c r="Q335" s="35" t="str">
        <f>Q320*Macro!$H36*'Top line'!Q$17</f>
        <v>#VALUE!</v>
      </c>
      <c r="R335" s="36" t="str">
        <f>R320*Macro!$H36*'Top line'!R$17</f>
        <v>#VALUE!</v>
      </c>
      <c r="S335" s="34" t="str">
        <f>S320*Macro!$H36*'Top line'!S$17</f>
        <v>#VALUE!</v>
      </c>
      <c r="T335" s="35" t="str">
        <f>T320*Macro!$H36*'Top line'!T$17</f>
        <v>#VALUE!</v>
      </c>
      <c r="U335" s="36" t="str">
        <f>U320*Macro!$H36*'Top line'!U$17</f>
        <v>#VALUE!</v>
      </c>
      <c r="V335" s="34" t="str">
        <f>V320*Macro!$H36*'Top line'!V$17</f>
        <v>#VALUE!</v>
      </c>
      <c r="W335" s="35" t="str">
        <f>W320*Macro!$H36*'Top line'!W$17</f>
        <v>#VALUE!</v>
      </c>
      <c r="X335" s="36" t="str">
        <f>X320*Macro!$H36*'Top line'!X$17</f>
        <v>#VALUE!</v>
      </c>
      <c r="Y335" s="34" t="str">
        <f>Y320*Macro!$H36*'Top line'!Y$17</f>
        <v>#VALUE!</v>
      </c>
      <c r="Z335" s="35" t="str">
        <f>Z320*Macro!$H36*'Top line'!Z$17</f>
        <v>#VALUE!</v>
      </c>
      <c r="AA335" s="36" t="str">
        <f>AA320*Macro!$H36*'Top line'!AA$17</f>
        <v>#VALUE!</v>
      </c>
      <c r="AB335" s="34" t="str">
        <f>AB320*Macro!$H36*'Top line'!AB$17</f>
        <v>#VALUE!</v>
      </c>
      <c r="AC335" s="35" t="str">
        <f>AC320*Macro!$H36*'Top line'!AC$17</f>
        <v>#VALUE!</v>
      </c>
      <c r="AD335" s="36" t="str">
        <f>AD320*Macro!$H36*'Top line'!AD$17</f>
        <v>#VALUE!</v>
      </c>
      <c r="AE335" s="34" t="str">
        <f>AE320*Macro!$H36*'Top line'!AE$17</f>
        <v>#VALUE!</v>
      </c>
      <c r="AF335" s="35" t="str">
        <f>AF320*Macro!$H36*'Top line'!AF$17</f>
        <v>#VALUE!</v>
      </c>
      <c r="AG335" s="36" t="str">
        <f>AG320*Macro!$H36*'Top line'!AG$17</f>
        <v>#VALUE!</v>
      </c>
      <c r="AH335" s="34" t="str">
        <f>AH320*Macro!$H36*'Top line'!AH$17</f>
        <v>#VALUE!</v>
      </c>
      <c r="AI335" s="35" t="str">
        <f>AI320*Macro!$H36*'Top line'!AI$17</f>
        <v>#VALUE!</v>
      </c>
      <c r="AJ335" s="36" t="str">
        <f>AJ320*Macro!$H36*'Top line'!AJ$17</f>
        <v>#VALUE!</v>
      </c>
      <c r="AK335" s="34" t="str">
        <f>AK320*Macro!$H36*'Top line'!AK$17</f>
        <v>#VALUE!</v>
      </c>
      <c r="AL335" s="35" t="str">
        <f>AL320*Macro!$H36*'Top line'!AL$17</f>
        <v>#VALUE!</v>
      </c>
      <c r="AM335" s="36" t="str">
        <f>AM320*Macro!$H36*'Top line'!AM$17</f>
        <v>#VALUE!</v>
      </c>
      <c r="AN335" s="34" t="str">
        <f>AN320*Macro!$H36*'Top line'!AN$17</f>
        <v>#VALUE!</v>
      </c>
      <c r="AO335" s="35" t="str">
        <f>AO320*Macro!$H36*'Top line'!AO$17</f>
        <v>#VALUE!</v>
      </c>
      <c r="AP335" s="36" t="str">
        <f>AP320*Macro!$H36*'Top line'!AP$17</f>
        <v>#VALUE!</v>
      </c>
      <c r="AQ335" s="34" t="str">
        <f>AQ320*Macro!$H36*'Top line'!AQ$17</f>
        <v>#VALUE!</v>
      </c>
      <c r="AR335" s="35" t="str">
        <f>AR320*Macro!$H36*'Top line'!AR$17</f>
        <v>#VALUE!</v>
      </c>
      <c r="AS335" s="36" t="str">
        <f>AS320*Macro!$H36*'Top line'!AS$17</f>
        <v>#VALUE!</v>
      </c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</row>
    <row r="336" ht="12.0" customHeight="1">
      <c r="A336" s="282"/>
      <c r="B336" s="4"/>
      <c r="C336" s="37" t="str">
        <f t="shared" si="122"/>
        <v>[XX]</v>
      </c>
      <c r="D336" s="212">
        <v>0.0</v>
      </c>
      <c r="E336" s="213">
        <v>0.0</v>
      </c>
      <c r="F336" s="213">
        <v>0.0</v>
      </c>
      <c r="G336" s="212">
        <v>0.0</v>
      </c>
      <c r="H336" s="213">
        <v>0.0</v>
      </c>
      <c r="I336" s="214">
        <v>0.0</v>
      </c>
      <c r="J336" s="212">
        <v>0.0</v>
      </c>
      <c r="K336" s="213">
        <v>0.0</v>
      </c>
      <c r="L336" s="214">
        <v>0.0</v>
      </c>
      <c r="M336" s="34" t="str">
        <f>M321*Macro!$H37*'Top line'!M$17</f>
        <v>#VALUE!</v>
      </c>
      <c r="N336" s="35" t="str">
        <f>N321*Macro!$H37*'Top line'!N$17</f>
        <v>#VALUE!</v>
      </c>
      <c r="O336" s="36" t="str">
        <f>O321*Macro!$H37*'Top line'!O$17</f>
        <v>#VALUE!</v>
      </c>
      <c r="P336" s="34" t="str">
        <f>P321*Macro!$H37*'Top line'!P$17</f>
        <v>#VALUE!</v>
      </c>
      <c r="Q336" s="35" t="str">
        <f>Q321*Macro!$H37*'Top line'!Q$17</f>
        <v>#VALUE!</v>
      </c>
      <c r="R336" s="36" t="str">
        <f>R321*Macro!$H37*'Top line'!R$17</f>
        <v>#VALUE!</v>
      </c>
      <c r="S336" s="34" t="str">
        <f>S321*Macro!$H37*'Top line'!S$17</f>
        <v>#VALUE!</v>
      </c>
      <c r="T336" s="35" t="str">
        <f>T321*Macro!$H37*'Top line'!T$17</f>
        <v>#VALUE!</v>
      </c>
      <c r="U336" s="36" t="str">
        <f>U321*Macro!$H37*'Top line'!U$17</f>
        <v>#VALUE!</v>
      </c>
      <c r="V336" s="34" t="str">
        <f>V321*Macro!$H37*'Top line'!V$17</f>
        <v>#VALUE!</v>
      </c>
      <c r="W336" s="35" t="str">
        <f>W321*Macro!$H37*'Top line'!W$17</f>
        <v>#VALUE!</v>
      </c>
      <c r="X336" s="36" t="str">
        <f>X321*Macro!$H37*'Top line'!X$17</f>
        <v>#VALUE!</v>
      </c>
      <c r="Y336" s="34" t="str">
        <f>Y321*Macro!$H37*'Top line'!Y$17</f>
        <v>#VALUE!</v>
      </c>
      <c r="Z336" s="35" t="str">
        <f>Z321*Macro!$H37*'Top line'!Z$17</f>
        <v>#VALUE!</v>
      </c>
      <c r="AA336" s="36" t="str">
        <f>AA321*Macro!$H37*'Top line'!AA$17</f>
        <v>#VALUE!</v>
      </c>
      <c r="AB336" s="34" t="str">
        <f>AB321*Macro!$H37*'Top line'!AB$17</f>
        <v>#VALUE!</v>
      </c>
      <c r="AC336" s="35" t="str">
        <f>AC321*Macro!$H37*'Top line'!AC$17</f>
        <v>#VALUE!</v>
      </c>
      <c r="AD336" s="36" t="str">
        <f>AD321*Macro!$H37*'Top line'!AD$17</f>
        <v>#VALUE!</v>
      </c>
      <c r="AE336" s="34" t="str">
        <f>AE321*Macro!$H37*'Top line'!AE$17</f>
        <v>#VALUE!</v>
      </c>
      <c r="AF336" s="35" t="str">
        <f>AF321*Macro!$H37*'Top line'!AF$17</f>
        <v>#VALUE!</v>
      </c>
      <c r="AG336" s="36" t="str">
        <f>AG321*Macro!$H37*'Top line'!AG$17</f>
        <v>#VALUE!</v>
      </c>
      <c r="AH336" s="34" t="str">
        <f>AH321*Macro!$H37*'Top line'!AH$17</f>
        <v>#VALUE!</v>
      </c>
      <c r="AI336" s="35" t="str">
        <f>AI321*Macro!$H37*'Top line'!AI$17</f>
        <v>#VALUE!</v>
      </c>
      <c r="AJ336" s="36" t="str">
        <f>AJ321*Macro!$H37*'Top line'!AJ$17</f>
        <v>#VALUE!</v>
      </c>
      <c r="AK336" s="34" t="str">
        <f>AK321*Macro!$H37*'Top line'!AK$17</f>
        <v>#VALUE!</v>
      </c>
      <c r="AL336" s="35" t="str">
        <f>AL321*Macro!$H37*'Top line'!AL$17</f>
        <v>#VALUE!</v>
      </c>
      <c r="AM336" s="36" t="str">
        <f>AM321*Macro!$H37*'Top line'!AM$17</f>
        <v>#VALUE!</v>
      </c>
      <c r="AN336" s="34" t="str">
        <f>AN321*Macro!$H37*'Top line'!AN$17</f>
        <v>#VALUE!</v>
      </c>
      <c r="AO336" s="35" t="str">
        <f>AO321*Macro!$H37*'Top line'!AO$17</f>
        <v>#VALUE!</v>
      </c>
      <c r="AP336" s="36" t="str">
        <f>AP321*Macro!$H37*'Top line'!AP$17</f>
        <v>#VALUE!</v>
      </c>
      <c r="AQ336" s="34" t="str">
        <f>AQ321*Macro!$H37*'Top line'!AQ$17</f>
        <v>#VALUE!</v>
      </c>
      <c r="AR336" s="35" t="str">
        <f>AR321*Macro!$H37*'Top line'!AR$17</f>
        <v>#VALUE!</v>
      </c>
      <c r="AS336" s="36" t="str">
        <f>AS321*Macro!$H37*'Top line'!AS$17</f>
        <v>#VALUE!</v>
      </c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</row>
    <row r="337" ht="12.0" customHeight="1">
      <c r="A337" s="282"/>
      <c r="B337" s="4"/>
      <c r="C337" s="37" t="str">
        <f t="shared" si="122"/>
        <v>[XX]</v>
      </c>
      <c r="D337" s="212">
        <v>0.0</v>
      </c>
      <c r="E337" s="213">
        <v>0.0</v>
      </c>
      <c r="F337" s="213">
        <v>0.0</v>
      </c>
      <c r="G337" s="212">
        <v>0.0</v>
      </c>
      <c r="H337" s="213">
        <v>0.0</v>
      </c>
      <c r="I337" s="214">
        <v>0.0</v>
      </c>
      <c r="J337" s="212">
        <v>0.0</v>
      </c>
      <c r="K337" s="213">
        <v>0.0</v>
      </c>
      <c r="L337" s="214">
        <v>0.0</v>
      </c>
      <c r="M337" s="34" t="str">
        <f>M322*Macro!$H38*'Top line'!M$17</f>
        <v>#VALUE!</v>
      </c>
      <c r="N337" s="35" t="str">
        <f>N322*Macro!$H38*'Top line'!N$17</f>
        <v>#VALUE!</v>
      </c>
      <c r="O337" s="36" t="str">
        <f>O322*Macro!$H38*'Top line'!O$17</f>
        <v>#VALUE!</v>
      </c>
      <c r="P337" s="34" t="str">
        <f>P322*Macro!$H38*'Top line'!P$17</f>
        <v>#VALUE!</v>
      </c>
      <c r="Q337" s="35" t="str">
        <f>Q322*Macro!$H38*'Top line'!Q$17</f>
        <v>#VALUE!</v>
      </c>
      <c r="R337" s="36" t="str">
        <f>R322*Macro!$H38*'Top line'!R$17</f>
        <v>#VALUE!</v>
      </c>
      <c r="S337" s="34" t="str">
        <f>S322*Macro!$H38*'Top line'!S$17</f>
        <v>#VALUE!</v>
      </c>
      <c r="T337" s="35" t="str">
        <f>T322*Macro!$H38*'Top line'!T$17</f>
        <v>#VALUE!</v>
      </c>
      <c r="U337" s="36" t="str">
        <f>U322*Macro!$H38*'Top line'!U$17</f>
        <v>#VALUE!</v>
      </c>
      <c r="V337" s="34" t="str">
        <f>V322*Macro!$H38*'Top line'!V$17</f>
        <v>#VALUE!</v>
      </c>
      <c r="W337" s="35" t="str">
        <f>W322*Macro!$H38*'Top line'!W$17</f>
        <v>#VALUE!</v>
      </c>
      <c r="X337" s="36" t="str">
        <f>X322*Macro!$H38*'Top line'!X$17</f>
        <v>#VALUE!</v>
      </c>
      <c r="Y337" s="34" t="str">
        <f>Y322*Macro!$H38*'Top line'!Y$17</f>
        <v>#VALUE!</v>
      </c>
      <c r="Z337" s="35" t="str">
        <f>Z322*Macro!$H38*'Top line'!Z$17</f>
        <v>#VALUE!</v>
      </c>
      <c r="AA337" s="36" t="str">
        <f>AA322*Macro!$H38*'Top line'!AA$17</f>
        <v>#VALUE!</v>
      </c>
      <c r="AB337" s="34" t="str">
        <f>AB322*Macro!$H38*'Top line'!AB$17</f>
        <v>#VALUE!</v>
      </c>
      <c r="AC337" s="35" t="str">
        <f>AC322*Macro!$H38*'Top line'!AC$17</f>
        <v>#VALUE!</v>
      </c>
      <c r="AD337" s="36" t="str">
        <f>AD322*Macro!$H38*'Top line'!AD$17</f>
        <v>#VALUE!</v>
      </c>
      <c r="AE337" s="34" t="str">
        <f>AE322*Macro!$H38*'Top line'!AE$17</f>
        <v>#VALUE!</v>
      </c>
      <c r="AF337" s="35" t="str">
        <f>AF322*Macro!$H38*'Top line'!AF$17</f>
        <v>#VALUE!</v>
      </c>
      <c r="AG337" s="36" t="str">
        <f>AG322*Macro!$H38*'Top line'!AG$17</f>
        <v>#VALUE!</v>
      </c>
      <c r="AH337" s="34" t="str">
        <f>AH322*Macro!$H38*'Top line'!AH$17</f>
        <v>#VALUE!</v>
      </c>
      <c r="AI337" s="35" t="str">
        <f>AI322*Macro!$H38*'Top line'!AI$17</f>
        <v>#VALUE!</v>
      </c>
      <c r="AJ337" s="36" t="str">
        <f>AJ322*Macro!$H38*'Top line'!AJ$17</f>
        <v>#VALUE!</v>
      </c>
      <c r="AK337" s="34" t="str">
        <f>AK322*Macro!$H38*'Top line'!AK$17</f>
        <v>#VALUE!</v>
      </c>
      <c r="AL337" s="35" t="str">
        <f>AL322*Macro!$H38*'Top line'!AL$17</f>
        <v>#VALUE!</v>
      </c>
      <c r="AM337" s="36" t="str">
        <f>AM322*Macro!$H38*'Top line'!AM$17</f>
        <v>#VALUE!</v>
      </c>
      <c r="AN337" s="34" t="str">
        <f>AN322*Macro!$H38*'Top line'!AN$17</f>
        <v>#VALUE!</v>
      </c>
      <c r="AO337" s="35" t="str">
        <f>AO322*Macro!$H38*'Top line'!AO$17</f>
        <v>#VALUE!</v>
      </c>
      <c r="AP337" s="36" t="str">
        <f>AP322*Macro!$H38*'Top line'!AP$17</f>
        <v>#VALUE!</v>
      </c>
      <c r="AQ337" s="34" t="str">
        <f>AQ322*Macro!$H38*'Top line'!AQ$17</f>
        <v>#VALUE!</v>
      </c>
      <c r="AR337" s="35" t="str">
        <f>AR322*Macro!$H38*'Top line'!AR$17</f>
        <v>#VALUE!</v>
      </c>
      <c r="AS337" s="36" t="str">
        <f>AS322*Macro!$H38*'Top line'!AS$17</f>
        <v>#VALUE!</v>
      </c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</row>
    <row r="338" ht="12.0" customHeight="1">
      <c r="A338" s="282"/>
      <c r="B338" s="4"/>
      <c r="C338" s="37" t="str">
        <f t="shared" si="122"/>
        <v>[XX]</v>
      </c>
      <c r="D338" s="212">
        <v>0.0</v>
      </c>
      <c r="E338" s="213">
        <v>0.0</v>
      </c>
      <c r="F338" s="213">
        <v>0.0</v>
      </c>
      <c r="G338" s="212">
        <v>0.0</v>
      </c>
      <c r="H338" s="213">
        <v>0.0</v>
      </c>
      <c r="I338" s="214">
        <v>0.0</v>
      </c>
      <c r="J338" s="212">
        <v>0.0</v>
      </c>
      <c r="K338" s="213">
        <v>0.0</v>
      </c>
      <c r="L338" s="214">
        <v>0.0</v>
      </c>
      <c r="M338" s="34" t="str">
        <f>M323*Macro!$H39*'Top line'!M$17</f>
        <v>#VALUE!</v>
      </c>
      <c r="N338" s="35" t="str">
        <f>N323*Macro!$H39*'Top line'!N$17</f>
        <v>#VALUE!</v>
      </c>
      <c r="O338" s="36" t="str">
        <f>O323*Macro!$H39*'Top line'!O$17</f>
        <v>#VALUE!</v>
      </c>
      <c r="P338" s="34" t="str">
        <f>P323*Macro!$H39*'Top line'!P$17</f>
        <v>#VALUE!</v>
      </c>
      <c r="Q338" s="35" t="str">
        <f>Q323*Macro!$H39*'Top line'!Q$17</f>
        <v>#VALUE!</v>
      </c>
      <c r="R338" s="36" t="str">
        <f>R323*Macro!$H39*'Top line'!R$17</f>
        <v>#VALUE!</v>
      </c>
      <c r="S338" s="34" t="str">
        <f>S323*Macro!$H39*'Top line'!S$17</f>
        <v>#VALUE!</v>
      </c>
      <c r="T338" s="35" t="str">
        <f>T323*Macro!$H39*'Top line'!T$17</f>
        <v>#VALUE!</v>
      </c>
      <c r="U338" s="36" t="str">
        <f>U323*Macro!$H39*'Top line'!U$17</f>
        <v>#VALUE!</v>
      </c>
      <c r="V338" s="34" t="str">
        <f>V323*Macro!$H39*'Top line'!V$17</f>
        <v>#VALUE!</v>
      </c>
      <c r="W338" s="35" t="str">
        <f>W323*Macro!$H39*'Top line'!W$17</f>
        <v>#VALUE!</v>
      </c>
      <c r="X338" s="36" t="str">
        <f>X323*Macro!$H39*'Top line'!X$17</f>
        <v>#VALUE!</v>
      </c>
      <c r="Y338" s="34" t="str">
        <f>Y323*Macro!$H39*'Top line'!Y$17</f>
        <v>#VALUE!</v>
      </c>
      <c r="Z338" s="35" t="str">
        <f>Z323*Macro!$H39*'Top line'!Z$17</f>
        <v>#VALUE!</v>
      </c>
      <c r="AA338" s="36" t="str">
        <f>AA323*Macro!$H39*'Top line'!AA$17</f>
        <v>#VALUE!</v>
      </c>
      <c r="AB338" s="34" t="str">
        <f>AB323*Macro!$H39*'Top line'!AB$17</f>
        <v>#VALUE!</v>
      </c>
      <c r="AC338" s="35" t="str">
        <f>AC323*Macro!$H39*'Top line'!AC$17</f>
        <v>#VALUE!</v>
      </c>
      <c r="AD338" s="36" t="str">
        <f>AD323*Macro!$H39*'Top line'!AD$17</f>
        <v>#VALUE!</v>
      </c>
      <c r="AE338" s="34" t="str">
        <f>AE323*Macro!$H39*'Top line'!AE$17</f>
        <v>#VALUE!</v>
      </c>
      <c r="AF338" s="35" t="str">
        <f>AF323*Macro!$H39*'Top line'!AF$17</f>
        <v>#VALUE!</v>
      </c>
      <c r="AG338" s="36" t="str">
        <f>AG323*Macro!$H39*'Top line'!AG$17</f>
        <v>#VALUE!</v>
      </c>
      <c r="AH338" s="34" t="str">
        <f>AH323*Macro!$H39*'Top line'!AH$17</f>
        <v>#VALUE!</v>
      </c>
      <c r="AI338" s="35" t="str">
        <f>AI323*Macro!$H39*'Top line'!AI$17</f>
        <v>#VALUE!</v>
      </c>
      <c r="AJ338" s="36" t="str">
        <f>AJ323*Macro!$H39*'Top line'!AJ$17</f>
        <v>#VALUE!</v>
      </c>
      <c r="AK338" s="34" t="str">
        <f>AK323*Macro!$H39*'Top line'!AK$17</f>
        <v>#VALUE!</v>
      </c>
      <c r="AL338" s="35" t="str">
        <f>AL323*Macro!$H39*'Top line'!AL$17</f>
        <v>#VALUE!</v>
      </c>
      <c r="AM338" s="36" t="str">
        <f>AM323*Macro!$H39*'Top line'!AM$17</f>
        <v>#VALUE!</v>
      </c>
      <c r="AN338" s="34" t="str">
        <f>AN323*Macro!$H39*'Top line'!AN$17</f>
        <v>#VALUE!</v>
      </c>
      <c r="AO338" s="35" t="str">
        <f>AO323*Macro!$H39*'Top line'!AO$17</f>
        <v>#VALUE!</v>
      </c>
      <c r="AP338" s="36" t="str">
        <f>AP323*Macro!$H39*'Top line'!AP$17</f>
        <v>#VALUE!</v>
      </c>
      <c r="AQ338" s="34" t="str">
        <f>AQ323*Macro!$H39*'Top line'!AQ$17</f>
        <v>#VALUE!</v>
      </c>
      <c r="AR338" s="35" t="str">
        <f>AR323*Macro!$H39*'Top line'!AR$17</f>
        <v>#VALUE!</v>
      </c>
      <c r="AS338" s="36" t="str">
        <f>AS323*Macro!$H39*'Top line'!AS$17</f>
        <v>#VALUE!</v>
      </c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</row>
    <row r="339" ht="12.0" customHeight="1">
      <c r="A339" s="282"/>
      <c r="B339" s="4"/>
      <c r="C339" s="37" t="str">
        <f t="shared" si="122"/>
        <v>[XX]</v>
      </c>
      <c r="D339" s="212">
        <v>0.0</v>
      </c>
      <c r="E339" s="213">
        <v>0.0</v>
      </c>
      <c r="F339" s="213">
        <v>0.0</v>
      </c>
      <c r="G339" s="212">
        <v>0.0</v>
      </c>
      <c r="H339" s="213">
        <v>0.0</v>
      </c>
      <c r="I339" s="214">
        <v>0.0</v>
      </c>
      <c r="J339" s="212">
        <v>0.0</v>
      </c>
      <c r="K339" s="213">
        <v>0.0</v>
      </c>
      <c r="L339" s="214">
        <v>0.0</v>
      </c>
      <c r="M339" s="34" t="str">
        <f>M324*Macro!$H40*'Top line'!M$17</f>
        <v>#VALUE!</v>
      </c>
      <c r="N339" s="35" t="str">
        <f>N324*Macro!$H40*'Top line'!N$17</f>
        <v>#VALUE!</v>
      </c>
      <c r="O339" s="36" t="str">
        <f>O324*Macro!$H40*'Top line'!O$17</f>
        <v>#VALUE!</v>
      </c>
      <c r="P339" s="34" t="str">
        <f>P324*Macro!$H40*'Top line'!P$17</f>
        <v>#VALUE!</v>
      </c>
      <c r="Q339" s="35" t="str">
        <f>Q324*Macro!$H40*'Top line'!Q$17</f>
        <v>#VALUE!</v>
      </c>
      <c r="R339" s="36" t="str">
        <f>R324*Macro!$H40*'Top line'!R$17</f>
        <v>#VALUE!</v>
      </c>
      <c r="S339" s="34" t="str">
        <f>S324*Macro!$H40*'Top line'!S$17</f>
        <v>#VALUE!</v>
      </c>
      <c r="T339" s="35" t="str">
        <f>T324*Macro!$H40*'Top line'!T$17</f>
        <v>#VALUE!</v>
      </c>
      <c r="U339" s="36" t="str">
        <f>U324*Macro!$H40*'Top line'!U$17</f>
        <v>#VALUE!</v>
      </c>
      <c r="V339" s="34" t="str">
        <f>V324*Macro!$H40*'Top line'!V$17</f>
        <v>#VALUE!</v>
      </c>
      <c r="W339" s="35" t="str">
        <f>W324*Macro!$H40*'Top line'!W$17</f>
        <v>#VALUE!</v>
      </c>
      <c r="X339" s="36" t="str">
        <f>X324*Macro!$H40*'Top line'!X$17</f>
        <v>#VALUE!</v>
      </c>
      <c r="Y339" s="34" t="str">
        <f>Y324*Macro!$H40*'Top line'!Y$17</f>
        <v>#VALUE!</v>
      </c>
      <c r="Z339" s="35" t="str">
        <f>Z324*Macro!$H40*'Top line'!Z$17</f>
        <v>#VALUE!</v>
      </c>
      <c r="AA339" s="36" t="str">
        <f>AA324*Macro!$H40*'Top line'!AA$17</f>
        <v>#VALUE!</v>
      </c>
      <c r="AB339" s="34" t="str">
        <f>AB324*Macro!$H40*'Top line'!AB$17</f>
        <v>#VALUE!</v>
      </c>
      <c r="AC339" s="35" t="str">
        <f>AC324*Macro!$H40*'Top line'!AC$17</f>
        <v>#VALUE!</v>
      </c>
      <c r="AD339" s="36" t="str">
        <f>AD324*Macro!$H40*'Top line'!AD$17</f>
        <v>#VALUE!</v>
      </c>
      <c r="AE339" s="34" t="str">
        <f>AE324*Macro!$H40*'Top line'!AE$17</f>
        <v>#VALUE!</v>
      </c>
      <c r="AF339" s="35" t="str">
        <f>AF324*Macro!$H40*'Top line'!AF$17</f>
        <v>#VALUE!</v>
      </c>
      <c r="AG339" s="36" t="str">
        <f>AG324*Macro!$H40*'Top line'!AG$17</f>
        <v>#VALUE!</v>
      </c>
      <c r="AH339" s="34" t="str">
        <f>AH324*Macro!$H40*'Top line'!AH$17</f>
        <v>#VALUE!</v>
      </c>
      <c r="AI339" s="35" t="str">
        <f>AI324*Macro!$H40*'Top line'!AI$17</f>
        <v>#VALUE!</v>
      </c>
      <c r="AJ339" s="36" t="str">
        <f>AJ324*Macro!$H40*'Top line'!AJ$17</f>
        <v>#VALUE!</v>
      </c>
      <c r="AK339" s="34" t="str">
        <f>AK324*Macro!$H40*'Top line'!AK$17</f>
        <v>#VALUE!</v>
      </c>
      <c r="AL339" s="35" t="str">
        <f>AL324*Macro!$H40*'Top line'!AL$17</f>
        <v>#VALUE!</v>
      </c>
      <c r="AM339" s="36" t="str">
        <f>AM324*Macro!$H40*'Top line'!AM$17</f>
        <v>#VALUE!</v>
      </c>
      <c r="AN339" s="34" t="str">
        <f>AN324*Macro!$H40*'Top line'!AN$17</f>
        <v>#VALUE!</v>
      </c>
      <c r="AO339" s="35" t="str">
        <f>AO324*Macro!$H40*'Top line'!AO$17</f>
        <v>#VALUE!</v>
      </c>
      <c r="AP339" s="36" t="str">
        <f>AP324*Macro!$H40*'Top line'!AP$17</f>
        <v>#VALUE!</v>
      </c>
      <c r="AQ339" s="34" t="str">
        <f>AQ324*Macro!$H40*'Top line'!AQ$17</f>
        <v>#VALUE!</v>
      </c>
      <c r="AR339" s="35" t="str">
        <f>AR324*Macro!$H40*'Top line'!AR$17</f>
        <v>#VALUE!</v>
      </c>
      <c r="AS339" s="36" t="str">
        <f>AS324*Macro!$H40*'Top line'!AS$17</f>
        <v>#VALUE!</v>
      </c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</row>
    <row r="340" ht="12.0" customHeight="1">
      <c r="A340" s="282"/>
      <c r="B340" s="4"/>
      <c r="C340" s="37" t="str">
        <f t="shared" si="122"/>
        <v>[XX]</v>
      </c>
      <c r="D340" s="212">
        <v>0.0</v>
      </c>
      <c r="E340" s="213">
        <v>0.0</v>
      </c>
      <c r="F340" s="213">
        <v>0.0</v>
      </c>
      <c r="G340" s="212">
        <v>0.0</v>
      </c>
      <c r="H340" s="213">
        <v>0.0</v>
      </c>
      <c r="I340" s="214">
        <v>0.0</v>
      </c>
      <c r="J340" s="212">
        <v>0.0</v>
      </c>
      <c r="K340" s="213">
        <v>0.0</v>
      </c>
      <c r="L340" s="214">
        <v>0.0</v>
      </c>
      <c r="M340" s="34" t="str">
        <f>M325*Macro!$H41*'Top line'!M$17</f>
        <v>#VALUE!</v>
      </c>
      <c r="N340" s="35" t="str">
        <f>N325*Macro!$H41*'Top line'!N$17</f>
        <v>#VALUE!</v>
      </c>
      <c r="O340" s="36" t="str">
        <f>O325*Macro!$H41*'Top line'!O$17</f>
        <v>#VALUE!</v>
      </c>
      <c r="P340" s="34" t="str">
        <f>P325*Macro!$H41*'Top line'!P$17</f>
        <v>#VALUE!</v>
      </c>
      <c r="Q340" s="35" t="str">
        <f>Q325*Macro!$H41*'Top line'!Q$17</f>
        <v>#VALUE!</v>
      </c>
      <c r="R340" s="36" t="str">
        <f>R325*Macro!$H41*'Top line'!R$17</f>
        <v>#VALUE!</v>
      </c>
      <c r="S340" s="34" t="str">
        <f>S325*Macro!$H41*'Top line'!S$17</f>
        <v>#VALUE!</v>
      </c>
      <c r="T340" s="35" t="str">
        <f>T325*Macro!$H41*'Top line'!T$17</f>
        <v>#VALUE!</v>
      </c>
      <c r="U340" s="36" t="str">
        <f>U325*Macro!$H41*'Top line'!U$17</f>
        <v>#VALUE!</v>
      </c>
      <c r="V340" s="34" t="str">
        <f>V325*Macro!$H41*'Top line'!V$17</f>
        <v>#VALUE!</v>
      </c>
      <c r="W340" s="35" t="str">
        <f>W325*Macro!$H41*'Top line'!W$17</f>
        <v>#VALUE!</v>
      </c>
      <c r="X340" s="36" t="str">
        <f>X325*Macro!$H41*'Top line'!X$17</f>
        <v>#VALUE!</v>
      </c>
      <c r="Y340" s="34" t="str">
        <f>Y325*Macro!$H41*'Top line'!Y$17</f>
        <v>#VALUE!</v>
      </c>
      <c r="Z340" s="35" t="str">
        <f>Z325*Macro!$H41*'Top line'!Z$17</f>
        <v>#VALUE!</v>
      </c>
      <c r="AA340" s="36" t="str">
        <f>AA325*Macro!$H41*'Top line'!AA$17</f>
        <v>#VALUE!</v>
      </c>
      <c r="AB340" s="34" t="str">
        <f>AB325*Macro!$H41*'Top line'!AB$17</f>
        <v>#VALUE!</v>
      </c>
      <c r="AC340" s="35" t="str">
        <f>AC325*Macro!$H41*'Top line'!AC$17</f>
        <v>#VALUE!</v>
      </c>
      <c r="AD340" s="36" t="str">
        <f>AD325*Macro!$H41*'Top line'!AD$17</f>
        <v>#VALUE!</v>
      </c>
      <c r="AE340" s="34" t="str">
        <f>AE325*Macro!$H41*'Top line'!AE$17</f>
        <v>#VALUE!</v>
      </c>
      <c r="AF340" s="35" t="str">
        <f>AF325*Macro!$H41*'Top line'!AF$17</f>
        <v>#VALUE!</v>
      </c>
      <c r="AG340" s="36" t="str">
        <f>AG325*Macro!$H41*'Top line'!AG$17</f>
        <v>#VALUE!</v>
      </c>
      <c r="AH340" s="34" t="str">
        <f>AH325*Macro!$H41*'Top line'!AH$17</f>
        <v>#VALUE!</v>
      </c>
      <c r="AI340" s="35" t="str">
        <f>AI325*Macro!$H41*'Top line'!AI$17</f>
        <v>#VALUE!</v>
      </c>
      <c r="AJ340" s="36" t="str">
        <f>AJ325*Macro!$H41*'Top line'!AJ$17</f>
        <v>#VALUE!</v>
      </c>
      <c r="AK340" s="34" t="str">
        <f>AK325*Macro!$H41*'Top line'!AK$17</f>
        <v>#VALUE!</v>
      </c>
      <c r="AL340" s="35" t="str">
        <f>AL325*Macro!$H41*'Top line'!AL$17</f>
        <v>#VALUE!</v>
      </c>
      <c r="AM340" s="36" t="str">
        <f>AM325*Macro!$H41*'Top line'!AM$17</f>
        <v>#VALUE!</v>
      </c>
      <c r="AN340" s="34" t="str">
        <f>AN325*Macro!$H41*'Top line'!AN$17</f>
        <v>#VALUE!</v>
      </c>
      <c r="AO340" s="35" t="str">
        <f>AO325*Macro!$H41*'Top line'!AO$17</f>
        <v>#VALUE!</v>
      </c>
      <c r="AP340" s="36" t="str">
        <f>AP325*Macro!$H41*'Top line'!AP$17</f>
        <v>#VALUE!</v>
      </c>
      <c r="AQ340" s="34" t="str">
        <f>AQ325*Macro!$H41*'Top line'!AQ$17</f>
        <v>#VALUE!</v>
      </c>
      <c r="AR340" s="35" t="str">
        <f>AR325*Macro!$H41*'Top line'!AR$17</f>
        <v>#VALUE!</v>
      </c>
      <c r="AS340" s="36" t="str">
        <f>AS325*Macro!$H41*'Top line'!AS$17</f>
        <v>#VALUE!</v>
      </c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</row>
    <row r="341" ht="12.0" customHeight="1">
      <c r="A341" s="282"/>
      <c r="B341" s="4"/>
      <c r="C341" s="277" t="str">
        <f t="shared" si="122"/>
        <v>[XX]</v>
      </c>
      <c r="D341" s="215">
        <v>0.0</v>
      </c>
      <c r="E341" s="216">
        <v>0.0</v>
      </c>
      <c r="F341" s="216">
        <v>0.0</v>
      </c>
      <c r="G341" s="215">
        <v>0.0</v>
      </c>
      <c r="H341" s="216">
        <v>0.0</v>
      </c>
      <c r="I341" s="217">
        <v>0.0</v>
      </c>
      <c r="J341" s="215">
        <v>0.0</v>
      </c>
      <c r="K341" s="216">
        <v>0.0</v>
      </c>
      <c r="L341" s="217">
        <v>0.0</v>
      </c>
      <c r="M341" s="48" t="str">
        <f>M326*Macro!$H42*'Top line'!M$17</f>
        <v>#VALUE!</v>
      </c>
      <c r="N341" s="49" t="str">
        <f>N326*Macro!$H42*'Top line'!N$17</f>
        <v>#VALUE!</v>
      </c>
      <c r="O341" s="50" t="str">
        <f>O326*Macro!$H42*'Top line'!O$17</f>
        <v>#VALUE!</v>
      </c>
      <c r="P341" s="48" t="str">
        <f>P326*Macro!$H42*'Top line'!P$17</f>
        <v>#VALUE!</v>
      </c>
      <c r="Q341" s="49" t="str">
        <f>Q326*Macro!$H42*'Top line'!Q$17</f>
        <v>#VALUE!</v>
      </c>
      <c r="R341" s="50" t="str">
        <f>R326*Macro!$H42*'Top line'!R$17</f>
        <v>#VALUE!</v>
      </c>
      <c r="S341" s="48" t="str">
        <f>S326*Macro!$H42*'Top line'!S$17</f>
        <v>#VALUE!</v>
      </c>
      <c r="T341" s="49" t="str">
        <f>T326*Macro!$H42*'Top line'!T$17</f>
        <v>#VALUE!</v>
      </c>
      <c r="U341" s="50" t="str">
        <f>U326*Macro!$H42*'Top line'!U$17</f>
        <v>#VALUE!</v>
      </c>
      <c r="V341" s="48" t="str">
        <f>V326*Macro!$H42*'Top line'!V$17</f>
        <v>#VALUE!</v>
      </c>
      <c r="W341" s="49" t="str">
        <f>W326*Macro!$H42*'Top line'!W$17</f>
        <v>#VALUE!</v>
      </c>
      <c r="X341" s="50" t="str">
        <f>X326*Macro!$H42*'Top line'!X$17</f>
        <v>#VALUE!</v>
      </c>
      <c r="Y341" s="48" t="str">
        <f>Y326*Macro!$H42*'Top line'!Y$17</f>
        <v>#VALUE!</v>
      </c>
      <c r="Z341" s="49" t="str">
        <f>Z326*Macro!$H42*'Top line'!Z$17</f>
        <v>#VALUE!</v>
      </c>
      <c r="AA341" s="50" t="str">
        <f>AA326*Macro!$H42*'Top line'!AA$17</f>
        <v>#VALUE!</v>
      </c>
      <c r="AB341" s="48" t="str">
        <f>AB326*Macro!$H42*'Top line'!AB$17</f>
        <v>#VALUE!</v>
      </c>
      <c r="AC341" s="49" t="str">
        <f>AC326*Macro!$H42*'Top line'!AC$17</f>
        <v>#VALUE!</v>
      </c>
      <c r="AD341" s="50" t="str">
        <f>AD326*Macro!$H42*'Top line'!AD$17</f>
        <v>#VALUE!</v>
      </c>
      <c r="AE341" s="48" t="str">
        <f>AE326*Macro!$H42*'Top line'!AE$17</f>
        <v>#VALUE!</v>
      </c>
      <c r="AF341" s="49" t="str">
        <f>AF326*Macro!$H42*'Top line'!AF$17</f>
        <v>#VALUE!</v>
      </c>
      <c r="AG341" s="50" t="str">
        <f>AG326*Macro!$H42*'Top line'!AG$17</f>
        <v>#VALUE!</v>
      </c>
      <c r="AH341" s="48" t="str">
        <f>AH326*Macro!$H42*'Top line'!AH$17</f>
        <v>#VALUE!</v>
      </c>
      <c r="AI341" s="49" t="str">
        <f>AI326*Macro!$H42*'Top line'!AI$17</f>
        <v>#VALUE!</v>
      </c>
      <c r="AJ341" s="50" t="str">
        <f>AJ326*Macro!$H42*'Top line'!AJ$17</f>
        <v>#VALUE!</v>
      </c>
      <c r="AK341" s="48" t="str">
        <f>AK326*Macro!$H42*'Top line'!AK$17</f>
        <v>#VALUE!</v>
      </c>
      <c r="AL341" s="49" t="str">
        <f>AL326*Macro!$H42*'Top line'!AL$17</f>
        <v>#VALUE!</v>
      </c>
      <c r="AM341" s="50" t="str">
        <f>AM326*Macro!$H42*'Top line'!AM$17</f>
        <v>#VALUE!</v>
      </c>
      <c r="AN341" s="48" t="str">
        <f>AN326*Macro!$H42*'Top line'!AN$17</f>
        <v>#VALUE!</v>
      </c>
      <c r="AO341" s="49" t="str">
        <f>AO326*Macro!$H42*'Top line'!AO$17</f>
        <v>#VALUE!</v>
      </c>
      <c r="AP341" s="50" t="str">
        <f>AP326*Macro!$H42*'Top line'!AP$17</f>
        <v>#VALUE!</v>
      </c>
      <c r="AQ341" s="48" t="str">
        <f>AQ326*Macro!$H42*'Top line'!AQ$17</f>
        <v>#VALUE!</v>
      </c>
      <c r="AR341" s="49" t="str">
        <f>AR326*Macro!$H42*'Top line'!AR$17</f>
        <v>#VALUE!</v>
      </c>
      <c r="AS341" s="50" t="str">
        <f>AS326*Macro!$H42*'Top line'!AS$17</f>
        <v>#VALUE!</v>
      </c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</row>
    <row r="342" ht="12.0" customHeight="1">
      <c r="A342" s="8"/>
      <c r="B342" s="8"/>
      <c r="C342" s="270" t="s">
        <v>73</v>
      </c>
      <c r="D342" s="295">
        <f t="shared" ref="D342:AS342" si="123">SUM(D330:D341)</f>
        <v>3200</v>
      </c>
      <c r="E342" s="296">
        <f t="shared" si="123"/>
        <v>3200</v>
      </c>
      <c r="F342" s="296">
        <f t="shared" si="123"/>
        <v>3200</v>
      </c>
      <c r="G342" s="295">
        <f t="shared" si="123"/>
        <v>8000</v>
      </c>
      <c r="H342" s="296">
        <f t="shared" si="123"/>
        <v>8000</v>
      </c>
      <c r="I342" s="297">
        <f t="shared" si="123"/>
        <v>8000</v>
      </c>
      <c r="J342" s="295">
        <f t="shared" si="123"/>
        <v>25600</v>
      </c>
      <c r="K342" s="296">
        <f t="shared" si="123"/>
        <v>25600</v>
      </c>
      <c r="L342" s="297">
        <f t="shared" si="123"/>
        <v>25600</v>
      </c>
      <c r="M342" s="295" t="str">
        <f t="shared" si="123"/>
        <v>#VALUE!</v>
      </c>
      <c r="N342" s="296" t="str">
        <f t="shared" si="123"/>
        <v>#VALUE!</v>
      </c>
      <c r="O342" s="297" t="str">
        <f t="shared" si="123"/>
        <v>#VALUE!</v>
      </c>
      <c r="P342" s="295" t="str">
        <f t="shared" si="123"/>
        <v>#VALUE!</v>
      </c>
      <c r="Q342" s="296" t="str">
        <f t="shared" si="123"/>
        <v>#VALUE!</v>
      </c>
      <c r="R342" s="297" t="str">
        <f t="shared" si="123"/>
        <v>#VALUE!</v>
      </c>
      <c r="S342" s="295" t="str">
        <f t="shared" si="123"/>
        <v>#VALUE!</v>
      </c>
      <c r="T342" s="296" t="str">
        <f t="shared" si="123"/>
        <v>#VALUE!</v>
      </c>
      <c r="U342" s="297" t="str">
        <f t="shared" si="123"/>
        <v>#VALUE!</v>
      </c>
      <c r="V342" s="295" t="str">
        <f t="shared" si="123"/>
        <v>#VALUE!</v>
      </c>
      <c r="W342" s="296" t="str">
        <f t="shared" si="123"/>
        <v>#VALUE!</v>
      </c>
      <c r="X342" s="297" t="str">
        <f t="shared" si="123"/>
        <v>#VALUE!</v>
      </c>
      <c r="Y342" s="295" t="str">
        <f t="shared" si="123"/>
        <v>#VALUE!</v>
      </c>
      <c r="Z342" s="296" t="str">
        <f t="shared" si="123"/>
        <v>#VALUE!</v>
      </c>
      <c r="AA342" s="297" t="str">
        <f t="shared" si="123"/>
        <v>#VALUE!</v>
      </c>
      <c r="AB342" s="295" t="str">
        <f t="shared" si="123"/>
        <v>#VALUE!</v>
      </c>
      <c r="AC342" s="296" t="str">
        <f t="shared" si="123"/>
        <v>#VALUE!</v>
      </c>
      <c r="AD342" s="297" t="str">
        <f t="shared" si="123"/>
        <v>#VALUE!</v>
      </c>
      <c r="AE342" s="295" t="str">
        <f t="shared" si="123"/>
        <v>#VALUE!</v>
      </c>
      <c r="AF342" s="296" t="str">
        <f t="shared" si="123"/>
        <v>#VALUE!</v>
      </c>
      <c r="AG342" s="297" t="str">
        <f t="shared" si="123"/>
        <v>#VALUE!</v>
      </c>
      <c r="AH342" s="295" t="str">
        <f t="shared" si="123"/>
        <v>#VALUE!</v>
      </c>
      <c r="AI342" s="296" t="str">
        <f t="shared" si="123"/>
        <v>#VALUE!</v>
      </c>
      <c r="AJ342" s="297" t="str">
        <f t="shared" si="123"/>
        <v>#VALUE!</v>
      </c>
      <c r="AK342" s="295" t="str">
        <f t="shared" si="123"/>
        <v>#VALUE!</v>
      </c>
      <c r="AL342" s="296" t="str">
        <f t="shared" si="123"/>
        <v>#VALUE!</v>
      </c>
      <c r="AM342" s="297" t="str">
        <f t="shared" si="123"/>
        <v>#VALUE!</v>
      </c>
      <c r="AN342" s="295" t="str">
        <f t="shared" si="123"/>
        <v>#VALUE!</v>
      </c>
      <c r="AO342" s="296" t="str">
        <f t="shared" si="123"/>
        <v>#VALUE!</v>
      </c>
      <c r="AP342" s="297" t="str">
        <f t="shared" si="123"/>
        <v>#VALUE!</v>
      </c>
      <c r="AQ342" s="295" t="str">
        <f t="shared" si="123"/>
        <v>#VALUE!</v>
      </c>
      <c r="AR342" s="296" t="str">
        <f t="shared" si="123"/>
        <v>#VALUE!</v>
      </c>
      <c r="AS342" s="297" t="str">
        <f t="shared" si="123"/>
        <v>#VALUE!</v>
      </c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</row>
    <row r="343" ht="12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</row>
    <row r="344" ht="12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</row>
    <row r="345" ht="12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</row>
    <row r="346" ht="12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</row>
    <row r="347" ht="12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</row>
    <row r="348" ht="12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</row>
    <row r="349" ht="12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</row>
    <row r="350" ht="12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</row>
    <row r="351" ht="12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</row>
    <row r="352" ht="12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</row>
    <row r="353" ht="12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</row>
    <row r="354" ht="12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</row>
    <row r="355" ht="12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</row>
    <row r="356" ht="12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</row>
    <row r="357" ht="12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</row>
    <row r="358" ht="12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</row>
    <row r="359" ht="12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</row>
    <row r="360" ht="12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</row>
    <row r="361" ht="12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</row>
    <row r="362" ht="12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</row>
    <row r="363" ht="12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</row>
    <row r="364" ht="12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</row>
    <row r="365" ht="12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</row>
    <row r="366" ht="12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</row>
    <row r="367" ht="12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</row>
    <row r="368" ht="12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</row>
    <row r="369" ht="12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</row>
    <row r="370" ht="12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</row>
    <row r="371" ht="12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</row>
    <row r="372" ht="12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</row>
    <row r="373" ht="12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</row>
    <row r="374" ht="12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</row>
    <row r="375" ht="12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</row>
    <row r="376" ht="12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</row>
    <row r="377" ht="12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</row>
    <row r="378" ht="12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</row>
    <row r="379" ht="12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</row>
    <row r="380" ht="12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</row>
    <row r="381" ht="12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</row>
    <row r="382" ht="12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</row>
    <row r="383" ht="12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</row>
    <row r="384" ht="12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</row>
    <row r="385" ht="12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</row>
    <row r="386" ht="12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</row>
    <row r="387" ht="12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</row>
    <row r="388" ht="12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</row>
    <row r="389" ht="12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</row>
    <row r="390" ht="12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</row>
    <row r="391" ht="12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</row>
    <row r="392" ht="12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</row>
    <row r="393" ht="12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</row>
    <row r="394" ht="12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</row>
    <row r="395" ht="12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</row>
    <row r="396" ht="12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</row>
    <row r="397" ht="12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</row>
    <row r="398" ht="12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</row>
    <row r="399" ht="12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</row>
    <row r="400" ht="12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</row>
    <row r="401" ht="12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</row>
    <row r="402" ht="12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</row>
    <row r="403" ht="12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</row>
    <row r="404" ht="12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</row>
    <row r="405" ht="12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</row>
    <row r="406" ht="12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</row>
    <row r="407" ht="12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</row>
    <row r="408" ht="12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</row>
    <row r="409" ht="12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</row>
    <row r="410" ht="12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</row>
    <row r="411" ht="12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</row>
    <row r="412" ht="12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</row>
    <row r="413" ht="12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</row>
    <row r="414" ht="12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</row>
    <row r="415" ht="12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</row>
    <row r="416" ht="12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</row>
    <row r="417" ht="12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</row>
    <row r="418" ht="12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</row>
    <row r="419" ht="12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</row>
    <row r="420" ht="12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</row>
    <row r="421" ht="12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</row>
    <row r="422" ht="12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</row>
    <row r="423" ht="12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</row>
    <row r="424" ht="12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</row>
    <row r="425" ht="12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</row>
    <row r="426" ht="12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</row>
    <row r="427" ht="12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</row>
    <row r="428" ht="12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</row>
    <row r="429" ht="12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</row>
    <row r="430" ht="12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</row>
    <row r="431" ht="12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</row>
    <row r="432" ht="12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</row>
    <row r="433" ht="12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</row>
    <row r="434" ht="12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</row>
    <row r="435" ht="12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</row>
    <row r="436" ht="12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</row>
    <row r="437" ht="12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</row>
    <row r="438" ht="12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</row>
    <row r="439" ht="12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</row>
    <row r="440" ht="12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</row>
    <row r="441" ht="12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</row>
    <row r="442" ht="12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</row>
    <row r="443" ht="12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</row>
    <row r="444" ht="12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</row>
    <row r="445" ht="12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</row>
    <row r="446" ht="12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</row>
    <row r="447" ht="12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</row>
    <row r="448" ht="12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</row>
    <row r="449" ht="12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</row>
    <row r="450" ht="12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</row>
    <row r="451" ht="12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</row>
    <row r="452" ht="12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</row>
    <row r="453" ht="12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</row>
    <row r="454" ht="12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</row>
    <row r="455" ht="12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</row>
    <row r="456" ht="12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</row>
    <row r="457" ht="12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</row>
    <row r="458" ht="12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</row>
    <row r="459" ht="12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</row>
    <row r="460" ht="12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</row>
    <row r="461" ht="12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</row>
    <row r="462" ht="12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</row>
    <row r="463" ht="12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</row>
    <row r="464" ht="12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</row>
    <row r="465" ht="12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</row>
    <row r="466" ht="12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</row>
    <row r="467" ht="12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</row>
    <row r="468" ht="12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</row>
    <row r="469" ht="12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</row>
    <row r="470" ht="12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</row>
    <row r="471" ht="12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</row>
    <row r="472" ht="12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</row>
    <row r="473" ht="12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</row>
    <row r="474" ht="12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</row>
    <row r="475" ht="12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</row>
    <row r="476" ht="12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</row>
    <row r="477" ht="12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</row>
    <row r="478" ht="12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</row>
    <row r="479" ht="12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</row>
    <row r="480" ht="12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</row>
    <row r="481" ht="12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</row>
    <row r="482" ht="12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</row>
    <row r="483" ht="12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</row>
    <row r="484" ht="12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</row>
    <row r="485" ht="12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</row>
    <row r="486" ht="12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</row>
    <row r="487" ht="12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</row>
    <row r="488" ht="12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</row>
    <row r="489" ht="12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</row>
    <row r="490" ht="12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</row>
    <row r="491" ht="12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</row>
    <row r="492" ht="12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</row>
    <row r="493" ht="12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</row>
    <row r="494" ht="12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</row>
    <row r="495" ht="12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</row>
    <row r="496" ht="12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</row>
    <row r="497" ht="12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</row>
    <row r="498" ht="12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</row>
    <row r="499" ht="12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</row>
    <row r="500" ht="12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</row>
    <row r="501" ht="12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</row>
    <row r="502" ht="12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</row>
    <row r="503" ht="12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</row>
    <row r="504" ht="12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</row>
    <row r="505" ht="12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</row>
    <row r="506" ht="12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</row>
    <row r="507" ht="12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</row>
    <row r="508" ht="12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</row>
    <row r="509" ht="12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</row>
    <row r="510" ht="12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</row>
    <row r="511" ht="12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</row>
    <row r="512" ht="12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</row>
    <row r="513" ht="12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</row>
    <row r="514" ht="12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</row>
    <row r="515" ht="12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</row>
    <row r="516" ht="12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</row>
    <row r="517" ht="12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</row>
    <row r="518" ht="12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</row>
    <row r="519" ht="12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</row>
    <row r="520" ht="12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</row>
    <row r="521" ht="12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</row>
    <row r="522" ht="12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</row>
    <row r="523" ht="12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</row>
    <row r="524" ht="12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</row>
    <row r="525" ht="12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</row>
    <row r="526" ht="12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</row>
    <row r="527" ht="12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</row>
    <row r="528" ht="12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</row>
    <row r="529" ht="12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</row>
    <row r="530" ht="12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</row>
    <row r="531" ht="12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</row>
    <row r="532" ht="12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</row>
    <row r="533" ht="12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</row>
    <row r="534" ht="12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</row>
    <row r="535" ht="12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</row>
    <row r="536" ht="12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</row>
    <row r="537" ht="12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</row>
    <row r="538" ht="12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</row>
    <row r="539" ht="12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</row>
    <row r="540" ht="12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</row>
    <row r="541" ht="12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</row>
    <row r="542" ht="12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</row>
    <row r="543" ht="12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</row>
    <row r="544" ht="12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</row>
    <row r="545" ht="12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</row>
    <row r="546" ht="12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</row>
    <row r="547" ht="12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</row>
    <row r="548" ht="12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</row>
    <row r="549" ht="12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</row>
    <row r="550" ht="12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</row>
    <row r="551" ht="12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</row>
    <row r="552" ht="12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</row>
    <row r="553" ht="12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</row>
    <row r="554" ht="12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</row>
    <row r="555" ht="12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</row>
    <row r="556" ht="12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</row>
    <row r="557" ht="12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</row>
    <row r="558" ht="12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</row>
    <row r="559" ht="12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</row>
    <row r="560" ht="12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</row>
    <row r="561" ht="12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</row>
    <row r="562" ht="12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</row>
    <row r="563" ht="12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</row>
    <row r="564" ht="12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</row>
    <row r="565" ht="12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</row>
    <row r="566" ht="12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</row>
    <row r="567" ht="12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</row>
    <row r="568" ht="12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</row>
    <row r="569" ht="12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</row>
    <row r="570" ht="12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</row>
    <row r="571" ht="12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</row>
    <row r="572" ht="12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</row>
    <row r="573" ht="12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</row>
    <row r="574" ht="12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</row>
    <row r="575" ht="12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</row>
    <row r="576" ht="12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</row>
    <row r="577" ht="12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</row>
    <row r="578" ht="12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</row>
    <row r="579" ht="12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</row>
    <row r="580" ht="12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</row>
    <row r="581" ht="12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</row>
    <row r="582" ht="12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</row>
    <row r="583" ht="12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</row>
    <row r="584" ht="12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</row>
    <row r="585" ht="12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</row>
    <row r="586" ht="12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</row>
    <row r="587" ht="12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</row>
    <row r="588" ht="12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</row>
    <row r="589" ht="12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</row>
    <row r="590" ht="12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</row>
    <row r="591" ht="12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</row>
    <row r="592" ht="12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</row>
    <row r="593" ht="12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</row>
    <row r="594" ht="12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</row>
    <row r="595" ht="12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</row>
    <row r="596" ht="12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</row>
    <row r="597" ht="12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</row>
    <row r="598" ht="12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</row>
    <row r="599" ht="12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</row>
    <row r="600" ht="12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</row>
    <row r="601" ht="12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</row>
    <row r="602" ht="12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</row>
    <row r="603" ht="12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</row>
    <row r="604" ht="12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</row>
    <row r="605" ht="12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</row>
    <row r="606" ht="12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</row>
    <row r="607" ht="12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</row>
    <row r="608" ht="12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</row>
    <row r="609" ht="12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</row>
    <row r="610" ht="12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</row>
    <row r="611" ht="12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</row>
    <row r="612" ht="12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</row>
    <row r="613" ht="12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</row>
    <row r="614" ht="12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</row>
    <row r="615" ht="12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</row>
    <row r="616" ht="12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</row>
    <row r="617" ht="12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</row>
    <row r="618" ht="12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</row>
    <row r="619" ht="12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</row>
    <row r="620" ht="12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</row>
    <row r="621" ht="12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</row>
    <row r="622" ht="12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</row>
    <row r="623" ht="12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</row>
    <row r="624" ht="12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</row>
    <row r="625" ht="12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</row>
    <row r="626" ht="12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</row>
    <row r="627" ht="12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</row>
    <row r="628" ht="12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</row>
    <row r="629" ht="12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</row>
    <row r="630" ht="12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</row>
    <row r="631" ht="12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</row>
    <row r="632" ht="12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</row>
    <row r="633" ht="12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</row>
    <row r="634" ht="12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</row>
    <row r="635" ht="12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</row>
    <row r="636" ht="12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</row>
    <row r="637" ht="12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</row>
    <row r="638" ht="12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</row>
    <row r="639" ht="12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</row>
    <row r="640" ht="12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</row>
    <row r="641" ht="12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</row>
    <row r="642" ht="12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</row>
    <row r="643" ht="12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</row>
    <row r="644" ht="12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</row>
    <row r="645" ht="12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</row>
    <row r="646" ht="12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</row>
    <row r="647" ht="12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</row>
    <row r="648" ht="12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</row>
    <row r="649" ht="12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</row>
    <row r="650" ht="12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</row>
    <row r="651" ht="12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</row>
    <row r="652" ht="12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</row>
    <row r="653" ht="12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</row>
    <row r="654" ht="12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</row>
    <row r="655" ht="12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</row>
    <row r="656" ht="12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</row>
    <row r="657" ht="12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</row>
    <row r="658" ht="12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</row>
    <row r="659" ht="12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</row>
    <row r="660" ht="12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</row>
    <row r="661" ht="12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</row>
    <row r="662" ht="12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</row>
    <row r="663" ht="12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</row>
    <row r="664" ht="12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</row>
    <row r="665" ht="12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</row>
    <row r="666" ht="12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</row>
    <row r="667" ht="12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</row>
    <row r="668" ht="12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</row>
    <row r="669" ht="12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</row>
    <row r="670" ht="12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</row>
    <row r="671" ht="12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</row>
    <row r="672" ht="12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</row>
    <row r="673" ht="12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</row>
    <row r="674" ht="12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</row>
    <row r="675" ht="12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</row>
    <row r="676" ht="12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</row>
    <row r="677" ht="12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</row>
    <row r="678" ht="12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</row>
    <row r="679" ht="12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</row>
    <row r="680" ht="12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</row>
    <row r="681" ht="12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</row>
    <row r="682" ht="12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</row>
    <row r="683" ht="12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</row>
    <row r="684" ht="12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</row>
    <row r="685" ht="12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</row>
    <row r="686" ht="12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</row>
    <row r="687" ht="12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</row>
    <row r="688" ht="12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</row>
    <row r="689" ht="12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</row>
    <row r="690" ht="12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</row>
    <row r="691" ht="12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</row>
    <row r="692" ht="12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</row>
    <row r="693" ht="12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</row>
    <row r="694" ht="12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</row>
    <row r="695" ht="12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</row>
    <row r="696" ht="12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</row>
    <row r="697" ht="12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</row>
    <row r="698" ht="12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</row>
    <row r="699" ht="12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</row>
    <row r="700" ht="12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</row>
    <row r="701" ht="12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</row>
    <row r="702" ht="12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</row>
    <row r="703" ht="12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</row>
    <row r="704" ht="12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</row>
    <row r="705" ht="12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</row>
    <row r="706" ht="12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</row>
    <row r="707" ht="12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</row>
    <row r="708" ht="12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</row>
    <row r="709" ht="12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</row>
    <row r="710" ht="12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</row>
    <row r="711" ht="12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</row>
    <row r="712" ht="12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</row>
    <row r="713" ht="12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</row>
    <row r="714" ht="12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</row>
    <row r="715" ht="12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</row>
    <row r="716" ht="12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</row>
    <row r="717" ht="12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</row>
    <row r="718" ht="12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</row>
    <row r="719" ht="12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</row>
    <row r="720" ht="12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</row>
    <row r="721" ht="12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</row>
    <row r="722" ht="12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</row>
    <row r="723" ht="12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</row>
    <row r="724" ht="12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</row>
    <row r="725" ht="12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</row>
    <row r="726" ht="12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</row>
    <row r="727" ht="12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</row>
    <row r="728" ht="12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</row>
    <row r="729" ht="12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</row>
    <row r="730" ht="12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</row>
    <row r="731" ht="12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</row>
    <row r="732" ht="12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</row>
    <row r="733" ht="12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</row>
    <row r="734" ht="12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</row>
    <row r="735" ht="12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</row>
    <row r="736" ht="12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</row>
    <row r="737" ht="12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</row>
    <row r="738" ht="12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</row>
    <row r="739" ht="12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</row>
    <row r="740" ht="12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</row>
    <row r="741" ht="12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</row>
    <row r="742" ht="12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</row>
    <row r="743" ht="12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</row>
    <row r="744" ht="12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</row>
    <row r="745" ht="12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</row>
    <row r="746" ht="12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</row>
    <row r="747" ht="12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</row>
    <row r="748" ht="12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</row>
    <row r="749" ht="12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</row>
    <row r="750" ht="12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</row>
    <row r="751" ht="12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</row>
    <row r="752" ht="12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</row>
    <row r="753" ht="12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</row>
    <row r="754" ht="12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</row>
    <row r="755" ht="12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</row>
    <row r="756" ht="12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</row>
    <row r="757" ht="12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</row>
    <row r="758" ht="12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</row>
    <row r="759" ht="12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</row>
    <row r="760" ht="12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</row>
    <row r="761" ht="12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</row>
    <row r="762" ht="12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</row>
    <row r="763" ht="12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</row>
    <row r="764" ht="12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</row>
    <row r="765" ht="12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</row>
    <row r="766" ht="12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</row>
    <row r="767" ht="12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</row>
    <row r="768" ht="12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</row>
    <row r="769" ht="12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</row>
    <row r="770" ht="12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</row>
    <row r="771" ht="12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</row>
    <row r="772" ht="12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</row>
    <row r="773" ht="12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</row>
    <row r="774" ht="12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</row>
    <row r="775" ht="12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</row>
    <row r="776" ht="12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</row>
    <row r="777" ht="12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</row>
    <row r="778" ht="12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</row>
    <row r="779" ht="12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</row>
    <row r="780" ht="12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</row>
    <row r="781" ht="12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</row>
    <row r="782" ht="12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</row>
    <row r="783" ht="12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</row>
    <row r="784" ht="12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</row>
    <row r="785" ht="12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</row>
    <row r="786" ht="12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</row>
    <row r="787" ht="12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</row>
    <row r="788" ht="12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</row>
    <row r="789" ht="12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</row>
    <row r="790" ht="12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</row>
    <row r="791" ht="12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</row>
    <row r="792" ht="12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</row>
    <row r="793" ht="12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</row>
    <row r="794" ht="12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</row>
    <row r="795" ht="12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</row>
    <row r="796" ht="12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</row>
    <row r="797" ht="12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</row>
    <row r="798" ht="12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</row>
    <row r="799" ht="12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</row>
    <row r="800" ht="12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</row>
    <row r="801" ht="12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</row>
    <row r="802" ht="12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</row>
    <row r="803" ht="12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</row>
    <row r="804" ht="12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</row>
    <row r="805" ht="12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</row>
    <row r="806" ht="12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</row>
    <row r="807" ht="12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</row>
    <row r="808" ht="12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</row>
    <row r="809" ht="12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</row>
    <row r="810" ht="12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</row>
    <row r="811" ht="12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</row>
    <row r="812" ht="12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</row>
    <row r="813" ht="12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</row>
    <row r="814" ht="12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</row>
    <row r="815" ht="12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</row>
    <row r="816" ht="12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</row>
    <row r="817" ht="12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</row>
    <row r="818" ht="12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</row>
    <row r="819" ht="12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</row>
    <row r="820" ht="12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</row>
    <row r="821" ht="12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</row>
    <row r="822" ht="12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</row>
    <row r="823" ht="12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</row>
    <row r="824" ht="12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</row>
    <row r="825" ht="12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</row>
    <row r="826" ht="12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</row>
    <row r="827" ht="12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</row>
    <row r="828" ht="12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</row>
    <row r="829" ht="12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</row>
    <row r="830" ht="12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</row>
    <row r="831" ht="12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</row>
    <row r="832" ht="12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</row>
    <row r="833" ht="12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</row>
    <row r="834" ht="12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</row>
    <row r="835" ht="12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</row>
    <row r="836" ht="12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</row>
    <row r="837" ht="12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</row>
    <row r="838" ht="12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</row>
    <row r="839" ht="12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</row>
    <row r="840" ht="12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</row>
    <row r="841" ht="12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</row>
    <row r="842" ht="12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</row>
    <row r="843" ht="12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</row>
    <row r="844" ht="12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</row>
    <row r="845" ht="12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</row>
    <row r="846" ht="12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</row>
    <row r="847" ht="12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</row>
    <row r="848" ht="12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</row>
    <row r="849" ht="12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</row>
    <row r="850" ht="12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</row>
    <row r="851" ht="12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</row>
    <row r="852" ht="12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</row>
    <row r="853" ht="12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</row>
    <row r="854" ht="12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</row>
    <row r="855" ht="12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</row>
    <row r="856" ht="12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</row>
    <row r="857" ht="12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</row>
    <row r="858" ht="12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</row>
    <row r="859" ht="12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</row>
    <row r="860" ht="12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</row>
    <row r="861" ht="12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</row>
    <row r="862" ht="12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</row>
    <row r="863" ht="12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</row>
    <row r="864" ht="12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</row>
    <row r="865" ht="12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</row>
    <row r="866" ht="12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</row>
    <row r="867" ht="12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</row>
    <row r="868" ht="12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</row>
    <row r="869" ht="12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</row>
    <row r="870" ht="12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</row>
    <row r="871" ht="12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</row>
    <row r="872" ht="12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</row>
    <row r="873" ht="12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</row>
    <row r="874" ht="12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</row>
    <row r="875" ht="12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</row>
    <row r="876" ht="12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</row>
    <row r="877" ht="12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</row>
    <row r="878" ht="12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</row>
    <row r="879" ht="12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</row>
    <row r="880" ht="12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</row>
    <row r="881" ht="12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</row>
    <row r="882" ht="12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</row>
    <row r="883" ht="12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</row>
    <row r="884" ht="12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</row>
    <row r="885" ht="12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</row>
    <row r="886" ht="12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</row>
    <row r="887" ht="12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</row>
    <row r="888" ht="12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</row>
    <row r="889" ht="12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</row>
    <row r="890" ht="12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</row>
    <row r="891" ht="12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</row>
    <row r="892" ht="12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</row>
    <row r="893" ht="12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</row>
    <row r="894" ht="12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</row>
    <row r="895" ht="12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</row>
    <row r="896" ht="12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</row>
    <row r="897" ht="12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</row>
    <row r="898" ht="12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</row>
    <row r="899" ht="12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</row>
    <row r="900" ht="12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</row>
    <row r="901" ht="12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</row>
    <row r="902" ht="12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</row>
    <row r="903" ht="12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</row>
    <row r="904" ht="12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</row>
    <row r="905" ht="12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</row>
    <row r="906" ht="12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</row>
    <row r="907" ht="12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</row>
    <row r="908" ht="12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</row>
    <row r="909" ht="12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</row>
    <row r="910" ht="12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</row>
    <row r="911" ht="12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</row>
    <row r="912" ht="12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</row>
    <row r="913" ht="12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</row>
    <row r="914" ht="12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</row>
    <row r="915" ht="12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</row>
    <row r="916" ht="12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</row>
    <row r="917" ht="12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</row>
    <row r="918" ht="12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</row>
    <row r="919" ht="12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</row>
    <row r="920" ht="12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</row>
    <row r="921" ht="12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</row>
    <row r="922" ht="12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</row>
    <row r="923" ht="12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</row>
    <row r="924" ht="12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</row>
    <row r="925" ht="12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</row>
    <row r="926" ht="12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</row>
    <row r="927" ht="12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</row>
    <row r="928" ht="12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</row>
    <row r="929" ht="12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</row>
    <row r="930" ht="12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</row>
    <row r="931" ht="12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</row>
    <row r="932" ht="12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</row>
    <row r="933" ht="12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</row>
    <row r="934" ht="12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</row>
    <row r="935" ht="12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</row>
    <row r="936" ht="12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</row>
    <row r="937" ht="12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</row>
    <row r="938" ht="12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</row>
    <row r="939" ht="12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</row>
    <row r="940" ht="12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</row>
    <row r="941" ht="12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</row>
    <row r="942" ht="12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</row>
    <row r="943" ht="12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</row>
    <row r="944" ht="12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</row>
    <row r="945" ht="12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</row>
    <row r="946" ht="12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</row>
    <row r="947" ht="12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</row>
    <row r="948" ht="12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</row>
    <row r="949" ht="12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</row>
    <row r="950" ht="12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</row>
    <row r="951" ht="12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</row>
    <row r="952" ht="12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</row>
    <row r="953" ht="12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</row>
    <row r="954" ht="12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</row>
    <row r="955" ht="12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</row>
    <row r="956" ht="12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</row>
    <row r="957" ht="12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</row>
    <row r="958" ht="12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</row>
    <row r="959" ht="12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</row>
    <row r="960" ht="12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</row>
    <row r="961" ht="12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</row>
    <row r="962" ht="12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</row>
    <row r="963" ht="12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</row>
    <row r="964" ht="12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</row>
    <row r="965" ht="12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</row>
    <row r="966" ht="12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</row>
    <row r="967" ht="12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</row>
    <row r="968" ht="12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</row>
    <row r="969" ht="12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</row>
    <row r="970" ht="12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</row>
    <row r="971" ht="12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</row>
    <row r="972" ht="12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</row>
    <row r="973" ht="12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</row>
    <row r="974" ht="12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</row>
    <row r="975" ht="12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</row>
    <row r="976" ht="12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</row>
    <row r="977" ht="12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</row>
    <row r="978" ht="12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</row>
    <row r="979" ht="12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</row>
    <row r="980" ht="12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</row>
    <row r="981" ht="12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</row>
    <row r="982" ht="12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</row>
    <row r="983" ht="12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</row>
    <row r="984" ht="12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</row>
    <row r="985" ht="12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</row>
    <row r="986" ht="12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</row>
    <row r="987" ht="12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</row>
    <row r="988" ht="12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</row>
    <row r="989" ht="12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</row>
    <row r="990" ht="12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</row>
    <row r="991" ht="12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</row>
    <row r="992" ht="12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</row>
    <row r="993" ht="12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</row>
    <row r="994" ht="12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</row>
    <row r="995" ht="12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</row>
    <row r="996" ht="12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</row>
    <row r="997" ht="12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</row>
    <row r="998" ht="12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</row>
    <row r="999" ht="12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</row>
    <row r="1000" ht="12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</row>
    <row r="1001" ht="12.0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</row>
  </sheetData>
  <mergeCells count="20">
    <mergeCell ref="G4:I4"/>
    <mergeCell ref="J4:L4"/>
    <mergeCell ref="M4:O4"/>
    <mergeCell ref="P4:R4"/>
    <mergeCell ref="S4:U4"/>
    <mergeCell ref="V4:X4"/>
    <mergeCell ref="Y4:AA4"/>
    <mergeCell ref="AB4:AD4"/>
    <mergeCell ref="AE4:AG4"/>
    <mergeCell ref="AH4:AJ4"/>
    <mergeCell ref="AK4:AM4"/>
    <mergeCell ref="AN4:AP4"/>
    <mergeCell ref="D1:N1"/>
    <mergeCell ref="O1:P1"/>
    <mergeCell ref="D3:I3"/>
    <mergeCell ref="J3:U3"/>
    <mergeCell ref="V3:AG3"/>
    <mergeCell ref="AH3:AS3"/>
    <mergeCell ref="D4:F4"/>
    <mergeCell ref="AQ4:AS4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9.0" ySplit="7.0" topLeftCell="J8" activePane="bottomRight" state="frozen"/>
      <selection activeCell="J1" sqref="J1" pane="topRight"/>
      <selection activeCell="A8" sqref="A8" pane="bottomLeft"/>
      <selection activeCell="J8" sqref="J8" pane="bottomRight"/>
    </sheetView>
  </sheetViews>
  <sheetFormatPr customHeight="1" defaultColWidth="14.43" defaultRowHeight="15.0" outlineLevelCol="1"/>
  <cols>
    <col customWidth="1" min="1" max="1" width="2.71"/>
    <col customWidth="1" min="2" max="2" width="3.0"/>
    <col customWidth="1" min="3" max="3" width="22.0"/>
    <col customWidth="1" hidden="1" min="4" max="6" width="10.71" outlineLevel="1"/>
    <col customWidth="1" hidden="1" min="7" max="9" width="11.71" outlineLevel="1"/>
    <col collapsed="1" customWidth="1" min="10" max="10" width="12.71"/>
    <col customWidth="1" min="11" max="45" width="12.71"/>
  </cols>
  <sheetData>
    <row r="1" ht="25.5" customHeight="1">
      <c r="A1" s="194"/>
      <c r="J1" s="5"/>
      <c r="U1" s="4"/>
    </row>
    <row r="2" ht="25.5" customHeight="1">
      <c r="A2" s="194" t="str">
        <f>Macro!A2</f>
        <v>StartUp Co</v>
      </c>
    </row>
    <row r="3" ht="12.0" customHeight="1">
      <c r="B3" s="8" t="s">
        <v>1</v>
      </c>
      <c r="D3" s="107">
        <f>'Top line'!D3</f>
        <v>2020</v>
      </c>
      <c r="E3" s="108"/>
      <c r="F3" s="108"/>
      <c r="G3" s="108"/>
      <c r="H3" s="108"/>
      <c r="I3" s="109"/>
      <c r="J3" s="107">
        <f>'Top line'!J3</f>
        <v>2021</v>
      </c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9"/>
      <c r="V3" s="107">
        <f>'Top line'!V3</f>
        <v>2022</v>
      </c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9"/>
      <c r="AH3" s="107">
        <f>'Top line'!AH3</f>
        <v>2023</v>
      </c>
      <c r="AI3" s="108"/>
      <c r="AJ3" s="108"/>
      <c r="AK3" s="108"/>
      <c r="AL3" s="108"/>
      <c r="AM3" s="108"/>
      <c r="AN3" s="108"/>
      <c r="AO3" s="108"/>
      <c r="AP3" s="108"/>
      <c r="AQ3" s="108"/>
      <c r="AR3" s="108"/>
      <c r="AS3" s="109"/>
    </row>
    <row r="4" ht="12.0" customHeight="1">
      <c r="B4" s="8" t="s">
        <v>2</v>
      </c>
      <c r="D4" s="107">
        <f>'Top line'!D4</f>
        <v>3</v>
      </c>
      <c r="E4" s="108"/>
      <c r="F4" s="109"/>
      <c r="G4" s="107">
        <f>'Top line'!G4</f>
        <v>4</v>
      </c>
      <c r="H4" s="108"/>
      <c r="I4" s="109"/>
      <c r="J4" s="107">
        <f>'Top line'!J4</f>
        <v>1</v>
      </c>
      <c r="K4" s="108"/>
      <c r="L4" s="109"/>
      <c r="M4" s="107">
        <f>'Top line'!M4</f>
        <v>2</v>
      </c>
      <c r="N4" s="108"/>
      <c r="O4" s="109"/>
      <c r="P4" s="107">
        <f>'Top line'!P4</f>
        <v>3</v>
      </c>
      <c r="Q4" s="108"/>
      <c r="R4" s="109"/>
      <c r="S4" s="107">
        <f>'Top line'!S4</f>
        <v>4</v>
      </c>
      <c r="T4" s="108"/>
      <c r="U4" s="109"/>
      <c r="V4" s="107">
        <f>'Top line'!V4</f>
        <v>1</v>
      </c>
      <c r="W4" s="108"/>
      <c r="X4" s="109"/>
      <c r="Y4" s="107">
        <f>'Top line'!Y4</f>
        <v>2</v>
      </c>
      <c r="Z4" s="108"/>
      <c r="AA4" s="109"/>
      <c r="AB4" s="107">
        <f>'Top line'!AB4</f>
        <v>3</v>
      </c>
      <c r="AC4" s="108"/>
      <c r="AD4" s="109"/>
      <c r="AE4" s="107">
        <f>'Top line'!AE4</f>
        <v>4</v>
      </c>
      <c r="AF4" s="108"/>
      <c r="AG4" s="109"/>
      <c r="AH4" s="107">
        <f>'Top line'!AH4</f>
        <v>1</v>
      </c>
      <c r="AI4" s="108"/>
      <c r="AJ4" s="109"/>
      <c r="AK4" s="107">
        <f>'Top line'!AK4</f>
        <v>2</v>
      </c>
      <c r="AL4" s="108"/>
      <c r="AM4" s="109"/>
      <c r="AN4" s="107">
        <f>'Top line'!AN4</f>
        <v>3</v>
      </c>
      <c r="AO4" s="108"/>
      <c r="AP4" s="109"/>
      <c r="AQ4" s="107">
        <f>'Top line'!AQ4</f>
        <v>4</v>
      </c>
      <c r="AR4" s="108"/>
      <c r="AS4" s="109"/>
    </row>
    <row r="5" ht="12.0" customHeight="1">
      <c r="B5" s="8" t="s">
        <v>7</v>
      </c>
      <c r="D5" s="113">
        <f>'Top line'!D5</f>
        <v>43707</v>
      </c>
      <c r="E5" s="114">
        <f>'Top line'!E5</f>
        <v>43738</v>
      </c>
      <c r="F5" s="115">
        <f>'Top line'!F5</f>
        <v>43769</v>
      </c>
      <c r="G5" s="113">
        <f>'Top line'!G5</f>
        <v>43799</v>
      </c>
      <c r="H5" s="114">
        <f>'Top line'!H5</f>
        <v>43830</v>
      </c>
      <c r="I5" s="115">
        <f>'Top line'!I5</f>
        <v>43861</v>
      </c>
      <c r="J5" s="113">
        <f>'Top line'!J5</f>
        <v>43890</v>
      </c>
      <c r="K5" s="114">
        <f>'Top line'!K5</f>
        <v>43921</v>
      </c>
      <c r="L5" s="115">
        <f>'Top line'!L5</f>
        <v>43951</v>
      </c>
      <c r="M5" s="113">
        <f>'Top line'!M5</f>
        <v>43982</v>
      </c>
      <c r="N5" s="114">
        <f>'Top line'!N5</f>
        <v>44012</v>
      </c>
      <c r="O5" s="115">
        <f>'Top line'!O5</f>
        <v>44043</v>
      </c>
      <c r="P5" s="113">
        <f>'Top line'!P5</f>
        <v>44074</v>
      </c>
      <c r="Q5" s="114">
        <f>'Top line'!Q5</f>
        <v>44104</v>
      </c>
      <c r="R5" s="115">
        <f>'Top line'!R5</f>
        <v>44135</v>
      </c>
      <c r="S5" s="113">
        <f>'Top line'!S5</f>
        <v>44165</v>
      </c>
      <c r="T5" s="114">
        <f>'Top line'!T5</f>
        <v>44196</v>
      </c>
      <c r="U5" s="115">
        <f>'Top line'!U5</f>
        <v>44227</v>
      </c>
      <c r="V5" s="113">
        <f>'Top line'!V5</f>
        <v>44255</v>
      </c>
      <c r="W5" s="114">
        <f>'Top line'!W5</f>
        <v>44286</v>
      </c>
      <c r="X5" s="115">
        <f>'Top line'!X5</f>
        <v>44316</v>
      </c>
      <c r="Y5" s="113">
        <f>'Top line'!Y5</f>
        <v>44347</v>
      </c>
      <c r="Z5" s="114">
        <f>'Top line'!Z5</f>
        <v>44377</v>
      </c>
      <c r="AA5" s="115">
        <f>'Top line'!AA5</f>
        <v>44408</v>
      </c>
      <c r="AB5" s="113">
        <f>'Top line'!AB5</f>
        <v>44439</v>
      </c>
      <c r="AC5" s="114">
        <f>'Top line'!AC5</f>
        <v>44469</v>
      </c>
      <c r="AD5" s="115">
        <f>'Top line'!AD5</f>
        <v>44500</v>
      </c>
      <c r="AE5" s="113">
        <f>'Top line'!AE5</f>
        <v>44530</v>
      </c>
      <c r="AF5" s="114">
        <f>'Top line'!AF5</f>
        <v>44561</v>
      </c>
      <c r="AG5" s="115">
        <f>'Top line'!AG5</f>
        <v>44592</v>
      </c>
      <c r="AH5" s="113">
        <f>'Top line'!AH5</f>
        <v>44620</v>
      </c>
      <c r="AI5" s="114">
        <f>'Top line'!AI5</f>
        <v>44651</v>
      </c>
      <c r="AJ5" s="115">
        <f>'Top line'!AJ5</f>
        <v>44681</v>
      </c>
      <c r="AK5" s="113">
        <f>'Top line'!AK5</f>
        <v>44712</v>
      </c>
      <c r="AL5" s="114">
        <f>'Top line'!AL5</f>
        <v>44742</v>
      </c>
      <c r="AM5" s="115">
        <f>'Top line'!AM5</f>
        <v>44773</v>
      </c>
      <c r="AN5" s="113">
        <f>'Top line'!AN5</f>
        <v>44804</v>
      </c>
      <c r="AO5" s="114">
        <f>'Top line'!AO5</f>
        <v>44834</v>
      </c>
      <c r="AP5" s="115">
        <f>'Top line'!AP5</f>
        <v>44865</v>
      </c>
      <c r="AQ5" s="113">
        <f>'Top line'!AQ5</f>
        <v>44895</v>
      </c>
      <c r="AR5" s="114">
        <f>'Top line'!AR5</f>
        <v>44926</v>
      </c>
      <c r="AS5" s="115">
        <f>'Top line'!AS5</f>
        <v>44957</v>
      </c>
    </row>
    <row r="6" ht="15.0" customHeight="1">
      <c r="D6" s="119" t="s">
        <v>42</v>
      </c>
      <c r="E6" s="120" t="s">
        <v>42</v>
      </c>
      <c r="F6" s="121" t="s">
        <v>42</v>
      </c>
      <c r="G6" s="119" t="s">
        <v>42</v>
      </c>
      <c r="H6" s="120" t="s">
        <v>42</v>
      </c>
      <c r="I6" s="121" t="s">
        <v>42</v>
      </c>
      <c r="J6" s="119" t="s">
        <v>42</v>
      </c>
      <c r="K6" s="120" t="s">
        <v>42</v>
      </c>
      <c r="L6" s="121" t="s">
        <v>42</v>
      </c>
      <c r="M6" s="119" t="s">
        <v>43</v>
      </c>
      <c r="N6" s="120" t="s">
        <v>43</v>
      </c>
      <c r="O6" s="121" t="s">
        <v>43</v>
      </c>
      <c r="P6" s="119" t="s">
        <v>43</v>
      </c>
      <c r="Q6" s="120" t="s">
        <v>43</v>
      </c>
      <c r="R6" s="121" t="s">
        <v>43</v>
      </c>
      <c r="S6" s="119" t="s">
        <v>43</v>
      </c>
      <c r="T6" s="120" t="s">
        <v>43</v>
      </c>
      <c r="U6" s="121" t="s">
        <v>43</v>
      </c>
      <c r="V6" s="119" t="s">
        <v>43</v>
      </c>
      <c r="W6" s="120" t="s">
        <v>43</v>
      </c>
      <c r="X6" s="121" t="s">
        <v>43</v>
      </c>
      <c r="Y6" s="119" t="s">
        <v>43</v>
      </c>
      <c r="Z6" s="120" t="s">
        <v>43</v>
      </c>
      <c r="AA6" s="121" t="s">
        <v>43</v>
      </c>
      <c r="AB6" s="119" t="s">
        <v>43</v>
      </c>
      <c r="AC6" s="120" t="s">
        <v>43</v>
      </c>
      <c r="AD6" s="121" t="s">
        <v>43</v>
      </c>
      <c r="AE6" s="119" t="s">
        <v>43</v>
      </c>
      <c r="AF6" s="120" t="s">
        <v>43</v>
      </c>
      <c r="AG6" s="121" t="s">
        <v>43</v>
      </c>
      <c r="AH6" s="119" t="s">
        <v>43</v>
      </c>
      <c r="AI6" s="120" t="s">
        <v>43</v>
      </c>
      <c r="AJ6" s="121" t="s">
        <v>43</v>
      </c>
      <c r="AK6" s="119" t="s">
        <v>43</v>
      </c>
      <c r="AL6" s="120" t="s">
        <v>43</v>
      </c>
      <c r="AM6" s="121" t="s">
        <v>43</v>
      </c>
      <c r="AN6" s="119" t="s">
        <v>43</v>
      </c>
      <c r="AO6" s="120" t="s">
        <v>43</v>
      </c>
      <c r="AP6" s="121" t="s">
        <v>43</v>
      </c>
      <c r="AQ6" s="119" t="s">
        <v>43</v>
      </c>
      <c r="AR6" s="120" t="s">
        <v>43</v>
      </c>
      <c r="AS6" s="121" t="s">
        <v>43</v>
      </c>
    </row>
    <row r="7" ht="4.5" customHeight="1">
      <c r="D7" s="25"/>
      <c r="E7" s="26"/>
      <c r="F7" s="27"/>
      <c r="G7" s="25"/>
      <c r="H7" s="26"/>
      <c r="I7" s="27"/>
      <c r="J7" s="25"/>
      <c r="K7" s="26"/>
      <c r="L7" s="27"/>
      <c r="M7" s="25"/>
      <c r="N7" s="26"/>
      <c r="O7" s="27"/>
      <c r="P7" s="25"/>
      <c r="Q7" s="26"/>
      <c r="R7" s="27"/>
      <c r="S7" s="25"/>
      <c r="T7" s="26"/>
      <c r="U7" s="27"/>
      <c r="V7" s="25"/>
      <c r="W7" s="26"/>
      <c r="X7" s="27"/>
      <c r="Y7" s="25"/>
      <c r="Z7" s="26"/>
      <c r="AA7" s="27"/>
      <c r="AB7" s="25"/>
      <c r="AC7" s="26"/>
      <c r="AD7" s="27"/>
      <c r="AE7" s="25"/>
      <c r="AF7" s="26"/>
      <c r="AG7" s="27"/>
      <c r="AH7" s="25"/>
      <c r="AI7" s="26"/>
      <c r="AJ7" s="27"/>
      <c r="AK7" s="25"/>
      <c r="AL7" s="26"/>
      <c r="AM7" s="27"/>
      <c r="AN7" s="25"/>
      <c r="AO7" s="26"/>
      <c r="AP7" s="27"/>
      <c r="AQ7" s="25"/>
      <c r="AR7" s="26"/>
      <c r="AS7" s="27"/>
    </row>
    <row r="8" ht="12.0" customHeight="1">
      <c r="B8" s="122" t="s">
        <v>215</v>
      </c>
      <c r="C8" s="29"/>
      <c r="D8" s="30"/>
      <c r="E8" s="31"/>
      <c r="F8" s="32"/>
      <c r="G8" s="30"/>
      <c r="H8" s="31"/>
      <c r="I8" s="32"/>
      <c r="J8" s="30"/>
      <c r="K8" s="31"/>
      <c r="L8" s="32"/>
      <c r="M8" s="30"/>
      <c r="N8" s="31"/>
      <c r="O8" s="32"/>
      <c r="P8" s="30"/>
      <c r="Q8" s="31"/>
      <c r="R8" s="32"/>
      <c r="S8" s="30"/>
      <c r="T8" s="31"/>
      <c r="U8" s="32"/>
      <c r="V8" s="30"/>
      <c r="W8" s="31"/>
      <c r="X8" s="32"/>
      <c r="Y8" s="30"/>
      <c r="Z8" s="31"/>
      <c r="AA8" s="32"/>
      <c r="AB8" s="30"/>
      <c r="AC8" s="31"/>
      <c r="AD8" s="32"/>
      <c r="AE8" s="30"/>
      <c r="AF8" s="31"/>
      <c r="AG8" s="32"/>
      <c r="AH8" s="30"/>
      <c r="AI8" s="31"/>
      <c r="AJ8" s="32"/>
      <c r="AK8" s="30"/>
      <c r="AL8" s="31"/>
      <c r="AM8" s="32"/>
      <c r="AN8" s="30"/>
      <c r="AO8" s="31"/>
      <c r="AP8" s="32"/>
      <c r="AQ8" s="30"/>
      <c r="AR8" s="31"/>
      <c r="AS8" s="32"/>
    </row>
    <row r="9" ht="15.0" customHeight="1">
      <c r="A9" s="4"/>
      <c r="B9" s="4" t="s">
        <v>226</v>
      </c>
      <c r="D9" s="263"/>
      <c r="E9" s="298"/>
      <c r="F9" s="299"/>
      <c r="G9" s="263"/>
      <c r="H9" s="298"/>
      <c r="I9" s="299"/>
      <c r="J9" s="263">
        <f t="shared" ref="J9:AS9" si="1">J37</f>
        <v>394720</v>
      </c>
      <c r="K9" s="298">
        <f t="shared" si="1"/>
        <v>394720</v>
      </c>
      <c r="L9" s="299">
        <f t="shared" si="1"/>
        <v>484720</v>
      </c>
      <c r="M9" s="263" t="str">
        <f t="shared" si="1"/>
        <v>#VALUE!</v>
      </c>
      <c r="N9" s="298" t="str">
        <f t="shared" si="1"/>
        <v>#VALUE!</v>
      </c>
      <c r="O9" s="299" t="str">
        <f t="shared" si="1"/>
        <v>#VALUE!</v>
      </c>
      <c r="P9" s="263" t="str">
        <f t="shared" si="1"/>
        <v>#VALUE!</v>
      </c>
      <c r="Q9" s="298" t="str">
        <f t="shared" si="1"/>
        <v>#VALUE!</v>
      </c>
      <c r="R9" s="299" t="str">
        <f t="shared" si="1"/>
        <v>#VALUE!</v>
      </c>
      <c r="S9" s="263" t="str">
        <f t="shared" si="1"/>
        <v>#VALUE!</v>
      </c>
      <c r="T9" s="298" t="str">
        <f t="shared" si="1"/>
        <v>#VALUE!</v>
      </c>
      <c r="U9" s="299" t="str">
        <f t="shared" si="1"/>
        <v>#VALUE!</v>
      </c>
      <c r="V9" s="263" t="str">
        <f t="shared" si="1"/>
        <v>#VALUE!</v>
      </c>
      <c r="W9" s="298" t="str">
        <f t="shared" si="1"/>
        <v>#VALUE!</v>
      </c>
      <c r="X9" s="299" t="str">
        <f t="shared" si="1"/>
        <v>#VALUE!</v>
      </c>
      <c r="Y9" s="263" t="str">
        <f t="shared" si="1"/>
        <v>#VALUE!</v>
      </c>
      <c r="Z9" s="298" t="str">
        <f t="shared" si="1"/>
        <v>#VALUE!</v>
      </c>
      <c r="AA9" s="299" t="str">
        <f t="shared" si="1"/>
        <v>#VALUE!</v>
      </c>
      <c r="AB9" s="263" t="str">
        <f t="shared" si="1"/>
        <v>#VALUE!</v>
      </c>
      <c r="AC9" s="298" t="str">
        <f t="shared" si="1"/>
        <v>#VALUE!</v>
      </c>
      <c r="AD9" s="299" t="str">
        <f t="shared" si="1"/>
        <v>#VALUE!</v>
      </c>
      <c r="AE9" s="263" t="str">
        <f t="shared" si="1"/>
        <v>#VALUE!</v>
      </c>
      <c r="AF9" s="298" t="str">
        <f t="shared" si="1"/>
        <v>#VALUE!</v>
      </c>
      <c r="AG9" s="299" t="str">
        <f t="shared" si="1"/>
        <v>#VALUE!</v>
      </c>
      <c r="AH9" s="263" t="str">
        <f t="shared" si="1"/>
        <v>#VALUE!</v>
      </c>
      <c r="AI9" s="298" t="str">
        <f t="shared" si="1"/>
        <v>#VALUE!</v>
      </c>
      <c r="AJ9" s="299" t="str">
        <f t="shared" si="1"/>
        <v>#VALUE!</v>
      </c>
      <c r="AK9" s="263" t="str">
        <f t="shared" si="1"/>
        <v>#VALUE!</v>
      </c>
      <c r="AL9" s="298" t="str">
        <f t="shared" si="1"/>
        <v>#VALUE!</v>
      </c>
      <c r="AM9" s="299" t="str">
        <f t="shared" si="1"/>
        <v>#VALUE!</v>
      </c>
      <c r="AN9" s="263" t="str">
        <f t="shared" si="1"/>
        <v>#VALUE!</v>
      </c>
      <c r="AO9" s="298" t="str">
        <f t="shared" si="1"/>
        <v>#VALUE!</v>
      </c>
      <c r="AP9" s="299" t="str">
        <f t="shared" si="1"/>
        <v>#VALUE!</v>
      </c>
      <c r="AQ9" s="263" t="str">
        <f t="shared" si="1"/>
        <v>#VALUE!</v>
      </c>
      <c r="AR9" s="298" t="str">
        <f t="shared" si="1"/>
        <v>#VALUE!</v>
      </c>
      <c r="AS9" s="299" t="str">
        <f t="shared" si="1"/>
        <v>#VALUE!</v>
      </c>
    </row>
    <row r="10" ht="15.0" customHeight="1">
      <c r="A10" s="4"/>
      <c r="B10" s="4" t="s">
        <v>139</v>
      </c>
      <c r="D10" s="263"/>
      <c r="E10" s="298"/>
      <c r="F10" s="299"/>
      <c r="G10" s="263"/>
      <c r="H10" s="298"/>
      <c r="I10" s="299"/>
      <c r="J10" s="263">
        <f t="shared" ref="J10:AS10" si="2">J51</f>
        <v>27000</v>
      </c>
      <c r="K10" s="298">
        <f t="shared" si="2"/>
        <v>27000</v>
      </c>
      <c r="L10" s="299">
        <f t="shared" si="2"/>
        <v>27000</v>
      </c>
      <c r="M10" s="263">
        <f t="shared" si="2"/>
        <v>42000</v>
      </c>
      <c r="N10" s="298">
        <f t="shared" si="2"/>
        <v>42000</v>
      </c>
      <c r="O10" s="299">
        <f t="shared" si="2"/>
        <v>42000</v>
      </c>
      <c r="P10" s="263">
        <f t="shared" si="2"/>
        <v>42000</v>
      </c>
      <c r="Q10" s="298">
        <f t="shared" si="2"/>
        <v>42000</v>
      </c>
      <c r="R10" s="299">
        <f t="shared" si="2"/>
        <v>42000</v>
      </c>
      <c r="S10" s="263">
        <f t="shared" si="2"/>
        <v>42000</v>
      </c>
      <c r="T10" s="298">
        <f t="shared" si="2"/>
        <v>42000</v>
      </c>
      <c r="U10" s="299">
        <f t="shared" si="2"/>
        <v>42000</v>
      </c>
      <c r="V10" s="263">
        <f t="shared" si="2"/>
        <v>42000</v>
      </c>
      <c r="W10" s="298">
        <f t="shared" si="2"/>
        <v>42000</v>
      </c>
      <c r="X10" s="299">
        <f t="shared" si="2"/>
        <v>42000</v>
      </c>
      <c r="Y10" s="263">
        <f t="shared" si="2"/>
        <v>42000</v>
      </c>
      <c r="Z10" s="298">
        <f t="shared" si="2"/>
        <v>42000</v>
      </c>
      <c r="AA10" s="299">
        <f t="shared" si="2"/>
        <v>42000</v>
      </c>
      <c r="AB10" s="263">
        <f t="shared" si="2"/>
        <v>42000</v>
      </c>
      <c r="AC10" s="298">
        <f t="shared" si="2"/>
        <v>42000</v>
      </c>
      <c r="AD10" s="299">
        <f t="shared" si="2"/>
        <v>42000</v>
      </c>
      <c r="AE10" s="263">
        <f t="shared" si="2"/>
        <v>42000</v>
      </c>
      <c r="AF10" s="298">
        <f t="shared" si="2"/>
        <v>42000</v>
      </c>
      <c r="AG10" s="299">
        <f t="shared" si="2"/>
        <v>42000</v>
      </c>
      <c r="AH10" s="263">
        <f t="shared" si="2"/>
        <v>42000</v>
      </c>
      <c r="AI10" s="298">
        <f t="shared" si="2"/>
        <v>42000</v>
      </c>
      <c r="AJ10" s="299">
        <f t="shared" si="2"/>
        <v>42000</v>
      </c>
      <c r="AK10" s="263">
        <f t="shared" si="2"/>
        <v>42000</v>
      </c>
      <c r="AL10" s="298">
        <f t="shared" si="2"/>
        <v>42000</v>
      </c>
      <c r="AM10" s="299">
        <f t="shared" si="2"/>
        <v>42000</v>
      </c>
      <c r="AN10" s="263">
        <f t="shared" si="2"/>
        <v>42000</v>
      </c>
      <c r="AO10" s="298">
        <f t="shared" si="2"/>
        <v>42000</v>
      </c>
      <c r="AP10" s="299">
        <f t="shared" si="2"/>
        <v>42000</v>
      </c>
      <c r="AQ10" s="263">
        <f t="shared" si="2"/>
        <v>42000</v>
      </c>
      <c r="AR10" s="298">
        <f t="shared" si="2"/>
        <v>42000</v>
      </c>
      <c r="AS10" s="299">
        <f t="shared" si="2"/>
        <v>42000</v>
      </c>
    </row>
    <row r="11" ht="15.0" customHeight="1">
      <c r="B11" s="4" t="s">
        <v>148</v>
      </c>
      <c r="D11" s="263"/>
      <c r="E11" s="298"/>
      <c r="F11" s="299"/>
      <c r="G11" s="263"/>
      <c r="H11" s="298"/>
      <c r="I11" s="299"/>
      <c r="J11" s="263">
        <f t="shared" ref="J11:AS11" si="3">J55</f>
        <v>0</v>
      </c>
      <c r="K11" s="298">
        <f t="shared" si="3"/>
        <v>0</v>
      </c>
      <c r="L11" s="299">
        <f t="shared" si="3"/>
        <v>0</v>
      </c>
      <c r="M11" s="263">
        <f t="shared" si="3"/>
        <v>0</v>
      </c>
      <c r="N11" s="298">
        <f t="shared" si="3"/>
        <v>0</v>
      </c>
      <c r="O11" s="299">
        <f t="shared" si="3"/>
        <v>0</v>
      </c>
      <c r="P11" s="263">
        <f t="shared" si="3"/>
        <v>0</v>
      </c>
      <c r="Q11" s="298">
        <f t="shared" si="3"/>
        <v>0</v>
      </c>
      <c r="R11" s="299">
        <f t="shared" si="3"/>
        <v>0</v>
      </c>
      <c r="S11" s="263">
        <f t="shared" si="3"/>
        <v>0</v>
      </c>
      <c r="T11" s="298">
        <f t="shared" si="3"/>
        <v>0</v>
      </c>
      <c r="U11" s="299">
        <f t="shared" si="3"/>
        <v>0</v>
      </c>
      <c r="V11" s="263">
        <f t="shared" si="3"/>
        <v>0</v>
      </c>
      <c r="W11" s="298">
        <f t="shared" si="3"/>
        <v>0</v>
      </c>
      <c r="X11" s="299">
        <f t="shared" si="3"/>
        <v>0</v>
      </c>
      <c r="Y11" s="263">
        <f t="shared" si="3"/>
        <v>0</v>
      </c>
      <c r="Z11" s="298">
        <f t="shared" si="3"/>
        <v>0</v>
      </c>
      <c r="AA11" s="299">
        <f t="shared" si="3"/>
        <v>0</v>
      </c>
      <c r="AB11" s="263">
        <f t="shared" si="3"/>
        <v>0</v>
      </c>
      <c r="AC11" s="298">
        <f t="shared" si="3"/>
        <v>0</v>
      </c>
      <c r="AD11" s="299">
        <f t="shared" si="3"/>
        <v>0</v>
      </c>
      <c r="AE11" s="263">
        <f t="shared" si="3"/>
        <v>0</v>
      </c>
      <c r="AF11" s="298">
        <f t="shared" si="3"/>
        <v>0</v>
      </c>
      <c r="AG11" s="299">
        <f t="shared" si="3"/>
        <v>0</v>
      </c>
      <c r="AH11" s="263">
        <f t="shared" si="3"/>
        <v>0</v>
      </c>
      <c r="AI11" s="298">
        <f t="shared" si="3"/>
        <v>0</v>
      </c>
      <c r="AJ11" s="299">
        <f t="shared" si="3"/>
        <v>0</v>
      </c>
      <c r="AK11" s="263">
        <f t="shared" si="3"/>
        <v>0</v>
      </c>
      <c r="AL11" s="298">
        <f t="shared" si="3"/>
        <v>0</v>
      </c>
      <c r="AM11" s="299">
        <f t="shared" si="3"/>
        <v>0</v>
      </c>
      <c r="AN11" s="263">
        <f t="shared" si="3"/>
        <v>0</v>
      </c>
      <c r="AO11" s="298">
        <f t="shared" si="3"/>
        <v>0</v>
      </c>
      <c r="AP11" s="299">
        <f t="shared" si="3"/>
        <v>0</v>
      </c>
      <c r="AQ11" s="263">
        <f t="shared" si="3"/>
        <v>0</v>
      </c>
      <c r="AR11" s="298">
        <f t="shared" si="3"/>
        <v>0</v>
      </c>
      <c r="AS11" s="299">
        <f t="shared" si="3"/>
        <v>0</v>
      </c>
    </row>
    <row r="12" ht="15.0" customHeight="1">
      <c r="B12" s="4" t="s">
        <v>227</v>
      </c>
      <c r="D12" s="263"/>
      <c r="E12" s="298"/>
      <c r="F12" s="299"/>
      <c r="G12" s="263"/>
      <c r="H12" s="298"/>
      <c r="I12" s="299"/>
      <c r="J12" s="263">
        <f t="shared" ref="J12:AS12" si="4">J58</f>
        <v>12500</v>
      </c>
      <c r="K12" s="298">
        <f t="shared" si="4"/>
        <v>12500</v>
      </c>
      <c r="L12" s="299">
        <f t="shared" si="4"/>
        <v>12500</v>
      </c>
      <c r="M12" s="263">
        <f t="shared" si="4"/>
        <v>15000</v>
      </c>
      <c r="N12" s="298">
        <f t="shared" si="4"/>
        <v>15000</v>
      </c>
      <c r="O12" s="299">
        <f t="shared" si="4"/>
        <v>15000</v>
      </c>
      <c r="P12" s="263">
        <f t="shared" si="4"/>
        <v>20000</v>
      </c>
      <c r="Q12" s="298">
        <f t="shared" si="4"/>
        <v>20000</v>
      </c>
      <c r="R12" s="299">
        <f t="shared" si="4"/>
        <v>22500</v>
      </c>
      <c r="S12" s="263">
        <f t="shared" si="4"/>
        <v>22500</v>
      </c>
      <c r="T12" s="298">
        <f t="shared" si="4"/>
        <v>22500</v>
      </c>
      <c r="U12" s="299">
        <f t="shared" si="4"/>
        <v>22500</v>
      </c>
      <c r="V12" s="263">
        <f t="shared" si="4"/>
        <v>25000</v>
      </c>
      <c r="W12" s="298">
        <f t="shared" si="4"/>
        <v>25000</v>
      </c>
      <c r="X12" s="299">
        <f t="shared" si="4"/>
        <v>25000</v>
      </c>
      <c r="Y12" s="263">
        <f t="shared" si="4"/>
        <v>25000</v>
      </c>
      <c r="Z12" s="298">
        <f t="shared" si="4"/>
        <v>25000</v>
      </c>
      <c r="AA12" s="299">
        <f t="shared" si="4"/>
        <v>25000</v>
      </c>
      <c r="AB12" s="263">
        <f t="shared" si="4"/>
        <v>30000</v>
      </c>
      <c r="AC12" s="298">
        <f t="shared" si="4"/>
        <v>30000</v>
      </c>
      <c r="AD12" s="299">
        <f t="shared" si="4"/>
        <v>30000</v>
      </c>
      <c r="AE12" s="263">
        <f t="shared" si="4"/>
        <v>30000</v>
      </c>
      <c r="AF12" s="298">
        <f t="shared" si="4"/>
        <v>30000</v>
      </c>
      <c r="AG12" s="299">
        <f t="shared" si="4"/>
        <v>30000</v>
      </c>
      <c r="AH12" s="263">
        <f t="shared" si="4"/>
        <v>35000</v>
      </c>
      <c r="AI12" s="298">
        <f t="shared" si="4"/>
        <v>35000</v>
      </c>
      <c r="AJ12" s="299">
        <f t="shared" si="4"/>
        <v>35000</v>
      </c>
      <c r="AK12" s="263">
        <f t="shared" si="4"/>
        <v>35000</v>
      </c>
      <c r="AL12" s="298">
        <f t="shared" si="4"/>
        <v>35000</v>
      </c>
      <c r="AM12" s="299">
        <f t="shared" si="4"/>
        <v>35000</v>
      </c>
      <c r="AN12" s="263">
        <f t="shared" si="4"/>
        <v>42500</v>
      </c>
      <c r="AO12" s="298">
        <f t="shared" si="4"/>
        <v>42500</v>
      </c>
      <c r="AP12" s="299">
        <f t="shared" si="4"/>
        <v>42500</v>
      </c>
      <c r="AQ12" s="263">
        <f t="shared" si="4"/>
        <v>42500</v>
      </c>
      <c r="AR12" s="298">
        <f t="shared" si="4"/>
        <v>42500</v>
      </c>
      <c r="AS12" s="299">
        <f t="shared" si="4"/>
        <v>42500</v>
      </c>
    </row>
    <row r="13" ht="15.0" customHeight="1">
      <c r="B13" s="4" t="s">
        <v>155</v>
      </c>
      <c r="D13" s="263"/>
      <c r="E13" s="298"/>
      <c r="F13" s="299"/>
      <c r="G13" s="263"/>
      <c r="H13" s="298"/>
      <c r="I13" s="299"/>
      <c r="J13" s="263">
        <f t="shared" ref="J13:AS13" si="5">J71</f>
        <v>50000</v>
      </c>
      <c r="K13" s="298">
        <f t="shared" si="5"/>
        <v>50000</v>
      </c>
      <c r="L13" s="299">
        <f t="shared" si="5"/>
        <v>50000</v>
      </c>
      <c r="M13" s="263">
        <f t="shared" si="5"/>
        <v>50000</v>
      </c>
      <c r="N13" s="298">
        <f t="shared" si="5"/>
        <v>50000</v>
      </c>
      <c r="O13" s="299">
        <f t="shared" si="5"/>
        <v>50000</v>
      </c>
      <c r="P13" s="263">
        <f t="shared" si="5"/>
        <v>50000</v>
      </c>
      <c r="Q13" s="298">
        <f t="shared" si="5"/>
        <v>50000</v>
      </c>
      <c r="R13" s="299">
        <f t="shared" si="5"/>
        <v>50000</v>
      </c>
      <c r="S13" s="263">
        <f t="shared" si="5"/>
        <v>50000</v>
      </c>
      <c r="T13" s="298">
        <f t="shared" si="5"/>
        <v>50000</v>
      </c>
      <c r="U13" s="299">
        <f t="shared" si="5"/>
        <v>50000</v>
      </c>
      <c r="V13" s="263">
        <f t="shared" si="5"/>
        <v>60000</v>
      </c>
      <c r="W13" s="298">
        <f t="shared" si="5"/>
        <v>60000</v>
      </c>
      <c r="X13" s="299">
        <f t="shared" si="5"/>
        <v>60000</v>
      </c>
      <c r="Y13" s="263">
        <f t="shared" si="5"/>
        <v>60000</v>
      </c>
      <c r="Z13" s="298">
        <f t="shared" si="5"/>
        <v>60000</v>
      </c>
      <c r="AA13" s="299">
        <f t="shared" si="5"/>
        <v>60000</v>
      </c>
      <c r="AB13" s="263">
        <f t="shared" si="5"/>
        <v>60000</v>
      </c>
      <c r="AC13" s="298">
        <f t="shared" si="5"/>
        <v>60000</v>
      </c>
      <c r="AD13" s="299">
        <f t="shared" si="5"/>
        <v>60000</v>
      </c>
      <c r="AE13" s="263">
        <f t="shared" si="5"/>
        <v>60000</v>
      </c>
      <c r="AF13" s="298">
        <f t="shared" si="5"/>
        <v>60000</v>
      </c>
      <c r="AG13" s="299">
        <f t="shared" si="5"/>
        <v>60000</v>
      </c>
      <c r="AH13" s="263">
        <f t="shared" si="5"/>
        <v>70000</v>
      </c>
      <c r="AI13" s="298">
        <f t="shared" si="5"/>
        <v>70000</v>
      </c>
      <c r="AJ13" s="299">
        <f t="shared" si="5"/>
        <v>70000</v>
      </c>
      <c r="AK13" s="263">
        <f t="shared" si="5"/>
        <v>70000</v>
      </c>
      <c r="AL13" s="298">
        <f t="shared" si="5"/>
        <v>70000</v>
      </c>
      <c r="AM13" s="299">
        <f t="shared" si="5"/>
        <v>70000</v>
      </c>
      <c r="AN13" s="263">
        <f t="shared" si="5"/>
        <v>70000</v>
      </c>
      <c r="AO13" s="298">
        <f t="shared" si="5"/>
        <v>70000</v>
      </c>
      <c r="AP13" s="299">
        <f t="shared" si="5"/>
        <v>70000</v>
      </c>
      <c r="AQ13" s="263">
        <f t="shared" si="5"/>
        <v>70000</v>
      </c>
      <c r="AR13" s="298">
        <f t="shared" si="5"/>
        <v>70000</v>
      </c>
      <c r="AS13" s="299">
        <f t="shared" si="5"/>
        <v>70000</v>
      </c>
    </row>
    <row r="14" ht="15.0" customHeight="1">
      <c r="B14" s="4" t="s">
        <v>159</v>
      </c>
      <c r="D14" s="263"/>
      <c r="E14" s="298"/>
      <c r="F14" s="299"/>
      <c r="G14" s="263"/>
      <c r="H14" s="298"/>
      <c r="I14" s="299"/>
      <c r="J14" s="263">
        <f t="shared" ref="J14:AS14" si="6">J96</f>
        <v>45360</v>
      </c>
      <c r="K14" s="298">
        <f t="shared" si="6"/>
        <v>45360</v>
      </c>
      <c r="L14" s="299">
        <f t="shared" si="6"/>
        <v>48870</v>
      </c>
      <c r="M14" s="263">
        <f t="shared" si="6"/>
        <v>48255</v>
      </c>
      <c r="N14" s="298">
        <f t="shared" si="6"/>
        <v>48640</v>
      </c>
      <c r="O14" s="299">
        <f t="shared" si="6"/>
        <v>49610</v>
      </c>
      <c r="P14" s="263">
        <f t="shared" si="6"/>
        <v>50380</v>
      </c>
      <c r="Q14" s="298">
        <f t="shared" si="6"/>
        <v>49980</v>
      </c>
      <c r="R14" s="299">
        <f t="shared" si="6"/>
        <v>51150</v>
      </c>
      <c r="S14" s="263">
        <f t="shared" si="6"/>
        <v>51335</v>
      </c>
      <c r="T14" s="298">
        <f t="shared" si="6"/>
        <v>51135</v>
      </c>
      <c r="U14" s="299">
        <f t="shared" si="6"/>
        <v>51135</v>
      </c>
      <c r="V14" s="263">
        <f t="shared" si="6"/>
        <v>51720</v>
      </c>
      <c r="W14" s="298">
        <f t="shared" si="6"/>
        <v>51520</v>
      </c>
      <c r="X14" s="299">
        <f t="shared" si="6"/>
        <v>51520</v>
      </c>
      <c r="Y14" s="263">
        <f t="shared" si="6"/>
        <v>52105</v>
      </c>
      <c r="Z14" s="298">
        <f t="shared" si="6"/>
        <v>52490</v>
      </c>
      <c r="AA14" s="299">
        <f t="shared" si="6"/>
        <v>52290</v>
      </c>
      <c r="AB14" s="263">
        <f t="shared" si="6"/>
        <v>53460</v>
      </c>
      <c r="AC14" s="298">
        <f t="shared" si="6"/>
        <v>53060</v>
      </c>
      <c r="AD14" s="299">
        <f t="shared" si="6"/>
        <v>53060</v>
      </c>
      <c r="AE14" s="263">
        <f t="shared" si="6"/>
        <v>53645</v>
      </c>
      <c r="AF14" s="298">
        <f t="shared" si="6"/>
        <v>53445</v>
      </c>
      <c r="AG14" s="299">
        <f t="shared" si="6"/>
        <v>53445</v>
      </c>
      <c r="AH14" s="263">
        <f t="shared" si="6"/>
        <v>55785</v>
      </c>
      <c r="AI14" s="298">
        <f t="shared" si="6"/>
        <v>54985</v>
      </c>
      <c r="AJ14" s="299">
        <f t="shared" si="6"/>
        <v>54985</v>
      </c>
      <c r="AK14" s="263">
        <f t="shared" si="6"/>
        <v>55570</v>
      </c>
      <c r="AL14" s="298">
        <f t="shared" si="6"/>
        <v>55370</v>
      </c>
      <c r="AM14" s="299">
        <f t="shared" si="6"/>
        <v>55370</v>
      </c>
      <c r="AN14" s="263">
        <f t="shared" si="6"/>
        <v>57125</v>
      </c>
      <c r="AO14" s="298">
        <f t="shared" si="6"/>
        <v>56525</v>
      </c>
      <c r="AP14" s="299">
        <f t="shared" si="6"/>
        <v>56525</v>
      </c>
      <c r="AQ14" s="263">
        <f t="shared" si="6"/>
        <v>57110</v>
      </c>
      <c r="AR14" s="298">
        <f t="shared" si="6"/>
        <v>56910</v>
      </c>
      <c r="AS14" s="299">
        <f t="shared" si="6"/>
        <v>56910</v>
      </c>
    </row>
    <row r="15" ht="15.0" customHeight="1">
      <c r="B15" s="47" t="s">
        <v>228</v>
      </c>
      <c r="C15" s="47"/>
      <c r="D15" s="300"/>
      <c r="E15" s="301"/>
      <c r="F15" s="302"/>
      <c r="G15" s="300"/>
      <c r="H15" s="301"/>
      <c r="I15" s="302"/>
      <c r="J15" s="300">
        <f t="shared" ref="J15:AS15" si="7">J105</f>
        <v>600</v>
      </c>
      <c r="K15" s="301">
        <f t="shared" si="7"/>
        <v>600</v>
      </c>
      <c r="L15" s="302">
        <f t="shared" si="7"/>
        <v>750</v>
      </c>
      <c r="M15" s="300">
        <f t="shared" si="7"/>
        <v>775</v>
      </c>
      <c r="N15" s="301">
        <f t="shared" si="7"/>
        <v>800</v>
      </c>
      <c r="O15" s="302">
        <f t="shared" si="7"/>
        <v>850</v>
      </c>
      <c r="P15" s="300">
        <f t="shared" si="7"/>
        <v>900</v>
      </c>
      <c r="Q15" s="301">
        <f t="shared" si="7"/>
        <v>900</v>
      </c>
      <c r="R15" s="302">
        <f t="shared" si="7"/>
        <v>950</v>
      </c>
      <c r="S15" s="300">
        <f t="shared" si="7"/>
        <v>975</v>
      </c>
      <c r="T15" s="301">
        <f t="shared" si="7"/>
        <v>975</v>
      </c>
      <c r="U15" s="302">
        <f t="shared" si="7"/>
        <v>975</v>
      </c>
      <c r="V15" s="300">
        <f t="shared" si="7"/>
        <v>1000</v>
      </c>
      <c r="W15" s="301">
        <f t="shared" si="7"/>
        <v>1000</v>
      </c>
      <c r="X15" s="302">
        <f t="shared" si="7"/>
        <v>1000</v>
      </c>
      <c r="Y15" s="300">
        <f t="shared" si="7"/>
        <v>1025</v>
      </c>
      <c r="Z15" s="301">
        <f t="shared" si="7"/>
        <v>1050</v>
      </c>
      <c r="AA15" s="302">
        <f t="shared" si="7"/>
        <v>1050</v>
      </c>
      <c r="AB15" s="300">
        <f t="shared" si="7"/>
        <v>1100</v>
      </c>
      <c r="AC15" s="301">
        <f t="shared" si="7"/>
        <v>1100</v>
      </c>
      <c r="AD15" s="302">
        <f t="shared" si="7"/>
        <v>1100</v>
      </c>
      <c r="AE15" s="300">
        <f t="shared" si="7"/>
        <v>1125</v>
      </c>
      <c r="AF15" s="301">
        <f t="shared" si="7"/>
        <v>1125</v>
      </c>
      <c r="AG15" s="302">
        <f t="shared" si="7"/>
        <v>1125</v>
      </c>
      <c r="AH15" s="300">
        <f t="shared" si="7"/>
        <v>1225</v>
      </c>
      <c r="AI15" s="301">
        <f t="shared" si="7"/>
        <v>1225</v>
      </c>
      <c r="AJ15" s="302">
        <f t="shared" si="7"/>
        <v>1225</v>
      </c>
      <c r="AK15" s="300">
        <f t="shared" si="7"/>
        <v>1250</v>
      </c>
      <c r="AL15" s="301">
        <f t="shared" si="7"/>
        <v>1250</v>
      </c>
      <c r="AM15" s="302">
        <f t="shared" si="7"/>
        <v>1250</v>
      </c>
      <c r="AN15" s="300">
        <f t="shared" si="7"/>
        <v>1325</v>
      </c>
      <c r="AO15" s="301">
        <f t="shared" si="7"/>
        <v>1325</v>
      </c>
      <c r="AP15" s="302">
        <f t="shared" si="7"/>
        <v>1325</v>
      </c>
      <c r="AQ15" s="300">
        <f t="shared" si="7"/>
        <v>1350</v>
      </c>
      <c r="AR15" s="301">
        <f t="shared" si="7"/>
        <v>1350</v>
      </c>
      <c r="AS15" s="302">
        <f t="shared" si="7"/>
        <v>1350</v>
      </c>
    </row>
    <row r="16" ht="15.0" customHeight="1">
      <c r="A16" s="8"/>
      <c r="B16" s="8" t="s">
        <v>73</v>
      </c>
      <c r="C16" s="8"/>
      <c r="D16" s="263"/>
      <c r="E16" s="298"/>
      <c r="F16" s="299"/>
      <c r="G16" s="263"/>
      <c r="H16" s="298"/>
      <c r="I16" s="299"/>
      <c r="J16" s="263">
        <f t="shared" ref="J16:AS16" si="8">SUM(J9:J15)</f>
        <v>530180</v>
      </c>
      <c r="K16" s="298">
        <f t="shared" si="8"/>
        <v>530180</v>
      </c>
      <c r="L16" s="299">
        <f t="shared" si="8"/>
        <v>623840</v>
      </c>
      <c r="M16" s="263" t="str">
        <f t="shared" si="8"/>
        <v>#VALUE!</v>
      </c>
      <c r="N16" s="298" t="str">
        <f t="shared" si="8"/>
        <v>#VALUE!</v>
      </c>
      <c r="O16" s="299" t="str">
        <f t="shared" si="8"/>
        <v>#VALUE!</v>
      </c>
      <c r="P16" s="263" t="str">
        <f t="shared" si="8"/>
        <v>#VALUE!</v>
      </c>
      <c r="Q16" s="298" t="str">
        <f t="shared" si="8"/>
        <v>#VALUE!</v>
      </c>
      <c r="R16" s="299" t="str">
        <f t="shared" si="8"/>
        <v>#VALUE!</v>
      </c>
      <c r="S16" s="263" t="str">
        <f t="shared" si="8"/>
        <v>#VALUE!</v>
      </c>
      <c r="T16" s="298" t="str">
        <f t="shared" si="8"/>
        <v>#VALUE!</v>
      </c>
      <c r="U16" s="299" t="str">
        <f t="shared" si="8"/>
        <v>#VALUE!</v>
      </c>
      <c r="V16" s="263" t="str">
        <f t="shared" si="8"/>
        <v>#VALUE!</v>
      </c>
      <c r="W16" s="298" t="str">
        <f t="shared" si="8"/>
        <v>#VALUE!</v>
      </c>
      <c r="X16" s="299" t="str">
        <f t="shared" si="8"/>
        <v>#VALUE!</v>
      </c>
      <c r="Y16" s="263" t="str">
        <f t="shared" si="8"/>
        <v>#VALUE!</v>
      </c>
      <c r="Z16" s="298" t="str">
        <f t="shared" si="8"/>
        <v>#VALUE!</v>
      </c>
      <c r="AA16" s="299" t="str">
        <f t="shared" si="8"/>
        <v>#VALUE!</v>
      </c>
      <c r="AB16" s="263" t="str">
        <f t="shared" si="8"/>
        <v>#VALUE!</v>
      </c>
      <c r="AC16" s="298" t="str">
        <f t="shared" si="8"/>
        <v>#VALUE!</v>
      </c>
      <c r="AD16" s="299" t="str">
        <f t="shared" si="8"/>
        <v>#VALUE!</v>
      </c>
      <c r="AE16" s="263" t="str">
        <f t="shared" si="8"/>
        <v>#VALUE!</v>
      </c>
      <c r="AF16" s="298" t="str">
        <f t="shared" si="8"/>
        <v>#VALUE!</v>
      </c>
      <c r="AG16" s="299" t="str">
        <f t="shared" si="8"/>
        <v>#VALUE!</v>
      </c>
      <c r="AH16" s="263" t="str">
        <f t="shared" si="8"/>
        <v>#VALUE!</v>
      </c>
      <c r="AI16" s="298" t="str">
        <f t="shared" si="8"/>
        <v>#VALUE!</v>
      </c>
      <c r="AJ16" s="299" t="str">
        <f t="shared" si="8"/>
        <v>#VALUE!</v>
      </c>
      <c r="AK16" s="263" t="str">
        <f t="shared" si="8"/>
        <v>#VALUE!</v>
      </c>
      <c r="AL16" s="298" t="str">
        <f t="shared" si="8"/>
        <v>#VALUE!</v>
      </c>
      <c r="AM16" s="299" t="str">
        <f t="shared" si="8"/>
        <v>#VALUE!</v>
      </c>
      <c r="AN16" s="263" t="str">
        <f t="shared" si="8"/>
        <v>#VALUE!</v>
      </c>
      <c r="AO16" s="298" t="str">
        <f t="shared" si="8"/>
        <v>#VALUE!</v>
      </c>
      <c r="AP16" s="299" t="str">
        <f t="shared" si="8"/>
        <v>#VALUE!</v>
      </c>
      <c r="AQ16" s="263" t="str">
        <f t="shared" si="8"/>
        <v>#VALUE!</v>
      </c>
      <c r="AR16" s="298" t="str">
        <f t="shared" si="8"/>
        <v>#VALUE!</v>
      </c>
      <c r="AS16" s="299" t="str">
        <f t="shared" si="8"/>
        <v>#VALUE!</v>
      </c>
    </row>
    <row r="17" ht="15.0" customHeight="1">
      <c r="B17" s="4"/>
      <c r="D17" s="263"/>
      <c r="E17" s="298"/>
      <c r="F17" s="303"/>
      <c r="G17" s="263"/>
      <c r="H17" s="298"/>
      <c r="I17" s="303"/>
      <c r="J17" s="263"/>
      <c r="K17" s="298"/>
      <c r="L17" s="303"/>
      <c r="M17" s="263"/>
      <c r="N17" s="298"/>
      <c r="O17" s="303"/>
      <c r="P17" s="263"/>
      <c r="Q17" s="298"/>
      <c r="R17" s="303"/>
      <c r="S17" s="263"/>
      <c r="T17" s="298"/>
      <c r="U17" s="303"/>
      <c r="V17" s="263"/>
      <c r="W17" s="298"/>
      <c r="X17" s="303"/>
      <c r="Y17" s="263"/>
      <c r="Z17" s="298"/>
      <c r="AA17" s="303"/>
      <c r="AB17" s="263"/>
      <c r="AC17" s="298"/>
      <c r="AD17" s="303"/>
      <c r="AE17" s="263"/>
      <c r="AF17" s="298"/>
      <c r="AG17" s="303"/>
      <c r="AH17" s="263"/>
      <c r="AI17" s="298"/>
      <c r="AJ17" s="303"/>
      <c r="AK17" s="263"/>
      <c r="AL17" s="298"/>
      <c r="AM17" s="303"/>
      <c r="AN17" s="263"/>
      <c r="AO17" s="298"/>
      <c r="AP17" s="303"/>
      <c r="AQ17" s="263"/>
      <c r="AR17" s="298"/>
      <c r="AS17" s="303"/>
    </row>
    <row r="18" ht="12.0" customHeight="1">
      <c r="B18" s="122" t="s">
        <v>229</v>
      </c>
      <c r="C18" s="29"/>
      <c r="D18" s="30"/>
      <c r="E18" s="31"/>
      <c r="F18" s="32"/>
      <c r="G18" s="30"/>
      <c r="H18" s="31"/>
      <c r="I18" s="32"/>
      <c r="J18" s="30"/>
      <c r="K18" s="31"/>
      <c r="L18" s="32"/>
      <c r="M18" s="30"/>
      <c r="N18" s="31"/>
      <c r="O18" s="32"/>
      <c r="P18" s="30"/>
      <c r="Q18" s="31"/>
      <c r="R18" s="32"/>
      <c r="S18" s="30"/>
      <c r="T18" s="31"/>
      <c r="U18" s="32"/>
      <c r="V18" s="30"/>
      <c r="W18" s="31"/>
      <c r="X18" s="32"/>
      <c r="Y18" s="30"/>
      <c r="Z18" s="31"/>
      <c r="AA18" s="32"/>
      <c r="AB18" s="30"/>
      <c r="AC18" s="31"/>
      <c r="AD18" s="32"/>
      <c r="AE18" s="30"/>
      <c r="AF18" s="31"/>
      <c r="AG18" s="32"/>
      <c r="AH18" s="30"/>
      <c r="AI18" s="31"/>
      <c r="AJ18" s="32"/>
      <c r="AK18" s="30"/>
      <c r="AL18" s="31"/>
      <c r="AM18" s="32"/>
      <c r="AN18" s="30"/>
      <c r="AO18" s="31"/>
      <c r="AP18" s="32"/>
      <c r="AQ18" s="30"/>
      <c r="AR18" s="31"/>
      <c r="AS18" s="32"/>
    </row>
    <row r="19" ht="15.0" customHeight="1">
      <c r="B19" s="4" t="s">
        <v>76</v>
      </c>
      <c r="D19" s="267"/>
      <c r="E19" s="304"/>
      <c r="F19" s="305"/>
      <c r="G19" s="267"/>
      <c r="H19" s="304"/>
      <c r="I19" s="305"/>
      <c r="J19" s="267">
        <f>IFERROR(Macro!$D$46*'Top line'!J30,"NA")</f>
        <v>0</v>
      </c>
      <c r="K19" s="304">
        <f>IFERROR(Macro!$D$46*'Top line'!K30,"NA")</f>
        <v>0</v>
      </c>
      <c r="L19" s="305">
        <f>IFERROR(Macro!$D$46*'Top line'!L30,"NA")</f>
        <v>0</v>
      </c>
      <c r="M19" s="267" t="str">
        <f>IFERROR(Macro!$D$46*'Top line'!M30,"NA")</f>
        <v>NA</v>
      </c>
      <c r="N19" s="304" t="str">
        <f>IFERROR(Macro!$D$46*'Top line'!N30,"NA")</f>
        <v>NA</v>
      </c>
      <c r="O19" s="305" t="str">
        <f>IFERROR(Macro!$D$46*'Top line'!O30,"NA")</f>
        <v>NA</v>
      </c>
      <c r="P19" s="267" t="str">
        <f>IFERROR(Macro!$D$46*'Top line'!P30,"NA")</f>
        <v>NA</v>
      </c>
      <c r="Q19" s="304" t="str">
        <f>IFERROR(Macro!$D$46*'Top line'!Q30,"NA")</f>
        <v>NA</v>
      </c>
      <c r="R19" s="305" t="str">
        <f>IFERROR(Macro!$D$46*'Top line'!R30,"NA")</f>
        <v>NA</v>
      </c>
      <c r="S19" s="267" t="str">
        <f>IFERROR(Macro!$D$46*'Top line'!S30,"NA")</f>
        <v>NA</v>
      </c>
      <c r="T19" s="304" t="str">
        <f>IFERROR(Macro!$D$46*'Top line'!T30,"NA")</f>
        <v>NA</v>
      </c>
      <c r="U19" s="305" t="str">
        <f>IFERROR(Macro!$D$46*'Top line'!U30,"NA")</f>
        <v>NA</v>
      </c>
      <c r="V19" s="267" t="str">
        <f>IFERROR(Macro!$D$46*'Top line'!V30,"NA")</f>
        <v>NA</v>
      </c>
      <c r="W19" s="304" t="str">
        <f>IFERROR(Macro!$D$46*'Top line'!W30,"NA")</f>
        <v>NA</v>
      </c>
      <c r="X19" s="305" t="str">
        <f>IFERROR(Macro!$D$46*'Top line'!X30,"NA")</f>
        <v>NA</v>
      </c>
      <c r="Y19" s="267" t="str">
        <f>IFERROR(Macro!$D$46*'Top line'!Y30,"NA")</f>
        <v>NA</v>
      </c>
      <c r="Z19" s="304" t="str">
        <f>IFERROR(Macro!$D$46*'Top line'!Z30,"NA")</f>
        <v>NA</v>
      </c>
      <c r="AA19" s="305" t="str">
        <f>IFERROR(Macro!$D$46*'Top line'!AA30,"NA")</f>
        <v>NA</v>
      </c>
      <c r="AB19" s="267" t="str">
        <f>IFERROR(Macro!$D$46*'Top line'!AB30,"NA")</f>
        <v>NA</v>
      </c>
      <c r="AC19" s="304" t="str">
        <f>IFERROR(Macro!$D$46*'Top line'!AC30,"NA")</f>
        <v>NA</v>
      </c>
      <c r="AD19" s="305" t="str">
        <f>IFERROR(Macro!$D$46*'Top line'!AD30,"NA")</f>
        <v>NA</v>
      </c>
      <c r="AE19" s="267" t="str">
        <f>IFERROR(Macro!$D$46*'Top line'!AE30,"NA")</f>
        <v>NA</v>
      </c>
      <c r="AF19" s="304" t="str">
        <f>IFERROR(Macro!$D$46*'Top line'!AF30,"NA")</f>
        <v>NA</v>
      </c>
      <c r="AG19" s="305" t="str">
        <f>IFERROR(Macro!$D$46*'Top line'!AG30,"NA")</f>
        <v>NA</v>
      </c>
      <c r="AH19" s="267" t="str">
        <f>IFERROR(Macro!$D$46*'Top line'!AH30,"NA")</f>
        <v>NA</v>
      </c>
      <c r="AI19" s="304" t="str">
        <f>IFERROR(Macro!$D$46*'Top line'!AI30,"NA")</f>
        <v>NA</v>
      </c>
      <c r="AJ19" s="305" t="str">
        <f>IFERROR(Macro!$D$46*'Top line'!AJ30,"NA")</f>
        <v>NA</v>
      </c>
      <c r="AK19" s="267" t="str">
        <f>IFERROR(Macro!$D$46*'Top line'!AK30,"NA")</f>
        <v>NA</v>
      </c>
      <c r="AL19" s="304" t="str">
        <f>IFERROR(Macro!$D$46*'Top line'!AL30,"NA")</f>
        <v>NA</v>
      </c>
      <c r="AM19" s="305" t="str">
        <f>IFERROR(Macro!$D$46*'Top line'!AM30,"NA")</f>
        <v>NA</v>
      </c>
      <c r="AN19" s="267" t="str">
        <f>IFERROR(Macro!$D$46*'Top line'!AN30,"NA")</f>
        <v>NA</v>
      </c>
      <c r="AO19" s="304" t="str">
        <f>IFERROR(Macro!$D$46*'Top line'!AO30,"NA")</f>
        <v>NA</v>
      </c>
      <c r="AP19" s="305" t="str">
        <f>IFERROR(Macro!$D$46*'Top line'!AP30,"NA")</f>
        <v>NA</v>
      </c>
      <c r="AQ19" s="267" t="str">
        <f>IFERROR(Macro!$D$46*'Top line'!AQ30,"NA")</f>
        <v>NA</v>
      </c>
      <c r="AR19" s="304" t="str">
        <f>IFERROR(Macro!$D$46*'Top line'!AR30,"NA")</f>
        <v>NA</v>
      </c>
      <c r="AS19" s="305" t="str">
        <f>IFERROR(Macro!$D$46*'Top line'!AS30,"NA")</f>
        <v>NA</v>
      </c>
    </row>
    <row r="20" ht="12.0" customHeight="1">
      <c r="A20" s="8"/>
      <c r="B20" s="4" t="s">
        <v>230</v>
      </c>
      <c r="C20" s="4"/>
      <c r="D20" s="208"/>
      <c r="E20" s="231"/>
      <c r="F20" s="306"/>
      <c r="G20" s="208"/>
      <c r="H20" s="231"/>
      <c r="I20" s="306"/>
      <c r="J20" s="34">
        <f>IFERROR(Macro!$D$47,"NA")</f>
        <v>17500</v>
      </c>
      <c r="K20" s="35">
        <f>IFERROR(Macro!$D$47,"NA")</f>
        <v>17500</v>
      </c>
      <c r="L20" s="305">
        <f>IFERROR(Macro!$D$47,"NA")</f>
        <v>17500</v>
      </c>
      <c r="M20" s="34">
        <f>IFERROR(Macro!$D$47,"NA")</f>
        <v>17500</v>
      </c>
      <c r="N20" s="35">
        <f>IFERROR(Macro!$D$47,"NA")</f>
        <v>17500</v>
      </c>
      <c r="O20" s="305">
        <f>IFERROR(Macro!$D$47,"NA")</f>
        <v>17500</v>
      </c>
      <c r="P20" s="34">
        <f>IFERROR(Macro!$D$47,"NA")</f>
        <v>17500</v>
      </c>
      <c r="Q20" s="35">
        <f>IFERROR(Macro!$D$47,"NA")</f>
        <v>17500</v>
      </c>
      <c r="R20" s="305">
        <f>IFERROR(Macro!$D$47,"NA")</f>
        <v>17500</v>
      </c>
      <c r="S20" s="34">
        <f>IFERROR(Macro!$D$47,"NA")</f>
        <v>17500</v>
      </c>
      <c r="T20" s="35">
        <f>IFERROR(Macro!$D$47,"NA")</f>
        <v>17500</v>
      </c>
      <c r="U20" s="305">
        <f>IFERROR(Macro!$D$47,"NA")</f>
        <v>17500</v>
      </c>
      <c r="V20" s="34">
        <f>IFERROR(Macro!$D$47,"NA")</f>
        <v>17500</v>
      </c>
      <c r="W20" s="35">
        <f>IFERROR(Macro!$D$47,"NA")</f>
        <v>17500</v>
      </c>
      <c r="X20" s="305">
        <f>IFERROR(Macro!$D$47,"NA")</f>
        <v>17500</v>
      </c>
      <c r="Y20" s="34">
        <f>IFERROR(Macro!$D$47,"NA")</f>
        <v>17500</v>
      </c>
      <c r="Z20" s="35">
        <f>IFERROR(Macro!$D$47,"NA")</f>
        <v>17500</v>
      </c>
      <c r="AA20" s="305">
        <f>IFERROR(Macro!$D$47,"NA")</f>
        <v>17500</v>
      </c>
      <c r="AB20" s="34">
        <f>IFERROR(Macro!$D$47,"NA")</f>
        <v>17500</v>
      </c>
      <c r="AC20" s="35">
        <f>IFERROR(Macro!$D$47,"NA")</f>
        <v>17500</v>
      </c>
      <c r="AD20" s="305">
        <f>IFERROR(Macro!$D$47,"NA")</f>
        <v>17500</v>
      </c>
      <c r="AE20" s="34">
        <f>IFERROR(Macro!$D$47,"NA")</f>
        <v>17500</v>
      </c>
      <c r="AF20" s="35">
        <f>IFERROR(Macro!$D$47,"NA")</f>
        <v>17500</v>
      </c>
      <c r="AG20" s="305">
        <f>IFERROR(Macro!$D$47,"NA")</f>
        <v>17500</v>
      </c>
      <c r="AH20" s="34">
        <f>IFERROR(Macro!$D$47,"NA")</f>
        <v>17500</v>
      </c>
      <c r="AI20" s="35">
        <f>IFERROR(Macro!$D$47,"NA")</f>
        <v>17500</v>
      </c>
      <c r="AJ20" s="305">
        <f>IFERROR(Macro!$D$47,"NA")</f>
        <v>17500</v>
      </c>
      <c r="AK20" s="34">
        <f>IFERROR(Macro!$D$47,"NA")</f>
        <v>17500</v>
      </c>
      <c r="AL20" s="35">
        <f>IFERROR(Macro!$D$47,"NA")</f>
        <v>17500</v>
      </c>
      <c r="AM20" s="305">
        <f>IFERROR(Macro!$D$47,"NA")</f>
        <v>17500</v>
      </c>
      <c r="AN20" s="34">
        <f>IFERROR(Macro!$D$47,"NA")</f>
        <v>17500</v>
      </c>
      <c r="AO20" s="35">
        <f>IFERROR(Macro!$D$47,"NA")</f>
        <v>17500</v>
      </c>
      <c r="AP20" s="305">
        <f>IFERROR(Macro!$D$47,"NA")</f>
        <v>17500</v>
      </c>
      <c r="AQ20" s="34">
        <f>IFERROR(Macro!$D$47,"NA")</f>
        <v>17500</v>
      </c>
      <c r="AR20" s="35">
        <f>IFERROR(Macro!$D$47,"NA")</f>
        <v>17500</v>
      </c>
      <c r="AS20" s="305">
        <f>IFERROR(Macro!$D$47,"NA")</f>
        <v>17500</v>
      </c>
    </row>
    <row r="21" ht="12.0" customHeight="1">
      <c r="A21" s="8"/>
      <c r="B21" s="47" t="s">
        <v>231</v>
      </c>
      <c r="C21" s="47"/>
      <c r="D21" s="307"/>
      <c r="E21" s="308"/>
      <c r="F21" s="50"/>
      <c r="G21" s="307"/>
      <c r="H21" s="308"/>
      <c r="I21" s="50"/>
      <c r="J21" s="48">
        <f>IFERROR('Top line'!J36*Macro!$D$48*Macro!$D$49,"NA")</f>
        <v>0</v>
      </c>
      <c r="K21" s="49">
        <f>IFERROR('Top line'!K36*Macro!$D$48*Macro!$D$49,"NA")</f>
        <v>0</v>
      </c>
      <c r="L21" s="50">
        <f>IFERROR('Top line'!L36*Macro!$D$48*Macro!$D$49,"NA")</f>
        <v>0</v>
      </c>
      <c r="M21" s="48">
        <f>IFERROR('Top line'!M36*Macro!$D$48*Macro!$D$49,"NA")</f>
        <v>0</v>
      </c>
      <c r="N21" s="49" t="str">
        <f>IFERROR('Top line'!N36*Macro!$D$48*Macro!$D$49,"NA")</f>
        <v>NA</v>
      </c>
      <c r="O21" s="50" t="str">
        <f>IFERROR('Top line'!O36*Macro!$D$48*Macro!$D$49,"NA")</f>
        <v>NA</v>
      </c>
      <c r="P21" s="48" t="str">
        <f>IFERROR('Top line'!P36*Macro!$D$48*Macro!$D$49,"NA")</f>
        <v>NA</v>
      </c>
      <c r="Q21" s="49" t="str">
        <f>IFERROR('Top line'!Q36*Macro!$D$48*Macro!$D$49,"NA")</f>
        <v>NA</v>
      </c>
      <c r="R21" s="50" t="str">
        <f>IFERROR('Top line'!R36*Macro!$D$48*Macro!$D$49,"NA")</f>
        <v>NA</v>
      </c>
      <c r="S21" s="48" t="str">
        <f>IFERROR('Top line'!S36*Macro!$D$48*Macro!$D$49,"NA")</f>
        <v>NA</v>
      </c>
      <c r="T21" s="49" t="str">
        <f>IFERROR('Top line'!T36*Macro!$D$48*Macro!$D$49,"NA")</f>
        <v>NA</v>
      </c>
      <c r="U21" s="50" t="str">
        <f>IFERROR('Top line'!U36*Macro!$D$48*Macro!$D$49,"NA")</f>
        <v>NA</v>
      </c>
      <c r="V21" s="48" t="str">
        <f>IFERROR('Top line'!V36*Macro!$D$48*Macro!$D$49,"NA")</f>
        <v>NA</v>
      </c>
      <c r="W21" s="49" t="str">
        <f>IFERROR('Top line'!W36*Macro!$D$48*Macro!$D$49,"NA")</f>
        <v>NA</v>
      </c>
      <c r="X21" s="50" t="str">
        <f>IFERROR('Top line'!X36*Macro!$D$48*Macro!$D$49,"NA")</f>
        <v>NA</v>
      </c>
      <c r="Y21" s="48" t="str">
        <f>IFERROR('Top line'!Y36*Macro!$D$48*Macro!$D$49,"NA")</f>
        <v>NA</v>
      </c>
      <c r="Z21" s="49" t="str">
        <f>IFERROR('Top line'!Z36*Macro!$D$48*Macro!$D$49,"NA")</f>
        <v>NA</v>
      </c>
      <c r="AA21" s="50" t="str">
        <f>IFERROR('Top line'!AA36*Macro!$D$48*Macro!$D$49,"NA")</f>
        <v>NA</v>
      </c>
      <c r="AB21" s="48" t="str">
        <f>IFERROR('Top line'!AB36*Macro!$D$48*Macro!$D$49,"NA")</f>
        <v>NA</v>
      </c>
      <c r="AC21" s="49" t="str">
        <f>IFERROR('Top line'!AC36*Macro!$D$48*Macro!$D$49,"NA")</f>
        <v>NA</v>
      </c>
      <c r="AD21" s="50" t="str">
        <f>IFERROR('Top line'!AD36*Macro!$D$48*Macro!$D$49,"NA")</f>
        <v>NA</v>
      </c>
      <c r="AE21" s="48" t="str">
        <f>IFERROR('Top line'!AE36*Macro!$D$48*Macro!$D$49,"NA")</f>
        <v>NA</v>
      </c>
      <c r="AF21" s="49" t="str">
        <f>IFERROR('Top line'!AF36*Macro!$D$48*Macro!$D$49,"NA")</f>
        <v>NA</v>
      </c>
      <c r="AG21" s="50" t="str">
        <f>IFERROR('Top line'!AG36*Macro!$D$48*Macro!$D$49,"NA")</f>
        <v>NA</v>
      </c>
      <c r="AH21" s="48" t="str">
        <f>IFERROR('Top line'!AH36*Macro!$D$48*Macro!$D$49,"NA")</f>
        <v>NA</v>
      </c>
      <c r="AI21" s="49" t="str">
        <f>IFERROR('Top line'!AI36*Macro!$D$48*Macro!$D$49,"NA")</f>
        <v>NA</v>
      </c>
      <c r="AJ21" s="50" t="str">
        <f>IFERROR('Top line'!AJ36*Macro!$D$48*Macro!$D$49,"NA")</f>
        <v>NA</v>
      </c>
      <c r="AK21" s="48" t="str">
        <f>IFERROR('Top line'!AK36*Macro!$D$48*Macro!$D$49,"NA")</f>
        <v>NA</v>
      </c>
      <c r="AL21" s="49" t="str">
        <f>IFERROR('Top line'!AL36*Macro!$D$48*Macro!$D$49,"NA")</f>
        <v>NA</v>
      </c>
      <c r="AM21" s="50" t="str">
        <f>IFERROR('Top line'!AM36*Macro!$D$48*Macro!$D$49,"NA")</f>
        <v>NA</v>
      </c>
      <c r="AN21" s="48" t="str">
        <f>IFERROR('Top line'!AN36*Macro!$D$48*Macro!$D$49,"NA")</f>
        <v>NA</v>
      </c>
      <c r="AO21" s="49" t="str">
        <f>IFERROR('Top line'!AO36*Macro!$D$48*Macro!$D$49,"NA")</f>
        <v>NA</v>
      </c>
      <c r="AP21" s="50" t="str">
        <f>IFERROR('Top line'!AP36*Macro!$D$48*Macro!$D$49,"NA")</f>
        <v>NA</v>
      </c>
      <c r="AQ21" s="48" t="str">
        <f>IFERROR('Top line'!AQ36*Macro!$D$48*Macro!$D$49,"NA")</f>
        <v>NA</v>
      </c>
      <c r="AR21" s="49" t="str">
        <f>IFERROR('Top line'!AR36*Macro!$D$48*Macro!$D$49,"NA")</f>
        <v>NA</v>
      </c>
      <c r="AS21" s="50" t="str">
        <f>IFERROR('Top line'!AS36*Macro!$D$48*Macro!$D$49,"NA")</f>
        <v>NA</v>
      </c>
    </row>
    <row r="22" ht="12.0" customHeight="1">
      <c r="A22" s="8"/>
      <c r="B22" s="8" t="s">
        <v>73</v>
      </c>
      <c r="C22" s="4"/>
      <c r="D22" s="61"/>
      <c r="E22" s="62"/>
      <c r="F22" s="63"/>
      <c r="G22" s="61"/>
      <c r="H22" s="62"/>
      <c r="I22" s="63"/>
      <c r="J22" s="61">
        <f t="shared" ref="J22:AS22" si="9">SUM(J19:J21)</f>
        <v>17500</v>
      </c>
      <c r="K22" s="62">
        <f t="shared" si="9"/>
        <v>17500</v>
      </c>
      <c r="L22" s="63">
        <f t="shared" si="9"/>
        <v>17500</v>
      </c>
      <c r="M22" s="61">
        <f t="shared" si="9"/>
        <v>17500</v>
      </c>
      <c r="N22" s="62">
        <f t="shared" si="9"/>
        <v>17500</v>
      </c>
      <c r="O22" s="63">
        <f t="shared" si="9"/>
        <v>17500</v>
      </c>
      <c r="P22" s="61">
        <f t="shared" si="9"/>
        <v>17500</v>
      </c>
      <c r="Q22" s="62">
        <f t="shared" si="9"/>
        <v>17500</v>
      </c>
      <c r="R22" s="63">
        <f t="shared" si="9"/>
        <v>17500</v>
      </c>
      <c r="S22" s="61">
        <f t="shared" si="9"/>
        <v>17500</v>
      </c>
      <c r="T22" s="62">
        <f t="shared" si="9"/>
        <v>17500</v>
      </c>
      <c r="U22" s="63">
        <f t="shared" si="9"/>
        <v>17500</v>
      </c>
      <c r="V22" s="61">
        <f t="shared" si="9"/>
        <v>17500</v>
      </c>
      <c r="W22" s="62">
        <f t="shared" si="9"/>
        <v>17500</v>
      </c>
      <c r="X22" s="63">
        <f t="shared" si="9"/>
        <v>17500</v>
      </c>
      <c r="Y22" s="61">
        <f t="shared" si="9"/>
        <v>17500</v>
      </c>
      <c r="Z22" s="62">
        <f t="shared" si="9"/>
        <v>17500</v>
      </c>
      <c r="AA22" s="63">
        <f t="shared" si="9"/>
        <v>17500</v>
      </c>
      <c r="AB22" s="61">
        <f t="shared" si="9"/>
        <v>17500</v>
      </c>
      <c r="AC22" s="62">
        <f t="shared" si="9"/>
        <v>17500</v>
      </c>
      <c r="AD22" s="63">
        <f t="shared" si="9"/>
        <v>17500</v>
      </c>
      <c r="AE22" s="61">
        <f t="shared" si="9"/>
        <v>17500</v>
      </c>
      <c r="AF22" s="62">
        <f t="shared" si="9"/>
        <v>17500</v>
      </c>
      <c r="AG22" s="63">
        <f t="shared" si="9"/>
        <v>17500</v>
      </c>
      <c r="AH22" s="61">
        <f t="shared" si="9"/>
        <v>17500</v>
      </c>
      <c r="AI22" s="62">
        <f t="shared" si="9"/>
        <v>17500</v>
      </c>
      <c r="AJ22" s="63">
        <f t="shared" si="9"/>
        <v>17500</v>
      </c>
      <c r="AK22" s="61">
        <f t="shared" si="9"/>
        <v>17500</v>
      </c>
      <c r="AL22" s="62">
        <f t="shared" si="9"/>
        <v>17500</v>
      </c>
      <c r="AM22" s="63">
        <f t="shared" si="9"/>
        <v>17500</v>
      </c>
      <c r="AN22" s="61">
        <f t="shared" si="9"/>
        <v>17500</v>
      </c>
      <c r="AO22" s="62">
        <f t="shared" si="9"/>
        <v>17500</v>
      </c>
      <c r="AP22" s="63">
        <f t="shared" si="9"/>
        <v>17500</v>
      </c>
      <c r="AQ22" s="61">
        <f t="shared" si="9"/>
        <v>17500</v>
      </c>
      <c r="AR22" s="62">
        <f t="shared" si="9"/>
        <v>17500</v>
      </c>
      <c r="AS22" s="63">
        <f t="shared" si="9"/>
        <v>17500</v>
      </c>
    </row>
    <row r="23" ht="12.0" customHeight="1">
      <c r="B23" s="8"/>
      <c r="C23" s="4"/>
      <c r="D23" s="34"/>
      <c r="E23" s="35"/>
      <c r="F23" s="36"/>
      <c r="G23" s="34"/>
      <c r="H23" s="35"/>
      <c r="I23" s="36"/>
      <c r="J23" s="34"/>
      <c r="K23" s="35"/>
      <c r="L23" s="36"/>
      <c r="M23" s="34"/>
      <c r="N23" s="35"/>
      <c r="O23" s="36"/>
      <c r="P23" s="34"/>
      <c r="Q23" s="35"/>
      <c r="R23" s="36"/>
      <c r="S23" s="34"/>
      <c r="T23" s="35"/>
      <c r="U23" s="36"/>
      <c r="V23" s="34"/>
      <c r="W23" s="35"/>
      <c r="X23" s="36"/>
      <c r="Y23" s="34"/>
      <c r="Z23" s="35"/>
      <c r="AA23" s="36"/>
      <c r="AB23" s="34"/>
      <c r="AC23" s="35"/>
      <c r="AD23" s="36"/>
      <c r="AE23" s="34"/>
      <c r="AF23" s="35"/>
      <c r="AG23" s="36"/>
      <c r="AH23" s="34"/>
      <c r="AI23" s="35"/>
      <c r="AJ23" s="36"/>
      <c r="AK23" s="34"/>
      <c r="AL23" s="35"/>
      <c r="AM23" s="36"/>
      <c r="AN23" s="34"/>
      <c r="AO23" s="35"/>
      <c r="AP23" s="36"/>
      <c r="AQ23" s="34"/>
      <c r="AR23" s="35"/>
      <c r="AS23" s="36"/>
    </row>
    <row r="24" ht="12.0" customHeight="1">
      <c r="B24" s="122" t="s">
        <v>232</v>
      </c>
      <c r="C24" s="29"/>
      <c r="D24" s="30"/>
      <c r="E24" s="31"/>
      <c r="F24" s="32"/>
      <c r="G24" s="30"/>
      <c r="H24" s="31"/>
      <c r="I24" s="32"/>
      <c r="J24" s="30"/>
      <c r="K24" s="31"/>
      <c r="L24" s="32"/>
      <c r="M24" s="30"/>
      <c r="N24" s="31"/>
      <c r="O24" s="32"/>
      <c r="P24" s="30"/>
      <c r="Q24" s="31"/>
      <c r="R24" s="32"/>
      <c r="S24" s="30"/>
      <c r="T24" s="31"/>
      <c r="U24" s="32"/>
      <c r="V24" s="30"/>
      <c r="W24" s="31"/>
      <c r="X24" s="32"/>
      <c r="Y24" s="30"/>
      <c r="Z24" s="31"/>
      <c r="AA24" s="32"/>
      <c r="AB24" s="30"/>
      <c r="AC24" s="31"/>
      <c r="AD24" s="32"/>
      <c r="AE24" s="30"/>
      <c r="AF24" s="31"/>
      <c r="AG24" s="32"/>
      <c r="AH24" s="30"/>
      <c r="AI24" s="31"/>
      <c r="AJ24" s="32"/>
      <c r="AK24" s="30"/>
      <c r="AL24" s="31"/>
      <c r="AM24" s="32"/>
      <c r="AN24" s="30"/>
      <c r="AO24" s="31"/>
      <c r="AP24" s="32"/>
      <c r="AQ24" s="30"/>
      <c r="AR24" s="31"/>
      <c r="AS24" s="32"/>
    </row>
    <row r="25" ht="15.0" customHeight="1">
      <c r="B25" s="4" t="s">
        <v>185</v>
      </c>
      <c r="D25" s="309"/>
      <c r="E25" s="310"/>
      <c r="F25" s="311"/>
      <c r="G25" s="309"/>
      <c r="H25" s="310"/>
      <c r="I25" s="311"/>
      <c r="J25" s="309"/>
      <c r="K25" s="310"/>
      <c r="L25" s="311"/>
      <c r="M25" s="309"/>
      <c r="N25" s="310"/>
      <c r="O25" s="311"/>
      <c r="P25" s="309"/>
      <c r="Q25" s="310"/>
      <c r="R25" s="311"/>
      <c r="S25" s="309"/>
      <c r="T25" s="310"/>
      <c r="U25" s="311"/>
      <c r="V25" s="309"/>
      <c r="W25" s="310"/>
      <c r="X25" s="311"/>
      <c r="Y25" s="309"/>
      <c r="Z25" s="310"/>
      <c r="AA25" s="311"/>
      <c r="AB25" s="309"/>
      <c r="AC25" s="310"/>
      <c r="AD25" s="311"/>
      <c r="AE25" s="309"/>
      <c r="AF25" s="310"/>
      <c r="AG25" s="311"/>
      <c r="AH25" s="309"/>
      <c r="AI25" s="310"/>
      <c r="AJ25" s="311"/>
      <c r="AK25" s="309"/>
      <c r="AL25" s="310"/>
      <c r="AM25" s="311"/>
      <c r="AN25" s="309"/>
      <c r="AO25" s="310"/>
      <c r="AP25" s="311"/>
      <c r="AQ25" s="309"/>
      <c r="AR25" s="310"/>
      <c r="AS25" s="311"/>
    </row>
    <row r="26" ht="15.0" customHeight="1">
      <c r="B26" s="4" t="s">
        <v>233</v>
      </c>
      <c r="D26" s="309"/>
      <c r="E26" s="310"/>
      <c r="F26" s="311"/>
      <c r="G26" s="309"/>
      <c r="H26" s="310"/>
      <c r="I26" s="311"/>
      <c r="J26" s="309"/>
      <c r="K26" s="310"/>
      <c r="L26" s="311"/>
      <c r="M26" s="309"/>
      <c r="N26" s="310"/>
      <c r="O26" s="311"/>
      <c r="P26" s="309"/>
      <c r="Q26" s="310"/>
      <c r="R26" s="311"/>
      <c r="S26" s="309"/>
      <c r="T26" s="310"/>
      <c r="U26" s="311"/>
      <c r="V26" s="309"/>
      <c r="W26" s="310"/>
      <c r="X26" s="311"/>
      <c r="Y26" s="309"/>
      <c r="Z26" s="310"/>
      <c r="AA26" s="311"/>
      <c r="AB26" s="309"/>
      <c r="AC26" s="310"/>
      <c r="AD26" s="311"/>
      <c r="AE26" s="309"/>
      <c r="AF26" s="310"/>
      <c r="AG26" s="311"/>
      <c r="AH26" s="309"/>
      <c r="AI26" s="310"/>
      <c r="AJ26" s="311"/>
      <c r="AK26" s="309"/>
      <c r="AL26" s="310"/>
      <c r="AM26" s="311"/>
      <c r="AN26" s="309"/>
      <c r="AO26" s="310"/>
      <c r="AP26" s="311"/>
      <c r="AQ26" s="309"/>
      <c r="AR26" s="310"/>
      <c r="AS26" s="311"/>
    </row>
    <row r="27" ht="15.0" customHeight="1">
      <c r="D27" s="312"/>
      <c r="E27" s="313"/>
      <c r="F27" s="305"/>
      <c r="G27" s="312"/>
      <c r="H27" s="313"/>
      <c r="I27" s="305"/>
      <c r="J27" s="312"/>
      <c r="K27" s="313"/>
      <c r="L27" s="305"/>
      <c r="M27" s="312"/>
      <c r="N27" s="313"/>
      <c r="O27" s="305"/>
      <c r="P27" s="312"/>
      <c r="Q27" s="313"/>
      <c r="R27" s="305"/>
      <c r="S27" s="312"/>
      <c r="T27" s="313"/>
      <c r="U27" s="305"/>
      <c r="V27" s="312"/>
      <c r="W27" s="313"/>
      <c r="X27" s="305"/>
      <c r="Y27" s="312"/>
      <c r="Z27" s="313"/>
      <c r="AA27" s="305"/>
      <c r="AB27" s="312"/>
      <c r="AC27" s="313"/>
      <c r="AD27" s="305"/>
      <c r="AE27" s="312"/>
      <c r="AF27" s="313"/>
      <c r="AG27" s="305"/>
      <c r="AH27" s="312"/>
      <c r="AI27" s="313"/>
      <c r="AJ27" s="305"/>
      <c r="AK27" s="312"/>
      <c r="AL27" s="313"/>
      <c r="AM27" s="305"/>
      <c r="AN27" s="312"/>
      <c r="AO27" s="313"/>
      <c r="AP27" s="305"/>
      <c r="AQ27" s="312"/>
      <c r="AR27" s="313"/>
      <c r="AS27" s="305"/>
    </row>
    <row r="28" ht="12.0" customHeight="1">
      <c r="B28" s="122" t="s">
        <v>234</v>
      </c>
      <c r="C28" s="29"/>
      <c r="D28" s="30"/>
      <c r="E28" s="31"/>
      <c r="F28" s="32"/>
      <c r="G28" s="30"/>
      <c r="H28" s="31"/>
      <c r="I28" s="32"/>
      <c r="J28" s="30"/>
      <c r="K28" s="31"/>
      <c r="L28" s="32"/>
      <c r="M28" s="30"/>
      <c r="N28" s="31"/>
      <c r="O28" s="32"/>
      <c r="P28" s="30"/>
      <c r="Q28" s="31"/>
      <c r="R28" s="32"/>
      <c r="S28" s="30"/>
      <c r="T28" s="31"/>
      <c r="U28" s="32"/>
      <c r="V28" s="30"/>
      <c r="W28" s="31"/>
      <c r="X28" s="32"/>
      <c r="Y28" s="30"/>
      <c r="Z28" s="31"/>
      <c r="AA28" s="32"/>
      <c r="AB28" s="30"/>
      <c r="AC28" s="31"/>
      <c r="AD28" s="32"/>
      <c r="AE28" s="30"/>
      <c r="AF28" s="31"/>
      <c r="AG28" s="32"/>
      <c r="AH28" s="30"/>
      <c r="AI28" s="31"/>
      <c r="AJ28" s="32"/>
      <c r="AK28" s="30"/>
      <c r="AL28" s="31"/>
      <c r="AM28" s="32"/>
      <c r="AN28" s="30"/>
      <c r="AO28" s="31"/>
      <c r="AP28" s="32"/>
      <c r="AQ28" s="30"/>
      <c r="AR28" s="31"/>
      <c r="AS28" s="32"/>
    </row>
    <row r="29" ht="15.0" customHeight="1">
      <c r="B29" s="4" t="str">
        <f>Macro!B212</f>
        <v>Laptop</v>
      </c>
      <c r="D29" s="312"/>
      <c r="E29" s="313"/>
      <c r="F29" s="306"/>
      <c r="G29" s="312"/>
      <c r="H29" s="313"/>
      <c r="I29" s="306"/>
      <c r="J29" s="267">
        <f>Macro!$D$212*Team!J9</f>
        <v>0</v>
      </c>
      <c r="K29" s="304">
        <f>Macro!$D$212*Team!K9</f>
        <v>0</v>
      </c>
      <c r="L29" s="305">
        <f>Macro!$D$212*Team!L9</f>
        <v>9000</v>
      </c>
      <c r="M29" s="267">
        <f>Macro!$D$212*Team!M9</f>
        <v>1500</v>
      </c>
      <c r="N29" s="304">
        <f>Macro!$D$212*Team!N9</f>
        <v>1500</v>
      </c>
      <c r="O29" s="305">
        <f>Macro!$D$212*Team!O9</f>
        <v>3000</v>
      </c>
      <c r="P29" s="267">
        <f>Macro!$D$212*Team!P9</f>
        <v>3000</v>
      </c>
      <c r="Q29" s="304">
        <f>Macro!$D$212*Team!Q9</f>
        <v>0</v>
      </c>
      <c r="R29" s="305">
        <f>Macro!$D$212*Team!R9</f>
        <v>3000</v>
      </c>
      <c r="S29" s="267">
        <f>Macro!$D$212*Team!S9</f>
        <v>1500</v>
      </c>
      <c r="T29" s="304">
        <f>Macro!$D$212*Team!T9</f>
        <v>0</v>
      </c>
      <c r="U29" s="305">
        <f>Macro!$D$212*Team!U9</f>
        <v>0</v>
      </c>
      <c r="V29" s="267">
        <f>Macro!$D$212*Team!V9</f>
        <v>1500</v>
      </c>
      <c r="W29" s="304">
        <f>Macro!$D$212*Team!W9</f>
        <v>0</v>
      </c>
      <c r="X29" s="305">
        <f>Macro!$D$212*Team!X9</f>
        <v>0</v>
      </c>
      <c r="Y29" s="267">
        <f>Macro!$D$212*Team!Y9</f>
        <v>1500</v>
      </c>
      <c r="Z29" s="304">
        <f>Macro!$D$212*Team!Z9</f>
        <v>1500</v>
      </c>
      <c r="AA29" s="305">
        <f>Macro!$D$212*Team!AA9</f>
        <v>0</v>
      </c>
      <c r="AB29" s="267">
        <f>Macro!$D$212*Team!AB9</f>
        <v>3000</v>
      </c>
      <c r="AC29" s="304">
        <f>Macro!$D$212*Team!AC9</f>
        <v>0</v>
      </c>
      <c r="AD29" s="305">
        <f>Macro!$D$212*Team!AD9</f>
        <v>0</v>
      </c>
      <c r="AE29" s="267">
        <f>Macro!$D$212*Team!AE9</f>
        <v>1500</v>
      </c>
      <c r="AF29" s="304">
        <f>Macro!$D$212*Team!AF9</f>
        <v>0</v>
      </c>
      <c r="AG29" s="305">
        <f>Macro!$D$212*Team!AG9</f>
        <v>0</v>
      </c>
      <c r="AH29" s="267">
        <f>Macro!$D$212*Team!AH9</f>
        <v>6000</v>
      </c>
      <c r="AI29" s="304">
        <f>Macro!$D$212*Team!AI9</f>
        <v>0</v>
      </c>
      <c r="AJ29" s="305">
        <f>Macro!$D$212*Team!AJ9</f>
        <v>0</v>
      </c>
      <c r="AK29" s="267">
        <f>Macro!$D$212*Team!AK9</f>
        <v>1500</v>
      </c>
      <c r="AL29" s="304">
        <f>Macro!$D$212*Team!AL9</f>
        <v>0</v>
      </c>
      <c r="AM29" s="305">
        <f>Macro!$D$212*Team!AM9</f>
        <v>0</v>
      </c>
      <c r="AN29" s="267">
        <f>Macro!$D$212*Team!AN9</f>
        <v>4500</v>
      </c>
      <c r="AO29" s="304">
        <f>Macro!$D$212*Team!AO9</f>
        <v>0</v>
      </c>
      <c r="AP29" s="305">
        <f>Macro!$D$212*Team!AP9</f>
        <v>0</v>
      </c>
      <c r="AQ29" s="267">
        <f>Macro!$D$212*Team!AQ9</f>
        <v>1500</v>
      </c>
      <c r="AR29" s="304">
        <f>Macro!$D$212*Team!AR9</f>
        <v>0</v>
      </c>
      <c r="AS29" s="305">
        <f>Macro!$D$212*Team!AS9</f>
        <v>0</v>
      </c>
    </row>
    <row r="30" ht="15.0" customHeight="1">
      <c r="B30" s="4" t="s">
        <v>235</v>
      </c>
      <c r="D30" s="309"/>
      <c r="E30" s="310"/>
      <c r="F30" s="314"/>
      <c r="G30" s="309"/>
      <c r="H30" s="310"/>
      <c r="I30" s="314"/>
      <c r="J30" s="309"/>
      <c r="K30" s="310"/>
      <c r="L30" s="314"/>
      <c r="M30" s="309"/>
      <c r="N30" s="310"/>
      <c r="O30" s="314"/>
      <c r="P30" s="309"/>
      <c r="Q30" s="310"/>
      <c r="R30" s="314"/>
      <c r="S30" s="309"/>
      <c r="T30" s="310"/>
      <c r="U30" s="314"/>
      <c r="V30" s="309"/>
      <c r="W30" s="310"/>
      <c r="X30" s="314"/>
      <c r="Y30" s="309"/>
      <c r="Z30" s="310"/>
      <c r="AA30" s="314"/>
      <c r="AB30" s="309"/>
      <c r="AC30" s="310"/>
      <c r="AD30" s="314"/>
      <c r="AE30" s="309"/>
      <c r="AF30" s="310"/>
      <c r="AG30" s="314"/>
      <c r="AH30" s="309"/>
      <c r="AI30" s="310"/>
      <c r="AJ30" s="314"/>
      <c r="AK30" s="309"/>
      <c r="AL30" s="310"/>
      <c r="AM30" s="314"/>
      <c r="AN30" s="309"/>
      <c r="AO30" s="310"/>
      <c r="AP30" s="314"/>
      <c r="AQ30" s="309"/>
      <c r="AR30" s="310"/>
      <c r="AS30" s="314"/>
    </row>
    <row r="31" ht="15.0" customHeight="1">
      <c r="D31" s="312"/>
      <c r="E31" s="313"/>
      <c r="F31" s="305"/>
      <c r="G31" s="312"/>
      <c r="H31" s="313"/>
      <c r="I31" s="305"/>
      <c r="J31" s="312"/>
      <c r="K31" s="313"/>
      <c r="L31" s="305"/>
      <c r="M31" s="312"/>
      <c r="N31" s="313"/>
      <c r="O31" s="305"/>
      <c r="P31" s="312"/>
      <c r="Q31" s="313"/>
      <c r="R31" s="305"/>
      <c r="S31" s="312"/>
      <c r="T31" s="313"/>
      <c r="U31" s="305"/>
      <c r="V31" s="312"/>
      <c r="W31" s="313"/>
      <c r="X31" s="305"/>
      <c r="Y31" s="312"/>
      <c r="Z31" s="313"/>
      <c r="AA31" s="305"/>
      <c r="AB31" s="312"/>
      <c r="AC31" s="313"/>
      <c r="AD31" s="305"/>
      <c r="AE31" s="312"/>
      <c r="AF31" s="313"/>
      <c r="AG31" s="305"/>
      <c r="AH31" s="312"/>
      <c r="AI31" s="313"/>
      <c r="AJ31" s="305"/>
      <c r="AK31" s="312"/>
      <c r="AL31" s="313"/>
      <c r="AM31" s="305"/>
      <c r="AN31" s="312"/>
      <c r="AO31" s="313"/>
      <c r="AP31" s="305"/>
      <c r="AQ31" s="312"/>
      <c r="AR31" s="313"/>
      <c r="AS31" s="305"/>
    </row>
    <row r="32" ht="12.0" customHeight="1">
      <c r="B32" s="122" t="s">
        <v>236</v>
      </c>
      <c r="C32" s="29"/>
      <c r="D32" s="30"/>
      <c r="E32" s="31"/>
      <c r="F32" s="32"/>
      <c r="G32" s="30"/>
      <c r="H32" s="31"/>
      <c r="I32" s="32"/>
      <c r="J32" s="30"/>
      <c r="K32" s="31"/>
      <c r="L32" s="32"/>
      <c r="M32" s="30"/>
      <c r="N32" s="31"/>
      <c r="O32" s="32"/>
      <c r="P32" s="30"/>
      <c r="Q32" s="31"/>
      <c r="R32" s="32"/>
      <c r="S32" s="30"/>
      <c r="T32" s="31"/>
      <c r="U32" s="32"/>
      <c r="V32" s="30"/>
      <c r="W32" s="31"/>
      <c r="X32" s="32"/>
      <c r="Y32" s="30"/>
      <c r="Z32" s="31"/>
      <c r="AA32" s="32"/>
      <c r="AB32" s="30"/>
      <c r="AC32" s="31"/>
      <c r="AD32" s="32"/>
      <c r="AE32" s="30"/>
      <c r="AF32" s="31"/>
      <c r="AG32" s="32"/>
      <c r="AH32" s="30"/>
      <c r="AI32" s="31"/>
      <c r="AJ32" s="32"/>
      <c r="AK32" s="30"/>
      <c r="AL32" s="31"/>
      <c r="AM32" s="32"/>
      <c r="AN32" s="30"/>
      <c r="AO32" s="31"/>
      <c r="AP32" s="32"/>
      <c r="AQ32" s="30"/>
      <c r="AR32" s="31"/>
      <c r="AS32" s="32"/>
    </row>
    <row r="33" ht="12.0" customHeight="1">
      <c r="B33" s="8" t="s">
        <v>237</v>
      </c>
      <c r="D33" s="64"/>
      <c r="E33" s="4"/>
      <c r="F33" s="65"/>
      <c r="G33" s="64"/>
      <c r="H33" s="4"/>
      <c r="I33" s="65"/>
      <c r="J33" s="64"/>
      <c r="K33" s="4"/>
      <c r="L33" s="65"/>
      <c r="M33" s="64"/>
      <c r="N33" s="4"/>
      <c r="O33" s="65"/>
      <c r="P33" s="64"/>
      <c r="Q33" s="4"/>
      <c r="R33" s="65"/>
      <c r="S33" s="64"/>
      <c r="T33" s="4"/>
      <c r="U33" s="65"/>
      <c r="V33" s="64"/>
      <c r="W33" s="4"/>
      <c r="X33" s="65"/>
      <c r="Y33" s="64"/>
      <c r="Z33" s="4"/>
      <c r="AA33" s="65"/>
      <c r="AB33" s="64"/>
      <c r="AC33" s="4"/>
      <c r="AD33" s="65"/>
      <c r="AE33" s="64"/>
      <c r="AF33" s="4"/>
      <c r="AG33" s="65"/>
      <c r="AH33" s="64"/>
      <c r="AI33" s="4"/>
      <c r="AJ33" s="65"/>
      <c r="AK33" s="64"/>
      <c r="AL33" s="4"/>
      <c r="AM33" s="65"/>
      <c r="AN33" s="64"/>
      <c r="AO33" s="4"/>
      <c r="AP33" s="65"/>
      <c r="AQ33" s="64"/>
      <c r="AR33" s="4"/>
      <c r="AS33" s="65"/>
    </row>
    <row r="34" ht="12.0" customHeight="1">
      <c r="C34" s="4" t="s">
        <v>88</v>
      </c>
      <c r="D34" s="34"/>
      <c r="E34" s="35"/>
      <c r="F34" s="36"/>
      <c r="G34" s="34"/>
      <c r="H34" s="35"/>
      <c r="I34" s="36"/>
      <c r="J34" s="34">
        <f>Team!J11</f>
        <v>303333.3333</v>
      </c>
      <c r="K34" s="35">
        <f>Team!K11</f>
        <v>303333.3333</v>
      </c>
      <c r="L34" s="36">
        <f>Team!L11</f>
        <v>378333.3333</v>
      </c>
      <c r="M34" s="34">
        <f>Team!M11</f>
        <v>395000</v>
      </c>
      <c r="N34" s="35">
        <f>Team!N11</f>
        <v>407500</v>
      </c>
      <c r="O34" s="36">
        <f>Team!O11</f>
        <v>432500</v>
      </c>
      <c r="P34" s="34">
        <f>Team!P11</f>
        <v>445833.3333</v>
      </c>
      <c r="Q34" s="35">
        <f>Team!Q11</f>
        <v>445833.3333</v>
      </c>
      <c r="R34" s="36">
        <f>Team!R11</f>
        <v>470833.3333</v>
      </c>
      <c r="S34" s="34">
        <f>Team!S11</f>
        <v>483333.3333</v>
      </c>
      <c r="T34" s="35">
        <f>Team!T11</f>
        <v>483333.3333</v>
      </c>
      <c r="U34" s="36">
        <f>Team!U11</f>
        <v>483333.3333</v>
      </c>
      <c r="V34" s="34">
        <f>Team!V11</f>
        <v>0</v>
      </c>
      <c r="W34" s="35">
        <f>Team!W11</f>
        <v>490000</v>
      </c>
      <c r="X34" s="36">
        <f>Team!X11</f>
        <v>490000</v>
      </c>
      <c r="Y34" s="34">
        <f>Team!Y11</f>
        <v>502500</v>
      </c>
      <c r="Z34" s="35">
        <f>Team!Z11</f>
        <v>515000</v>
      </c>
      <c r="AA34" s="36">
        <f>Team!AA11</f>
        <v>515000</v>
      </c>
      <c r="AB34" s="34">
        <f>Team!AB11</f>
        <v>528333.3333</v>
      </c>
      <c r="AC34" s="35">
        <f>Team!AC11</f>
        <v>528333.3333</v>
      </c>
      <c r="AD34" s="36">
        <f>Team!AD11</f>
        <v>528333.3333</v>
      </c>
      <c r="AE34" s="34">
        <f>Team!AE11</f>
        <v>540833.3333</v>
      </c>
      <c r="AF34" s="35">
        <f>Team!AF11</f>
        <v>540833.3333</v>
      </c>
      <c r="AG34" s="36">
        <f>Team!AG11</f>
        <v>540833.3333</v>
      </c>
      <c r="AH34" s="34">
        <f>Team!AH11</f>
        <v>0</v>
      </c>
      <c r="AI34" s="35">
        <f>Team!AI11</f>
        <v>593333.3333</v>
      </c>
      <c r="AJ34" s="36">
        <f>Team!AJ11</f>
        <v>593333.3333</v>
      </c>
      <c r="AK34" s="34">
        <f>Team!AK11</f>
        <v>605833.3333</v>
      </c>
      <c r="AL34" s="35">
        <f>Team!AL11</f>
        <v>605833.3333</v>
      </c>
      <c r="AM34" s="36">
        <f>Team!AM11</f>
        <v>605833.3333</v>
      </c>
      <c r="AN34" s="34">
        <f>Team!AN11</f>
        <v>631666.6667</v>
      </c>
      <c r="AO34" s="35">
        <f>Team!AO11</f>
        <v>631666.6667</v>
      </c>
      <c r="AP34" s="36">
        <f>Team!AP11</f>
        <v>631666.6667</v>
      </c>
      <c r="AQ34" s="34">
        <f>Team!AQ11</f>
        <v>644166.6667</v>
      </c>
      <c r="AR34" s="35">
        <f>Team!AR11</f>
        <v>644166.6667</v>
      </c>
      <c r="AS34" s="36">
        <f>Team!AS11</f>
        <v>644166.6667</v>
      </c>
    </row>
    <row r="35" ht="12.0" customHeight="1">
      <c r="B35" s="4"/>
      <c r="C35" s="4" t="s">
        <v>238</v>
      </c>
      <c r="D35" s="38"/>
      <c r="E35" s="39"/>
      <c r="F35" s="40"/>
      <c r="G35" s="38"/>
      <c r="H35" s="39"/>
      <c r="I35" s="40"/>
      <c r="J35" s="38">
        <f>Team!J342</f>
        <v>25600</v>
      </c>
      <c r="K35" s="39">
        <f>Team!K342</f>
        <v>25600</v>
      </c>
      <c r="L35" s="40">
        <f>Team!L342</f>
        <v>25600</v>
      </c>
      <c r="M35" s="38" t="str">
        <f>Team!M342</f>
        <v>#VALUE!</v>
      </c>
      <c r="N35" s="39" t="str">
        <f>Team!N342</f>
        <v>#VALUE!</v>
      </c>
      <c r="O35" s="40" t="str">
        <f>Team!O342</f>
        <v>#VALUE!</v>
      </c>
      <c r="P35" s="38" t="str">
        <f>Team!P342</f>
        <v>#VALUE!</v>
      </c>
      <c r="Q35" s="39" t="str">
        <f>Team!Q342</f>
        <v>#VALUE!</v>
      </c>
      <c r="R35" s="40" t="str">
        <f>Team!R342</f>
        <v>#VALUE!</v>
      </c>
      <c r="S35" s="38" t="str">
        <f>Team!S342</f>
        <v>#VALUE!</v>
      </c>
      <c r="T35" s="39" t="str">
        <f>Team!T342</f>
        <v>#VALUE!</v>
      </c>
      <c r="U35" s="40" t="str">
        <f>Team!U342</f>
        <v>#VALUE!</v>
      </c>
      <c r="V35" s="38" t="str">
        <f>Team!V342</f>
        <v>#VALUE!</v>
      </c>
      <c r="W35" s="39" t="str">
        <f>Team!W342</f>
        <v>#VALUE!</v>
      </c>
      <c r="X35" s="40" t="str">
        <f>Team!X342</f>
        <v>#VALUE!</v>
      </c>
      <c r="Y35" s="38" t="str">
        <f>Team!Y342</f>
        <v>#VALUE!</v>
      </c>
      <c r="Z35" s="39" t="str">
        <f>Team!Z342</f>
        <v>#VALUE!</v>
      </c>
      <c r="AA35" s="40" t="str">
        <f>Team!AA342</f>
        <v>#VALUE!</v>
      </c>
      <c r="AB35" s="38" t="str">
        <f>Team!AB342</f>
        <v>#VALUE!</v>
      </c>
      <c r="AC35" s="39" t="str">
        <f>Team!AC342</f>
        <v>#VALUE!</v>
      </c>
      <c r="AD35" s="40" t="str">
        <f>Team!AD342</f>
        <v>#VALUE!</v>
      </c>
      <c r="AE35" s="38" t="str">
        <f>Team!AE342</f>
        <v>#VALUE!</v>
      </c>
      <c r="AF35" s="39" t="str">
        <f>Team!AF342</f>
        <v>#VALUE!</v>
      </c>
      <c r="AG35" s="40" t="str">
        <f>Team!AG342</f>
        <v>#VALUE!</v>
      </c>
      <c r="AH35" s="38" t="str">
        <f>Team!AH342</f>
        <v>#VALUE!</v>
      </c>
      <c r="AI35" s="39" t="str">
        <f>Team!AI342</f>
        <v>#VALUE!</v>
      </c>
      <c r="AJ35" s="40" t="str">
        <f>Team!AJ342</f>
        <v>#VALUE!</v>
      </c>
      <c r="AK35" s="38" t="str">
        <f>Team!AK342</f>
        <v>#VALUE!</v>
      </c>
      <c r="AL35" s="39" t="str">
        <f>Team!AL342</f>
        <v>#VALUE!</v>
      </c>
      <c r="AM35" s="40" t="str">
        <f>Team!AM342</f>
        <v>#VALUE!</v>
      </c>
      <c r="AN35" s="38" t="str">
        <f>Team!AN342</f>
        <v>#VALUE!</v>
      </c>
      <c r="AO35" s="39" t="str">
        <f>Team!AO342</f>
        <v>#VALUE!</v>
      </c>
      <c r="AP35" s="40" t="str">
        <f>Team!AP342</f>
        <v>#VALUE!</v>
      </c>
      <c r="AQ35" s="38" t="str">
        <f>Team!AQ342</f>
        <v>#VALUE!</v>
      </c>
      <c r="AR35" s="39" t="str">
        <f>Team!AR342</f>
        <v>#VALUE!</v>
      </c>
      <c r="AS35" s="40" t="str">
        <f>Team!AS342</f>
        <v>#VALUE!</v>
      </c>
    </row>
    <row r="36" ht="12.0" customHeight="1">
      <c r="C36" s="47" t="s">
        <v>83</v>
      </c>
      <c r="D36" s="48"/>
      <c r="E36" s="49"/>
      <c r="F36" s="50"/>
      <c r="G36" s="48"/>
      <c r="H36" s="49"/>
      <c r="I36" s="50"/>
      <c r="J36" s="48">
        <f>Macro!$D$50*(J34+(1-Macro!$D$51)*Expenses!J35)</f>
        <v>65786.66667</v>
      </c>
      <c r="K36" s="49">
        <f>Macro!$D$50*(K34+(1-Macro!$D$51)*Expenses!K35)</f>
        <v>65786.66667</v>
      </c>
      <c r="L36" s="50">
        <f>Macro!$D$50*(L34+(1-Macro!$D$51)*Expenses!L35)</f>
        <v>80786.66667</v>
      </c>
      <c r="M36" s="48" t="str">
        <f>Macro!$D$50*(M34+(1-Macro!$D$51)*Expenses!M35)</f>
        <v>#VALUE!</v>
      </c>
      <c r="N36" s="49" t="str">
        <f>Macro!$D$50*(N34+(1-Macro!$D$51)*Expenses!N35)</f>
        <v>#VALUE!</v>
      </c>
      <c r="O36" s="50" t="str">
        <f>Macro!$D$50*(O34+(1-Macro!$D$51)*Expenses!O35)</f>
        <v>#VALUE!</v>
      </c>
      <c r="P36" s="48" t="str">
        <f>Macro!$D$50*(P34+(1-Macro!$D$51)*Expenses!P35)</f>
        <v>#VALUE!</v>
      </c>
      <c r="Q36" s="49" t="str">
        <f>Macro!$D$50*(Q34+(1-Macro!$D$51)*Expenses!Q35)</f>
        <v>#VALUE!</v>
      </c>
      <c r="R36" s="50" t="str">
        <f>Macro!$D$50*(R34+(1-Macro!$D$51)*Expenses!R35)</f>
        <v>#VALUE!</v>
      </c>
      <c r="S36" s="48" t="str">
        <f>Macro!$D$50*(S34+(1-Macro!$D$51)*Expenses!S35)</f>
        <v>#VALUE!</v>
      </c>
      <c r="T36" s="49" t="str">
        <f>Macro!$D$50*(T34+(1-Macro!$D$51)*Expenses!T35)</f>
        <v>#VALUE!</v>
      </c>
      <c r="U36" s="50" t="str">
        <f>Macro!$D$50*(U34+(1-Macro!$D$51)*Expenses!U35)</f>
        <v>#VALUE!</v>
      </c>
      <c r="V36" s="48" t="str">
        <f>Macro!$D$50*(V34+(1-Macro!$D$51)*Expenses!V35)</f>
        <v>#VALUE!</v>
      </c>
      <c r="W36" s="49" t="str">
        <f>Macro!$D$50*(W34+(1-Macro!$D$51)*Expenses!W35)</f>
        <v>#VALUE!</v>
      </c>
      <c r="X36" s="50" t="str">
        <f>Macro!$D$50*(X34+(1-Macro!$D$51)*Expenses!X35)</f>
        <v>#VALUE!</v>
      </c>
      <c r="Y36" s="48" t="str">
        <f>Macro!$D$50*(Y34+(1-Macro!$D$51)*Expenses!Y35)</f>
        <v>#VALUE!</v>
      </c>
      <c r="Z36" s="49" t="str">
        <f>Macro!$D$50*(Z34+(1-Macro!$D$51)*Expenses!Z35)</f>
        <v>#VALUE!</v>
      </c>
      <c r="AA36" s="50" t="str">
        <f>Macro!$D$50*(AA34+(1-Macro!$D$51)*Expenses!AA35)</f>
        <v>#VALUE!</v>
      </c>
      <c r="AB36" s="48" t="str">
        <f>Macro!$D$50*(AB34+(1-Macro!$D$51)*Expenses!AB35)</f>
        <v>#VALUE!</v>
      </c>
      <c r="AC36" s="49" t="str">
        <f>Macro!$D$50*(AC34+(1-Macro!$D$51)*Expenses!AC35)</f>
        <v>#VALUE!</v>
      </c>
      <c r="AD36" s="50" t="str">
        <f>Macro!$D$50*(AD34+(1-Macro!$D$51)*Expenses!AD35)</f>
        <v>#VALUE!</v>
      </c>
      <c r="AE36" s="48" t="str">
        <f>Macro!$D$50*(AE34+(1-Macro!$D$51)*Expenses!AE35)</f>
        <v>#VALUE!</v>
      </c>
      <c r="AF36" s="49" t="str">
        <f>Macro!$D$50*(AF34+(1-Macro!$D$51)*Expenses!AF35)</f>
        <v>#VALUE!</v>
      </c>
      <c r="AG36" s="50" t="str">
        <f>Macro!$D$50*(AG34+(1-Macro!$D$51)*Expenses!AG35)</f>
        <v>#VALUE!</v>
      </c>
      <c r="AH36" s="48" t="str">
        <f>Macro!$D$50*(AH34+(1-Macro!$D$51)*Expenses!AH35)</f>
        <v>#VALUE!</v>
      </c>
      <c r="AI36" s="49" t="str">
        <f>Macro!$D$50*(AI34+(1-Macro!$D$51)*Expenses!AI35)</f>
        <v>#VALUE!</v>
      </c>
      <c r="AJ36" s="50" t="str">
        <f>Macro!$D$50*(AJ34+(1-Macro!$D$51)*Expenses!AJ35)</f>
        <v>#VALUE!</v>
      </c>
      <c r="AK36" s="48" t="str">
        <f>Macro!$D$50*(AK34+(1-Macro!$D$51)*Expenses!AK35)</f>
        <v>#VALUE!</v>
      </c>
      <c r="AL36" s="49" t="str">
        <f>Macro!$D$50*(AL34+(1-Macro!$D$51)*Expenses!AL35)</f>
        <v>#VALUE!</v>
      </c>
      <c r="AM36" s="50" t="str">
        <f>Macro!$D$50*(AM34+(1-Macro!$D$51)*Expenses!AM35)</f>
        <v>#VALUE!</v>
      </c>
      <c r="AN36" s="48" t="str">
        <f>Macro!$D$50*(AN34+(1-Macro!$D$51)*Expenses!AN35)</f>
        <v>#VALUE!</v>
      </c>
      <c r="AO36" s="49" t="str">
        <f>Macro!$D$50*(AO34+(1-Macro!$D$51)*Expenses!AO35)</f>
        <v>#VALUE!</v>
      </c>
      <c r="AP36" s="50" t="str">
        <f>Macro!$D$50*(AP34+(1-Macro!$D$51)*Expenses!AP35)</f>
        <v>#VALUE!</v>
      </c>
      <c r="AQ36" s="48" t="str">
        <f>Macro!$D$50*(AQ34+(1-Macro!$D$51)*Expenses!AQ35)</f>
        <v>#VALUE!</v>
      </c>
      <c r="AR36" s="49" t="str">
        <f>Macro!$D$50*(AR34+(1-Macro!$D$51)*Expenses!AR35)</f>
        <v>#VALUE!</v>
      </c>
      <c r="AS36" s="50" t="str">
        <f>Macro!$D$50*(AS34+(1-Macro!$D$51)*Expenses!AS35)</f>
        <v>#VALUE!</v>
      </c>
    </row>
    <row r="37" ht="12.0" customHeight="1">
      <c r="B37" s="8"/>
      <c r="C37" s="8" t="s">
        <v>73</v>
      </c>
      <c r="D37" s="51"/>
      <c r="E37" s="52"/>
      <c r="F37" s="53"/>
      <c r="G37" s="51"/>
      <c r="H37" s="52"/>
      <c r="I37" s="53"/>
      <c r="J37" s="51">
        <f t="shared" ref="J37:AS37" si="10">SUM(J34:J36)</f>
        <v>394720</v>
      </c>
      <c r="K37" s="52">
        <f t="shared" si="10"/>
        <v>394720</v>
      </c>
      <c r="L37" s="53">
        <f t="shared" si="10"/>
        <v>484720</v>
      </c>
      <c r="M37" s="51" t="str">
        <f t="shared" si="10"/>
        <v>#VALUE!</v>
      </c>
      <c r="N37" s="52" t="str">
        <f t="shared" si="10"/>
        <v>#VALUE!</v>
      </c>
      <c r="O37" s="53" t="str">
        <f t="shared" si="10"/>
        <v>#VALUE!</v>
      </c>
      <c r="P37" s="51" t="str">
        <f t="shared" si="10"/>
        <v>#VALUE!</v>
      </c>
      <c r="Q37" s="52" t="str">
        <f t="shared" si="10"/>
        <v>#VALUE!</v>
      </c>
      <c r="R37" s="53" t="str">
        <f t="shared" si="10"/>
        <v>#VALUE!</v>
      </c>
      <c r="S37" s="51" t="str">
        <f t="shared" si="10"/>
        <v>#VALUE!</v>
      </c>
      <c r="T37" s="52" t="str">
        <f t="shared" si="10"/>
        <v>#VALUE!</v>
      </c>
      <c r="U37" s="53" t="str">
        <f t="shared" si="10"/>
        <v>#VALUE!</v>
      </c>
      <c r="V37" s="51" t="str">
        <f t="shared" si="10"/>
        <v>#VALUE!</v>
      </c>
      <c r="W37" s="52" t="str">
        <f t="shared" si="10"/>
        <v>#VALUE!</v>
      </c>
      <c r="X37" s="53" t="str">
        <f t="shared" si="10"/>
        <v>#VALUE!</v>
      </c>
      <c r="Y37" s="51" t="str">
        <f t="shared" si="10"/>
        <v>#VALUE!</v>
      </c>
      <c r="Z37" s="52" t="str">
        <f t="shared" si="10"/>
        <v>#VALUE!</v>
      </c>
      <c r="AA37" s="53" t="str">
        <f t="shared" si="10"/>
        <v>#VALUE!</v>
      </c>
      <c r="AB37" s="51" t="str">
        <f t="shared" si="10"/>
        <v>#VALUE!</v>
      </c>
      <c r="AC37" s="52" t="str">
        <f t="shared" si="10"/>
        <v>#VALUE!</v>
      </c>
      <c r="AD37" s="53" t="str">
        <f t="shared" si="10"/>
        <v>#VALUE!</v>
      </c>
      <c r="AE37" s="51" t="str">
        <f t="shared" si="10"/>
        <v>#VALUE!</v>
      </c>
      <c r="AF37" s="52" t="str">
        <f t="shared" si="10"/>
        <v>#VALUE!</v>
      </c>
      <c r="AG37" s="53" t="str">
        <f t="shared" si="10"/>
        <v>#VALUE!</v>
      </c>
      <c r="AH37" s="51" t="str">
        <f t="shared" si="10"/>
        <v>#VALUE!</v>
      </c>
      <c r="AI37" s="52" t="str">
        <f t="shared" si="10"/>
        <v>#VALUE!</v>
      </c>
      <c r="AJ37" s="53" t="str">
        <f t="shared" si="10"/>
        <v>#VALUE!</v>
      </c>
      <c r="AK37" s="51" t="str">
        <f t="shared" si="10"/>
        <v>#VALUE!</v>
      </c>
      <c r="AL37" s="52" t="str">
        <f t="shared" si="10"/>
        <v>#VALUE!</v>
      </c>
      <c r="AM37" s="53" t="str">
        <f t="shared" si="10"/>
        <v>#VALUE!</v>
      </c>
      <c r="AN37" s="51" t="str">
        <f t="shared" si="10"/>
        <v>#VALUE!</v>
      </c>
      <c r="AO37" s="52" t="str">
        <f t="shared" si="10"/>
        <v>#VALUE!</v>
      </c>
      <c r="AP37" s="53" t="str">
        <f t="shared" si="10"/>
        <v>#VALUE!</v>
      </c>
      <c r="AQ37" s="51" t="str">
        <f t="shared" si="10"/>
        <v>#VALUE!</v>
      </c>
      <c r="AR37" s="52" t="str">
        <f t="shared" si="10"/>
        <v>#VALUE!</v>
      </c>
      <c r="AS37" s="53" t="str">
        <f t="shared" si="10"/>
        <v>#VALUE!</v>
      </c>
    </row>
    <row r="38" ht="12.0" customHeight="1">
      <c r="A38" s="8"/>
      <c r="D38" s="64"/>
      <c r="E38" s="4"/>
      <c r="F38" s="65"/>
      <c r="G38" s="64"/>
      <c r="H38" s="4"/>
      <c r="I38" s="65"/>
      <c r="J38" s="64"/>
      <c r="K38" s="4"/>
      <c r="L38" s="65"/>
      <c r="M38" s="64"/>
      <c r="N38" s="4"/>
      <c r="O38" s="65"/>
      <c r="P38" s="64"/>
      <c r="Q38" s="4"/>
      <c r="R38" s="65"/>
      <c r="S38" s="64"/>
      <c r="T38" s="4"/>
      <c r="U38" s="65"/>
      <c r="V38" s="64"/>
      <c r="W38" s="4"/>
      <c r="X38" s="65"/>
      <c r="Y38" s="64"/>
      <c r="Z38" s="4"/>
      <c r="AA38" s="65"/>
      <c r="AB38" s="64"/>
      <c r="AC38" s="4"/>
      <c r="AD38" s="65"/>
      <c r="AE38" s="64"/>
      <c r="AF38" s="4"/>
      <c r="AG38" s="65"/>
      <c r="AH38" s="64"/>
      <c r="AI38" s="4"/>
      <c r="AJ38" s="65"/>
      <c r="AK38" s="64"/>
      <c r="AL38" s="4"/>
      <c r="AM38" s="65"/>
      <c r="AN38" s="64"/>
      <c r="AO38" s="4"/>
      <c r="AP38" s="65"/>
      <c r="AQ38" s="64"/>
      <c r="AR38" s="4"/>
      <c r="AS38" s="65"/>
    </row>
    <row r="39" ht="12.0" customHeight="1">
      <c r="A39" s="8"/>
      <c r="B39" s="8" t="s">
        <v>139</v>
      </c>
      <c r="D39" s="64"/>
      <c r="E39" s="4"/>
      <c r="F39" s="65"/>
      <c r="G39" s="64"/>
      <c r="H39" s="4"/>
      <c r="I39" s="65"/>
      <c r="J39" s="64"/>
      <c r="K39" s="4"/>
      <c r="L39" s="65"/>
      <c r="M39" s="64"/>
      <c r="N39" s="4"/>
      <c r="O39" s="65"/>
      <c r="P39" s="64"/>
      <c r="Q39" s="4"/>
      <c r="R39" s="65"/>
      <c r="S39" s="64"/>
      <c r="T39" s="4"/>
      <c r="U39" s="65"/>
      <c r="V39" s="64"/>
      <c r="W39" s="4"/>
      <c r="X39" s="65"/>
      <c r="Y39" s="64"/>
      <c r="Z39" s="4"/>
      <c r="AA39" s="65"/>
      <c r="AB39" s="64"/>
      <c r="AC39" s="4"/>
      <c r="AD39" s="65"/>
      <c r="AE39" s="64"/>
      <c r="AF39" s="4"/>
      <c r="AG39" s="65"/>
      <c r="AH39" s="64"/>
      <c r="AI39" s="4"/>
      <c r="AJ39" s="65"/>
      <c r="AK39" s="64"/>
      <c r="AL39" s="4"/>
      <c r="AM39" s="65"/>
      <c r="AN39" s="64"/>
      <c r="AO39" s="4"/>
      <c r="AP39" s="65"/>
      <c r="AQ39" s="64"/>
      <c r="AR39" s="4"/>
      <c r="AS39" s="65"/>
    </row>
    <row r="40" ht="12.0" customHeight="1">
      <c r="A40" s="8"/>
      <c r="C40" s="4" t="s">
        <v>239</v>
      </c>
      <c r="D40" s="64"/>
      <c r="E40" s="4"/>
      <c r="F40" s="65"/>
      <c r="G40" s="64"/>
      <c r="H40" s="4"/>
      <c r="I40" s="65"/>
      <c r="J40" s="64"/>
      <c r="K40" s="4"/>
      <c r="L40" s="65"/>
      <c r="M40" s="64"/>
      <c r="N40" s="4"/>
      <c r="O40" s="65"/>
      <c r="P40" s="64"/>
      <c r="Q40" s="4"/>
      <c r="R40" s="65"/>
      <c r="S40" s="64"/>
      <c r="T40" s="4"/>
      <c r="U40" s="65"/>
      <c r="V40" s="64"/>
      <c r="W40" s="4"/>
      <c r="X40" s="65"/>
      <c r="Y40" s="64"/>
      <c r="Z40" s="4"/>
      <c r="AA40" s="65"/>
      <c r="AB40" s="64"/>
      <c r="AC40" s="4"/>
      <c r="AD40" s="65"/>
      <c r="AE40" s="64"/>
      <c r="AF40" s="4"/>
      <c r="AG40" s="65"/>
      <c r="AH40" s="64"/>
      <c r="AI40" s="4"/>
      <c r="AJ40" s="65"/>
      <c r="AK40" s="64"/>
      <c r="AL40" s="4"/>
      <c r="AM40" s="65"/>
      <c r="AN40" s="64"/>
      <c r="AO40" s="4"/>
      <c r="AP40" s="65"/>
      <c r="AQ40" s="64"/>
      <c r="AR40" s="4"/>
      <c r="AS40" s="65"/>
    </row>
    <row r="41" ht="12.0" customHeight="1">
      <c r="A41" s="8"/>
      <c r="C41" s="315" t="str">
        <f>Macro!B151</f>
        <v>Accounting &amp; Payroll</v>
      </c>
      <c r="D41" s="34"/>
      <c r="E41" s="35"/>
      <c r="F41" s="36"/>
      <c r="G41" s="34"/>
      <c r="H41" s="35"/>
      <c r="I41" s="36"/>
      <c r="J41" s="34">
        <f>Macro!$D151</f>
        <v>2000</v>
      </c>
      <c r="K41" s="35">
        <f>Macro!$D151</f>
        <v>2000</v>
      </c>
      <c r="L41" s="36">
        <f>Macro!$D151</f>
        <v>2000</v>
      </c>
      <c r="M41" s="34">
        <f>Macro!$D151</f>
        <v>2000</v>
      </c>
      <c r="N41" s="35">
        <f>Macro!$D151</f>
        <v>2000</v>
      </c>
      <c r="O41" s="36">
        <f>Macro!$D151</f>
        <v>2000</v>
      </c>
      <c r="P41" s="34">
        <f>Macro!$D151</f>
        <v>2000</v>
      </c>
      <c r="Q41" s="35">
        <f>Macro!$D151</f>
        <v>2000</v>
      </c>
      <c r="R41" s="36">
        <f>Macro!$D151</f>
        <v>2000</v>
      </c>
      <c r="S41" s="34">
        <f>Macro!$D151</f>
        <v>2000</v>
      </c>
      <c r="T41" s="35">
        <f>Macro!$D151</f>
        <v>2000</v>
      </c>
      <c r="U41" s="36">
        <f>Macro!$D151</f>
        <v>2000</v>
      </c>
      <c r="V41" s="34">
        <f>Macro!$D151</f>
        <v>2000</v>
      </c>
      <c r="W41" s="35">
        <f>Macro!$D151</f>
        <v>2000</v>
      </c>
      <c r="X41" s="36">
        <f>Macro!$D151</f>
        <v>2000</v>
      </c>
      <c r="Y41" s="34">
        <f>Macro!$D151</f>
        <v>2000</v>
      </c>
      <c r="Z41" s="35">
        <f>Macro!$D151</f>
        <v>2000</v>
      </c>
      <c r="AA41" s="36">
        <f>Macro!$D151</f>
        <v>2000</v>
      </c>
      <c r="AB41" s="34">
        <f>Macro!$D151</f>
        <v>2000</v>
      </c>
      <c r="AC41" s="35">
        <f>Macro!$D151</f>
        <v>2000</v>
      </c>
      <c r="AD41" s="36">
        <f>Macro!$D151</f>
        <v>2000</v>
      </c>
      <c r="AE41" s="34">
        <f>Macro!$D151</f>
        <v>2000</v>
      </c>
      <c r="AF41" s="35">
        <f>Macro!$D151</f>
        <v>2000</v>
      </c>
      <c r="AG41" s="36">
        <f>Macro!$D151</f>
        <v>2000</v>
      </c>
      <c r="AH41" s="34">
        <f>Macro!$D151</f>
        <v>2000</v>
      </c>
      <c r="AI41" s="35">
        <f>Macro!$D151</f>
        <v>2000</v>
      </c>
      <c r="AJ41" s="36">
        <f>Macro!$D151</f>
        <v>2000</v>
      </c>
      <c r="AK41" s="34">
        <f>Macro!$D151</f>
        <v>2000</v>
      </c>
      <c r="AL41" s="35">
        <f>Macro!$D151</f>
        <v>2000</v>
      </c>
      <c r="AM41" s="36">
        <f>Macro!$D151</f>
        <v>2000</v>
      </c>
      <c r="AN41" s="34">
        <f>Macro!$D151</f>
        <v>2000</v>
      </c>
      <c r="AO41" s="35">
        <f>Macro!$D151</f>
        <v>2000</v>
      </c>
      <c r="AP41" s="36">
        <f>Macro!$D151</f>
        <v>2000</v>
      </c>
      <c r="AQ41" s="34">
        <f>Macro!$D151</f>
        <v>2000</v>
      </c>
      <c r="AR41" s="35">
        <f>Macro!$D151</f>
        <v>2000</v>
      </c>
      <c r="AS41" s="36">
        <f>Macro!$D151</f>
        <v>2000</v>
      </c>
    </row>
    <row r="42" ht="12.0" customHeight="1">
      <c r="A42" s="8"/>
      <c r="C42" s="315" t="str">
        <f>Macro!B152</f>
        <v>Audit &amp; Tax</v>
      </c>
      <c r="D42" s="34"/>
      <c r="E42" s="35"/>
      <c r="F42" s="36"/>
      <c r="G42" s="34"/>
      <c r="H42" s="35"/>
      <c r="I42" s="36"/>
      <c r="J42" s="34">
        <f>Macro!$D152</f>
        <v>5000</v>
      </c>
      <c r="K42" s="35">
        <f>Macro!$D152</f>
        <v>5000</v>
      </c>
      <c r="L42" s="36">
        <f>Macro!$D152</f>
        <v>5000</v>
      </c>
      <c r="M42" s="34">
        <f>Macro!$D152</f>
        <v>5000</v>
      </c>
      <c r="N42" s="35">
        <f>Macro!$D152</f>
        <v>5000</v>
      </c>
      <c r="O42" s="36">
        <f>Macro!$D152</f>
        <v>5000</v>
      </c>
      <c r="P42" s="34">
        <f>Macro!$D152</f>
        <v>5000</v>
      </c>
      <c r="Q42" s="35">
        <f>Macro!$D152</f>
        <v>5000</v>
      </c>
      <c r="R42" s="36">
        <f>Macro!$D152</f>
        <v>5000</v>
      </c>
      <c r="S42" s="34">
        <f>Macro!$D152</f>
        <v>5000</v>
      </c>
      <c r="T42" s="35">
        <f>Macro!$D152</f>
        <v>5000</v>
      </c>
      <c r="U42" s="36">
        <f>Macro!$D152</f>
        <v>5000</v>
      </c>
      <c r="V42" s="34">
        <f>Macro!$D152</f>
        <v>5000</v>
      </c>
      <c r="W42" s="35">
        <f>Macro!$D152</f>
        <v>5000</v>
      </c>
      <c r="X42" s="36">
        <f>Macro!$D152</f>
        <v>5000</v>
      </c>
      <c r="Y42" s="34">
        <f>Macro!$D152</f>
        <v>5000</v>
      </c>
      <c r="Z42" s="35">
        <f>Macro!$D152</f>
        <v>5000</v>
      </c>
      <c r="AA42" s="36">
        <f>Macro!$D152</f>
        <v>5000</v>
      </c>
      <c r="AB42" s="34">
        <f>Macro!$D152</f>
        <v>5000</v>
      </c>
      <c r="AC42" s="35">
        <f>Macro!$D152</f>
        <v>5000</v>
      </c>
      <c r="AD42" s="36">
        <f>Macro!$D152</f>
        <v>5000</v>
      </c>
      <c r="AE42" s="34">
        <f>Macro!$D152</f>
        <v>5000</v>
      </c>
      <c r="AF42" s="35">
        <f>Macro!$D152</f>
        <v>5000</v>
      </c>
      <c r="AG42" s="36">
        <f>Macro!$D152</f>
        <v>5000</v>
      </c>
      <c r="AH42" s="34">
        <f>Macro!$D152</f>
        <v>5000</v>
      </c>
      <c r="AI42" s="35">
        <f>Macro!$D152</f>
        <v>5000</v>
      </c>
      <c r="AJ42" s="36">
        <f>Macro!$D152</f>
        <v>5000</v>
      </c>
      <c r="AK42" s="34">
        <f>Macro!$D152</f>
        <v>5000</v>
      </c>
      <c r="AL42" s="35">
        <f>Macro!$D152</f>
        <v>5000</v>
      </c>
      <c r="AM42" s="36">
        <f>Macro!$D152</f>
        <v>5000</v>
      </c>
      <c r="AN42" s="34">
        <f>Macro!$D152</f>
        <v>5000</v>
      </c>
      <c r="AO42" s="35">
        <f>Macro!$D152</f>
        <v>5000</v>
      </c>
      <c r="AP42" s="36">
        <f>Macro!$D152</f>
        <v>5000</v>
      </c>
      <c r="AQ42" s="34">
        <f>Macro!$D152</f>
        <v>5000</v>
      </c>
      <c r="AR42" s="35">
        <f>Macro!$D152</f>
        <v>5000</v>
      </c>
      <c r="AS42" s="36">
        <f>Macro!$D152</f>
        <v>5000</v>
      </c>
    </row>
    <row r="43" ht="12.0" customHeight="1">
      <c r="A43" s="8"/>
      <c r="C43" s="315" t="str">
        <f>Macro!B153</f>
        <v>Outsource Engineers</v>
      </c>
      <c r="D43" s="34"/>
      <c r="E43" s="35"/>
      <c r="F43" s="36"/>
      <c r="G43" s="34"/>
      <c r="H43" s="35"/>
      <c r="I43" s="36"/>
      <c r="J43" s="34">
        <f>Macro!$D153*J53/12</f>
        <v>20000</v>
      </c>
      <c r="K43" s="35">
        <f>Macro!$D153*K53/12</f>
        <v>20000</v>
      </c>
      <c r="L43" s="36">
        <f>Macro!$D153*L53/12</f>
        <v>20000</v>
      </c>
      <c r="M43" s="34">
        <f>Macro!$D153*M53/12</f>
        <v>35000</v>
      </c>
      <c r="N43" s="35">
        <f>Macro!$D153*N53/12</f>
        <v>35000</v>
      </c>
      <c r="O43" s="36">
        <f>Macro!$D153*O53/12</f>
        <v>35000</v>
      </c>
      <c r="P43" s="34">
        <f>Macro!$D153*P53/12</f>
        <v>35000</v>
      </c>
      <c r="Q43" s="35">
        <f>Macro!$D153*Q53/12</f>
        <v>35000</v>
      </c>
      <c r="R43" s="36">
        <f>Macro!$D153*R53/12</f>
        <v>35000</v>
      </c>
      <c r="S43" s="34">
        <f>Macro!$D153*S53/12</f>
        <v>35000</v>
      </c>
      <c r="T43" s="35">
        <f>Macro!$D153*T53/12</f>
        <v>35000</v>
      </c>
      <c r="U43" s="36">
        <f>Macro!$D153*U53/12</f>
        <v>35000</v>
      </c>
      <c r="V43" s="34">
        <f>Macro!$D153*V53/12</f>
        <v>35000</v>
      </c>
      <c r="W43" s="35">
        <f>Macro!$D153*W53/12</f>
        <v>35000</v>
      </c>
      <c r="X43" s="36">
        <f>Macro!$D153*X53/12</f>
        <v>35000</v>
      </c>
      <c r="Y43" s="34">
        <f>Macro!$D153*Y53/12</f>
        <v>35000</v>
      </c>
      <c r="Z43" s="35">
        <f>Macro!$D153*Z53/12</f>
        <v>35000</v>
      </c>
      <c r="AA43" s="36">
        <f>Macro!$D153*AA53/12</f>
        <v>35000</v>
      </c>
      <c r="AB43" s="34">
        <f>Macro!$D153*AB53/12</f>
        <v>35000</v>
      </c>
      <c r="AC43" s="35">
        <f>Macro!$D153*AC53/12</f>
        <v>35000</v>
      </c>
      <c r="AD43" s="36">
        <f>Macro!$D153*AD53/12</f>
        <v>35000</v>
      </c>
      <c r="AE43" s="34">
        <f>Macro!$D153*AE53/12</f>
        <v>35000</v>
      </c>
      <c r="AF43" s="35">
        <f>Macro!$D153*AF53/12</f>
        <v>35000</v>
      </c>
      <c r="AG43" s="36">
        <f>Macro!$D153*AG53/12</f>
        <v>35000</v>
      </c>
      <c r="AH43" s="34">
        <f>Macro!$D153*AH53/12</f>
        <v>35000</v>
      </c>
      <c r="AI43" s="35">
        <f>Macro!$D153*AI53/12</f>
        <v>35000</v>
      </c>
      <c r="AJ43" s="36">
        <f>Macro!$D153*AJ53/12</f>
        <v>35000</v>
      </c>
      <c r="AK43" s="34">
        <f>Macro!$D153*AK53/12</f>
        <v>35000</v>
      </c>
      <c r="AL43" s="35">
        <f>Macro!$D153*AL53/12</f>
        <v>35000</v>
      </c>
      <c r="AM43" s="36">
        <f>Macro!$D153*AM53/12</f>
        <v>35000</v>
      </c>
      <c r="AN43" s="34">
        <f>Macro!$D153*AN53/12</f>
        <v>35000</v>
      </c>
      <c r="AO43" s="35">
        <f>Macro!$D153*AO53/12</f>
        <v>35000</v>
      </c>
      <c r="AP43" s="36">
        <f>Macro!$D153*AP53/12</f>
        <v>35000</v>
      </c>
      <c r="AQ43" s="34">
        <f>Macro!$D153*AQ53/12</f>
        <v>35000</v>
      </c>
      <c r="AR43" s="35">
        <f>Macro!$D153*AR53/12</f>
        <v>35000</v>
      </c>
      <c r="AS43" s="36">
        <f>Macro!$D153*AS53/12</f>
        <v>35000</v>
      </c>
    </row>
    <row r="44" ht="12.0" customHeight="1">
      <c r="A44" s="8"/>
      <c r="C44" s="315" t="str">
        <f>Macro!B154</f>
        <v>[X]</v>
      </c>
      <c r="D44" s="34"/>
      <c r="E44" s="35"/>
      <c r="F44" s="36"/>
      <c r="G44" s="34"/>
      <c r="H44" s="35"/>
      <c r="I44" s="36"/>
      <c r="J44" s="34" t="str">
        <f>Macro!$D154</f>
        <v/>
      </c>
      <c r="K44" s="35" t="str">
        <f>Macro!$D154</f>
        <v/>
      </c>
      <c r="L44" s="36" t="str">
        <f>Macro!$D154</f>
        <v/>
      </c>
      <c r="M44" s="34" t="str">
        <f>Macro!$D154</f>
        <v/>
      </c>
      <c r="N44" s="35" t="str">
        <f>Macro!$D154</f>
        <v/>
      </c>
      <c r="O44" s="36" t="str">
        <f>Macro!$D154</f>
        <v/>
      </c>
      <c r="P44" s="34" t="str">
        <f>Macro!$D154</f>
        <v/>
      </c>
      <c r="Q44" s="35" t="str">
        <f>Macro!$D154</f>
        <v/>
      </c>
      <c r="R44" s="36" t="str">
        <f>Macro!$D154</f>
        <v/>
      </c>
      <c r="S44" s="34" t="str">
        <f>Macro!$D154</f>
        <v/>
      </c>
      <c r="T44" s="35" t="str">
        <f>Macro!$D154</f>
        <v/>
      </c>
      <c r="U44" s="36" t="str">
        <f>Macro!$D154</f>
        <v/>
      </c>
      <c r="V44" s="34" t="str">
        <f>Macro!$D154</f>
        <v/>
      </c>
      <c r="W44" s="35" t="str">
        <f>Macro!$D154</f>
        <v/>
      </c>
      <c r="X44" s="36" t="str">
        <f>Macro!$D154</f>
        <v/>
      </c>
      <c r="Y44" s="34" t="str">
        <f>Macro!$D154</f>
        <v/>
      </c>
      <c r="Z44" s="35" t="str">
        <f>Macro!$D154</f>
        <v/>
      </c>
      <c r="AA44" s="36" t="str">
        <f>Macro!$D154</f>
        <v/>
      </c>
      <c r="AB44" s="34" t="str">
        <f>Macro!$D154</f>
        <v/>
      </c>
      <c r="AC44" s="35" t="str">
        <f>Macro!$D154</f>
        <v/>
      </c>
      <c r="AD44" s="36" t="str">
        <f>Macro!$D154</f>
        <v/>
      </c>
      <c r="AE44" s="34" t="str">
        <f>Macro!$D154</f>
        <v/>
      </c>
      <c r="AF44" s="35" t="str">
        <f>Macro!$D154</f>
        <v/>
      </c>
      <c r="AG44" s="36" t="str">
        <f>Macro!$D154</f>
        <v/>
      </c>
      <c r="AH44" s="34" t="str">
        <f>Macro!$D154</f>
        <v/>
      </c>
      <c r="AI44" s="35" t="str">
        <f>Macro!$D154</f>
        <v/>
      </c>
      <c r="AJ44" s="36" t="str">
        <f>Macro!$D154</f>
        <v/>
      </c>
      <c r="AK44" s="34" t="str">
        <f>Macro!$D154</f>
        <v/>
      </c>
      <c r="AL44" s="35" t="str">
        <f>Macro!$D154</f>
        <v/>
      </c>
      <c r="AM44" s="36" t="str">
        <f>Macro!$D154</f>
        <v/>
      </c>
      <c r="AN44" s="34" t="str">
        <f>Macro!$D154</f>
        <v/>
      </c>
      <c r="AO44" s="35" t="str">
        <f>Macro!$D154</f>
        <v/>
      </c>
      <c r="AP44" s="36" t="str">
        <f>Macro!$D154</f>
        <v/>
      </c>
      <c r="AQ44" s="34" t="str">
        <f>Macro!$D154</f>
        <v/>
      </c>
      <c r="AR44" s="35" t="str">
        <f>Macro!$D154</f>
        <v/>
      </c>
      <c r="AS44" s="36" t="str">
        <f>Macro!$D154</f>
        <v/>
      </c>
    </row>
    <row r="45" ht="12.0" customHeight="1">
      <c r="A45" s="8"/>
      <c r="C45" s="315" t="str">
        <f>Macro!B155</f>
        <v>[X]</v>
      </c>
      <c r="D45" s="34"/>
      <c r="E45" s="35"/>
      <c r="F45" s="36"/>
      <c r="G45" s="34"/>
      <c r="H45" s="35"/>
      <c r="I45" s="36"/>
      <c r="J45" s="34" t="str">
        <f>Macro!$D155</f>
        <v/>
      </c>
      <c r="K45" s="35" t="str">
        <f>Macro!$D155</f>
        <v/>
      </c>
      <c r="L45" s="36" t="str">
        <f>Macro!$D155</f>
        <v/>
      </c>
      <c r="M45" s="34" t="str">
        <f>Macro!$D155</f>
        <v/>
      </c>
      <c r="N45" s="35" t="str">
        <f>Macro!$D155</f>
        <v/>
      </c>
      <c r="O45" s="36" t="str">
        <f>Macro!$D155</f>
        <v/>
      </c>
      <c r="P45" s="34" t="str">
        <f>Macro!$D155</f>
        <v/>
      </c>
      <c r="Q45" s="35" t="str">
        <f>Macro!$D155</f>
        <v/>
      </c>
      <c r="R45" s="36" t="str">
        <f>Macro!$D155</f>
        <v/>
      </c>
      <c r="S45" s="34" t="str">
        <f>Macro!$D155</f>
        <v/>
      </c>
      <c r="T45" s="35" t="str">
        <f>Macro!$D155</f>
        <v/>
      </c>
      <c r="U45" s="36" t="str">
        <f>Macro!$D155</f>
        <v/>
      </c>
      <c r="V45" s="34" t="str">
        <f>Macro!$D155</f>
        <v/>
      </c>
      <c r="W45" s="35" t="str">
        <f>Macro!$D155</f>
        <v/>
      </c>
      <c r="X45" s="36" t="str">
        <f>Macro!$D155</f>
        <v/>
      </c>
      <c r="Y45" s="34" t="str">
        <f>Macro!$D155</f>
        <v/>
      </c>
      <c r="Z45" s="35" t="str">
        <f>Macro!$D155</f>
        <v/>
      </c>
      <c r="AA45" s="36" t="str">
        <f>Macro!$D155</f>
        <v/>
      </c>
      <c r="AB45" s="34" t="str">
        <f>Macro!$D155</f>
        <v/>
      </c>
      <c r="AC45" s="35" t="str">
        <f>Macro!$D155</f>
        <v/>
      </c>
      <c r="AD45" s="36" t="str">
        <f>Macro!$D155</f>
        <v/>
      </c>
      <c r="AE45" s="34" t="str">
        <f>Macro!$D155</f>
        <v/>
      </c>
      <c r="AF45" s="35" t="str">
        <f>Macro!$D155</f>
        <v/>
      </c>
      <c r="AG45" s="36" t="str">
        <f>Macro!$D155</f>
        <v/>
      </c>
      <c r="AH45" s="34" t="str">
        <f>Macro!$D155</f>
        <v/>
      </c>
      <c r="AI45" s="35" t="str">
        <f>Macro!$D155</f>
        <v/>
      </c>
      <c r="AJ45" s="36" t="str">
        <f>Macro!$D155</f>
        <v/>
      </c>
      <c r="AK45" s="34" t="str">
        <f>Macro!$D155</f>
        <v/>
      </c>
      <c r="AL45" s="35" t="str">
        <f>Macro!$D155</f>
        <v/>
      </c>
      <c r="AM45" s="36" t="str">
        <f>Macro!$D155</f>
        <v/>
      </c>
      <c r="AN45" s="34" t="str">
        <f>Macro!$D155</f>
        <v/>
      </c>
      <c r="AO45" s="35" t="str">
        <f>Macro!$D155</f>
        <v/>
      </c>
      <c r="AP45" s="36" t="str">
        <f>Macro!$D155</f>
        <v/>
      </c>
      <c r="AQ45" s="34" t="str">
        <f>Macro!$D155</f>
        <v/>
      </c>
      <c r="AR45" s="35" t="str">
        <f>Macro!$D155</f>
        <v/>
      </c>
      <c r="AS45" s="36" t="str">
        <f>Macro!$D155</f>
        <v/>
      </c>
    </row>
    <row r="46" ht="12.0" customHeight="1">
      <c r="A46" s="8"/>
      <c r="C46" s="315" t="str">
        <f>Macro!B156</f>
        <v>[X]</v>
      </c>
      <c r="D46" s="34"/>
      <c r="E46" s="35"/>
      <c r="F46" s="36"/>
      <c r="G46" s="34"/>
      <c r="H46" s="35"/>
      <c r="I46" s="36"/>
      <c r="J46" s="34" t="str">
        <f>Macro!$D156</f>
        <v/>
      </c>
      <c r="K46" s="35" t="str">
        <f>Macro!$D156</f>
        <v/>
      </c>
      <c r="L46" s="36" t="str">
        <f>Macro!$D156</f>
        <v/>
      </c>
      <c r="M46" s="34" t="str">
        <f>Macro!$D156</f>
        <v/>
      </c>
      <c r="N46" s="35" t="str">
        <f>Macro!$D156</f>
        <v/>
      </c>
      <c r="O46" s="36" t="str">
        <f>Macro!$D156</f>
        <v/>
      </c>
      <c r="P46" s="34" t="str">
        <f>Macro!$D156</f>
        <v/>
      </c>
      <c r="Q46" s="35" t="str">
        <f>Macro!$D156</f>
        <v/>
      </c>
      <c r="R46" s="36" t="str">
        <f>Macro!$D156</f>
        <v/>
      </c>
      <c r="S46" s="34" t="str">
        <f>Macro!$D156</f>
        <v/>
      </c>
      <c r="T46" s="35" t="str">
        <f>Macro!$D156</f>
        <v/>
      </c>
      <c r="U46" s="36" t="str">
        <f>Macro!$D156</f>
        <v/>
      </c>
      <c r="V46" s="34" t="str">
        <f>Macro!$D156</f>
        <v/>
      </c>
      <c r="W46" s="35" t="str">
        <f>Macro!$D156</f>
        <v/>
      </c>
      <c r="X46" s="36" t="str">
        <f>Macro!$D156</f>
        <v/>
      </c>
      <c r="Y46" s="34" t="str">
        <f>Macro!$D156</f>
        <v/>
      </c>
      <c r="Z46" s="35" t="str">
        <f>Macro!$D156</f>
        <v/>
      </c>
      <c r="AA46" s="36" t="str">
        <f>Macro!$D156</f>
        <v/>
      </c>
      <c r="AB46" s="34" t="str">
        <f>Macro!$D156</f>
        <v/>
      </c>
      <c r="AC46" s="35" t="str">
        <f>Macro!$D156</f>
        <v/>
      </c>
      <c r="AD46" s="36" t="str">
        <f>Macro!$D156</f>
        <v/>
      </c>
      <c r="AE46" s="34" t="str">
        <f>Macro!$D156</f>
        <v/>
      </c>
      <c r="AF46" s="35" t="str">
        <f>Macro!$D156</f>
        <v/>
      </c>
      <c r="AG46" s="36" t="str">
        <f>Macro!$D156</f>
        <v/>
      </c>
      <c r="AH46" s="34" t="str">
        <f>Macro!$D156</f>
        <v/>
      </c>
      <c r="AI46" s="35" t="str">
        <f>Macro!$D156</f>
        <v/>
      </c>
      <c r="AJ46" s="36" t="str">
        <f>Macro!$D156</f>
        <v/>
      </c>
      <c r="AK46" s="34" t="str">
        <f>Macro!$D156</f>
        <v/>
      </c>
      <c r="AL46" s="35" t="str">
        <f>Macro!$D156</f>
        <v/>
      </c>
      <c r="AM46" s="36" t="str">
        <f>Macro!$D156</f>
        <v/>
      </c>
      <c r="AN46" s="34" t="str">
        <f>Macro!$D156</f>
        <v/>
      </c>
      <c r="AO46" s="35" t="str">
        <f>Macro!$D156</f>
        <v/>
      </c>
      <c r="AP46" s="36" t="str">
        <f>Macro!$D156</f>
        <v/>
      </c>
      <c r="AQ46" s="34" t="str">
        <f>Macro!$D156</f>
        <v/>
      </c>
      <c r="AR46" s="35" t="str">
        <f>Macro!$D156</f>
        <v/>
      </c>
      <c r="AS46" s="36" t="str">
        <f>Macro!$D156</f>
        <v/>
      </c>
    </row>
    <row r="47" ht="12.0" customHeight="1">
      <c r="A47" s="8"/>
      <c r="C47" s="316" t="str">
        <f>Macro!B157</f>
        <v>[X]</v>
      </c>
      <c r="D47" s="34"/>
      <c r="E47" s="35"/>
      <c r="F47" s="36"/>
      <c r="G47" s="34"/>
      <c r="H47" s="35"/>
      <c r="I47" s="36"/>
      <c r="J47" s="34" t="str">
        <f>Macro!$D157</f>
        <v/>
      </c>
      <c r="K47" s="35" t="str">
        <f>Macro!$D157</f>
        <v/>
      </c>
      <c r="L47" s="36" t="str">
        <f>Macro!$D157</f>
        <v/>
      </c>
      <c r="M47" s="34" t="str">
        <f>Macro!$D157</f>
        <v/>
      </c>
      <c r="N47" s="35" t="str">
        <f>Macro!$D157</f>
        <v/>
      </c>
      <c r="O47" s="36" t="str">
        <f>Macro!$D157</f>
        <v/>
      </c>
      <c r="P47" s="34" t="str">
        <f>Macro!$D157</f>
        <v/>
      </c>
      <c r="Q47" s="35" t="str">
        <f>Macro!$D157</f>
        <v/>
      </c>
      <c r="R47" s="36" t="str">
        <f>Macro!$D157</f>
        <v/>
      </c>
      <c r="S47" s="34" t="str">
        <f>Macro!$D157</f>
        <v/>
      </c>
      <c r="T47" s="35" t="str">
        <f>Macro!$D157</f>
        <v/>
      </c>
      <c r="U47" s="36" t="str">
        <f>Macro!$D157</f>
        <v/>
      </c>
      <c r="V47" s="34" t="str">
        <f>Macro!$D157</f>
        <v/>
      </c>
      <c r="W47" s="35" t="str">
        <f>Macro!$D157</f>
        <v/>
      </c>
      <c r="X47" s="36" t="str">
        <f>Macro!$D157</f>
        <v/>
      </c>
      <c r="Y47" s="34" t="str">
        <f>Macro!$D157</f>
        <v/>
      </c>
      <c r="Z47" s="35" t="str">
        <f>Macro!$D157</f>
        <v/>
      </c>
      <c r="AA47" s="36" t="str">
        <f>Macro!$D157</f>
        <v/>
      </c>
      <c r="AB47" s="34" t="str">
        <f>Macro!$D157</f>
        <v/>
      </c>
      <c r="AC47" s="35" t="str">
        <f>Macro!$D157</f>
        <v/>
      </c>
      <c r="AD47" s="36" t="str">
        <f>Macro!$D157</f>
        <v/>
      </c>
      <c r="AE47" s="34" t="str">
        <f>Macro!$D157</f>
        <v/>
      </c>
      <c r="AF47" s="35" t="str">
        <f>Macro!$D157</f>
        <v/>
      </c>
      <c r="AG47" s="36" t="str">
        <f>Macro!$D157</f>
        <v/>
      </c>
      <c r="AH47" s="34" t="str">
        <f>Macro!$D157</f>
        <v/>
      </c>
      <c r="AI47" s="35" t="str">
        <f>Macro!$D157</f>
        <v/>
      </c>
      <c r="AJ47" s="36" t="str">
        <f>Macro!$D157</f>
        <v/>
      </c>
      <c r="AK47" s="34" t="str">
        <f>Macro!$D157</f>
        <v/>
      </c>
      <c r="AL47" s="35" t="str">
        <f>Macro!$D157</f>
        <v/>
      </c>
      <c r="AM47" s="36" t="str">
        <f>Macro!$D157</f>
        <v/>
      </c>
      <c r="AN47" s="34" t="str">
        <f>Macro!$D157</f>
        <v/>
      </c>
      <c r="AO47" s="35" t="str">
        <f>Macro!$D157</f>
        <v/>
      </c>
      <c r="AP47" s="36" t="str">
        <f>Macro!$D157</f>
        <v/>
      </c>
      <c r="AQ47" s="34" t="str">
        <f>Macro!$D157</f>
        <v/>
      </c>
      <c r="AR47" s="35" t="str">
        <f>Macro!$D157</f>
        <v/>
      </c>
      <c r="AS47" s="36" t="str">
        <f>Macro!$D157</f>
        <v/>
      </c>
    </row>
    <row r="48" ht="12.0" customHeight="1">
      <c r="C48" s="316" t="str">
        <f>Macro!B158</f>
        <v>[X]</v>
      </c>
      <c r="D48" s="34"/>
      <c r="E48" s="35"/>
      <c r="F48" s="36"/>
      <c r="G48" s="34"/>
      <c r="H48" s="35"/>
      <c r="I48" s="36"/>
      <c r="J48" s="34" t="str">
        <f>Macro!$D158</f>
        <v/>
      </c>
      <c r="K48" s="35" t="str">
        <f>Macro!$D158</f>
        <v/>
      </c>
      <c r="L48" s="36" t="str">
        <f>Macro!$D158</f>
        <v/>
      </c>
      <c r="M48" s="34" t="str">
        <f>Macro!$D158</f>
        <v/>
      </c>
      <c r="N48" s="35" t="str">
        <f>Macro!$D158</f>
        <v/>
      </c>
      <c r="O48" s="36" t="str">
        <f>Macro!$D158</f>
        <v/>
      </c>
      <c r="P48" s="34" t="str">
        <f>Macro!$D158</f>
        <v/>
      </c>
      <c r="Q48" s="35" t="str">
        <f>Macro!$D158</f>
        <v/>
      </c>
      <c r="R48" s="36" t="str">
        <f>Macro!$D158</f>
        <v/>
      </c>
      <c r="S48" s="34" t="str">
        <f>Macro!$D158</f>
        <v/>
      </c>
      <c r="T48" s="35" t="str">
        <f>Macro!$D158</f>
        <v/>
      </c>
      <c r="U48" s="36" t="str">
        <f>Macro!$D158</f>
        <v/>
      </c>
      <c r="V48" s="34" t="str">
        <f>Macro!$D158</f>
        <v/>
      </c>
      <c r="W48" s="35" t="str">
        <f>Macro!$D158</f>
        <v/>
      </c>
      <c r="X48" s="36" t="str">
        <f>Macro!$D158</f>
        <v/>
      </c>
      <c r="Y48" s="34" t="str">
        <f>Macro!$D158</f>
        <v/>
      </c>
      <c r="Z48" s="35" t="str">
        <f>Macro!$D158</f>
        <v/>
      </c>
      <c r="AA48" s="36" t="str">
        <f>Macro!$D158</f>
        <v/>
      </c>
      <c r="AB48" s="34" t="str">
        <f>Macro!$D158</f>
        <v/>
      </c>
      <c r="AC48" s="35" t="str">
        <f>Macro!$D158</f>
        <v/>
      </c>
      <c r="AD48" s="36" t="str">
        <f>Macro!$D158</f>
        <v/>
      </c>
      <c r="AE48" s="34" t="str">
        <f>Macro!$D158</f>
        <v/>
      </c>
      <c r="AF48" s="35" t="str">
        <f>Macro!$D158</f>
        <v/>
      </c>
      <c r="AG48" s="36" t="str">
        <f>Macro!$D158</f>
        <v/>
      </c>
      <c r="AH48" s="34" t="str">
        <f>Macro!$D158</f>
        <v/>
      </c>
      <c r="AI48" s="35" t="str">
        <f>Macro!$D158</f>
        <v/>
      </c>
      <c r="AJ48" s="36" t="str">
        <f>Macro!$D158</f>
        <v/>
      </c>
      <c r="AK48" s="34" t="str">
        <f>Macro!$D158</f>
        <v/>
      </c>
      <c r="AL48" s="35" t="str">
        <f>Macro!$D158</f>
        <v/>
      </c>
      <c r="AM48" s="36" t="str">
        <f>Macro!$D158</f>
        <v/>
      </c>
      <c r="AN48" s="34" t="str">
        <f>Macro!$D158</f>
        <v/>
      </c>
      <c r="AO48" s="35" t="str">
        <f>Macro!$D158</f>
        <v/>
      </c>
      <c r="AP48" s="36" t="str">
        <f>Macro!$D158</f>
        <v/>
      </c>
      <c r="AQ48" s="34" t="str">
        <f>Macro!$D158</f>
        <v/>
      </c>
      <c r="AR48" s="35" t="str">
        <f>Macro!$D158</f>
        <v/>
      </c>
      <c r="AS48" s="36" t="str">
        <f>Macro!$D158</f>
        <v/>
      </c>
    </row>
    <row r="49" ht="12.0" customHeight="1">
      <c r="C49" s="316" t="str">
        <f>Macro!B159</f>
        <v>[X]</v>
      </c>
      <c r="D49" s="34"/>
      <c r="E49" s="35"/>
      <c r="F49" s="36"/>
      <c r="G49" s="34"/>
      <c r="H49" s="35"/>
      <c r="I49" s="36"/>
      <c r="J49" s="34" t="str">
        <f>Macro!$D159</f>
        <v/>
      </c>
      <c r="K49" s="35" t="str">
        <f>Macro!$D159</f>
        <v/>
      </c>
      <c r="L49" s="36" t="str">
        <f>Macro!$D159</f>
        <v/>
      </c>
      <c r="M49" s="34" t="str">
        <f>Macro!$D159</f>
        <v/>
      </c>
      <c r="N49" s="35" t="str">
        <f>Macro!$D159</f>
        <v/>
      </c>
      <c r="O49" s="36" t="str">
        <f>Macro!$D159</f>
        <v/>
      </c>
      <c r="P49" s="34" t="str">
        <f>Macro!$D159</f>
        <v/>
      </c>
      <c r="Q49" s="35" t="str">
        <f>Macro!$D159</f>
        <v/>
      </c>
      <c r="R49" s="36" t="str">
        <f>Macro!$D159</f>
        <v/>
      </c>
      <c r="S49" s="34" t="str">
        <f>Macro!$D159</f>
        <v/>
      </c>
      <c r="T49" s="35" t="str">
        <f>Macro!$D159</f>
        <v/>
      </c>
      <c r="U49" s="36" t="str">
        <f>Macro!$D159</f>
        <v/>
      </c>
      <c r="V49" s="34" t="str">
        <f>Macro!$D159</f>
        <v/>
      </c>
      <c r="W49" s="35" t="str">
        <f>Macro!$D159</f>
        <v/>
      </c>
      <c r="X49" s="36" t="str">
        <f>Macro!$D159</f>
        <v/>
      </c>
      <c r="Y49" s="34" t="str">
        <f>Macro!$D159</f>
        <v/>
      </c>
      <c r="Z49" s="35" t="str">
        <f>Macro!$D159</f>
        <v/>
      </c>
      <c r="AA49" s="36" t="str">
        <f>Macro!$D159</f>
        <v/>
      </c>
      <c r="AB49" s="34" t="str">
        <f>Macro!$D159</f>
        <v/>
      </c>
      <c r="AC49" s="35" t="str">
        <f>Macro!$D159</f>
        <v/>
      </c>
      <c r="AD49" s="36" t="str">
        <f>Macro!$D159</f>
        <v/>
      </c>
      <c r="AE49" s="34" t="str">
        <f>Macro!$D159</f>
        <v/>
      </c>
      <c r="AF49" s="35" t="str">
        <f>Macro!$D159</f>
        <v/>
      </c>
      <c r="AG49" s="36" t="str">
        <f>Macro!$D159</f>
        <v/>
      </c>
      <c r="AH49" s="34" t="str">
        <f>Macro!$D159</f>
        <v/>
      </c>
      <c r="AI49" s="35" t="str">
        <f>Macro!$D159</f>
        <v/>
      </c>
      <c r="AJ49" s="36" t="str">
        <f>Macro!$D159</f>
        <v/>
      </c>
      <c r="AK49" s="34" t="str">
        <f>Macro!$D159</f>
        <v/>
      </c>
      <c r="AL49" s="35" t="str">
        <f>Macro!$D159</f>
        <v/>
      </c>
      <c r="AM49" s="36" t="str">
        <f>Macro!$D159</f>
        <v/>
      </c>
      <c r="AN49" s="34" t="str">
        <f>Macro!$D159</f>
        <v/>
      </c>
      <c r="AO49" s="35" t="str">
        <f>Macro!$D159</f>
        <v/>
      </c>
      <c r="AP49" s="36" t="str">
        <f>Macro!$D159</f>
        <v/>
      </c>
      <c r="AQ49" s="34" t="str">
        <f>Macro!$D159</f>
        <v/>
      </c>
      <c r="AR49" s="35" t="str">
        <f>Macro!$D159</f>
        <v/>
      </c>
      <c r="AS49" s="36" t="str">
        <f>Macro!$D159</f>
        <v/>
      </c>
    </row>
    <row r="50" ht="12.0" customHeight="1">
      <c r="C50" s="317" t="str">
        <f>Macro!B160</f>
        <v>[X]</v>
      </c>
      <c r="D50" s="48"/>
      <c r="E50" s="49"/>
      <c r="F50" s="50"/>
      <c r="G50" s="48"/>
      <c r="H50" s="49"/>
      <c r="I50" s="50"/>
      <c r="J50" s="48" t="str">
        <f>Macro!$D160</f>
        <v/>
      </c>
      <c r="K50" s="49" t="str">
        <f>Macro!$D160</f>
        <v/>
      </c>
      <c r="L50" s="50" t="str">
        <f>Macro!$D160</f>
        <v/>
      </c>
      <c r="M50" s="48" t="str">
        <f>Macro!$D160</f>
        <v/>
      </c>
      <c r="N50" s="49" t="str">
        <f>Macro!$D160</f>
        <v/>
      </c>
      <c r="O50" s="50" t="str">
        <f>Macro!$D160</f>
        <v/>
      </c>
      <c r="P50" s="48" t="str">
        <f>Macro!$D160</f>
        <v/>
      </c>
      <c r="Q50" s="49" t="str">
        <f>Macro!$D160</f>
        <v/>
      </c>
      <c r="R50" s="50" t="str">
        <f>Macro!$D160</f>
        <v/>
      </c>
      <c r="S50" s="48" t="str">
        <f>Macro!$D160</f>
        <v/>
      </c>
      <c r="T50" s="49" t="str">
        <f>Macro!$D160</f>
        <v/>
      </c>
      <c r="U50" s="50" t="str">
        <f>Macro!$D160</f>
        <v/>
      </c>
      <c r="V50" s="48" t="str">
        <f>Macro!$D160</f>
        <v/>
      </c>
      <c r="W50" s="49" t="str">
        <f>Macro!$D160</f>
        <v/>
      </c>
      <c r="X50" s="50" t="str">
        <f>Macro!$D160</f>
        <v/>
      </c>
      <c r="Y50" s="48" t="str">
        <f>Macro!$D160</f>
        <v/>
      </c>
      <c r="Z50" s="49" t="str">
        <f>Macro!$D160</f>
        <v/>
      </c>
      <c r="AA50" s="50" t="str">
        <f>Macro!$D160</f>
        <v/>
      </c>
      <c r="AB50" s="48" t="str">
        <f>Macro!$D160</f>
        <v/>
      </c>
      <c r="AC50" s="49" t="str">
        <f>Macro!$D160</f>
        <v/>
      </c>
      <c r="AD50" s="50" t="str">
        <f>Macro!$D160</f>
        <v/>
      </c>
      <c r="AE50" s="48" t="str">
        <f>Macro!$D160</f>
        <v/>
      </c>
      <c r="AF50" s="49" t="str">
        <f>Macro!$D160</f>
        <v/>
      </c>
      <c r="AG50" s="50" t="str">
        <f>Macro!$D160</f>
        <v/>
      </c>
      <c r="AH50" s="48" t="str">
        <f>Macro!$D160</f>
        <v/>
      </c>
      <c r="AI50" s="49" t="str">
        <f>Macro!$D160</f>
        <v/>
      </c>
      <c r="AJ50" s="50" t="str">
        <f>Macro!$D160</f>
        <v/>
      </c>
      <c r="AK50" s="48" t="str">
        <f>Macro!$D160</f>
        <v/>
      </c>
      <c r="AL50" s="49" t="str">
        <f>Macro!$D160</f>
        <v/>
      </c>
      <c r="AM50" s="50" t="str">
        <f>Macro!$D160</f>
        <v/>
      </c>
      <c r="AN50" s="48" t="str">
        <f>Macro!$D160</f>
        <v/>
      </c>
      <c r="AO50" s="49" t="str">
        <f>Macro!$D160</f>
        <v/>
      </c>
      <c r="AP50" s="50" t="str">
        <f>Macro!$D160</f>
        <v/>
      </c>
      <c r="AQ50" s="48" t="str">
        <f>Macro!$D160</f>
        <v/>
      </c>
      <c r="AR50" s="49" t="str">
        <f>Macro!$D160</f>
        <v/>
      </c>
      <c r="AS50" s="50" t="str">
        <f>Macro!$D160</f>
        <v/>
      </c>
    </row>
    <row r="51" ht="12.0" customHeight="1">
      <c r="B51" s="8"/>
      <c r="C51" s="318" t="s">
        <v>73</v>
      </c>
      <c r="D51" s="233">
        <v>114500.13</v>
      </c>
      <c r="E51" s="234">
        <v>77423.84</v>
      </c>
      <c r="F51" s="235">
        <v>76009.79</v>
      </c>
      <c r="G51" s="233">
        <v>66470.40999999999</v>
      </c>
      <c r="H51" s="234">
        <v>87812.66</v>
      </c>
      <c r="I51" s="235">
        <v>83634.88</v>
      </c>
      <c r="J51" s="51">
        <f t="shared" ref="J51:AS51" si="11">SUM(J40:J50)</f>
        <v>27000</v>
      </c>
      <c r="K51" s="52">
        <f t="shared" si="11"/>
        <v>27000</v>
      </c>
      <c r="L51" s="53">
        <f t="shared" si="11"/>
        <v>27000</v>
      </c>
      <c r="M51" s="51">
        <f t="shared" si="11"/>
        <v>42000</v>
      </c>
      <c r="N51" s="52">
        <f t="shared" si="11"/>
        <v>42000</v>
      </c>
      <c r="O51" s="53">
        <f t="shared" si="11"/>
        <v>42000</v>
      </c>
      <c r="P51" s="51">
        <f t="shared" si="11"/>
        <v>42000</v>
      </c>
      <c r="Q51" s="52">
        <f t="shared" si="11"/>
        <v>42000</v>
      </c>
      <c r="R51" s="53">
        <f t="shared" si="11"/>
        <v>42000</v>
      </c>
      <c r="S51" s="51">
        <f t="shared" si="11"/>
        <v>42000</v>
      </c>
      <c r="T51" s="52">
        <f t="shared" si="11"/>
        <v>42000</v>
      </c>
      <c r="U51" s="53">
        <f t="shared" si="11"/>
        <v>42000</v>
      </c>
      <c r="V51" s="51">
        <f t="shared" si="11"/>
        <v>42000</v>
      </c>
      <c r="W51" s="52">
        <f t="shared" si="11"/>
        <v>42000</v>
      </c>
      <c r="X51" s="53">
        <f t="shared" si="11"/>
        <v>42000</v>
      </c>
      <c r="Y51" s="51">
        <f t="shared" si="11"/>
        <v>42000</v>
      </c>
      <c r="Z51" s="52">
        <f t="shared" si="11"/>
        <v>42000</v>
      </c>
      <c r="AA51" s="53">
        <f t="shared" si="11"/>
        <v>42000</v>
      </c>
      <c r="AB51" s="51">
        <f t="shared" si="11"/>
        <v>42000</v>
      </c>
      <c r="AC51" s="52">
        <f t="shared" si="11"/>
        <v>42000</v>
      </c>
      <c r="AD51" s="53">
        <f t="shared" si="11"/>
        <v>42000</v>
      </c>
      <c r="AE51" s="51">
        <f t="shared" si="11"/>
        <v>42000</v>
      </c>
      <c r="AF51" s="52">
        <f t="shared" si="11"/>
        <v>42000</v>
      </c>
      <c r="AG51" s="53">
        <f t="shared" si="11"/>
        <v>42000</v>
      </c>
      <c r="AH51" s="51">
        <f t="shared" si="11"/>
        <v>42000</v>
      </c>
      <c r="AI51" s="52">
        <f t="shared" si="11"/>
        <v>42000</v>
      </c>
      <c r="AJ51" s="53">
        <f t="shared" si="11"/>
        <v>42000</v>
      </c>
      <c r="AK51" s="51">
        <f t="shared" si="11"/>
        <v>42000</v>
      </c>
      <c r="AL51" s="52">
        <f t="shared" si="11"/>
        <v>42000</v>
      </c>
      <c r="AM51" s="53">
        <f t="shared" si="11"/>
        <v>42000</v>
      </c>
      <c r="AN51" s="51">
        <f t="shared" si="11"/>
        <v>42000</v>
      </c>
      <c r="AO51" s="52">
        <f t="shared" si="11"/>
        <v>42000</v>
      </c>
      <c r="AP51" s="53">
        <f t="shared" si="11"/>
        <v>42000</v>
      </c>
      <c r="AQ51" s="51">
        <f t="shared" si="11"/>
        <v>42000</v>
      </c>
      <c r="AR51" s="52">
        <f t="shared" si="11"/>
        <v>42000</v>
      </c>
      <c r="AS51" s="53">
        <f t="shared" si="11"/>
        <v>42000</v>
      </c>
    </row>
    <row r="52" ht="12.0" customHeight="1">
      <c r="C52" s="315"/>
      <c r="D52" s="208"/>
      <c r="E52" s="4"/>
      <c r="F52" s="65"/>
      <c r="G52" s="208"/>
      <c r="H52" s="4"/>
      <c r="I52" s="65"/>
      <c r="J52" s="208"/>
      <c r="K52" s="4"/>
      <c r="L52" s="65"/>
      <c r="M52" s="208"/>
      <c r="N52" s="4"/>
      <c r="O52" s="65"/>
      <c r="P52" s="208"/>
      <c r="Q52" s="4"/>
      <c r="R52" s="65"/>
      <c r="S52" s="208"/>
      <c r="T52" s="4"/>
      <c r="U52" s="65"/>
      <c r="V52" s="208"/>
      <c r="W52" s="4"/>
      <c r="X52" s="65"/>
      <c r="Y52" s="208"/>
      <c r="Z52" s="4"/>
      <c r="AA52" s="65"/>
      <c r="AB52" s="208"/>
      <c r="AC52" s="4"/>
      <c r="AD52" s="65"/>
      <c r="AE52" s="208"/>
      <c r="AF52" s="4"/>
      <c r="AG52" s="65"/>
      <c r="AH52" s="208"/>
      <c r="AI52" s="4"/>
      <c r="AJ52" s="65"/>
      <c r="AK52" s="208"/>
      <c r="AL52" s="4"/>
      <c r="AM52" s="65"/>
      <c r="AN52" s="208"/>
      <c r="AO52" s="4"/>
      <c r="AP52" s="65"/>
      <c r="AQ52" s="208"/>
      <c r="AR52" s="4"/>
      <c r="AS52" s="65"/>
    </row>
    <row r="53" ht="12.0" customHeight="1">
      <c r="C53" s="319" t="s">
        <v>240</v>
      </c>
      <c r="D53" s="218"/>
      <c r="E53" s="219"/>
      <c r="F53" s="220"/>
      <c r="G53" s="218"/>
      <c r="H53" s="219"/>
      <c r="I53" s="220"/>
      <c r="J53" s="212">
        <v>4.0</v>
      </c>
      <c r="K53" s="213">
        <v>4.0</v>
      </c>
      <c r="L53" s="214">
        <v>4.0</v>
      </c>
      <c r="M53" s="212">
        <v>7.0</v>
      </c>
      <c r="N53" s="213">
        <v>7.0</v>
      </c>
      <c r="O53" s="214">
        <v>7.0</v>
      </c>
      <c r="P53" s="212">
        <v>7.0</v>
      </c>
      <c r="Q53" s="213">
        <v>7.0</v>
      </c>
      <c r="R53" s="214">
        <v>7.0</v>
      </c>
      <c r="S53" s="212">
        <v>7.0</v>
      </c>
      <c r="T53" s="213">
        <v>7.0</v>
      </c>
      <c r="U53" s="214">
        <v>7.0</v>
      </c>
      <c r="V53" s="212">
        <v>7.0</v>
      </c>
      <c r="W53" s="213">
        <v>7.0</v>
      </c>
      <c r="X53" s="214">
        <v>7.0</v>
      </c>
      <c r="Y53" s="212">
        <v>7.0</v>
      </c>
      <c r="Z53" s="213">
        <v>7.0</v>
      </c>
      <c r="AA53" s="214">
        <v>7.0</v>
      </c>
      <c r="AB53" s="212">
        <v>7.0</v>
      </c>
      <c r="AC53" s="213">
        <v>7.0</v>
      </c>
      <c r="AD53" s="214">
        <v>7.0</v>
      </c>
      <c r="AE53" s="212">
        <v>7.0</v>
      </c>
      <c r="AF53" s="213">
        <v>7.0</v>
      </c>
      <c r="AG53" s="214">
        <v>7.0</v>
      </c>
      <c r="AH53" s="212">
        <v>7.0</v>
      </c>
      <c r="AI53" s="213">
        <v>7.0</v>
      </c>
      <c r="AJ53" s="214">
        <v>7.0</v>
      </c>
      <c r="AK53" s="212">
        <v>7.0</v>
      </c>
      <c r="AL53" s="213">
        <v>7.0</v>
      </c>
      <c r="AM53" s="214">
        <v>7.0</v>
      </c>
      <c r="AN53" s="212">
        <v>7.0</v>
      </c>
      <c r="AO53" s="213">
        <v>7.0</v>
      </c>
      <c r="AP53" s="214">
        <v>7.0</v>
      </c>
      <c r="AQ53" s="212">
        <v>7.0</v>
      </c>
      <c r="AR53" s="213">
        <v>7.0</v>
      </c>
      <c r="AS53" s="214">
        <v>7.0</v>
      </c>
    </row>
    <row r="54" ht="12.0" customHeight="1">
      <c r="C54" s="315"/>
      <c r="D54" s="208"/>
      <c r="E54" s="4"/>
      <c r="F54" s="65"/>
      <c r="G54" s="208"/>
      <c r="H54" s="4"/>
      <c r="I54" s="65"/>
      <c r="J54" s="208"/>
      <c r="K54" s="4"/>
      <c r="L54" s="65"/>
      <c r="M54" s="208"/>
      <c r="N54" s="4"/>
      <c r="O54" s="65"/>
      <c r="P54" s="208"/>
      <c r="Q54" s="4"/>
      <c r="R54" s="65"/>
      <c r="S54" s="208"/>
      <c r="T54" s="4"/>
      <c r="U54" s="65"/>
      <c r="V54" s="208"/>
      <c r="W54" s="4"/>
      <c r="X54" s="65"/>
      <c r="Y54" s="208"/>
      <c r="Z54" s="4"/>
      <c r="AA54" s="65"/>
      <c r="AB54" s="208"/>
      <c r="AC54" s="4"/>
      <c r="AD54" s="65"/>
      <c r="AE54" s="208"/>
      <c r="AF54" s="4"/>
      <c r="AG54" s="65"/>
      <c r="AH54" s="208"/>
      <c r="AI54" s="4"/>
      <c r="AJ54" s="65"/>
      <c r="AK54" s="208"/>
      <c r="AL54" s="4"/>
      <c r="AM54" s="65"/>
      <c r="AN54" s="208"/>
      <c r="AO54" s="4"/>
      <c r="AP54" s="65"/>
      <c r="AQ54" s="208"/>
      <c r="AR54" s="4"/>
      <c r="AS54" s="65"/>
    </row>
    <row r="55" ht="12.0" customHeight="1">
      <c r="B55" s="8" t="s">
        <v>148</v>
      </c>
      <c r="D55" s="208">
        <v>690.0</v>
      </c>
      <c r="E55" s="231">
        <v>9346.5</v>
      </c>
      <c r="F55" s="232">
        <v>-7.0</v>
      </c>
      <c r="G55" s="208">
        <v>2020.0</v>
      </c>
      <c r="H55" s="231">
        <v>1740.0</v>
      </c>
      <c r="I55" s="232">
        <v>108.99</v>
      </c>
      <c r="J55" s="34">
        <f>Macro!$D162*Team!J10</f>
        <v>0</v>
      </c>
      <c r="K55" s="35">
        <f>Macro!$D162*Team!K10</f>
        <v>0</v>
      </c>
      <c r="L55" s="36">
        <f>Macro!$D162*Team!L10</f>
        <v>0</v>
      </c>
      <c r="M55" s="34">
        <f>Macro!$D162*Team!M10</f>
        <v>0</v>
      </c>
      <c r="N55" s="35">
        <f>Macro!$D162*Team!N10</f>
        <v>0</v>
      </c>
      <c r="O55" s="36">
        <f>Macro!$D162*Team!O10</f>
        <v>0</v>
      </c>
      <c r="P55" s="34">
        <f>Macro!$D162*Team!P10</f>
        <v>0</v>
      </c>
      <c r="Q55" s="35">
        <f>Macro!$D162*Team!Q10</f>
        <v>0</v>
      </c>
      <c r="R55" s="36">
        <f>Macro!$D162*Team!R10</f>
        <v>0</v>
      </c>
      <c r="S55" s="34">
        <f>Macro!$D162*Team!S10</f>
        <v>0</v>
      </c>
      <c r="T55" s="35">
        <f>Macro!$D162*Team!T10</f>
        <v>0</v>
      </c>
      <c r="U55" s="36">
        <f>Macro!$D162*Team!U10</f>
        <v>0</v>
      </c>
      <c r="V55" s="34">
        <f>Macro!$D162*Team!V10</f>
        <v>0</v>
      </c>
      <c r="W55" s="35">
        <f>Macro!$D162*Team!W10</f>
        <v>0</v>
      </c>
      <c r="X55" s="36">
        <f>Macro!$D162*Team!X10</f>
        <v>0</v>
      </c>
      <c r="Y55" s="34">
        <f>Macro!$D162*Team!Y10</f>
        <v>0</v>
      </c>
      <c r="Z55" s="35">
        <f>Macro!$D162*Team!Z10</f>
        <v>0</v>
      </c>
      <c r="AA55" s="36">
        <f>Macro!$D162*Team!AA10</f>
        <v>0</v>
      </c>
      <c r="AB55" s="34">
        <f>Macro!$D162*Team!AB10</f>
        <v>0</v>
      </c>
      <c r="AC55" s="35">
        <f>Macro!$D162*Team!AC10</f>
        <v>0</v>
      </c>
      <c r="AD55" s="36">
        <f>Macro!$D162*Team!AD10</f>
        <v>0</v>
      </c>
      <c r="AE55" s="34">
        <f>Macro!$D162*Team!AE10</f>
        <v>0</v>
      </c>
      <c r="AF55" s="35">
        <f>Macro!$D162*Team!AF10</f>
        <v>0</v>
      </c>
      <c r="AG55" s="36">
        <f>Macro!$D162*Team!AG10</f>
        <v>0</v>
      </c>
      <c r="AH55" s="34">
        <f>Macro!$D162*Team!AH10</f>
        <v>0</v>
      </c>
      <c r="AI55" s="35">
        <f>Macro!$D162*Team!AI10</f>
        <v>0</v>
      </c>
      <c r="AJ55" s="36">
        <f>Macro!$D162*Team!AJ10</f>
        <v>0</v>
      </c>
      <c r="AK55" s="34">
        <f>Macro!$D162*Team!AK10</f>
        <v>0</v>
      </c>
      <c r="AL55" s="35">
        <f>Macro!$D162*Team!AL10</f>
        <v>0</v>
      </c>
      <c r="AM55" s="36">
        <f>Macro!$D162*Team!AM10</f>
        <v>0</v>
      </c>
      <c r="AN55" s="34">
        <f>Macro!$D162*Team!AN10</f>
        <v>0</v>
      </c>
      <c r="AO55" s="35">
        <f>Macro!$D162*Team!AO10</f>
        <v>0</v>
      </c>
      <c r="AP55" s="36">
        <f>Macro!$D162*Team!AP10</f>
        <v>0</v>
      </c>
      <c r="AQ55" s="34">
        <f>Macro!$D162*Team!AQ10</f>
        <v>0</v>
      </c>
      <c r="AR55" s="35">
        <f>Macro!$D162*Team!AR10</f>
        <v>0</v>
      </c>
      <c r="AS55" s="36">
        <f>Macro!$D162*Team!AS10</f>
        <v>0</v>
      </c>
    </row>
    <row r="56" ht="12.0" customHeight="1">
      <c r="A56" s="8"/>
      <c r="B56" s="8"/>
      <c r="D56" s="34"/>
      <c r="E56" s="35"/>
      <c r="F56" s="36"/>
      <c r="G56" s="34"/>
      <c r="H56" s="35"/>
      <c r="I56" s="36"/>
      <c r="J56" s="34"/>
      <c r="K56" s="35"/>
      <c r="L56" s="36"/>
      <c r="M56" s="34"/>
      <c r="N56" s="35"/>
      <c r="O56" s="36"/>
      <c r="P56" s="34"/>
      <c r="Q56" s="35"/>
      <c r="R56" s="36"/>
      <c r="S56" s="34"/>
      <c r="T56" s="35"/>
      <c r="U56" s="36"/>
      <c r="V56" s="34"/>
      <c r="W56" s="35"/>
      <c r="X56" s="36"/>
      <c r="Y56" s="34"/>
      <c r="Z56" s="35"/>
      <c r="AA56" s="36"/>
      <c r="AB56" s="34"/>
      <c r="AC56" s="35"/>
      <c r="AD56" s="36"/>
      <c r="AE56" s="34"/>
      <c r="AF56" s="35"/>
      <c r="AG56" s="36"/>
      <c r="AH56" s="34"/>
      <c r="AI56" s="35"/>
      <c r="AJ56" s="36"/>
      <c r="AK56" s="34"/>
      <c r="AL56" s="35"/>
      <c r="AM56" s="36"/>
      <c r="AN56" s="34"/>
      <c r="AO56" s="35"/>
      <c r="AP56" s="36"/>
      <c r="AQ56" s="34"/>
      <c r="AR56" s="35"/>
      <c r="AS56" s="36"/>
    </row>
    <row r="57" ht="12.0" customHeight="1">
      <c r="A57" s="8"/>
      <c r="B57" s="8" t="s">
        <v>227</v>
      </c>
      <c r="D57" s="34"/>
      <c r="E57" s="35"/>
      <c r="F57" s="36"/>
      <c r="G57" s="34"/>
      <c r="H57" s="35"/>
      <c r="I57" s="36"/>
      <c r="J57" s="34"/>
      <c r="K57" s="35"/>
      <c r="L57" s="36"/>
      <c r="M57" s="34"/>
      <c r="N57" s="35"/>
      <c r="O57" s="36"/>
      <c r="P57" s="34"/>
      <c r="Q57" s="35"/>
      <c r="R57" s="36"/>
      <c r="S57" s="34"/>
      <c r="T57" s="35"/>
      <c r="U57" s="36"/>
      <c r="V57" s="34"/>
      <c r="W57" s="35"/>
      <c r="X57" s="36"/>
      <c r="Y57" s="34"/>
      <c r="Z57" s="35"/>
      <c r="AA57" s="36"/>
      <c r="AB57" s="34"/>
      <c r="AC57" s="35"/>
      <c r="AD57" s="36"/>
      <c r="AE57" s="34"/>
      <c r="AF57" s="35"/>
      <c r="AG57" s="36"/>
      <c r="AH57" s="34"/>
      <c r="AI57" s="35"/>
      <c r="AJ57" s="36"/>
      <c r="AK57" s="34"/>
      <c r="AL57" s="35"/>
      <c r="AM57" s="36"/>
      <c r="AN57" s="34"/>
      <c r="AO57" s="35"/>
      <c r="AP57" s="36"/>
      <c r="AQ57" s="34"/>
      <c r="AR57" s="35"/>
      <c r="AS57" s="36"/>
    </row>
    <row r="58" ht="12.0" customHeight="1">
      <c r="C58" s="4" t="str">
        <f>Macro!B165</f>
        <v>Travelers</v>
      </c>
      <c r="D58" s="208">
        <v>26970.069999999996</v>
      </c>
      <c r="E58" s="231">
        <v>27956.679999999997</v>
      </c>
      <c r="F58" s="232">
        <v>6010.299999999999</v>
      </c>
      <c r="G58" s="208">
        <v>16414.64</v>
      </c>
      <c r="H58" s="231">
        <v>20635.190000000002</v>
      </c>
      <c r="I58" s="232">
        <v>12600.36</v>
      </c>
      <c r="J58" s="34">
        <f>Macro!$D165*Team!J12</f>
        <v>12500</v>
      </c>
      <c r="K58" s="35">
        <f>Macro!$D165*Team!K12</f>
        <v>12500</v>
      </c>
      <c r="L58" s="36">
        <f>Macro!$D165*Team!L12</f>
        <v>12500</v>
      </c>
      <c r="M58" s="34">
        <f>Macro!$D165*Team!M12</f>
        <v>15000</v>
      </c>
      <c r="N58" s="35">
        <f>Macro!$D165*Team!N12</f>
        <v>15000</v>
      </c>
      <c r="O58" s="36">
        <f>Macro!$D165*Team!O12</f>
        <v>15000</v>
      </c>
      <c r="P58" s="34">
        <f>Macro!$D165*Team!P12</f>
        <v>20000</v>
      </c>
      <c r="Q58" s="35">
        <f>Macro!$D165*Team!Q12</f>
        <v>20000</v>
      </c>
      <c r="R58" s="36">
        <f>Macro!$D165*Team!R12</f>
        <v>22500</v>
      </c>
      <c r="S58" s="34">
        <f>Macro!$D165*Team!S12</f>
        <v>22500</v>
      </c>
      <c r="T58" s="35">
        <f>Macro!$D165*Team!T12</f>
        <v>22500</v>
      </c>
      <c r="U58" s="36">
        <f>Macro!$D165*Team!U12</f>
        <v>22500</v>
      </c>
      <c r="V58" s="34">
        <f>Macro!$D165*Team!V12</f>
        <v>25000</v>
      </c>
      <c r="W58" s="35">
        <f>Macro!$D165*Team!W12</f>
        <v>25000</v>
      </c>
      <c r="X58" s="36">
        <f>Macro!$D165*Team!X12</f>
        <v>25000</v>
      </c>
      <c r="Y58" s="34">
        <f>Macro!$D165*Team!Y12</f>
        <v>25000</v>
      </c>
      <c r="Z58" s="35">
        <f>Macro!$D165*Team!Z12</f>
        <v>25000</v>
      </c>
      <c r="AA58" s="36">
        <f>Macro!$D165*Team!AA12</f>
        <v>25000</v>
      </c>
      <c r="AB58" s="34">
        <f>Macro!$D165*Team!AB12</f>
        <v>30000</v>
      </c>
      <c r="AC58" s="35">
        <f>Macro!$D165*Team!AC12</f>
        <v>30000</v>
      </c>
      <c r="AD58" s="36">
        <f>Macro!$D165*Team!AD12</f>
        <v>30000</v>
      </c>
      <c r="AE58" s="34">
        <f>Macro!$D165*Team!AE12</f>
        <v>30000</v>
      </c>
      <c r="AF58" s="35">
        <f>Macro!$D165*Team!AF12</f>
        <v>30000</v>
      </c>
      <c r="AG58" s="36">
        <f>Macro!$D165*Team!AG12</f>
        <v>30000</v>
      </c>
      <c r="AH58" s="34">
        <f>Macro!$D165*Team!AH12</f>
        <v>35000</v>
      </c>
      <c r="AI58" s="35">
        <f>Macro!$D165*Team!AI12</f>
        <v>35000</v>
      </c>
      <c r="AJ58" s="36">
        <f>Macro!$D165*Team!AJ12</f>
        <v>35000</v>
      </c>
      <c r="AK58" s="34">
        <f>Macro!$D165*Team!AK12</f>
        <v>35000</v>
      </c>
      <c r="AL58" s="35">
        <f>Macro!$D165*Team!AL12</f>
        <v>35000</v>
      </c>
      <c r="AM58" s="36">
        <f>Macro!$D165*Team!AM12</f>
        <v>35000</v>
      </c>
      <c r="AN58" s="34">
        <f>Macro!$D165*Team!AN12</f>
        <v>42500</v>
      </c>
      <c r="AO58" s="35">
        <f>Macro!$D165*Team!AO12</f>
        <v>42500</v>
      </c>
      <c r="AP58" s="36">
        <f>Macro!$D165*Team!AP12</f>
        <v>42500</v>
      </c>
      <c r="AQ58" s="34">
        <f>Macro!$D165*Team!AQ12</f>
        <v>42500</v>
      </c>
      <c r="AR58" s="35">
        <f>Macro!$D165*Team!AR12</f>
        <v>42500</v>
      </c>
      <c r="AS58" s="36">
        <f>Macro!$D165*Team!AS12</f>
        <v>42500</v>
      </c>
    </row>
    <row r="59" ht="12.0" customHeight="1">
      <c r="B59" s="8"/>
      <c r="C59" s="4" t="str">
        <f>Macro!B166</f>
        <v>Non-Travelers</v>
      </c>
      <c r="D59" s="34"/>
      <c r="E59" s="35"/>
      <c r="F59" s="36"/>
      <c r="G59" s="34"/>
      <c r="H59" s="35"/>
      <c r="I59" s="36"/>
      <c r="J59" s="34">
        <f>Macro!$D$166*Team!J13</f>
        <v>1900</v>
      </c>
      <c r="K59" s="35">
        <f>Macro!$D$166*Team!K13</f>
        <v>1900</v>
      </c>
      <c r="L59" s="36">
        <f>Macro!$D$166*Team!L13</f>
        <v>2500</v>
      </c>
      <c r="M59" s="34">
        <f>Macro!$D$166*Team!M13</f>
        <v>2500</v>
      </c>
      <c r="N59" s="35">
        <f>Macro!$D$166*Team!N13</f>
        <v>2600</v>
      </c>
      <c r="O59" s="36">
        <f>Macro!$D$166*Team!O13</f>
        <v>2800</v>
      </c>
      <c r="P59" s="34">
        <f>Macro!$D$166*Team!P13</f>
        <v>2800</v>
      </c>
      <c r="Q59" s="35">
        <f>Macro!$D$166*Team!Q13</f>
        <v>2800</v>
      </c>
      <c r="R59" s="36">
        <f>Macro!$D$166*Team!R13</f>
        <v>2900</v>
      </c>
      <c r="S59" s="34">
        <f>Macro!$D$166*Team!S13</f>
        <v>3000</v>
      </c>
      <c r="T59" s="35">
        <f>Macro!$D$166*Team!T13</f>
        <v>3000</v>
      </c>
      <c r="U59" s="36">
        <f>Macro!$D$166*Team!U13</f>
        <v>3000</v>
      </c>
      <c r="V59" s="34">
        <f>Macro!$D$166*Team!V13</f>
        <v>3000</v>
      </c>
      <c r="W59" s="35">
        <f>Macro!$D$166*Team!W13</f>
        <v>3000</v>
      </c>
      <c r="X59" s="36">
        <f>Macro!$D$166*Team!X13</f>
        <v>3000</v>
      </c>
      <c r="Y59" s="34">
        <f>Macro!$D$166*Team!Y13</f>
        <v>3100</v>
      </c>
      <c r="Z59" s="35">
        <f>Macro!$D$166*Team!Z13</f>
        <v>3200</v>
      </c>
      <c r="AA59" s="36">
        <f>Macro!$D$166*Team!AA13</f>
        <v>3200</v>
      </c>
      <c r="AB59" s="34">
        <f>Macro!$D$166*Team!AB13</f>
        <v>3200</v>
      </c>
      <c r="AC59" s="35">
        <f>Macro!$D$166*Team!AC13</f>
        <v>3200</v>
      </c>
      <c r="AD59" s="36">
        <f>Macro!$D$166*Team!AD13</f>
        <v>3200</v>
      </c>
      <c r="AE59" s="34">
        <f>Macro!$D$166*Team!AE13</f>
        <v>3300</v>
      </c>
      <c r="AF59" s="35">
        <f>Macro!$D$166*Team!AF13</f>
        <v>3300</v>
      </c>
      <c r="AG59" s="36">
        <f>Macro!$D$166*Team!AG13</f>
        <v>3300</v>
      </c>
      <c r="AH59" s="34">
        <f>Macro!$D$166*Team!AH13</f>
        <v>3500</v>
      </c>
      <c r="AI59" s="35">
        <f>Macro!$D$166*Team!AI13</f>
        <v>3500</v>
      </c>
      <c r="AJ59" s="36">
        <f>Macro!$D$166*Team!AJ13</f>
        <v>3500</v>
      </c>
      <c r="AK59" s="34">
        <f>Macro!$D$166*Team!AK13</f>
        <v>3600</v>
      </c>
      <c r="AL59" s="35">
        <f>Macro!$D$166*Team!AL13</f>
        <v>3600</v>
      </c>
      <c r="AM59" s="36">
        <f>Macro!$D$166*Team!AM13</f>
        <v>3600</v>
      </c>
      <c r="AN59" s="34">
        <f>Macro!$D$166*Team!AN13</f>
        <v>3600</v>
      </c>
      <c r="AO59" s="35">
        <f>Macro!$D$166*Team!AO13</f>
        <v>3600</v>
      </c>
      <c r="AP59" s="36">
        <f>Macro!$D$166*Team!AP13</f>
        <v>3600</v>
      </c>
      <c r="AQ59" s="34">
        <f>Macro!$D$166*Team!AQ13</f>
        <v>3700</v>
      </c>
      <c r="AR59" s="35">
        <f>Macro!$D$166*Team!AR13</f>
        <v>3700</v>
      </c>
      <c r="AS59" s="36">
        <f>Macro!$D$166*Team!AS13</f>
        <v>3700</v>
      </c>
    </row>
    <row r="60" ht="12.0" customHeight="1">
      <c r="B60" s="4"/>
      <c r="D60" s="208"/>
      <c r="E60" s="231"/>
      <c r="F60" s="232"/>
      <c r="G60" s="208"/>
      <c r="H60" s="231"/>
      <c r="I60" s="232"/>
      <c r="J60" s="208"/>
      <c r="K60" s="231"/>
      <c r="L60" s="232"/>
      <c r="M60" s="208"/>
      <c r="N60" s="231"/>
      <c r="O60" s="232"/>
      <c r="P60" s="208"/>
      <c r="Q60" s="231"/>
      <c r="R60" s="232"/>
      <c r="S60" s="208"/>
      <c r="T60" s="231"/>
      <c r="U60" s="232"/>
      <c r="V60" s="208"/>
      <c r="W60" s="231"/>
      <c r="X60" s="232"/>
      <c r="Y60" s="208"/>
      <c r="Z60" s="231"/>
      <c r="AA60" s="232"/>
      <c r="AB60" s="208"/>
      <c r="AC60" s="231"/>
      <c r="AD60" s="232"/>
      <c r="AE60" s="208"/>
      <c r="AF60" s="231"/>
      <c r="AG60" s="232"/>
      <c r="AH60" s="208"/>
      <c r="AI60" s="231"/>
      <c r="AJ60" s="232"/>
      <c r="AK60" s="208"/>
      <c r="AL60" s="231"/>
      <c r="AM60" s="232"/>
      <c r="AN60" s="208"/>
      <c r="AO60" s="231"/>
      <c r="AP60" s="232"/>
      <c r="AQ60" s="208"/>
      <c r="AR60" s="231"/>
      <c r="AS60" s="232"/>
    </row>
    <row r="61" ht="12.0" customHeight="1">
      <c r="B61" s="8" t="s">
        <v>155</v>
      </c>
      <c r="D61" s="61"/>
      <c r="E61" s="62"/>
      <c r="F61" s="63"/>
      <c r="G61" s="61"/>
      <c r="H61" s="62"/>
      <c r="I61" s="63"/>
      <c r="J61" s="61"/>
      <c r="K61" s="62"/>
      <c r="L61" s="63"/>
      <c r="M61" s="61"/>
      <c r="N61" s="62"/>
      <c r="O61" s="63"/>
      <c r="P61" s="61"/>
      <c r="Q61" s="62"/>
      <c r="R61" s="63"/>
      <c r="S61" s="61"/>
      <c r="T61" s="62"/>
      <c r="U61" s="63"/>
      <c r="V61" s="61"/>
      <c r="W61" s="62"/>
      <c r="X61" s="63"/>
      <c r="Y61" s="61"/>
      <c r="Z61" s="62"/>
      <c r="AA61" s="63"/>
      <c r="AB61" s="61"/>
      <c r="AC61" s="62"/>
      <c r="AD61" s="63"/>
      <c r="AE61" s="61"/>
      <c r="AF61" s="62"/>
      <c r="AG61" s="63"/>
      <c r="AH61" s="61"/>
      <c r="AI61" s="62"/>
      <c r="AJ61" s="63"/>
      <c r="AK61" s="61"/>
      <c r="AL61" s="62"/>
      <c r="AM61" s="63"/>
      <c r="AN61" s="61"/>
      <c r="AO61" s="62"/>
      <c r="AP61" s="63"/>
      <c r="AQ61" s="61"/>
      <c r="AR61" s="62"/>
      <c r="AS61" s="63"/>
    </row>
    <row r="62" ht="12.0" customHeight="1">
      <c r="B62" s="4"/>
      <c r="C62" s="4" t="str">
        <f>Macro!B169</f>
        <v>FY21 General Allocation</v>
      </c>
      <c r="D62" s="208">
        <v>28117.0</v>
      </c>
      <c r="E62" s="231">
        <v>25417.0</v>
      </c>
      <c r="F62" s="232">
        <v>33810.55</v>
      </c>
      <c r="G62" s="208">
        <v>20894.93</v>
      </c>
      <c r="H62" s="231">
        <v>26611.67</v>
      </c>
      <c r="I62" s="232">
        <v>25711.67</v>
      </c>
      <c r="J62" s="34">
        <f>Macro!$D$169</f>
        <v>50000</v>
      </c>
      <c r="K62" s="35">
        <f>Macro!$D$169</f>
        <v>50000</v>
      </c>
      <c r="L62" s="36">
        <f>Macro!$D$169</f>
        <v>50000</v>
      </c>
      <c r="M62" s="34">
        <f>Macro!$D$169</f>
        <v>50000</v>
      </c>
      <c r="N62" s="35">
        <f>Macro!$D$169</f>
        <v>50000</v>
      </c>
      <c r="O62" s="36">
        <f>Macro!$D$169</f>
        <v>50000</v>
      </c>
      <c r="P62" s="34">
        <f>Macro!$D$169</f>
        <v>50000</v>
      </c>
      <c r="Q62" s="35">
        <f>Macro!$D$169</f>
        <v>50000</v>
      </c>
      <c r="R62" s="36">
        <f>Macro!$D$169</f>
        <v>50000</v>
      </c>
      <c r="S62" s="34">
        <f>Macro!$D$169</f>
        <v>50000</v>
      </c>
      <c r="T62" s="35">
        <f>Macro!$D$169</f>
        <v>50000</v>
      </c>
      <c r="U62" s="36">
        <f>Macro!$D$169</f>
        <v>50000</v>
      </c>
      <c r="V62" s="34"/>
      <c r="W62" s="35"/>
      <c r="X62" s="36"/>
      <c r="Y62" s="34"/>
      <c r="Z62" s="35"/>
      <c r="AA62" s="36"/>
      <c r="AB62" s="34"/>
      <c r="AC62" s="35"/>
      <c r="AD62" s="36"/>
      <c r="AE62" s="34"/>
      <c r="AF62" s="35"/>
      <c r="AG62" s="36"/>
      <c r="AH62" s="34"/>
      <c r="AI62" s="35"/>
      <c r="AJ62" s="36"/>
      <c r="AK62" s="34"/>
      <c r="AL62" s="35"/>
      <c r="AM62" s="36"/>
      <c r="AN62" s="34"/>
      <c r="AO62" s="35"/>
      <c r="AP62" s="36"/>
      <c r="AQ62" s="34"/>
      <c r="AR62" s="35"/>
      <c r="AS62" s="36"/>
    </row>
    <row r="63" ht="12.0" customHeight="1">
      <c r="B63" s="4"/>
      <c r="C63" s="4" t="str">
        <f>Macro!B170</f>
        <v>FY22 General Allocation</v>
      </c>
      <c r="D63" s="208">
        <v>59239.02</v>
      </c>
      <c r="E63" s="231">
        <v>49144.73</v>
      </c>
      <c r="F63" s="36"/>
      <c r="G63" s="208">
        <v>18000.0</v>
      </c>
      <c r="H63" s="231">
        <v>15743.05</v>
      </c>
      <c r="I63" s="232">
        <v>43.72</v>
      </c>
      <c r="J63" s="34"/>
      <c r="K63" s="35"/>
      <c r="L63" s="36"/>
      <c r="M63" s="34"/>
      <c r="N63" s="35"/>
      <c r="O63" s="36"/>
      <c r="P63" s="34"/>
      <c r="Q63" s="35"/>
      <c r="R63" s="36"/>
      <c r="S63" s="34"/>
      <c r="T63" s="35"/>
      <c r="U63" s="36"/>
      <c r="V63" s="34">
        <f>Macro!$D$170</f>
        <v>60000</v>
      </c>
      <c r="W63" s="35">
        <f>Macro!$D$170</f>
        <v>60000</v>
      </c>
      <c r="X63" s="36">
        <f>Macro!$D$170</f>
        <v>60000</v>
      </c>
      <c r="Y63" s="34">
        <f>Macro!$D$170</f>
        <v>60000</v>
      </c>
      <c r="Z63" s="35">
        <f>Macro!$D$170</f>
        <v>60000</v>
      </c>
      <c r="AA63" s="36">
        <f>Macro!$D$170</f>
        <v>60000</v>
      </c>
      <c r="AB63" s="34">
        <f>Macro!$D$170</f>
        <v>60000</v>
      </c>
      <c r="AC63" s="35">
        <f>Macro!$D$170</f>
        <v>60000</v>
      </c>
      <c r="AD63" s="36">
        <f>Macro!$D$170</f>
        <v>60000</v>
      </c>
      <c r="AE63" s="34">
        <f>Macro!$D$170</f>
        <v>60000</v>
      </c>
      <c r="AF63" s="35">
        <f>Macro!$D$170</f>
        <v>60000</v>
      </c>
      <c r="AG63" s="36">
        <f>Macro!$D$170</f>
        <v>60000</v>
      </c>
      <c r="AH63" s="34"/>
      <c r="AI63" s="35"/>
      <c r="AJ63" s="36"/>
      <c r="AK63" s="34"/>
      <c r="AL63" s="35"/>
      <c r="AM63" s="36"/>
      <c r="AN63" s="34"/>
      <c r="AO63" s="35"/>
      <c r="AP63" s="36"/>
      <c r="AQ63" s="34"/>
      <c r="AR63" s="35"/>
      <c r="AS63" s="36"/>
    </row>
    <row r="64" ht="12.0" customHeight="1">
      <c r="B64" s="4"/>
      <c r="C64" s="4" t="str">
        <f>Macro!B171</f>
        <v>FY23 General Allocation</v>
      </c>
      <c r="D64" s="208">
        <v>0.0</v>
      </c>
      <c r="E64" s="231">
        <v>0.0</v>
      </c>
      <c r="F64" s="232">
        <v>0.0</v>
      </c>
      <c r="G64" s="208">
        <v>0.0</v>
      </c>
      <c r="H64" s="231">
        <v>0.0</v>
      </c>
      <c r="I64" s="232">
        <v>0.0</v>
      </c>
      <c r="J64" s="34"/>
      <c r="K64" s="35"/>
      <c r="L64" s="36"/>
      <c r="M64" s="34"/>
      <c r="N64" s="35"/>
      <c r="O64" s="36"/>
      <c r="P64" s="34"/>
      <c r="Q64" s="35"/>
      <c r="R64" s="36"/>
      <c r="S64" s="34"/>
      <c r="T64" s="35"/>
      <c r="U64" s="36"/>
      <c r="V64" s="34"/>
      <c r="W64" s="35"/>
      <c r="X64" s="36"/>
      <c r="Y64" s="34"/>
      <c r="Z64" s="35"/>
      <c r="AA64" s="36"/>
      <c r="AB64" s="34"/>
      <c r="AC64" s="35"/>
      <c r="AD64" s="36"/>
      <c r="AE64" s="34"/>
      <c r="AF64" s="35"/>
      <c r="AG64" s="36"/>
      <c r="AH64" s="34">
        <f>Macro!$D$171</f>
        <v>70000</v>
      </c>
      <c r="AI64" s="35">
        <f>Macro!$D$171</f>
        <v>70000</v>
      </c>
      <c r="AJ64" s="36">
        <f>Macro!$D$171</f>
        <v>70000</v>
      </c>
      <c r="AK64" s="34">
        <f>Macro!$D$171</f>
        <v>70000</v>
      </c>
      <c r="AL64" s="35">
        <f>Macro!$D$171</f>
        <v>70000</v>
      </c>
      <c r="AM64" s="36">
        <f>Macro!$D$171</f>
        <v>70000</v>
      </c>
      <c r="AN64" s="34">
        <f>Macro!$D$171</f>
        <v>70000</v>
      </c>
      <c r="AO64" s="35">
        <f>Macro!$D$171</f>
        <v>70000</v>
      </c>
      <c r="AP64" s="36">
        <f>Macro!$D$171</f>
        <v>70000</v>
      </c>
      <c r="AQ64" s="34">
        <f>Macro!$D$171</f>
        <v>70000</v>
      </c>
      <c r="AR64" s="35">
        <f>Macro!$D$171</f>
        <v>70000</v>
      </c>
      <c r="AS64" s="36">
        <f>Macro!$D$171</f>
        <v>70000</v>
      </c>
    </row>
    <row r="65" ht="12.0" customHeight="1">
      <c r="B65" s="4"/>
      <c r="C65" s="4" t="str">
        <f>Macro!B172</f>
        <v>[X]</v>
      </c>
      <c r="D65" s="208">
        <v>3166.6666666666665</v>
      </c>
      <c r="E65" s="231">
        <v>3166.6666666666665</v>
      </c>
      <c r="F65" s="232">
        <v>3166.6666666666665</v>
      </c>
      <c r="G65" s="208">
        <v>3166.6666666666665</v>
      </c>
      <c r="H65" s="231">
        <v>3166.6666666666665</v>
      </c>
      <c r="I65" s="232">
        <v>3166.6666666666665</v>
      </c>
      <c r="J65" s="34" t="str">
        <f>Macro!$D172</f>
        <v/>
      </c>
      <c r="K65" s="35" t="str">
        <f>Macro!$D172</f>
        <v/>
      </c>
      <c r="L65" s="36" t="str">
        <f>Macro!$D172</f>
        <v/>
      </c>
      <c r="M65" s="34" t="str">
        <f>Macro!$D172</f>
        <v/>
      </c>
      <c r="N65" s="35" t="str">
        <f>Macro!$D172</f>
        <v/>
      </c>
      <c r="O65" s="36" t="str">
        <f>Macro!$D172</f>
        <v/>
      </c>
      <c r="P65" s="34" t="str">
        <f>Macro!$D172</f>
        <v/>
      </c>
      <c r="Q65" s="35" t="str">
        <f>Macro!$D172</f>
        <v/>
      </c>
      <c r="R65" s="36" t="str">
        <f>Macro!$D172</f>
        <v/>
      </c>
      <c r="S65" s="34" t="str">
        <f>Macro!$D172</f>
        <v/>
      </c>
      <c r="T65" s="35" t="str">
        <f>Macro!$D172</f>
        <v/>
      </c>
      <c r="U65" s="36" t="str">
        <f>Macro!$D172</f>
        <v/>
      </c>
      <c r="V65" s="34" t="str">
        <f>Macro!$D172</f>
        <v/>
      </c>
      <c r="W65" s="35" t="str">
        <f>Macro!$D172</f>
        <v/>
      </c>
      <c r="X65" s="36" t="str">
        <f>Macro!$D172</f>
        <v/>
      </c>
      <c r="Y65" s="34" t="str">
        <f>Macro!$D172</f>
        <v/>
      </c>
      <c r="Z65" s="35" t="str">
        <f>Macro!$D172</f>
        <v/>
      </c>
      <c r="AA65" s="36" t="str">
        <f>Macro!$D172</f>
        <v/>
      </c>
      <c r="AB65" s="34" t="str">
        <f>Macro!$D172</f>
        <v/>
      </c>
      <c r="AC65" s="35" t="str">
        <f>Macro!$D172</f>
        <v/>
      </c>
      <c r="AD65" s="36" t="str">
        <f>Macro!$D172</f>
        <v/>
      </c>
      <c r="AE65" s="34" t="str">
        <f>Macro!$D172</f>
        <v/>
      </c>
      <c r="AF65" s="35" t="str">
        <f>Macro!$D172</f>
        <v/>
      </c>
      <c r="AG65" s="36" t="str">
        <f>Macro!$D172</f>
        <v/>
      </c>
      <c r="AH65" s="34" t="str">
        <f>Macro!$D172</f>
        <v/>
      </c>
      <c r="AI65" s="35" t="str">
        <f>Macro!$D172</f>
        <v/>
      </c>
      <c r="AJ65" s="36" t="str">
        <f>Macro!$D172</f>
        <v/>
      </c>
      <c r="AK65" s="34" t="str">
        <f>Macro!$D172</f>
        <v/>
      </c>
      <c r="AL65" s="35" t="str">
        <f>Macro!$D172</f>
        <v/>
      </c>
      <c r="AM65" s="36" t="str">
        <f>Macro!$D172</f>
        <v/>
      </c>
      <c r="AN65" s="34" t="str">
        <f>Macro!$D172</f>
        <v/>
      </c>
      <c r="AO65" s="35" t="str">
        <f>Macro!$D172</f>
        <v/>
      </c>
      <c r="AP65" s="36" t="str">
        <f>Macro!$D172</f>
        <v/>
      </c>
      <c r="AQ65" s="34" t="str">
        <f>Macro!$D172</f>
        <v/>
      </c>
      <c r="AR65" s="35" t="str">
        <f>Macro!$D172</f>
        <v/>
      </c>
      <c r="AS65" s="36" t="str">
        <f>Macro!$D172</f>
        <v/>
      </c>
    </row>
    <row r="66" ht="12.0" customHeight="1">
      <c r="A66" s="8"/>
      <c r="B66" s="4"/>
      <c r="C66" s="4" t="str">
        <f>Macro!B173</f>
        <v>[X]</v>
      </c>
      <c r="D66" s="208">
        <v>3047.11</v>
      </c>
      <c r="E66" s="231">
        <v>2617.75</v>
      </c>
      <c r="F66" s="232">
        <v>3378.31</v>
      </c>
      <c r="G66" s="208">
        <v>2636.5</v>
      </c>
      <c r="H66" s="231">
        <v>2632.0</v>
      </c>
      <c r="I66" s="232">
        <v>3234.18</v>
      </c>
      <c r="J66" s="34" t="str">
        <f>Macro!$D173</f>
        <v/>
      </c>
      <c r="K66" s="35" t="str">
        <f>Macro!$D173</f>
        <v/>
      </c>
      <c r="L66" s="36" t="str">
        <f>Macro!$D173</f>
        <v/>
      </c>
      <c r="M66" s="34" t="str">
        <f>Macro!$D173</f>
        <v/>
      </c>
      <c r="N66" s="35" t="str">
        <f>Macro!$D173</f>
        <v/>
      </c>
      <c r="O66" s="36" t="str">
        <f>Macro!$D173</f>
        <v/>
      </c>
      <c r="P66" s="34" t="str">
        <f>Macro!$D173</f>
        <v/>
      </c>
      <c r="Q66" s="35" t="str">
        <f>Macro!$D173</f>
        <v/>
      </c>
      <c r="R66" s="36" t="str">
        <f>Macro!$D173</f>
        <v/>
      </c>
      <c r="S66" s="34" t="str">
        <f>Macro!$D173</f>
        <v/>
      </c>
      <c r="T66" s="35" t="str">
        <f>Macro!$D173</f>
        <v/>
      </c>
      <c r="U66" s="36" t="str">
        <f>Macro!$D173</f>
        <v/>
      </c>
      <c r="V66" s="34" t="str">
        <f>Macro!$D173</f>
        <v/>
      </c>
      <c r="W66" s="35" t="str">
        <f>Macro!$D173</f>
        <v/>
      </c>
      <c r="X66" s="36" t="str">
        <f>Macro!$D173</f>
        <v/>
      </c>
      <c r="Y66" s="34" t="str">
        <f>Macro!$D173</f>
        <v/>
      </c>
      <c r="Z66" s="35" t="str">
        <f>Macro!$D173</f>
        <v/>
      </c>
      <c r="AA66" s="36" t="str">
        <f>Macro!$D173</f>
        <v/>
      </c>
      <c r="AB66" s="34" t="str">
        <f>Macro!$D173</f>
        <v/>
      </c>
      <c r="AC66" s="35" t="str">
        <f>Macro!$D173</f>
        <v/>
      </c>
      <c r="AD66" s="36" t="str">
        <f>Macro!$D173</f>
        <v/>
      </c>
      <c r="AE66" s="34" t="str">
        <f>Macro!$D173</f>
        <v/>
      </c>
      <c r="AF66" s="35" t="str">
        <f>Macro!$D173</f>
        <v/>
      </c>
      <c r="AG66" s="36" t="str">
        <f>Macro!$D173</f>
        <v/>
      </c>
      <c r="AH66" s="34" t="str">
        <f>Macro!$D173</f>
        <v/>
      </c>
      <c r="AI66" s="35" t="str">
        <f>Macro!$D173</f>
        <v/>
      </c>
      <c r="AJ66" s="36" t="str">
        <f>Macro!$D173</f>
        <v/>
      </c>
      <c r="AK66" s="34" t="str">
        <f>Macro!$D173</f>
        <v/>
      </c>
      <c r="AL66" s="35" t="str">
        <f>Macro!$D173</f>
        <v/>
      </c>
      <c r="AM66" s="36" t="str">
        <f>Macro!$D173</f>
        <v/>
      </c>
      <c r="AN66" s="34" t="str">
        <f>Macro!$D173</f>
        <v/>
      </c>
      <c r="AO66" s="35" t="str">
        <f>Macro!$D173</f>
        <v/>
      </c>
      <c r="AP66" s="36" t="str">
        <f>Macro!$D173</f>
        <v/>
      </c>
      <c r="AQ66" s="34" t="str">
        <f>Macro!$D173</f>
        <v/>
      </c>
      <c r="AR66" s="35" t="str">
        <f>Macro!$D173</f>
        <v/>
      </c>
      <c r="AS66" s="36" t="str">
        <f>Macro!$D173</f>
        <v/>
      </c>
    </row>
    <row r="67" ht="12.0" customHeight="1">
      <c r="B67" s="4"/>
      <c r="C67" s="4" t="str">
        <f>Macro!B174</f>
        <v>[X]</v>
      </c>
      <c r="D67" s="208">
        <v>8316.55</v>
      </c>
      <c r="E67" s="231">
        <v>5224.0</v>
      </c>
      <c r="F67" s="232">
        <v>7728.8</v>
      </c>
      <c r="G67" s="208">
        <v>3224.0</v>
      </c>
      <c r="H67" s="231">
        <v>3268.98</v>
      </c>
      <c r="I67" s="232">
        <v>2584.2000000000003</v>
      </c>
      <c r="J67" s="34" t="str">
        <f>Macro!$D174</f>
        <v/>
      </c>
      <c r="K67" s="35" t="str">
        <f>Macro!$D174</f>
        <v/>
      </c>
      <c r="L67" s="36" t="str">
        <f>Macro!$D174</f>
        <v/>
      </c>
      <c r="M67" s="34" t="str">
        <f>Macro!$D174</f>
        <v/>
      </c>
      <c r="N67" s="35" t="str">
        <f>Macro!$D174</f>
        <v/>
      </c>
      <c r="O67" s="36" t="str">
        <f>Macro!$D174</f>
        <v/>
      </c>
      <c r="P67" s="34" t="str">
        <f>Macro!$D174</f>
        <v/>
      </c>
      <c r="Q67" s="35" t="str">
        <f>Macro!$D174</f>
        <v/>
      </c>
      <c r="R67" s="36" t="str">
        <f>Macro!$D174</f>
        <v/>
      </c>
      <c r="S67" s="34" t="str">
        <f>Macro!$D174</f>
        <v/>
      </c>
      <c r="T67" s="35" t="str">
        <f>Macro!$D174</f>
        <v/>
      </c>
      <c r="U67" s="36" t="str">
        <f>Macro!$D174</f>
        <v/>
      </c>
      <c r="V67" s="34" t="str">
        <f>Macro!$D174</f>
        <v/>
      </c>
      <c r="W67" s="35" t="str">
        <f>Macro!$D174</f>
        <v/>
      </c>
      <c r="X67" s="36" t="str">
        <f>Macro!$D174</f>
        <v/>
      </c>
      <c r="Y67" s="34" t="str">
        <f>Macro!$D174</f>
        <v/>
      </c>
      <c r="Z67" s="35" t="str">
        <f>Macro!$D174</f>
        <v/>
      </c>
      <c r="AA67" s="36" t="str">
        <f>Macro!$D174</f>
        <v/>
      </c>
      <c r="AB67" s="34" t="str">
        <f>Macro!$D174</f>
        <v/>
      </c>
      <c r="AC67" s="35" t="str">
        <f>Macro!$D174</f>
        <v/>
      </c>
      <c r="AD67" s="36" t="str">
        <f>Macro!$D174</f>
        <v/>
      </c>
      <c r="AE67" s="34" t="str">
        <f>Macro!$D174</f>
        <v/>
      </c>
      <c r="AF67" s="35" t="str">
        <f>Macro!$D174</f>
        <v/>
      </c>
      <c r="AG67" s="36" t="str">
        <f>Macro!$D174</f>
        <v/>
      </c>
      <c r="AH67" s="34" t="str">
        <f>Macro!$D174</f>
        <v/>
      </c>
      <c r="AI67" s="35" t="str">
        <f>Macro!$D174</f>
        <v/>
      </c>
      <c r="AJ67" s="36" t="str">
        <f>Macro!$D174</f>
        <v/>
      </c>
      <c r="AK67" s="34" t="str">
        <f>Macro!$D174</f>
        <v/>
      </c>
      <c r="AL67" s="35" t="str">
        <f>Macro!$D174</f>
        <v/>
      </c>
      <c r="AM67" s="36" t="str">
        <f>Macro!$D174</f>
        <v/>
      </c>
      <c r="AN67" s="34" t="str">
        <f>Macro!$D174</f>
        <v/>
      </c>
      <c r="AO67" s="35" t="str">
        <f>Macro!$D174</f>
        <v/>
      </c>
      <c r="AP67" s="36" t="str">
        <f>Macro!$D174</f>
        <v/>
      </c>
      <c r="AQ67" s="34" t="str">
        <f>Macro!$D174</f>
        <v/>
      </c>
      <c r="AR67" s="35" t="str">
        <f>Macro!$D174</f>
        <v/>
      </c>
      <c r="AS67" s="36" t="str">
        <f>Macro!$D174</f>
        <v/>
      </c>
    </row>
    <row r="68" ht="12.0" customHeight="1">
      <c r="B68" s="4"/>
      <c r="C68" s="4" t="str">
        <f>Macro!B175</f>
        <v>[X]</v>
      </c>
      <c r="D68" s="208">
        <v>1666.67</v>
      </c>
      <c r="E68" s="231">
        <v>1666.67</v>
      </c>
      <c r="F68" s="232">
        <v>1666.67</v>
      </c>
      <c r="G68" s="208">
        <v>1666.67</v>
      </c>
      <c r="H68" s="231">
        <v>2066.67</v>
      </c>
      <c r="I68" s="232">
        <v>1665.67</v>
      </c>
      <c r="J68" s="34" t="str">
        <f>Macro!$D175</f>
        <v/>
      </c>
      <c r="K68" s="35" t="str">
        <f>Macro!$D175</f>
        <v/>
      </c>
      <c r="L68" s="36" t="str">
        <f>Macro!$D175</f>
        <v/>
      </c>
      <c r="M68" s="34" t="str">
        <f>Macro!$D175</f>
        <v/>
      </c>
      <c r="N68" s="35" t="str">
        <f>Macro!$D175</f>
        <v/>
      </c>
      <c r="O68" s="36" t="str">
        <f>Macro!$D175</f>
        <v/>
      </c>
      <c r="P68" s="34" t="str">
        <f>Macro!$D175</f>
        <v/>
      </c>
      <c r="Q68" s="35" t="str">
        <f>Macro!$D175</f>
        <v/>
      </c>
      <c r="R68" s="36" t="str">
        <f>Macro!$D175</f>
        <v/>
      </c>
      <c r="S68" s="34" t="str">
        <f>Macro!$D175</f>
        <v/>
      </c>
      <c r="T68" s="35" t="str">
        <f>Macro!$D175</f>
        <v/>
      </c>
      <c r="U68" s="36" t="str">
        <f>Macro!$D175</f>
        <v/>
      </c>
      <c r="V68" s="34" t="str">
        <f>Macro!$D175</f>
        <v/>
      </c>
      <c r="W68" s="35" t="str">
        <f>Macro!$D175</f>
        <v/>
      </c>
      <c r="X68" s="36" t="str">
        <f>Macro!$D175</f>
        <v/>
      </c>
      <c r="Y68" s="34" t="str">
        <f>Macro!$D175</f>
        <v/>
      </c>
      <c r="Z68" s="35" t="str">
        <f>Macro!$D175</f>
        <v/>
      </c>
      <c r="AA68" s="36" t="str">
        <f>Macro!$D175</f>
        <v/>
      </c>
      <c r="AB68" s="34" t="str">
        <f>Macro!$D175</f>
        <v/>
      </c>
      <c r="AC68" s="35" t="str">
        <f>Macro!$D175</f>
        <v/>
      </c>
      <c r="AD68" s="36" t="str">
        <f>Macro!$D175</f>
        <v/>
      </c>
      <c r="AE68" s="34" t="str">
        <f>Macro!$D175</f>
        <v/>
      </c>
      <c r="AF68" s="35" t="str">
        <f>Macro!$D175</f>
        <v/>
      </c>
      <c r="AG68" s="36" t="str">
        <f>Macro!$D175</f>
        <v/>
      </c>
      <c r="AH68" s="34" t="str">
        <f>Macro!$D175</f>
        <v/>
      </c>
      <c r="AI68" s="35" t="str">
        <f>Macro!$D175</f>
        <v/>
      </c>
      <c r="AJ68" s="36" t="str">
        <f>Macro!$D175</f>
        <v/>
      </c>
      <c r="AK68" s="34" t="str">
        <f>Macro!$D175</f>
        <v/>
      </c>
      <c r="AL68" s="35" t="str">
        <f>Macro!$D175</f>
        <v/>
      </c>
      <c r="AM68" s="36" t="str">
        <f>Macro!$D175</f>
        <v/>
      </c>
      <c r="AN68" s="34" t="str">
        <f>Macro!$D175</f>
        <v/>
      </c>
      <c r="AO68" s="35" t="str">
        <f>Macro!$D175</f>
        <v/>
      </c>
      <c r="AP68" s="36" t="str">
        <f>Macro!$D175</f>
        <v/>
      </c>
      <c r="AQ68" s="34" t="str">
        <f>Macro!$D175</f>
        <v/>
      </c>
      <c r="AR68" s="35" t="str">
        <f>Macro!$D175</f>
        <v/>
      </c>
      <c r="AS68" s="36" t="str">
        <f>Macro!$D175</f>
        <v/>
      </c>
    </row>
    <row r="69" ht="12.0" customHeight="1">
      <c r="B69" s="4"/>
      <c r="C69" s="4" t="str">
        <f>Macro!B176</f>
        <v>[X]</v>
      </c>
      <c r="D69" s="34"/>
      <c r="E69" s="35"/>
      <c r="F69" s="36"/>
      <c r="G69" s="208">
        <v>350.0</v>
      </c>
      <c r="H69" s="231">
        <v>1500.0</v>
      </c>
      <c r="I69" s="232">
        <v>1000.0</v>
      </c>
      <c r="J69" s="34" t="str">
        <f>Macro!$D176</f>
        <v/>
      </c>
      <c r="K69" s="35" t="str">
        <f>Macro!$D176</f>
        <v/>
      </c>
      <c r="L69" s="36" t="str">
        <f>Macro!$D176</f>
        <v/>
      </c>
      <c r="M69" s="34" t="str">
        <f>Macro!$D176</f>
        <v/>
      </c>
      <c r="N69" s="35" t="str">
        <f>Macro!$D176</f>
        <v/>
      </c>
      <c r="O69" s="36" t="str">
        <f>Macro!$D176</f>
        <v/>
      </c>
      <c r="P69" s="34" t="str">
        <f>Macro!$D176</f>
        <v/>
      </c>
      <c r="Q69" s="35" t="str">
        <f>Macro!$D176</f>
        <v/>
      </c>
      <c r="R69" s="36" t="str">
        <f>Macro!$D176</f>
        <v/>
      </c>
      <c r="S69" s="34" t="str">
        <f>Macro!$D176</f>
        <v/>
      </c>
      <c r="T69" s="35" t="str">
        <f>Macro!$D176</f>
        <v/>
      </c>
      <c r="U69" s="36" t="str">
        <f>Macro!$D176</f>
        <v/>
      </c>
      <c r="V69" s="34" t="str">
        <f>Macro!$D176</f>
        <v/>
      </c>
      <c r="W69" s="35" t="str">
        <f>Macro!$D176</f>
        <v/>
      </c>
      <c r="X69" s="36" t="str">
        <f>Macro!$D176</f>
        <v/>
      </c>
      <c r="Y69" s="34" t="str">
        <f>Macro!$D176</f>
        <v/>
      </c>
      <c r="Z69" s="35" t="str">
        <f>Macro!$D176</f>
        <v/>
      </c>
      <c r="AA69" s="36" t="str">
        <f>Macro!$D176</f>
        <v/>
      </c>
      <c r="AB69" s="34" t="str">
        <f>Macro!$D176</f>
        <v/>
      </c>
      <c r="AC69" s="35" t="str">
        <f>Macro!$D176</f>
        <v/>
      </c>
      <c r="AD69" s="36" t="str">
        <f>Macro!$D176</f>
        <v/>
      </c>
      <c r="AE69" s="34" t="str">
        <f>Macro!$D176</f>
        <v/>
      </c>
      <c r="AF69" s="35" t="str">
        <f>Macro!$D176</f>
        <v/>
      </c>
      <c r="AG69" s="36" t="str">
        <f>Macro!$D176</f>
        <v/>
      </c>
      <c r="AH69" s="34" t="str">
        <f>Macro!$D176</f>
        <v/>
      </c>
      <c r="AI69" s="35" t="str">
        <f>Macro!$D176</f>
        <v/>
      </c>
      <c r="AJ69" s="36" t="str">
        <f>Macro!$D176</f>
        <v/>
      </c>
      <c r="AK69" s="34" t="str">
        <f>Macro!$D176</f>
        <v/>
      </c>
      <c r="AL69" s="35" t="str">
        <f>Macro!$D176</f>
        <v/>
      </c>
      <c r="AM69" s="36" t="str">
        <f>Macro!$D176</f>
        <v/>
      </c>
      <c r="AN69" s="34" t="str">
        <f>Macro!$D176</f>
        <v/>
      </c>
      <c r="AO69" s="35" t="str">
        <f>Macro!$D176</f>
        <v/>
      </c>
      <c r="AP69" s="36" t="str">
        <f>Macro!$D176</f>
        <v/>
      </c>
      <c r="AQ69" s="34" t="str">
        <f>Macro!$D176</f>
        <v/>
      </c>
      <c r="AR69" s="35" t="str">
        <f>Macro!$D176</f>
        <v/>
      </c>
      <c r="AS69" s="36" t="str">
        <f>Macro!$D176</f>
        <v/>
      </c>
    </row>
    <row r="70" ht="12.0" customHeight="1">
      <c r="B70" s="4"/>
      <c r="C70" s="47" t="str">
        <f>Macro!B177</f>
        <v>[X]</v>
      </c>
      <c r="D70" s="307">
        <v>5.0</v>
      </c>
      <c r="E70" s="49"/>
      <c r="F70" s="50"/>
      <c r="G70" s="48"/>
      <c r="H70" s="49"/>
      <c r="I70" s="50"/>
      <c r="J70" s="48" t="str">
        <f>Macro!$D177</f>
        <v/>
      </c>
      <c r="K70" s="49" t="str">
        <f>Macro!$D177</f>
        <v/>
      </c>
      <c r="L70" s="50" t="str">
        <f>Macro!$D177</f>
        <v/>
      </c>
      <c r="M70" s="48" t="str">
        <f>Macro!$D177</f>
        <v/>
      </c>
      <c r="N70" s="49" t="str">
        <f>Macro!$D177</f>
        <v/>
      </c>
      <c r="O70" s="50" t="str">
        <f>Macro!$D177</f>
        <v/>
      </c>
      <c r="P70" s="48" t="str">
        <f>Macro!$D177</f>
        <v/>
      </c>
      <c r="Q70" s="49" t="str">
        <f>Macro!$D177</f>
        <v/>
      </c>
      <c r="R70" s="50" t="str">
        <f>Macro!$D177</f>
        <v/>
      </c>
      <c r="S70" s="48" t="str">
        <f>Macro!$D177</f>
        <v/>
      </c>
      <c r="T70" s="49" t="str">
        <f>Macro!$D177</f>
        <v/>
      </c>
      <c r="U70" s="50" t="str">
        <f>Macro!$D177</f>
        <v/>
      </c>
      <c r="V70" s="48" t="str">
        <f>Macro!$D177</f>
        <v/>
      </c>
      <c r="W70" s="49" t="str">
        <f>Macro!$D177</f>
        <v/>
      </c>
      <c r="X70" s="50" t="str">
        <f>Macro!$D177</f>
        <v/>
      </c>
      <c r="Y70" s="48" t="str">
        <f>Macro!$D177</f>
        <v/>
      </c>
      <c r="Z70" s="49" t="str">
        <f>Macro!$D177</f>
        <v/>
      </c>
      <c r="AA70" s="50" t="str">
        <f>Macro!$D177</f>
        <v/>
      </c>
      <c r="AB70" s="48" t="str">
        <f>Macro!$D177</f>
        <v/>
      </c>
      <c r="AC70" s="49" t="str">
        <f>Macro!$D177</f>
        <v/>
      </c>
      <c r="AD70" s="50" t="str">
        <f>Macro!$D177</f>
        <v/>
      </c>
      <c r="AE70" s="48" t="str">
        <f>Macro!$D177</f>
        <v/>
      </c>
      <c r="AF70" s="49" t="str">
        <f>Macro!$D177</f>
        <v/>
      </c>
      <c r="AG70" s="50" t="str">
        <f>Macro!$D177</f>
        <v/>
      </c>
      <c r="AH70" s="48" t="str">
        <f>Macro!$D177</f>
        <v/>
      </c>
      <c r="AI70" s="49" t="str">
        <f>Macro!$D177</f>
        <v/>
      </c>
      <c r="AJ70" s="50" t="str">
        <f>Macro!$D177</f>
        <v/>
      </c>
      <c r="AK70" s="48" t="str">
        <f>Macro!$D177</f>
        <v/>
      </c>
      <c r="AL70" s="49" t="str">
        <f>Macro!$D177</f>
        <v/>
      </c>
      <c r="AM70" s="50" t="str">
        <f>Macro!$D177</f>
        <v/>
      </c>
      <c r="AN70" s="48" t="str">
        <f>Macro!$D177</f>
        <v/>
      </c>
      <c r="AO70" s="49" t="str">
        <f>Macro!$D177</f>
        <v/>
      </c>
      <c r="AP70" s="50" t="str">
        <f>Macro!$D177</f>
        <v/>
      </c>
      <c r="AQ70" s="48" t="str">
        <f>Macro!$D177</f>
        <v/>
      </c>
      <c r="AR70" s="49" t="str">
        <f>Macro!$D177</f>
        <v/>
      </c>
      <c r="AS70" s="50" t="str">
        <f>Macro!$D177</f>
        <v/>
      </c>
    </row>
    <row r="71" ht="12.0" customHeight="1">
      <c r="B71" s="8"/>
      <c r="C71" s="8" t="s">
        <v>73</v>
      </c>
      <c r="D71" s="51">
        <f t="shared" ref="D71:AS71" si="12">SUM(D62:D70)</f>
        <v>103558.0167</v>
      </c>
      <c r="E71" s="52">
        <f t="shared" si="12"/>
        <v>87236.81667</v>
      </c>
      <c r="F71" s="53">
        <f t="shared" si="12"/>
        <v>49750.99667</v>
      </c>
      <c r="G71" s="51">
        <f t="shared" si="12"/>
        <v>49938.76667</v>
      </c>
      <c r="H71" s="52">
        <f t="shared" si="12"/>
        <v>54989.03667</v>
      </c>
      <c r="I71" s="53">
        <f t="shared" si="12"/>
        <v>37406.10667</v>
      </c>
      <c r="J71" s="51">
        <f t="shared" si="12"/>
        <v>50000</v>
      </c>
      <c r="K71" s="52">
        <f t="shared" si="12"/>
        <v>50000</v>
      </c>
      <c r="L71" s="53">
        <f t="shared" si="12"/>
        <v>50000</v>
      </c>
      <c r="M71" s="51">
        <f t="shared" si="12"/>
        <v>50000</v>
      </c>
      <c r="N71" s="52">
        <f t="shared" si="12"/>
        <v>50000</v>
      </c>
      <c r="O71" s="53">
        <f t="shared" si="12"/>
        <v>50000</v>
      </c>
      <c r="P71" s="51">
        <f t="shared" si="12"/>
        <v>50000</v>
      </c>
      <c r="Q71" s="52">
        <f t="shared" si="12"/>
        <v>50000</v>
      </c>
      <c r="R71" s="53">
        <f t="shared" si="12"/>
        <v>50000</v>
      </c>
      <c r="S71" s="51">
        <f t="shared" si="12"/>
        <v>50000</v>
      </c>
      <c r="T71" s="52">
        <f t="shared" si="12"/>
        <v>50000</v>
      </c>
      <c r="U71" s="53">
        <f t="shared" si="12"/>
        <v>50000</v>
      </c>
      <c r="V71" s="51">
        <f t="shared" si="12"/>
        <v>60000</v>
      </c>
      <c r="W71" s="52">
        <f t="shared" si="12"/>
        <v>60000</v>
      </c>
      <c r="X71" s="53">
        <f t="shared" si="12"/>
        <v>60000</v>
      </c>
      <c r="Y71" s="51">
        <f t="shared" si="12"/>
        <v>60000</v>
      </c>
      <c r="Z71" s="52">
        <f t="shared" si="12"/>
        <v>60000</v>
      </c>
      <c r="AA71" s="53">
        <f t="shared" si="12"/>
        <v>60000</v>
      </c>
      <c r="AB71" s="51">
        <f t="shared" si="12"/>
        <v>60000</v>
      </c>
      <c r="AC71" s="52">
        <f t="shared" si="12"/>
        <v>60000</v>
      </c>
      <c r="AD71" s="53">
        <f t="shared" si="12"/>
        <v>60000</v>
      </c>
      <c r="AE71" s="51">
        <f t="shared" si="12"/>
        <v>60000</v>
      </c>
      <c r="AF71" s="52">
        <f t="shared" si="12"/>
        <v>60000</v>
      </c>
      <c r="AG71" s="53">
        <f t="shared" si="12"/>
        <v>60000</v>
      </c>
      <c r="AH71" s="51">
        <f t="shared" si="12"/>
        <v>70000</v>
      </c>
      <c r="AI71" s="52">
        <f t="shared" si="12"/>
        <v>70000</v>
      </c>
      <c r="AJ71" s="53">
        <f t="shared" si="12"/>
        <v>70000</v>
      </c>
      <c r="AK71" s="51">
        <f t="shared" si="12"/>
        <v>70000</v>
      </c>
      <c r="AL71" s="52">
        <f t="shared" si="12"/>
        <v>70000</v>
      </c>
      <c r="AM71" s="53">
        <f t="shared" si="12"/>
        <v>70000</v>
      </c>
      <c r="AN71" s="51">
        <f t="shared" si="12"/>
        <v>70000</v>
      </c>
      <c r="AO71" s="52">
        <f t="shared" si="12"/>
        <v>70000</v>
      </c>
      <c r="AP71" s="53">
        <f t="shared" si="12"/>
        <v>70000</v>
      </c>
      <c r="AQ71" s="51">
        <f t="shared" si="12"/>
        <v>70000</v>
      </c>
      <c r="AR71" s="52">
        <f t="shared" si="12"/>
        <v>70000</v>
      </c>
      <c r="AS71" s="53">
        <f t="shared" si="12"/>
        <v>70000</v>
      </c>
    </row>
    <row r="72" ht="12.0" customHeight="1">
      <c r="B72" s="4"/>
      <c r="C72" s="4"/>
      <c r="D72" s="61"/>
      <c r="E72" s="62"/>
      <c r="F72" s="63"/>
      <c r="G72" s="61"/>
      <c r="H72" s="62"/>
      <c r="I72" s="63"/>
      <c r="J72" s="61"/>
      <c r="K72" s="62"/>
      <c r="L72" s="63"/>
      <c r="M72" s="61"/>
      <c r="N72" s="62"/>
      <c r="O72" s="63"/>
      <c r="P72" s="61"/>
      <c r="Q72" s="62"/>
      <c r="R72" s="63"/>
      <c r="S72" s="61"/>
      <c r="T72" s="62"/>
      <c r="U72" s="63"/>
      <c r="V72" s="61"/>
      <c r="W72" s="62"/>
      <c r="X72" s="63"/>
      <c r="Y72" s="61"/>
      <c r="Z72" s="62"/>
      <c r="AA72" s="63"/>
      <c r="AB72" s="61"/>
      <c r="AC72" s="62"/>
      <c r="AD72" s="63"/>
      <c r="AE72" s="61"/>
      <c r="AF72" s="62"/>
      <c r="AG72" s="63"/>
      <c r="AH72" s="61"/>
      <c r="AI72" s="62"/>
      <c r="AJ72" s="63"/>
      <c r="AK72" s="61"/>
      <c r="AL72" s="62"/>
      <c r="AM72" s="63"/>
      <c r="AN72" s="61"/>
      <c r="AO72" s="62"/>
      <c r="AP72" s="63"/>
      <c r="AQ72" s="61"/>
      <c r="AR72" s="62"/>
      <c r="AS72" s="63"/>
    </row>
    <row r="73" ht="12.0" customHeight="1">
      <c r="B73" s="8" t="s">
        <v>159</v>
      </c>
      <c r="D73" s="208"/>
      <c r="E73" s="231"/>
      <c r="F73" s="232"/>
      <c r="G73" s="208"/>
      <c r="H73" s="231"/>
      <c r="I73" s="232"/>
      <c r="J73" s="208"/>
      <c r="K73" s="231"/>
      <c r="L73" s="232"/>
      <c r="M73" s="208"/>
      <c r="N73" s="231"/>
      <c r="O73" s="232"/>
      <c r="P73" s="208"/>
      <c r="Q73" s="231"/>
      <c r="R73" s="232"/>
      <c r="S73" s="208"/>
      <c r="T73" s="231"/>
      <c r="U73" s="232"/>
      <c r="V73" s="208"/>
      <c r="W73" s="231"/>
      <c r="X73" s="232"/>
      <c r="Y73" s="208"/>
      <c r="Z73" s="231"/>
      <c r="AA73" s="232"/>
      <c r="AB73" s="208"/>
      <c r="AC73" s="231"/>
      <c r="AD73" s="232"/>
      <c r="AE73" s="208"/>
      <c r="AF73" s="231"/>
      <c r="AG73" s="232"/>
      <c r="AH73" s="208"/>
      <c r="AI73" s="231"/>
      <c r="AJ73" s="232"/>
      <c r="AK73" s="208"/>
      <c r="AL73" s="231"/>
      <c r="AM73" s="232"/>
      <c r="AN73" s="208"/>
      <c r="AO73" s="231"/>
      <c r="AP73" s="232"/>
      <c r="AQ73" s="208"/>
      <c r="AR73" s="231"/>
      <c r="AS73" s="232"/>
    </row>
    <row r="74" ht="12.0" customHeight="1">
      <c r="B74" s="4"/>
      <c r="C74" s="4" t="s">
        <v>160</v>
      </c>
      <c r="D74" s="34"/>
      <c r="E74" s="35"/>
      <c r="F74" s="36"/>
      <c r="G74" s="34"/>
      <c r="H74" s="35"/>
      <c r="I74" s="36"/>
      <c r="J74" s="34">
        <f>Macro!$D180*Team!J10</f>
        <v>2400</v>
      </c>
      <c r="K74" s="35">
        <f>Macro!$D180*Team!K10</f>
        <v>2400</v>
      </c>
      <c r="L74" s="36">
        <f>Macro!$D180*Team!L10</f>
        <v>3000</v>
      </c>
      <c r="M74" s="34">
        <f>Macro!$D180*Team!M10</f>
        <v>3100</v>
      </c>
      <c r="N74" s="35">
        <f>Macro!$D180*Team!N10</f>
        <v>3200</v>
      </c>
      <c r="O74" s="36">
        <f>Macro!$D180*Team!O10</f>
        <v>3400</v>
      </c>
      <c r="P74" s="34">
        <f>Macro!$D180*Team!P10</f>
        <v>3600</v>
      </c>
      <c r="Q74" s="35">
        <f>Macro!$D180*Team!Q10</f>
        <v>3600</v>
      </c>
      <c r="R74" s="36">
        <f>Macro!$D180*Team!R10</f>
        <v>3800</v>
      </c>
      <c r="S74" s="34">
        <f>Macro!$D180*Team!S10</f>
        <v>3900</v>
      </c>
      <c r="T74" s="35">
        <f>Macro!$D180*Team!T10</f>
        <v>3900</v>
      </c>
      <c r="U74" s="36">
        <f>Macro!$D180*Team!U10</f>
        <v>3900</v>
      </c>
      <c r="V74" s="34">
        <f>Macro!$D180*Team!V10</f>
        <v>4000</v>
      </c>
      <c r="W74" s="35">
        <f>Macro!$D180*Team!W10</f>
        <v>4000</v>
      </c>
      <c r="X74" s="36">
        <f>Macro!$D180*Team!X10</f>
        <v>4000</v>
      </c>
      <c r="Y74" s="34">
        <f>Macro!$D180*Team!Y10</f>
        <v>4100</v>
      </c>
      <c r="Z74" s="35">
        <f>Macro!$D180*Team!Z10</f>
        <v>4200</v>
      </c>
      <c r="AA74" s="36">
        <f>Macro!$D180*Team!AA10</f>
        <v>4200</v>
      </c>
      <c r="AB74" s="34">
        <f>Macro!$D180*Team!AB10</f>
        <v>4400</v>
      </c>
      <c r="AC74" s="35">
        <f>Macro!$D180*Team!AC10</f>
        <v>4400</v>
      </c>
      <c r="AD74" s="36">
        <f>Macro!$D180*Team!AD10</f>
        <v>4400</v>
      </c>
      <c r="AE74" s="34">
        <f>Macro!$D180*Team!AE10</f>
        <v>4500</v>
      </c>
      <c r="AF74" s="35">
        <f>Macro!$D180*Team!AF10</f>
        <v>4500</v>
      </c>
      <c r="AG74" s="36">
        <f>Macro!$D180*Team!AG10</f>
        <v>4500</v>
      </c>
      <c r="AH74" s="34">
        <f>Macro!$D180*Team!AH10</f>
        <v>4900</v>
      </c>
      <c r="AI74" s="35">
        <f>Macro!$D180*Team!AI10</f>
        <v>4900</v>
      </c>
      <c r="AJ74" s="36">
        <f>Macro!$D180*Team!AJ10</f>
        <v>4900</v>
      </c>
      <c r="AK74" s="34">
        <f>Macro!$D180*Team!AK10</f>
        <v>5000</v>
      </c>
      <c r="AL74" s="35">
        <f>Macro!$D180*Team!AL10</f>
        <v>5000</v>
      </c>
      <c r="AM74" s="36">
        <f>Macro!$D180*Team!AM10</f>
        <v>5000</v>
      </c>
      <c r="AN74" s="34">
        <f>Macro!$D180*Team!AN10</f>
        <v>5300</v>
      </c>
      <c r="AO74" s="35">
        <f>Macro!$D180*Team!AO10</f>
        <v>5300</v>
      </c>
      <c r="AP74" s="36">
        <f>Macro!$D180*Team!AP10</f>
        <v>5300</v>
      </c>
      <c r="AQ74" s="34">
        <f>Macro!$D180*Team!AQ10</f>
        <v>5400</v>
      </c>
      <c r="AR74" s="35">
        <f>Macro!$D180*Team!AR10</f>
        <v>5400</v>
      </c>
      <c r="AS74" s="36">
        <f>Macro!$D180*Team!AS10</f>
        <v>5400</v>
      </c>
    </row>
    <row r="75" ht="12.0" customHeight="1">
      <c r="B75" s="4"/>
      <c r="C75" s="8" t="s">
        <v>161</v>
      </c>
      <c r="D75" s="34"/>
      <c r="E75" s="35"/>
      <c r="F75" s="36"/>
      <c r="G75" s="34"/>
      <c r="H75" s="35"/>
      <c r="I75" s="36"/>
      <c r="J75" s="34"/>
      <c r="K75" s="35"/>
      <c r="L75" s="36"/>
      <c r="M75" s="34"/>
      <c r="N75" s="35"/>
      <c r="O75" s="36"/>
      <c r="P75" s="34"/>
      <c r="Q75" s="35"/>
      <c r="R75" s="36"/>
      <c r="S75" s="34"/>
      <c r="T75" s="35"/>
      <c r="U75" s="36"/>
      <c r="V75" s="34"/>
      <c r="W75" s="35"/>
      <c r="X75" s="36"/>
      <c r="Y75" s="34"/>
      <c r="Z75" s="35"/>
      <c r="AA75" s="36"/>
      <c r="AB75" s="34"/>
      <c r="AC75" s="35"/>
      <c r="AD75" s="36"/>
      <c r="AE75" s="34"/>
      <c r="AF75" s="35"/>
      <c r="AG75" s="36"/>
      <c r="AH75" s="34"/>
      <c r="AI75" s="35"/>
      <c r="AJ75" s="36"/>
      <c r="AK75" s="34"/>
      <c r="AL75" s="35"/>
      <c r="AM75" s="36"/>
      <c r="AN75" s="34"/>
      <c r="AO75" s="35"/>
      <c r="AP75" s="36"/>
      <c r="AQ75" s="34"/>
      <c r="AR75" s="35"/>
      <c r="AS75" s="36"/>
    </row>
    <row r="76" ht="12.0" customHeight="1">
      <c r="B76" s="4"/>
      <c r="C76" s="320" t="str">
        <f>Macro!B182</f>
        <v>Sales</v>
      </c>
      <c r="D76" s="34"/>
      <c r="E76" s="35"/>
      <c r="F76" s="36"/>
      <c r="G76" s="34"/>
      <c r="H76" s="35"/>
      <c r="I76" s="36"/>
      <c r="J76" s="34">
        <f>Macro!$D182</f>
        <v>10</v>
      </c>
      <c r="K76" s="35">
        <f>Macro!$D182</f>
        <v>10</v>
      </c>
      <c r="L76" s="36">
        <f>Macro!$D182</f>
        <v>10</v>
      </c>
      <c r="M76" s="34">
        <f>Macro!$D182</f>
        <v>10</v>
      </c>
      <c r="N76" s="35">
        <f>Macro!$D182</f>
        <v>10</v>
      </c>
      <c r="O76" s="36">
        <f>Macro!$D182</f>
        <v>10</v>
      </c>
      <c r="P76" s="34">
        <f>Macro!$D182</f>
        <v>10</v>
      </c>
      <c r="Q76" s="35">
        <f>Macro!$D182</f>
        <v>10</v>
      </c>
      <c r="R76" s="36">
        <f>Macro!$D182</f>
        <v>10</v>
      </c>
      <c r="S76" s="34">
        <f>Macro!$D182</f>
        <v>10</v>
      </c>
      <c r="T76" s="35">
        <f>Macro!$D182</f>
        <v>10</v>
      </c>
      <c r="U76" s="36">
        <f>Macro!$D182</f>
        <v>10</v>
      </c>
      <c r="V76" s="34">
        <f>Macro!$D182</f>
        <v>10</v>
      </c>
      <c r="W76" s="35">
        <f>Macro!$D182</f>
        <v>10</v>
      </c>
      <c r="X76" s="36">
        <f>Macro!$D182</f>
        <v>10</v>
      </c>
      <c r="Y76" s="34">
        <f>Macro!$D182</f>
        <v>10</v>
      </c>
      <c r="Z76" s="35">
        <f>Macro!$D182</f>
        <v>10</v>
      </c>
      <c r="AA76" s="36">
        <f>Macro!$D182</f>
        <v>10</v>
      </c>
      <c r="AB76" s="34">
        <f>Macro!$D182</f>
        <v>10</v>
      </c>
      <c r="AC76" s="35">
        <f>Macro!$D182</f>
        <v>10</v>
      </c>
      <c r="AD76" s="36">
        <f>Macro!$D182</f>
        <v>10</v>
      </c>
      <c r="AE76" s="34">
        <f>Macro!$D182</f>
        <v>10</v>
      </c>
      <c r="AF76" s="35">
        <f>Macro!$D182</f>
        <v>10</v>
      </c>
      <c r="AG76" s="36">
        <f>Macro!$D182</f>
        <v>10</v>
      </c>
      <c r="AH76" s="34">
        <f>Macro!$D182</f>
        <v>10</v>
      </c>
      <c r="AI76" s="35">
        <f>Macro!$D182</f>
        <v>10</v>
      </c>
      <c r="AJ76" s="36">
        <f>Macro!$D182</f>
        <v>10</v>
      </c>
      <c r="AK76" s="34">
        <f>Macro!$D182</f>
        <v>10</v>
      </c>
      <c r="AL76" s="35">
        <f>Macro!$D182</f>
        <v>10</v>
      </c>
      <c r="AM76" s="36">
        <f>Macro!$D182</f>
        <v>10</v>
      </c>
      <c r="AN76" s="34">
        <f>Macro!$D182</f>
        <v>10</v>
      </c>
      <c r="AO76" s="35">
        <f>Macro!$D182</f>
        <v>10</v>
      </c>
      <c r="AP76" s="36">
        <f>Macro!$D182</f>
        <v>10</v>
      </c>
      <c r="AQ76" s="34">
        <f>Macro!$D182</f>
        <v>10</v>
      </c>
      <c r="AR76" s="35">
        <f>Macro!$D182</f>
        <v>10</v>
      </c>
      <c r="AS76" s="36">
        <f>Macro!$D182</f>
        <v>10</v>
      </c>
    </row>
    <row r="77" ht="12.0" customHeight="1">
      <c r="B77" s="4"/>
      <c r="C77" s="320" t="str">
        <f>Macro!B183</f>
        <v>Marketing</v>
      </c>
      <c r="D77" s="34"/>
      <c r="E77" s="35"/>
      <c r="F77" s="36"/>
      <c r="G77" s="34"/>
      <c r="H77" s="35"/>
      <c r="I77" s="36"/>
      <c r="J77" s="34">
        <f>Macro!$D183</f>
        <v>10</v>
      </c>
      <c r="K77" s="35">
        <f>Macro!$D183</f>
        <v>10</v>
      </c>
      <c r="L77" s="36">
        <f>Macro!$D183</f>
        <v>10</v>
      </c>
      <c r="M77" s="34">
        <f>Macro!$D183</f>
        <v>10</v>
      </c>
      <c r="N77" s="35">
        <f>Macro!$D183</f>
        <v>10</v>
      </c>
      <c r="O77" s="36">
        <f>Macro!$D183</f>
        <v>10</v>
      </c>
      <c r="P77" s="34">
        <f>Macro!$D183</f>
        <v>10</v>
      </c>
      <c r="Q77" s="35">
        <f>Macro!$D183</f>
        <v>10</v>
      </c>
      <c r="R77" s="36">
        <f>Macro!$D183</f>
        <v>10</v>
      </c>
      <c r="S77" s="34">
        <f>Macro!$D183</f>
        <v>10</v>
      </c>
      <c r="T77" s="35">
        <f>Macro!$D183</f>
        <v>10</v>
      </c>
      <c r="U77" s="36">
        <f>Macro!$D183</f>
        <v>10</v>
      </c>
      <c r="V77" s="34">
        <f>Macro!$D183</f>
        <v>10</v>
      </c>
      <c r="W77" s="35">
        <f>Macro!$D183</f>
        <v>10</v>
      </c>
      <c r="X77" s="36">
        <f>Macro!$D183</f>
        <v>10</v>
      </c>
      <c r="Y77" s="34">
        <f>Macro!$D183</f>
        <v>10</v>
      </c>
      <c r="Z77" s="35">
        <f>Macro!$D183</f>
        <v>10</v>
      </c>
      <c r="AA77" s="36">
        <f>Macro!$D183</f>
        <v>10</v>
      </c>
      <c r="AB77" s="34">
        <f>Macro!$D183</f>
        <v>10</v>
      </c>
      <c r="AC77" s="35">
        <f>Macro!$D183</f>
        <v>10</v>
      </c>
      <c r="AD77" s="36">
        <f>Macro!$D183</f>
        <v>10</v>
      </c>
      <c r="AE77" s="34">
        <f>Macro!$D183</f>
        <v>10</v>
      </c>
      <c r="AF77" s="35">
        <f>Macro!$D183</f>
        <v>10</v>
      </c>
      <c r="AG77" s="36">
        <f>Macro!$D183</f>
        <v>10</v>
      </c>
      <c r="AH77" s="34">
        <f>Macro!$D183</f>
        <v>10</v>
      </c>
      <c r="AI77" s="35">
        <f>Macro!$D183</f>
        <v>10</v>
      </c>
      <c r="AJ77" s="36">
        <f>Macro!$D183</f>
        <v>10</v>
      </c>
      <c r="AK77" s="34">
        <f>Macro!$D183</f>
        <v>10</v>
      </c>
      <c r="AL77" s="35">
        <f>Macro!$D183</f>
        <v>10</v>
      </c>
      <c r="AM77" s="36">
        <f>Macro!$D183</f>
        <v>10</v>
      </c>
      <c r="AN77" s="34">
        <f>Macro!$D183</f>
        <v>10</v>
      </c>
      <c r="AO77" s="35">
        <f>Macro!$D183</f>
        <v>10</v>
      </c>
      <c r="AP77" s="36">
        <f>Macro!$D183</f>
        <v>10</v>
      </c>
      <c r="AQ77" s="34">
        <f>Macro!$D183</f>
        <v>10</v>
      </c>
      <c r="AR77" s="35">
        <f>Macro!$D183</f>
        <v>10</v>
      </c>
      <c r="AS77" s="36">
        <f>Macro!$D183</f>
        <v>10</v>
      </c>
    </row>
    <row r="78" ht="12.0" customHeight="1">
      <c r="B78" s="4"/>
      <c r="C78" s="320" t="str">
        <f>Macro!B184</f>
        <v>Engineering</v>
      </c>
      <c r="D78" s="34"/>
      <c r="E78" s="35"/>
      <c r="F78" s="36"/>
      <c r="G78" s="34"/>
      <c r="H78" s="35"/>
      <c r="I78" s="36"/>
      <c r="J78" s="34">
        <f>Macro!$D184</f>
        <v>10</v>
      </c>
      <c r="K78" s="35">
        <f>Macro!$D184</f>
        <v>10</v>
      </c>
      <c r="L78" s="36">
        <f>Macro!$D184</f>
        <v>10</v>
      </c>
      <c r="M78" s="34">
        <f>Macro!$D184</f>
        <v>10</v>
      </c>
      <c r="N78" s="35">
        <f>Macro!$D184</f>
        <v>10</v>
      </c>
      <c r="O78" s="36">
        <f>Macro!$D184</f>
        <v>10</v>
      </c>
      <c r="P78" s="34">
        <f>Macro!$D184</f>
        <v>10</v>
      </c>
      <c r="Q78" s="35">
        <f>Macro!$D184</f>
        <v>10</v>
      </c>
      <c r="R78" s="36">
        <f>Macro!$D184</f>
        <v>10</v>
      </c>
      <c r="S78" s="34">
        <f>Macro!$D184</f>
        <v>10</v>
      </c>
      <c r="T78" s="35">
        <f>Macro!$D184</f>
        <v>10</v>
      </c>
      <c r="U78" s="36">
        <f>Macro!$D184</f>
        <v>10</v>
      </c>
      <c r="V78" s="34">
        <f>Macro!$D184</f>
        <v>10</v>
      </c>
      <c r="W78" s="35">
        <f>Macro!$D184</f>
        <v>10</v>
      </c>
      <c r="X78" s="36">
        <f>Macro!$D184</f>
        <v>10</v>
      </c>
      <c r="Y78" s="34">
        <f>Macro!$D184</f>
        <v>10</v>
      </c>
      <c r="Z78" s="35">
        <f>Macro!$D184</f>
        <v>10</v>
      </c>
      <c r="AA78" s="36">
        <f>Macro!$D184</f>
        <v>10</v>
      </c>
      <c r="AB78" s="34">
        <f>Macro!$D184</f>
        <v>10</v>
      </c>
      <c r="AC78" s="35">
        <f>Macro!$D184</f>
        <v>10</v>
      </c>
      <c r="AD78" s="36">
        <f>Macro!$D184</f>
        <v>10</v>
      </c>
      <c r="AE78" s="34">
        <f>Macro!$D184</f>
        <v>10</v>
      </c>
      <c r="AF78" s="35">
        <f>Macro!$D184</f>
        <v>10</v>
      </c>
      <c r="AG78" s="36">
        <f>Macro!$D184</f>
        <v>10</v>
      </c>
      <c r="AH78" s="34">
        <f>Macro!$D184</f>
        <v>10</v>
      </c>
      <c r="AI78" s="35">
        <f>Macro!$D184</f>
        <v>10</v>
      </c>
      <c r="AJ78" s="36">
        <f>Macro!$D184</f>
        <v>10</v>
      </c>
      <c r="AK78" s="34">
        <f>Macro!$D184</f>
        <v>10</v>
      </c>
      <c r="AL78" s="35">
        <f>Macro!$D184</f>
        <v>10</v>
      </c>
      <c r="AM78" s="36">
        <f>Macro!$D184</f>
        <v>10</v>
      </c>
      <c r="AN78" s="34">
        <f>Macro!$D184</f>
        <v>10</v>
      </c>
      <c r="AO78" s="35">
        <f>Macro!$D184</f>
        <v>10</v>
      </c>
      <c r="AP78" s="36">
        <f>Macro!$D184</f>
        <v>10</v>
      </c>
      <c r="AQ78" s="34">
        <f>Macro!$D184</f>
        <v>10</v>
      </c>
      <c r="AR78" s="35">
        <f>Macro!$D184</f>
        <v>10</v>
      </c>
      <c r="AS78" s="36">
        <f>Macro!$D184</f>
        <v>10</v>
      </c>
    </row>
    <row r="79" ht="12.0" customHeight="1">
      <c r="B79" s="4"/>
      <c r="C79" s="320" t="str">
        <f>Macro!B185</f>
        <v>Product</v>
      </c>
      <c r="D79" s="34"/>
      <c r="E79" s="35"/>
      <c r="F79" s="36"/>
      <c r="G79" s="34"/>
      <c r="H79" s="35"/>
      <c r="I79" s="36"/>
      <c r="J79" s="34">
        <f>Macro!$D185</f>
        <v>10</v>
      </c>
      <c r="K79" s="35">
        <f>Macro!$D185</f>
        <v>10</v>
      </c>
      <c r="L79" s="36">
        <f>Macro!$D185</f>
        <v>10</v>
      </c>
      <c r="M79" s="34">
        <f>Macro!$D185</f>
        <v>10</v>
      </c>
      <c r="N79" s="35">
        <f>Macro!$D185</f>
        <v>10</v>
      </c>
      <c r="O79" s="36">
        <f>Macro!$D185</f>
        <v>10</v>
      </c>
      <c r="P79" s="34">
        <f>Macro!$D185</f>
        <v>10</v>
      </c>
      <c r="Q79" s="35">
        <f>Macro!$D185</f>
        <v>10</v>
      </c>
      <c r="R79" s="36">
        <f>Macro!$D185</f>
        <v>10</v>
      </c>
      <c r="S79" s="34">
        <f>Macro!$D185</f>
        <v>10</v>
      </c>
      <c r="T79" s="35">
        <f>Macro!$D185</f>
        <v>10</v>
      </c>
      <c r="U79" s="36">
        <f>Macro!$D185</f>
        <v>10</v>
      </c>
      <c r="V79" s="34">
        <f>Macro!$D185</f>
        <v>10</v>
      </c>
      <c r="W79" s="35">
        <f>Macro!$D185</f>
        <v>10</v>
      </c>
      <c r="X79" s="36">
        <f>Macro!$D185</f>
        <v>10</v>
      </c>
      <c r="Y79" s="34">
        <f>Macro!$D185</f>
        <v>10</v>
      </c>
      <c r="Z79" s="35">
        <f>Macro!$D185</f>
        <v>10</v>
      </c>
      <c r="AA79" s="36">
        <f>Macro!$D185</f>
        <v>10</v>
      </c>
      <c r="AB79" s="34">
        <f>Macro!$D185</f>
        <v>10</v>
      </c>
      <c r="AC79" s="35">
        <f>Macro!$D185</f>
        <v>10</v>
      </c>
      <c r="AD79" s="36">
        <f>Macro!$D185</f>
        <v>10</v>
      </c>
      <c r="AE79" s="34">
        <f>Macro!$D185</f>
        <v>10</v>
      </c>
      <c r="AF79" s="35">
        <f>Macro!$D185</f>
        <v>10</v>
      </c>
      <c r="AG79" s="36">
        <f>Macro!$D185</f>
        <v>10</v>
      </c>
      <c r="AH79" s="34">
        <f>Macro!$D185</f>
        <v>10</v>
      </c>
      <c r="AI79" s="35">
        <f>Macro!$D185</f>
        <v>10</v>
      </c>
      <c r="AJ79" s="36">
        <f>Macro!$D185</f>
        <v>10</v>
      </c>
      <c r="AK79" s="34">
        <f>Macro!$D185</f>
        <v>10</v>
      </c>
      <c r="AL79" s="35">
        <f>Macro!$D185</f>
        <v>10</v>
      </c>
      <c r="AM79" s="36">
        <f>Macro!$D185</f>
        <v>10</v>
      </c>
      <c r="AN79" s="34">
        <f>Macro!$D185</f>
        <v>10</v>
      </c>
      <c r="AO79" s="35">
        <f>Macro!$D185</f>
        <v>10</v>
      </c>
      <c r="AP79" s="36">
        <f>Macro!$D185</f>
        <v>10</v>
      </c>
      <c r="AQ79" s="34">
        <f>Macro!$D185</f>
        <v>10</v>
      </c>
      <c r="AR79" s="35">
        <f>Macro!$D185</f>
        <v>10</v>
      </c>
      <c r="AS79" s="36">
        <f>Macro!$D185</f>
        <v>10</v>
      </c>
    </row>
    <row r="80" ht="12.0" customHeight="1">
      <c r="B80" s="4"/>
      <c r="C80" s="320" t="str">
        <f>Macro!B186</f>
        <v>Customer Success</v>
      </c>
      <c r="D80" s="34"/>
      <c r="E80" s="35"/>
      <c r="F80" s="36"/>
      <c r="G80" s="34"/>
      <c r="H80" s="35"/>
      <c r="I80" s="36"/>
      <c r="J80" s="34">
        <f>Macro!$D186</f>
        <v>10</v>
      </c>
      <c r="K80" s="35">
        <f>Macro!$D186</f>
        <v>10</v>
      </c>
      <c r="L80" s="36">
        <f>Macro!$D186</f>
        <v>10</v>
      </c>
      <c r="M80" s="34">
        <f>Macro!$D186</f>
        <v>10</v>
      </c>
      <c r="N80" s="35">
        <f>Macro!$D186</f>
        <v>10</v>
      </c>
      <c r="O80" s="36">
        <f>Macro!$D186</f>
        <v>10</v>
      </c>
      <c r="P80" s="34">
        <f>Macro!$D186</f>
        <v>10</v>
      </c>
      <c r="Q80" s="35">
        <f>Macro!$D186</f>
        <v>10</v>
      </c>
      <c r="R80" s="36">
        <f>Macro!$D186</f>
        <v>10</v>
      </c>
      <c r="S80" s="34">
        <f>Macro!$D186</f>
        <v>10</v>
      </c>
      <c r="T80" s="35">
        <f>Macro!$D186</f>
        <v>10</v>
      </c>
      <c r="U80" s="36">
        <f>Macro!$D186</f>
        <v>10</v>
      </c>
      <c r="V80" s="34">
        <f>Macro!$D186</f>
        <v>10</v>
      </c>
      <c r="W80" s="35">
        <f>Macro!$D186</f>
        <v>10</v>
      </c>
      <c r="X80" s="36">
        <f>Macro!$D186</f>
        <v>10</v>
      </c>
      <c r="Y80" s="34">
        <f>Macro!$D186</f>
        <v>10</v>
      </c>
      <c r="Z80" s="35">
        <f>Macro!$D186</f>
        <v>10</v>
      </c>
      <c r="AA80" s="36">
        <f>Macro!$D186</f>
        <v>10</v>
      </c>
      <c r="AB80" s="34">
        <f>Macro!$D186</f>
        <v>10</v>
      </c>
      <c r="AC80" s="35">
        <f>Macro!$D186</f>
        <v>10</v>
      </c>
      <c r="AD80" s="36">
        <f>Macro!$D186</f>
        <v>10</v>
      </c>
      <c r="AE80" s="34">
        <f>Macro!$D186</f>
        <v>10</v>
      </c>
      <c r="AF80" s="35">
        <f>Macro!$D186</f>
        <v>10</v>
      </c>
      <c r="AG80" s="36">
        <f>Macro!$D186</f>
        <v>10</v>
      </c>
      <c r="AH80" s="34">
        <f>Macro!$D186</f>
        <v>10</v>
      </c>
      <c r="AI80" s="35">
        <f>Macro!$D186</f>
        <v>10</v>
      </c>
      <c r="AJ80" s="36">
        <f>Macro!$D186</f>
        <v>10</v>
      </c>
      <c r="AK80" s="34">
        <f>Macro!$D186</f>
        <v>10</v>
      </c>
      <c r="AL80" s="35">
        <f>Macro!$D186</f>
        <v>10</v>
      </c>
      <c r="AM80" s="36">
        <f>Macro!$D186</f>
        <v>10</v>
      </c>
      <c r="AN80" s="34">
        <f>Macro!$D186</f>
        <v>10</v>
      </c>
      <c r="AO80" s="35">
        <f>Macro!$D186</f>
        <v>10</v>
      </c>
      <c r="AP80" s="36">
        <f>Macro!$D186</f>
        <v>10</v>
      </c>
      <c r="AQ80" s="34">
        <f>Macro!$D186</f>
        <v>10</v>
      </c>
      <c r="AR80" s="35">
        <f>Macro!$D186</f>
        <v>10</v>
      </c>
      <c r="AS80" s="36">
        <f>Macro!$D186</f>
        <v>10</v>
      </c>
    </row>
    <row r="81" ht="12.0" customHeight="1">
      <c r="B81" s="4"/>
      <c r="C81" s="320" t="str">
        <f>Macro!B187</f>
        <v>G&amp;A</v>
      </c>
      <c r="D81" s="34"/>
      <c r="E81" s="35"/>
      <c r="F81" s="36"/>
      <c r="G81" s="34"/>
      <c r="H81" s="35"/>
      <c r="I81" s="36"/>
      <c r="J81" s="34">
        <f>Macro!$D187</f>
        <v>10</v>
      </c>
      <c r="K81" s="35">
        <f>Macro!$D187</f>
        <v>10</v>
      </c>
      <c r="L81" s="36">
        <f>Macro!$D187</f>
        <v>10</v>
      </c>
      <c r="M81" s="34">
        <f>Macro!$D187</f>
        <v>10</v>
      </c>
      <c r="N81" s="35">
        <f>Macro!$D187</f>
        <v>10</v>
      </c>
      <c r="O81" s="36">
        <f>Macro!$D187</f>
        <v>10</v>
      </c>
      <c r="P81" s="34">
        <f>Macro!$D187</f>
        <v>10</v>
      </c>
      <c r="Q81" s="35">
        <f>Macro!$D187</f>
        <v>10</v>
      </c>
      <c r="R81" s="36">
        <f>Macro!$D187</f>
        <v>10</v>
      </c>
      <c r="S81" s="34">
        <f>Macro!$D187</f>
        <v>10</v>
      </c>
      <c r="T81" s="35">
        <f>Macro!$D187</f>
        <v>10</v>
      </c>
      <c r="U81" s="36">
        <f>Macro!$D187</f>
        <v>10</v>
      </c>
      <c r="V81" s="34">
        <f>Macro!$D187</f>
        <v>10</v>
      </c>
      <c r="W81" s="35">
        <f>Macro!$D187</f>
        <v>10</v>
      </c>
      <c r="X81" s="36">
        <f>Macro!$D187</f>
        <v>10</v>
      </c>
      <c r="Y81" s="34">
        <f>Macro!$D187</f>
        <v>10</v>
      </c>
      <c r="Z81" s="35">
        <f>Macro!$D187</f>
        <v>10</v>
      </c>
      <c r="AA81" s="36">
        <f>Macro!$D187</f>
        <v>10</v>
      </c>
      <c r="AB81" s="34">
        <f>Macro!$D187</f>
        <v>10</v>
      </c>
      <c r="AC81" s="35">
        <f>Macro!$D187</f>
        <v>10</v>
      </c>
      <c r="AD81" s="36">
        <f>Macro!$D187</f>
        <v>10</v>
      </c>
      <c r="AE81" s="34">
        <f>Macro!$D187</f>
        <v>10</v>
      </c>
      <c r="AF81" s="35">
        <f>Macro!$D187</f>
        <v>10</v>
      </c>
      <c r="AG81" s="36">
        <f>Macro!$D187</f>
        <v>10</v>
      </c>
      <c r="AH81" s="34">
        <f>Macro!$D187</f>
        <v>10</v>
      </c>
      <c r="AI81" s="35">
        <f>Macro!$D187</f>
        <v>10</v>
      </c>
      <c r="AJ81" s="36">
        <f>Macro!$D187</f>
        <v>10</v>
      </c>
      <c r="AK81" s="34">
        <f>Macro!$D187</f>
        <v>10</v>
      </c>
      <c r="AL81" s="35">
        <f>Macro!$D187</f>
        <v>10</v>
      </c>
      <c r="AM81" s="36">
        <f>Macro!$D187</f>
        <v>10</v>
      </c>
      <c r="AN81" s="34">
        <f>Macro!$D187</f>
        <v>10</v>
      </c>
      <c r="AO81" s="35">
        <f>Macro!$D187</f>
        <v>10</v>
      </c>
      <c r="AP81" s="36">
        <f>Macro!$D187</f>
        <v>10</v>
      </c>
      <c r="AQ81" s="34">
        <f>Macro!$D187</f>
        <v>10</v>
      </c>
      <c r="AR81" s="35">
        <f>Macro!$D187</f>
        <v>10</v>
      </c>
      <c r="AS81" s="36">
        <f>Macro!$D187</f>
        <v>10</v>
      </c>
    </row>
    <row r="82" ht="12.0" customHeight="1">
      <c r="B82" s="4"/>
      <c r="C82" s="8" t="s">
        <v>162</v>
      </c>
      <c r="D82" s="34"/>
      <c r="E82" s="35"/>
      <c r="F82" s="36"/>
      <c r="G82" s="34"/>
      <c r="H82" s="35"/>
      <c r="I82" s="36"/>
      <c r="J82" s="34"/>
      <c r="K82" s="35"/>
      <c r="L82" s="36"/>
      <c r="M82" s="34"/>
      <c r="N82" s="35"/>
      <c r="O82" s="36"/>
      <c r="P82" s="34"/>
      <c r="Q82" s="35"/>
      <c r="R82" s="36"/>
      <c r="S82" s="34"/>
      <c r="T82" s="35"/>
      <c r="U82" s="36"/>
      <c r="V82" s="34"/>
      <c r="W82" s="35"/>
      <c r="X82" s="36"/>
      <c r="Y82" s="34"/>
      <c r="Z82" s="35"/>
      <c r="AA82" s="36"/>
      <c r="AB82" s="34"/>
      <c r="AC82" s="35"/>
      <c r="AD82" s="36"/>
      <c r="AE82" s="34"/>
      <c r="AF82" s="35"/>
      <c r="AG82" s="36"/>
      <c r="AH82" s="34"/>
      <c r="AI82" s="35"/>
      <c r="AJ82" s="36"/>
      <c r="AK82" s="34"/>
      <c r="AL82" s="35"/>
      <c r="AM82" s="36"/>
      <c r="AN82" s="34"/>
      <c r="AO82" s="35"/>
      <c r="AP82" s="36"/>
      <c r="AQ82" s="34"/>
      <c r="AR82" s="35"/>
      <c r="AS82" s="36"/>
    </row>
    <row r="83" ht="12.0" customHeight="1">
      <c r="B83" s="4"/>
      <c r="C83" s="320" t="str">
        <f>Macro!B189</f>
        <v>Sales</v>
      </c>
      <c r="D83" s="34"/>
      <c r="E83" s="35"/>
      <c r="F83" s="36"/>
      <c r="G83" s="34"/>
      <c r="H83" s="35"/>
      <c r="I83" s="36"/>
      <c r="J83" s="34">
        <f>Macro!$D189</f>
        <v>10</v>
      </c>
      <c r="K83" s="35">
        <f>Macro!$D189</f>
        <v>10</v>
      </c>
      <c r="L83" s="36">
        <f>Macro!$D189</f>
        <v>10</v>
      </c>
      <c r="M83" s="34">
        <f>Macro!$D189</f>
        <v>10</v>
      </c>
      <c r="N83" s="35">
        <f>Macro!$D189</f>
        <v>10</v>
      </c>
      <c r="O83" s="36">
        <f>Macro!$D189</f>
        <v>10</v>
      </c>
      <c r="P83" s="34">
        <f>Macro!$D189</f>
        <v>10</v>
      </c>
      <c r="Q83" s="35">
        <f>Macro!$D189</f>
        <v>10</v>
      </c>
      <c r="R83" s="36">
        <f>Macro!$D189</f>
        <v>10</v>
      </c>
      <c r="S83" s="34">
        <f>Macro!$D189</f>
        <v>10</v>
      </c>
      <c r="T83" s="35">
        <f>Macro!$D189</f>
        <v>10</v>
      </c>
      <c r="U83" s="36">
        <f>Macro!$D189</f>
        <v>10</v>
      </c>
      <c r="V83" s="34">
        <f>Macro!$D189</f>
        <v>10</v>
      </c>
      <c r="W83" s="35">
        <f>Macro!$D189</f>
        <v>10</v>
      </c>
      <c r="X83" s="36">
        <f>Macro!$D189</f>
        <v>10</v>
      </c>
      <c r="Y83" s="34">
        <f>Macro!$D189</f>
        <v>10</v>
      </c>
      <c r="Z83" s="35">
        <f>Macro!$D189</f>
        <v>10</v>
      </c>
      <c r="AA83" s="36">
        <f>Macro!$D189</f>
        <v>10</v>
      </c>
      <c r="AB83" s="34">
        <f>Macro!$D189</f>
        <v>10</v>
      </c>
      <c r="AC83" s="35">
        <f>Macro!$D189</f>
        <v>10</v>
      </c>
      <c r="AD83" s="36">
        <f>Macro!$D189</f>
        <v>10</v>
      </c>
      <c r="AE83" s="34">
        <f>Macro!$D189</f>
        <v>10</v>
      </c>
      <c r="AF83" s="35">
        <f>Macro!$D189</f>
        <v>10</v>
      </c>
      <c r="AG83" s="36">
        <f>Macro!$D189</f>
        <v>10</v>
      </c>
      <c r="AH83" s="34">
        <f>Macro!$D189</f>
        <v>10</v>
      </c>
      <c r="AI83" s="35">
        <f>Macro!$D189</f>
        <v>10</v>
      </c>
      <c r="AJ83" s="36">
        <f>Macro!$D189</f>
        <v>10</v>
      </c>
      <c r="AK83" s="34">
        <f>Macro!$D189</f>
        <v>10</v>
      </c>
      <c r="AL83" s="35">
        <f>Macro!$D189</f>
        <v>10</v>
      </c>
      <c r="AM83" s="36">
        <f>Macro!$D189</f>
        <v>10</v>
      </c>
      <c r="AN83" s="34">
        <f>Macro!$D189</f>
        <v>10</v>
      </c>
      <c r="AO83" s="35">
        <f>Macro!$D189</f>
        <v>10</v>
      </c>
      <c r="AP83" s="36">
        <f>Macro!$D189</f>
        <v>10</v>
      </c>
      <c r="AQ83" s="34">
        <f>Macro!$D189</f>
        <v>10</v>
      </c>
      <c r="AR83" s="35">
        <f>Macro!$D189</f>
        <v>10</v>
      </c>
      <c r="AS83" s="36">
        <f>Macro!$D189</f>
        <v>10</v>
      </c>
    </row>
    <row r="84" ht="12.0" customHeight="1">
      <c r="B84" s="4"/>
      <c r="C84" s="320" t="str">
        <f>Macro!B190</f>
        <v>Marketing</v>
      </c>
      <c r="D84" s="34"/>
      <c r="E84" s="35"/>
      <c r="F84" s="36"/>
      <c r="G84" s="34"/>
      <c r="H84" s="35"/>
      <c r="I84" s="36"/>
      <c r="J84" s="34">
        <f>Macro!$D190</f>
        <v>10</v>
      </c>
      <c r="K84" s="35">
        <f>Macro!$D190</f>
        <v>10</v>
      </c>
      <c r="L84" s="36">
        <f>Macro!$D190</f>
        <v>10</v>
      </c>
      <c r="M84" s="34">
        <f>Macro!$D190</f>
        <v>10</v>
      </c>
      <c r="N84" s="35">
        <f>Macro!$D190</f>
        <v>10</v>
      </c>
      <c r="O84" s="36">
        <f>Macro!$D190</f>
        <v>10</v>
      </c>
      <c r="P84" s="34">
        <f>Macro!$D190</f>
        <v>10</v>
      </c>
      <c r="Q84" s="35">
        <f>Macro!$D190</f>
        <v>10</v>
      </c>
      <c r="R84" s="36">
        <f>Macro!$D190</f>
        <v>10</v>
      </c>
      <c r="S84" s="34">
        <f>Macro!$D190</f>
        <v>10</v>
      </c>
      <c r="T84" s="35">
        <f>Macro!$D190</f>
        <v>10</v>
      </c>
      <c r="U84" s="36">
        <f>Macro!$D190</f>
        <v>10</v>
      </c>
      <c r="V84" s="34">
        <f>Macro!$D190</f>
        <v>10</v>
      </c>
      <c r="W84" s="35">
        <f>Macro!$D190</f>
        <v>10</v>
      </c>
      <c r="X84" s="36">
        <f>Macro!$D190</f>
        <v>10</v>
      </c>
      <c r="Y84" s="34">
        <f>Macro!$D190</f>
        <v>10</v>
      </c>
      <c r="Z84" s="35">
        <f>Macro!$D190</f>
        <v>10</v>
      </c>
      <c r="AA84" s="36">
        <f>Macro!$D190</f>
        <v>10</v>
      </c>
      <c r="AB84" s="34">
        <f>Macro!$D190</f>
        <v>10</v>
      </c>
      <c r="AC84" s="35">
        <f>Macro!$D190</f>
        <v>10</v>
      </c>
      <c r="AD84" s="36">
        <f>Macro!$D190</f>
        <v>10</v>
      </c>
      <c r="AE84" s="34">
        <f>Macro!$D190</f>
        <v>10</v>
      </c>
      <c r="AF84" s="35">
        <f>Macro!$D190</f>
        <v>10</v>
      </c>
      <c r="AG84" s="36">
        <f>Macro!$D190</f>
        <v>10</v>
      </c>
      <c r="AH84" s="34">
        <f>Macro!$D190</f>
        <v>10</v>
      </c>
      <c r="AI84" s="35">
        <f>Macro!$D190</f>
        <v>10</v>
      </c>
      <c r="AJ84" s="36">
        <f>Macro!$D190</f>
        <v>10</v>
      </c>
      <c r="AK84" s="34">
        <f>Macro!$D190</f>
        <v>10</v>
      </c>
      <c r="AL84" s="35">
        <f>Macro!$D190</f>
        <v>10</v>
      </c>
      <c r="AM84" s="36">
        <f>Macro!$D190</f>
        <v>10</v>
      </c>
      <c r="AN84" s="34">
        <f>Macro!$D190</f>
        <v>10</v>
      </c>
      <c r="AO84" s="35">
        <f>Macro!$D190</f>
        <v>10</v>
      </c>
      <c r="AP84" s="36">
        <f>Macro!$D190</f>
        <v>10</v>
      </c>
      <c r="AQ84" s="34">
        <f>Macro!$D190</f>
        <v>10</v>
      </c>
      <c r="AR84" s="35">
        <f>Macro!$D190</f>
        <v>10</v>
      </c>
      <c r="AS84" s="36">
        <f>Macro!$D190</f>
        <v>10</v>
      </c>
    </row>
    <row r="85" ht="12.0" customHeight="1">
      <c r="B85" s="4"/>
      <c r="C85" s="320" t="str">
        <f>Macro!B191</f>
        <v>Engineering</v>
      </c>
      <c r="D85" s="34"/>
      <c r="E85" s="35"/>
      <c r="F85" s="36"/>
      <c r="G85" s="34"/>
      <c r="H85" s="35"/>
      <c r="I85" s="36"/>
      <c r="J85" s="34">
        <f>Macro!$D191</f>
        <v>10</v>
      </c>
      <c r="K85" s="35">
        <f>Macro!$D191</f>
        <v>10</v>
      </c>
      <c r="L85" s="36">
        <f>Macro!$D191</f>
        <v>10</v>
      </c>
      <c r="M85" s="34">
        <f>Macro!$D191</f>
        <v>10</v>
      </c>
      <c r="N85" s="35">
        <f>Macro!$D191</f>
        <v>10</v>
      </c>
      <c r="O85" s="36">
        <f>Macro!$D191</f>
        <v>10</v>
      </c>
      <c r="P85" s="34">
        <f>Macro!$D191</f>
        <v>10</v>
      </c>
      <c r="Q85" s="35">
        <f>Macro!$D191</f>
        <v>10</v>
      </c>
      <c r="R85" s="36">
        <f>Macro!$D191</f>
        <v>10</v>
      </c>
      <c r="S85" s="34">
        <f>Macro!$D191</f>
        <v>10</v>
      </c>
      <c r="T85" s="35">
        <f>Macro!$D191</f>
        <v>10</v>
      </c>
      <c r="U85" s="36">
        <f>Macro!$D191</f>
        <v>10</v>
      </c>
      <c r="V85" s="34">
        <f>Macro!$D191</f>
        <v>10</v>
      </c>
      <c r="W85" s="35">
        <f>Macro!$D191</f>
        <v>10</v>
      </c>
      <c r="X85" s="36">
        <f>Macro!$D191</f>
        <v>10</v>
      </c>
      <c r="Y85" s="34">
        <f>Macro!$D191</f>
        <v>10</v>
      </c>
      <c r="Z85" s="35">
        <f>Macro!$D191</f>
        <v>10</v>
      </c>
      <c r="AA85" s="36">
        <f>Macro!$D191</f>
        <v>10</v>
      </c>
      <c r="AB85" s="34">
        <f>Macro!$D191</f>
        <v>10</v>
      </c>
      <c r="AC85" s="35">
        <f>Macro!$D191</f>
        <v>10</v>
      </c>
      <c r="AD85" s="36">
        <f>Macro!$D191</f>
        <v>10</v>
      </c>
      <c r="AE85" s="34">
        <f>Macro!$D191</f>
        <v>10</v>
      </c>
      <c r="AF85" s="35">
        <f>Macro!$D191</f>
        <v>10</v>
      </c>
      <c r="AG85" s="36">
        <f>Macro!$D191</f>
        <v>10</v>
      </c>
      <c r="AH85" s="34">
        <f>Macro!$D191</f>
        <v>10</v>
      </c>
      <c r="AI85" s="35">
        <f>Macro!$D191</f>
        <v>10</v>
      </c>
      <c r="AJ85" s="36">
        <f>Macro!$D191</f>
        <v>10</v>
      </c>
      <c r="AK85" s="34">
        <f>Macro!$D191</f>
        <v>10</v>
      </c>
      <c r="AL85" s="35">
        <f>Macro!$D191</f>
        <v>10</v>
      </c>
      <c r="AM85" s="36">
        <f>Macro!$D191</f>
        <v>10</v>
      </c>
      <c r="AN85" s="34">
        <f>Macro!$D191</f>
        <v>10</v>
      </c>
      <c r="AO85" s="35">
        <f>Macro!$D191</f>
        <v>10</v>
      </c>
      <c r="AP85" s="36">
        <f>Macro!$D191</f>
        <v>10</v>
      </c>
      <c r="AQ85" s="34">
        <f>Macro!$D191</f>
        <v>10</v>
      </c>
      <c r="AR85" s="35">
        <f>Macro!$D191</f>
        <v>10</v>
      </c>
      <c r="AS85" s="36">
        <f>Macro!$D191</f>
        <v>10</v>
      </c>
    </row>
    <row r="86" ht="12.0" customHeight="1">
      <c r="B86" s="4"/>
      <c r="C86" s="320" t="str">
        <f>Macro!B192</f>
        <v>Product</v>
      </c>
      <c r="D86" s="34"/>
      <c r="E86" s="35"/>
      <c r="F86" s="36"/>
      <c r="G86" s="34"/>
      <c r="H86" s="35"/>
      <c r="I86" s="36"/>
      <c r="J86" s="34">
        <f>Macro!$D192</f>
        <v>10</v>
      </c>
      <c r="K86" s="35">
        <f>Macro!$D192</f>
        <v>10</v>
      </c>
      <c r="L86" s="36">
        <f>Macro!$D192</f>
        <v>10</v>
      </c>
      <c r="M86" s="34">
        <f>Macro!$D192</f>
        <v>10</v>
      </c>
      <c r="N86" s="35">
        <f>Macro!$D192</f>
        <v>10</v>
      </c>
      <c r="O86" s="36">
        <f>Macro!$D192</f>
        <v>10</v>
      </c>
      <c r="P86" s="34">
        <f>Macro!$D192</f>
        <v>10</v>
      </c>
      <c r="Q86" s="35">
        <f>Macro!$D192</f>
        <v>10</v>
      </c>
      <c r="R86" s="36">
        <f>Macro!$D192</f>
        <v>10</v>
      </c>
      <c r="S86" s="34">
        <f>Macro!$D192</f>
        <v>10</v>
      </c>
      <c r="T86" s="35">
        <f>Macro!$D192</f>
        <v>10</v>
      </c>
      <c r="U86" s="36">
        <f>Macro!$D192</f>
        <v>10</v>
      </c>
      <c r="V86" s="34">
        <f>Macro!$D192</f>
        <v>10</v>
      </c>
      <c r="W86" s="35">
        <f>Macro!$D192</f>
        <v>10</v>
      </c>
      <c r="X86" s="36">
        <f>Macro!$D192</f>
        <v>10</v>
      </c>
      <c r="Y86" s="34">
        <f>Macro!$D192</f>
        <v>10</v>
      </c>
      <c r="Z86" s="35">
        <f>Macro!$D192</f>
        <v>10</v>
      </c>
      <c r="AA86" s="36">
        <f>Macro!$D192</f>
        <v>10</v>
      </c>
      <c r="AB86" s="34">
        <f>Macro!$D192</f>
        <v>10</v>
      </c>
      <c r="AC86" s="35">
        <f>Macro!$D192</f>
        <v>10</v>
      </c>
      <c r="AD86" s="36">
        <f>Macro!$D192</f>
        <v>10</v>
      </c>
      <c r="AE86" s="34">
        <f>Macro!$D192</f>
        <v>10</v>
      </c>
      <c r="AF86" s="35">
        <f>Macro!$D192</f>
        <v>10</v>
      </c>
      <c r="AG86" s="36">
        <f>Macro!$D192</f>
        <v>10</v>
      </c>
      <c r="AH86" s="34">
        <f>Macro!$D192</f>
        <v>10</v>
      </c>
      <c r="AI86" s="35">
        <f>Macro!$D192</f>
        <v>10</v>
      </c>
      <c r="AJ86" s="36">
        <f>Macro!$D192</f>
        <v>10</v>
      </c>
      <c r="AK86" s="34">
        <f>Macro!$D192</f>
        <v>10</v>
      </c>
      <c r="AL86" s="35">
        <f>Macro!$D192</f>
        <v>10</v>
      </c>
      <c r="AM86" s="36">
        <f>Macro!$D192</f>
        <v>10</v>
      </c>
      <c r="AN86" s="34">
        <f>Macro!$D192</f>
        <v>10</v>
      </c>
      <c r="AO86" s="35">
        <f>Macro!$D192</f>
        <v>10</v>
      </c>
      <c r="AP86" s="36">
        <f>Macro!$D192</f>
        <v>10</v>
      </c>
      <c r="AQ86" s="34">
        <f>Macro!$D192</f>
        <v>10</v>
      </c>
      <c r="AR86" s="35">
        <f>Macro!$D192</f>
        <v>10</v>
      </c>
      <c r="AS86" s="36">
        <f>Macro!$D192</f>
        <v>10</v>
      </c>
    </row>
    <row r="87" ht="12.0" customHeight="1">
      <c r="B87" s="4"/>
      <c r="C87" s="320" t="str">
        <f>Macro!B193</f>
        <v>Customer Success</v>
      </c>
      <c r="D87" s="34"/>
      <c r="E87" s="35"/>
      <c r="F87" s="36"/>
      <c r="G87" s="34"/>
      <c r="H87" s="35"/>
      <c r="I87" s="36"/>
      <c r="J87" s="34">
        <f>Macro!$D193</f>
        <v>10</v>
      </c>
      <c r="K87" s="35">
        <f>Macro!$D193</f>
        <v>10</v>
      </c>
      <c r="L87" s="36">
        <f>Macro!$D193</f>
        <v>10</v>
      </c>
      <c r="M87" s="34">
        <f>Macro!$D193</f>
        <v>10</v>
      </c>
      <c r="N87" s="35">
        <f>Macro!$D193</f>
        <v>10</v>
      </c>
      <c r="O87" s="36">
        <f>Macro!$D193</f>
        <v>10</v>
      </c>
      <c r="P87" s="34">
        <f>Macro!$D193</f>
        <v>10</v>
      </c>
      <c r="Q87" s="35">
        <f>Macro!$D193</f>
        <v>10</v>
      </c>
      <c r="R87" s="36">
        <f>Macro!$D193</f>
        <v>10</v>
      </c>
      <c r="S87" s="34">
        <f>Macro!$D193</f>
        <v>10</v>
      </c>
      <c r="T87" s="35">
        <f>Macro!$D193</f>
        <v>10</v>
      </c>
      <c r="U87" s="36">
        <f>Macro!$D193</f>
        <v>10</v>
      </c>
      <c r="V87" s="34">
        <f>Macro!$D193</f>
        <v>10</v>
      </c>
      <c r="W87" s="35">
        <f>Macro!$D193</f>
        <v>10</v>
      </c>
      <c r="X87" s="36">
        <f>Macro!$D193</f>
        <v>10</v>
      </c>
      <c r="Y87" s="34">
        <f>Macro!$D193</f>
        <v>10</v>
      </c>
      <c r="Z87" s="35">
        <f>Macro!$D193</f>
        <v>10</v>
      </c>
      <c r="AA87" s="36">
        <f>Macro!$D193</f>
        <v>10</v>
      </c>
      <c r="AB87" s="34">
        <f>Macro!$D193</f>
        <v>10</v>
      </c>
      <c r="AC87" s="35">
        <f>Macro!$D193</f>
        <v>10</v>
      </c>
      <c r="AD87" s="36">
        <f>Macro!$D193</f>
        <v>10</v>
      </c>
      <c r="AE87" s="34">
        <f>Macro!$D193</f>
        <v>10</v>
      </c>
      <c r="AF87" s="35">
        <f>Macro!$D193</f>
        <v>10</v>
      </c>
      <c r="AG87" s="36">
        <f>Macro!$D193</f>
        <v>10</v>
      </c>
      <c r="AH87" s="34">
        <f>Macro!$D193</f>
        <v>10</v>
      </c>
      <c r="AI87" s="35">
        <f>Macro!$D193</f>
        <v>10</v>
      </c>
      <c r="AJ87" s="36">
        <f>Macro!$D193</f>
        <v>10</v>
      </c>
      <c r="AK87" s="34">
        <f>Macro!$D193</f>
        <v>10</v>
      </c>
      <c r="AL87" s="35">
        <f>Macro!$D193</f>
        <v>10</v>
      </c>
      <c r="AM87" s="36">
        <f>Macro!$D193</f>
        <v>10</v>
      </c>
      <c r="AN87" s="34">
        <f>Macro!$D193</f>
        <v>10</v>
      </c>
      <c r="AO87" s="35">
        <f>Macro!$D193</f>
        <v>10</v>
      </c>
      <c r="AP87" s="36">
        <f>Macro!$D193</f>
        <v>10</v>
      </c>
      <c r="AQ87" s="34">
        <f>Macro!$D193</f>
        <v>10</v>
      </c>
      <c r="AR87" s="35">
        <f>Macro!$D193</f>
        <v>10</v>
      </c>
      <c r="AS87" s="36">
        <f>Macro!$D193</f>
        <v>10</v>
      </c>
    </row>
    <row r="88" ht="12.0" customHeight="1">
      <c r="B88" s="4"/>
      <c r="C88" s="320" t="str">
        <f>Macro!B194</f>
        <v>G&amp;A</v>
      </c>
      <c r="D88" s="34"/>
      <c r="E88" s="35"/>
      <c r="F88" s="36"/>
      <c r="G88" s="34"/>
      <c r="H88" s="35"/>
      <c r="I88" s="36"/>
      <c r="J88" s="34">
        <f>Macro!$D194</f>
        <v>10</v>
      </c>
      <c r="K88" s="35">
        <f>Macro!$D194</f>
        <v>10</v>
      </c>
      <c r="L88" s="36">
        <f>Macro!$D194</f>
        <v>10</v>
      </c>
      <c r="M88" s="34">
        <f>Macro!$D194</f>
        <v>10</v>
      </c>
      <c r="N88" s="35">
        <f>Macro!$D194</f>
        <v>10</v>
      </c>
      <c r="O88" s="36">
        <f>Macro!$D194</f>
        <v>10</v>
      </c>
      <c r="P88" s="34">
        <f>Macro!$D194</f>
        <v>10</v>
      </c>
      <c r="Q88" s="35">
        <f>Macro!$D194</f>
        <v>10</v>
      </c>
      <c r="R88" s="36">
        <f>Macro!$D194</f>
        <v>10</v>
      </c>
      <c r="S88" s="34">
        <f>Macro!$D194</f>
        <v>10</v>
      </c>
      <c r="T88" s="35">
        <f>Macro!$D194</f>
        <v>10</v>
      </c>
      <c r="U88" s="36">
        <f>Macro!$D194</f>
        <v>10</v>
      </c>
      <c r="V88" s="34">
        <f>Macro!$D194</f>
        <v>10</v>
      </c>
      <c r="W88" s="35">
        <f>Macro!$D194</f>
        <v>10</v>
      </c>
      <c r="X88" s="36">
        <f>Macro!$D194</f>
        <v>10</v>
      </c>
      <c r="Y88" s="34">
        <f>Macro!$D194</f>
        <v>10</v>
      </c>
      <c r="Z88" s="35">
        <f>Macro!$D194</f>
        <v>10</v>
      </c>
      <c r="AA88" s="36">
        <f>Macro!$D194</f>
        <v>10</v>
      </c>
      <c r="AB88" s="34">
        <f>Macro!$D194</f>
        <v>10</v>
      </c>
      <c r="AC88" s="35">
        <f>Macro!$D194</f>
        <v>10</v>
      </c>
      <c r="AD88" s="36">
        <f>Macro!$D194</f>
        <v>10</v>
      </c>
      <c r="AE88" s="34">
        <f>Macro!$D194</f>
        <v>10</v>
      </c>
      <c r="AF88" s="35">
        <f>Macro!$D194</f>
        <v>10</v>
      </c>
      <c r="AG88" s="36">
        <f>Macro!$D194</f>
        <v>10</v>
      </c>
      <c r="AH88" s="34">
        <f>Macro!$D194</f>
        <v>10</v>
      </c>
      <c r="AI88" s="35">
        <f>Macro!$D194</f>
        <v>10</v>
      </c>
      <c r="AJ88" s="36">
        <f>Macro!$D194</f>
        <v>10</v>
      </c>
      <c r="AK88" s="34">
        <f>Macro!$D194</f>
        <v>10</v>
      </c>
      <c r="AL88" s="35">
        <f>Macro!$D194</f>
        <v>10</v>
      </c>
      <c r="AM88" s="36">
        <f>Macro!$D194</f>
        <v>10</v>
      </c>
      <c r="AN88" s="34">
        <f>Macro!$D194</f>
        <v>10</v>
      </c>
      <c r="AO88" s="35">
        <f>Macro!$D194</f>
        <v>10</v>
      </c>
      <c r="AP88" s="36">
        <f>Macro!$D194</f>
        <v>10</v>
      </c>
      <c r="AQ88" s="34">
        <f>Macro!$D194</f>
        <v>10</v>
      </c>
      <c r="AR88" s="35">
        <f>Macro!$D194</f>
        <v>10</v>
      </c>
      <c r="AS88" s="36">
        <f>Macro!$D194</f>
        <v>10</v>
      </c>
    </row>
    <row r="89" ht="12.0" customHeight="1">
      <c r="B89" s="4"/>
      <c r="C89" s="8" t="s">
        <v>162</v>
      </c>
      <c r="D89" s="34"/>
      <c r="E89" s="35"/>
      <c r="F89" s="36"/>
      <c r="G89" s="34"/>
      <c r="H89" s="35"/>
      <c r="I89" s="36"/>
      <c r="J89" s="34"/>
      <c r="K89" s="35"/>
      <c r="L89" s="36"/>
      <c r="M89" s="34"/>
      <c r="N89" s="35"/>
      <c r="O89" s="36"/>
      <c r="P89" s="34"/>
      <c r="Q89" s="35"/>
      <c r="R89" s="36"/>
      <c r="S89" s="34"/>
      <c r="T89" s="35"/>
      <c r="U89" s="36"/>
      <c r="V89" s="34"/>
      <c r="W89" s="35"/>
      <c r="X89" s="36"/>
      <c r="Y89" s="34"/>
      <c r="Z89" s="35"/>
      <c r="AA89" s="36"/>
      <c r="AB89" s="34"/>
      <c r="AC89" s="35"/>
      <c r="AD89" s="36"/>
      <c r="AE89" s="34"/>
      <c r="AF89" s="35"/>
      <c r="AG89" s="36"/>
      <c r="AH89" s="34"/>
      <c r="AI89" s="35"/>
      <c r="AJ89" s="36"/>
      <c r="AK89" s="34"/>
      <c r="AL89" s="35"/>
      <c r="AM89" s="36"/>
      <c r="AN89" s="34"/>
      <c r="AO89" s="35"/>
      <c r="AP89" s="36"/>
      <c r="AQ89" s="34"/>
      <c r="AR89" s="35"/>
      <c r="AS89" s="36"/>
    </row>
    <row r="90" ht="12.0" customHeight="1">
      <c r="B90" s="4"/>
      <c r="C90" s="315" t="str">
        <f>Macro!B196</f>
        <v>Rent</v>
      </c>
      <c r="D90" s="34"/>
      <c r="E90" s="35"/>
      <c r="F90" s="36"/>
      <c r="G90" s="34"/>
      <c r="H90" s="35"/>
      <c r="I90" s="36"/>
      <c r="J90" s="34">
        <f>Macro!$D196</f>
        <v>36000</v>
      </c>
      <c r="K90" s="35">
        <f>Macro!$D196</f>
        <v>36000</v>
      </c>
      <c r="L90" s="36">
        <f>Macro!$D196</f>
        <v>36000</v>
      </c>
      <c r="M90" s="34">
        <f>Macro!$D196</f>
        <v>36000</v>
      </c>
      <c r="N90" s="35">
        <f>Macro!$D196</f>
        <v>36000</v>
      </c>
      <c r="O90" s="36">
        <f>Macro!$D196</f>
        <v>36000</v>
      </c>
      <c r="P90" s="34">
        <f>Macro!$D196</f>
        <v>36000</v>
      </c>
      <c r="Q90" s="35">
        <f>Macro!$D196</f>
        <v>36000</v>
      </c>
      <c r="R90" s="36">
        <f>Macro!$D196</f>
        <v>36000</v>
      </c>
      <c r="S90" s="34">
        <f>Macro!$D196</f>
        <v>36000</v>
      </c>
      <c r="T90" s="35">
        <f>Macro!$D196</f>
        <v>36000</v>
      </c>
      <c r="U90" s="36">
        <f>Macro!$D196</f>
        <v>36000</v>
      </c>
      <c r="V90" s="34">
        <f>Macro!$D196</f>
        <v>36000</v>
      </c>
      <c r="W90" s="35">
        <f>Macro!$D196</f>
        <v>36000</v>
      </c>
      <c r="X90" s="36">
        <f>Macro!$D196</f>
        <v>36000</v>
      </c>
      <c r="Y90" s="34">
        <f>Macro!$D196</f>
        <v>36000</v>
      </c>
      <c r="Z90" s="35">
        <f>Macro!$D196</f>
        <v>36000</v>
      </c>
      <c r="AA90" s="36">
        <f>Macro!$D196</f>
        <v>36000</v>
      </c>
      <c r="AB90" s="34">
        <f>Macro!$D196</f>
        <v>36000</v>
      </c>
      <c r="AC90" s="35">
        <f>Macro!$D196</f>
        <v>36000</v>
      </c>
      <c r="AD90" s="36">
        <f>Macro!$D196</f>
        <v>36000</v>
      </c>
      <c r="AE90" s="34">
        <f>Macro!$D196</f>
        <v>36000</v>
      </c>
      <c r="AF90" s="35">
        <f>Macro!$D196</f>
        <v>36000</v>
      </c>
      <c r="AG90" s="36">
        <f>Macro!$D196</f>
        <v>36000</v>
      </c>
      <c r="AH90" s="34">
        <f>Macro!$D196</f>
        <v>36000</v>
      </c>
      <c r="AI90" s="35">
        <f>Macro!$D196</f>
        <v>36000</v>
      </c>
      <c r="AJ90" s="36">
        <f>Macro!$D196</f>
        <v>36000</v>
      </c>
      <c r="AK90" s="34">
        <f>Macro!$D196</f>
        <v>36000</v>
      </c>
      <c r="AL90" s="35">
        <f>Macro!$D196</f>
        <v>36000</v>
      </c>
      <c r="AM90" s="36">
        <f>Macro!$D196</f>
        <v>36000</v>
      </c>
      <c r="AN90" s="34">
        <f>Macro!$D196</f>
        <v>36000</v>
      </c>
      <c r="AO90" s="35">
        <f>Macro!$D196</f>
        <v>36000</v>
      </c>
      <c r="AP90" s="36">
        <f>Macro!$D196</f>
        <v>36000</v>
      </c>
      <c r="AQ90" s="34">
        <f>Macro!$D196</f>
        <v>36000</v>
      </c>
      <c r="AR90" s="35">
        <f>Macro!$D196</f>
        <v>36000</v>
      </c>
      <c r="AS90" s="36">
        <f>Macro!$D196</f>
        <v>36000</v>
      </c>
    </row>
    <row r="91" ht="12.0" customHeight="1">
      <c r="B91" s="4"/>
      <c r="C91" s="315" t="str">
        <f>Macro!B197</f>
        <v>Telephone</v>
      </c>
      <c r="D91" s="34"/>
      <c r="E91" s="35"/>
      <c r="F91" s="36"/>
      <c r="G91" s="34"/>
      <c r="H91" s="35"/>
      <c r="I91" s="36"/>
      <c r="J91" s="34">
        <f>Macro!$D197*Team!J$10</f>
        <v>2400</v>
      </c>
      <c r="K91" s="35">
        <f>Macro!$D197*Team!K$10</f>
        <v>2400</v>
      </c>
      <c r="L91" s="36">
        <f>Macro!$D197*Team!L$10</f>
        <v>3000</v>
      </c>
      <c r="M91" s="34">
        <f>Macro!$D197*Team!M$10</f>
        <v>3100</v>
      </c>
      <c r="N91" s="35">
        <f>Macro!$D197*Team!N$10</f>
        <v>3200</v>
      </c>
      <c r="O91" s="36">
        <f>Macro!$D197*Team!O$10</f>
        <v>3400</v>
      </c>
      <c r="P91" s="34">
        <f>Macro!$D197*Team!P$10</f>
        <v>3600</v>
      </c>
      <c r="Q91" s="35">
        <f>Macro!$D197*Team!Q$10</f>
        <v>3600</v>
      </c>
      <c r="R91" s="36">
        <f>Macro!$D197*Team!R$10</f>
        <v>3800</v>
      </c>
      <c r="S91" s="34">
        <f>Macro!$D197*Team!S$10</f>
        <v>3900</v>
      </c>
      <c r="T91" s="35">
        <f>Macro!$D197*Team!T$10</f>
        <v>3900</v>
      </c>
      <c r="U91" s="36">
        <f>Macro!$D197*Team!U$10</f>
        <v>3900</v>
      </c>
      <c r="V91" s="34">
        <f>Macro!$D197*Team!V$10</f>
        <v>4000</v>
      </c>
      <c r="W91" s="35">
        <f>Macro!$D197*Team!W$10</f>
        <v>4000</v>
      </c>
      <c r="X91" s="36">
        <f>Macro!$D197*Team!X$10</f>
        <v>4000</v>
      </c>
      <c r="Y91" s="34">
        <f>Macro!$D197*Team!Y$10</f>
        <v>4100</v>
      </c>
      <c r="Z91" s="35">
        <f>Macro!$D197*Team!Z$10</f>
        <v>4200</v>
      </c>
      <c r="AA91" s="36">
        <f>Macro!$D197*Team!AA$10</f>
        <v>4200</v>
      </c>
      <c r="AB91" s="34">
        <f>Macro!$D197*Team!AB$10</f>
        <v>4400</v>
      </c>
      <c r="AC91" s="35">
        <f>Macro!$D197*Team!AC$10</f>
        <v>4400</v>
      </c>
      <c r="AD91" s="36">
        <f>Macro!$D197*Team!AD$10</f>
        <v>4400</v>
      </c>
      <c r="AE91" s="34">
        <f>Macro!$D197*Team!AE$10</f>
        <v>4500</v>
      </c>
      <c r="AF91" s="35">
        <f>Macro!$D197*Team!AF$10</f>
        <v>4500</v>
      </c>
      <c r="AG91" s="36">
        <f>Macro!$D197*Team!AG$10</f>
        <v>4500</v>
      </c>
      <c r="AH91" s="34">
        <f>Macro!$D197*Team!AH$10</f>
        <v>4900</v>
      </c>
      <c r="AI91" s="35">
        <f>Macro!$D197*Team!AI$10</f>
        <v>4900</v>
      </c>
      <c r="AJ91" s="36">
        <f>Macro!$D197*Team!AJ$10</f>
        <v>4900</v>
      </c>
      <c r="AK91" s="34">
        <f>Macro!$D197*Team!AK$10</f>
        <v>5000</v>
      </c>
      <c r="AL91" s="35">
        <f>Macro!$D197*Team!AL$10</f>
        <v>5000</v>
      </c>
      <c r="AM91" s="36">
        <f>Macro!$D197*Team!AM$10</f>
        <v>5000</v>
      </c>
      <c r="AN91" s="34">
        <f>Macro!$D197*Team!AN$10</f>
        <v>5300</v>
      </c>
      <c r="AO91" s="35">
        <f>Macro!$D197*Team!AO$10</f>
        <v>5300</v>
      </c>
      <c r="AP91" s="36">
        <f>Macro!$D197*Team!AP$10</f>
        <v>5300</v>
      </c>
      <c r="AQ91" s="34">
        <f>Macro!$D197*Team!AQ$10</f>
        <v>5400</v>
      </c>
      <c r="AR91" s="35">
        <f>Macro!$D197*Team!AR$10</f>
        <v>5400</v>
      </c>
      <c r="AS91" s="36">
        <f>Macro!$D197*Team!AS$10</f>
        <v>5400</v>
      </c>
    </row>
    <row r="92" ht="12.0" customHeight="1">
      <c r="B92" s="4"/>
      <c r="C92" s="315" t="str">
        <f>Macro!B198</f>
        <v>Online services</v>
      </c>
      <c r="D92" s="34"/>
      <c r="E92" s="35"/>
      <c r="F92" s="36"/>
      <c r="G92" s="34"/>
      <c r="H92" s="35"/>
      <c r="I92" s="36"/>
      <c r="J92" s="34">
        <f>Macro!$D198*Team!J$10</f>
        <v>1200</v>
      </c>
      <c r="K92" s="35">
        <f>Macro!$D198*Team!K$10</f>
        <v>1200</v>
      </c>
      <c r="L92" s="36">
        <f>Macro!$D198*Team!L$10</f>
        <v>1500</v>
      </c>
      <c r="M92" s="34">
        <f>Macro!$D198*Team!M$10</f>
        <v>1550</v>
      </c>
      <c r="N92" s="35">
        <f>Macro!$D198*Team!N$10</f>
        <v>1600</v>
      </c>
      <c r="O92" s="36">
        <f>Macro!$D198*Team!O$10</f>
        <v>1700</v>
      </c>
      <c r="P92" s="34">
        <f>Macro!$D198*Team!P$10</f>
        <v>1800</v>
      </c>
      <c r="Q92" s="35">
        <f>Macro!$D198*Team!Q$10</f>
        <v>1800</v>
      </c>
      <c r="R92" s="36">
        <f>Macro!$D198*Team!R$10</f>
        <v>1900</v>
      </c>
      <c r="S92" s="34">
        <f>Macro!$D198*Team!S$10</f>
        <v>1950</v>
      </c>
      <c r="T92" s="35">
        <f>Macro!$D198*Team!T$10</f>
        <v>1950</v>
      </c>
      <c r="U92" s="36">
        <f>Macro!$D198*Team!U$10</f>
        <v>1950</v>
      </c>
      <c r="V92" s="34">
        <f>Macro!$D198*Team!V$10</f>
        <v>2000</v>
      </c>
      <c r="W92" s="35">
        <f>Macro!$D198*Team!W$10</f>
        <v>2000</v>
      </c>
      <c r="X92" s="36">
        <f>Macro!$D198*Team!X$10</f>
        <v>2000</v>
      </c>
      <c r="Y92" s="34">
        <f>Macro!$D198*Team!Y$10</f>
        <v>2050</v>
      </c>
      <c r="Z92" s="35">
        <f>Macro!$D198*Team!Z$10</f>
        <v>2100</v>
      </c>
      <c r="AA92" s="36">
        <f>Macro!$D198*Team!AA$10</f>
        <v>2100</v>
      </c>
      <c r="AB92" s="34">
        <f>Macro!$D198*Team!AB$10</f>
        <v>2200</v>
      </c>
      <c r="AC92" s="35">
        <f>Macro!$D198*Team!AC$10</f>
        <v>2200</v>
      </c>
      <c r="AD92" s="36">
        <f>Macro!$D198*Team!AD$10</f>
        <v>2200</v>
      </c>
      <c r="AE92" s="34">
        <f>Macro!$D198*Team!AE$10</f>
        <v>2250</v>
      </c>
      <c r="AF92" s="35">
        <f>Macro!$D198*Team!AF$10</f>
        <v>2250</v>
      </c>
      <c r="AG92" s="36">
        <f>Macro!$D198*Team!AG$10</f>
        <v>2250</v>
      </c>
      <c r="AH92" s="34">
        <f>Macro!$D198*Team!AH$10</f>
        <v>2450</v>
      </c>
      <c r="AI92" s="35">
        <f>Macro!$D198*Team!AI$10</f>
        <v>2450</v>
      </c>
      <c r="AJ92" s="36">
        <f>Macro!$D198*Team!AJ$10</f>
        <v>2450</v>
      </c>
      <c r="AK92" s="34">
        <f>Macro!$D198*Team!AK$10</f>
        <v>2500</v>
      </c>
      <c r="AL92" s="35">
        <f>Macro!$D198*Team!AL$10</f>
        <v>2500</v>
      </c>
      <c r="AM92" s="36">
        <f>Macro!$D198*Team!AM$10</f>
        <v>2500</v>
      </c>
      <c r="AN92" s="34">
        <f>Macro!$D198*Team!AN$10</f>
        <v>2650</v>
      </c>
      <c r="AO92" s="35">
        <f>Macro!$D198*Team!AO$10</f>
        <v>2650</v>
      </c>
      <c r="AP92" s="36">
        <f>Macro!$D198*Team!AP$10</f>
        <v>2650</v>
      </c>
      <c r="AQ92" s="34">
        <f>Macro!$D198*Team!AQ$10</f>
        <v>2700</v>
      </c>
      <c r="AR92" s="35">
        <f>Macro!$D198*Team!AR$10</f>
        <v>2700</v>
      </c>
      <c r="AS92" s="36">
        <f>Macro!$D198*Team!AS$10</f>
        <v>2700</v>
      </c>
    </row>
    <row r="93" ht="12.0" customHeight="1">
      <c r="B93" s="4"/>
      <c r="C93" s="315" t="str">
        <f>Macro!B199</f>
        <v>Equip &amp; related - new hire</v>
      </c>
      <c r="D93" s="34"/>
      <c r="E93" s="35"/>
      <c r="F93" s="36"/>
      <c r="G93" s="34"/>
      <c r="H93" s="35"/>
      <c r="I93" s="36"/>
      <c r="J93" s="34">
        <f>Macro!$D199*Team!J9</f>
        <v>0</v>
      </c>
      <c r="K93" s="35">
        <f>Macro!$D199*Team!K9</f>
        <v>0</v>
      </c>
      <c r="L93" s="36">
        <f>Macro!$D199*Team!L9</f>
        <v>1200</v>
      </c>
      <c r="M93" s="34">
        <f>Macro!$D199*Team!M9</f>
        <v>200</v>
      </c>
      <c r="N93" s="35">
        <f>Macro!$D199*Team!N9</f>
        <v>200</v>
      </c>
      <c r="O93" s="36">
        <f>Macro!$D199*Team!O9</f>
        <v>400</v>
      </c>
      <c r="P93" s="34">
        <f>Macro!$D199*Team!P9</f>
        <v>400</v>
      </c>
      <c r="Q93" s="35">
        <f>Macro!$D199*Team!Q9</f>
        <v>0</v>
      </c>
      <c r="R93" s="36">
        <f>Macro!$D199*Team!R9</f>
        <v>400</v>
      </c>
      <c r="S93" s="34">
        <f>Macro!$D199*Team!S9</f>
        <v>200</v>
      </c>
      <c r="T93" s="35">
        <f>Macro!$D199*Team!T9</f>
        <v>0</v>
      </c>
      <c r="U93" s="36">
        <f>Macro!$D199*Team!U9</f>
        <v>0</v>
      </c>
      <c r="V93" s="34">
        <f>Macro!$D199*Team!V9</f>
        <v>200</v>
      </c>
      <c r="W93" s="35">
        <f>Macro!$D199*Team!W9</f>
        <v>0</v>
      </c>
      <c r="X93" s="36">
        <f>Macro!$D199*Team!X9</f>
        <v>0</v>
      </c>
      <c r="Y93" s="34">
        <f>Macro!$D199*Team!Y9</f>
        <v>200</v>
      </c>
      <c r="Z93" s="35">
        <f>Macro!$D199*Team!Z9</f>
        <v>200</v>
      </c>
      <c r="AA93" s="36">
        <f>Macro!$D199*Team!AA9</f>
        <v>0</v>
      </c>
      <c r="AB93" s="34">
        <f>Macro!$D199*Team!AB9</f>
        <v>400</v>
      </c>
      <c r="AC93" s="35">
        <f>Macro!$D199*Team!AC9</f>
        <v>0</v>
      </c>
      <c r="AD93" s="36">
        <f>Macro!$D199*Team!AD9</f>
        <v>0</v>
      </c>
      <c r="AE93" s="34">
        <f>Macro!$D199*Team!AE9</f>
        <v>200</v>
      </c>
      <c r="AF93" s="35">
        <f>Macro!$D199*Team!AF9</f>
        <v>0</v>
      </c>
      <c r="AG93" s="36">
        <f>Macro!$D199*Team!AG9</f>
        <v>0</v>
      </c>
      <c r="AH93" s="34">
        <f>Macro!$D199*Team!AH9</f>
        <v>800</v>
      </c>
      <c r="AI93" s="35">
        <f>Macro!$D199*Team!AI9</f>
        <v>0</v>
      </c>
      <c r="AJ93" s="36">
        <f>Macro!$D199*Team!AJ9</f>
        <v>0</v>
      </c>
      <c r="AK93" s="34">
        <f>Macro!$D199*Team!AK9</f>
        <v>200</v>
      </c>
      <c r="AL93" s="35">
        <f>Macro!$D199*Team!AL9</f>
        <v>0</v>
      </c>
      <c r="AM93" s="36">
        <f>Macro!$D199*Team!AM9</f>
        <v>0</v>
      </c>
      <c r="AN93" s="34">
        <f>Macro!$D199*Team!AN9</f>
        <v>600</v>
      </c>
      <c r="AO93" s="35">
        <f>Macro!$D199*Team!AO9</f>
        <v>0</v>
      </c>
      <c r="AP93" s="36">
        <f>Macro!$D199*Team!AP9</f>
        <v>0</v>
      </c>
      <c r="AQ93" s="34">
        <f>Macro!$D199*Team!AQ9</f>
        <v>200</v>
      </c>
      <c r="AR93" s="35">
        <f>Macro!$D199*Team!AR9</f>
        <v>0</v>
      </c>
      <c r="AS93" s="36">
        <f>Macro!$D199*Team!AS9</f>
        <v>0</v>
      </c>
    </row>
    <row r="94" ht="12.0" customHeight="1">
      <c r="B94" s="4"/>
      <c r="C94" s="315" t="str">
        <f>Macro!B200</f>
        <v>Equip &amp; related - employee</v>
      </c>
      <c r="D94" s="34"/>
      <c r="E94" s="35"/>
      <c r="F94" s="36"/>
      <c r="G94" s="34"/>
      <c r="H94" s="35"/>
      <c r="I94" s="36"/>
      <c r="J94" s="34">
        <f>Macro!$D200*Team!J10</f>
        <v>2400</v>
      </c>
      <c r="K94" s="35">
        <f>Macro!$D200*Team!K10</f>
        <v>2400</v>
      </c>
      <c r="L94" s="36">
        <f>Macro!$D200*Team!L10</f>
        <v>3000</v>
      </c>
      <c r="M94" s="34">
        <f>Macro!$D200*Team!M10</f>
        <v>3100</v>
      </c>
      <c r="N94" s="35">
        <f>Macro!$D200*Team!N10</f>
        <v>3200</v>
      </c>
      <c r="O94" s="36">
        <f>Macro!$D200*Team!O10</f>
        <v>3400</v>
      </c>
      <c r="P94" s="34">
        <f>Macro!$D200*Team!P10</f>
        <v>3600</v>
      </c>
      <c r="Q94" s="35">
        <f>Macro!$D200*Team!Q10</f>
        <v>3600</v>
      </c>
      <c r="R94" s="36">
        <f>Macro!$D200*Team!R10</f>
        <v>3800</v>
      </c>
      <c r="S94" s="34">
        <f>Macro!$D200*Team!S10</f>
        <v>3900</v>
      </c>
      <c r="T94" s="35">
        <f>Macro!$D200*Team!T10</f>
        <v>3900</v>
      </c>
      <c r="U94" s="36">
        <f>Macro!$D200*Team!U10</f>
        <v>3900</v>
      </c>
      <c r="V94" s="34">
        <f>Macro!$D200*Team!V10</f>
        <v>4000</v>
      </c>
      <c r="W94" s="35">
        <f>Macro!$D200*Team!W10</f>
        <v>4000</v>
      </c>
      <c r="X94" s="36">
        <f>Macro!$D200*Team!X10</f>
        <v>4000</v>
      </c>
      <c r="Y94" s="34">
        <f>Macro!$D200*Team!Y10</f>
        <v>4100</v>
      </c>
      <c r="Z94" s="35">
        <f>Macro!$D200*Team!Z10</f>
        <v>4200</v>
      </c>
      <c r="AA94" s="36">
        <f>Macro!$D200*Team!AA10</f>
        <v>4200</v>
      </c>
      <c r="AB94" s="34">
        <f>Macro!$D200*Team!AB10</f>
        <v>4400</v>
      </c>
      <c r="AC94" s="35">
        <f>Macro!$D200*Team!AC10</f>
        <v>4400</v>
      </c>
      <c r="AD94" s="36">
        <f>Macro!$D200*Team!AD10</f>
        <v>4400</v>
      </c>
      <c r="AE94" s="34">
        <f>Macro!$D200*Team!AE10</f>
        <v>4500</v>
      </c>
      <c r="AF94" s="35">
        <f>Macro!$D200*Team!AF10</f>
        <v>4500</v>
      </c>
      <c r="AG94" s="36">
        <f>Macro!$D200*Team!AG10</f>
        <v>4500</v>
      </c>
      <c r="AH94" s="34">
        <f>Macro!$D200*Team!AH10</f>
        <v>4900</v>
      </c>
      <c r="AI94" s="35">
        <f>Macro!$D200*Team!AI10</f>
        <v>4900</v>
      </c>
      <c r="AJ94" s="36">
        <f>Macro!$D200*Team!AJ10</f>
        <v>4900</v>
      </c>
      <c r="AK94" s="34">
        <f>Macro!$D200*Team!AK10</f>
        <v>5000</v>
      </c>
      <c r="AL94" s="35">
        <f>Macro!$D200*Team!AL10</f>
        <v>5000</v>
      </c>
      <c r="AM94" s="36">
        <f>Macro!$D200*Team!AM10</f>
        <v>5000</v>
      </c>
      <c r="AN94" s="34">
        <f>Macro!$D200*Team!AN10</f>
        <v>5300</v>
      </c>
      <c r="AO94" s="35">
        <f>Macro!$D200*Team!AO10</f>
        <v>5300</v>
      </c>
      <c r="AP94" s="36">
        <f>Macro!$D200*Team!AP10</f>
        <v>5300</v>
      </c>
      <c r="AQ94" s="34">
        <f>Macro!$D200*Team!AQ10</f>
        <v>5400</v>
      </c>
      <c r="AR94" s="35">
        <f>Macro!$D200*Team!AR10</f>
        <v>5400</v>
      </c>
      <c r="AS94" s="36">
        <f>Macro!$D200*Team!AS10</f>
        <v>5400</v>
      </c>
    </row>
    <row r="95" ht="12.0" customHeight="1">
      <c r="B95" s="4"/>
      <c r="C95" s="321" t="str">
        <f>Macro!B201</f>
        <v>Office suppplies, insurance, postage</v>
      </c>
      <c r="D95" s="48"/>
      <c r="E95" s="49"/>
      <c r="F95" s="50"/>
      <c r="G95" s="48"/>
      <c r="H95" s="49"/>
      <c r="I95" s="50"/>
      <c r="J95" s="48">
        <f>Macro!$D201*Team!J10</f>
        <v>840</v>
      </c>
      <c r="K95" s="49">
        <f>Macro!$D201*Team!K10</f>
        <v>840</v>
      </c>
      <c r="L95" s="50">
        <f>Macro!$D201*Team!L10</f>
        <v>1050</v>
      </c>
      <c r="M95" s="48">
        <f>Macro!$D201*Team!M10</f>
        <v>1085</v>
      </c>
      <c r="N95" s="49">
        <f>Macro!$D201*Team!N10</f>
        <v>1120</v>
      </c>
      <c r="O95" s="50">
        <f>Macro!$D201*Team!O10</f>
        <v>1190</v>
      </c>
      <c r="P95" s="48">
        <f>Macro!$D201*Team!P10</f>
        <v>1260</v>
      </c>
      <c r="Q95" s="49">
        <f>Macro!$D201*Team!Q10</f>
        <v>1260</v>
      </c>
      <c r="R95" s="50">
        <f>Macro!$D201*Team!R10</f>
        <v>1330</v>
      </c>
      <c r="S95" s="48">
        <f>Macro!$D201*Team!S10</f>
        <v>1365</v>
      </c>
      <c r="T95" s="49">
        <f>Macro!$D201*Team!T10</f>
        <v>1365</v>
      </c>
      <c r="U95" s="50">
        <f>Macro!$D201*Team!U10</f>
        <v>1365</v>
      </c>
      <c r="V95" s="48">
        <f>Macro!$D201*Team!V10</f>
        <v>1400</v>
      </c>
      <c r="W95" s="49">
        <f>Macro!$D201*Team!W10</f>
        <v>1400</v>
      </c>
      <c r="X95" s="50">
        <f>Macro!$D201*Team!X10</f>
        <v>1400</v>
      </c>
      <c r="Y95" s="48">
        <f>Macro!$D201*Team!Y10</f>
        <v>1435</v>
      </c>
      <c r="Z95" s="49">
        <f>Macro!$D201*Team!Z10</f>
        <v>1470</v>
      </c>
      <c r="AA95" s="50">
        <f>Macro!$D201*Team!AA10</f>
        <v>1470</v>
      </c>
      <c r="AB95" s="48">
        <f>Macro!$D201*Team!AB10</f>
        <v>1540</v>
      </c>
      <c r="AC95" s="49">
        <f>Macro!$D201*Team!AC10</f>
        <v>1540</v>
      </c>
      <c r="AD95" s="50">
        <f>Macro!$D201*Team!AD10</f>
        <v>1540</v>
      </c>
      <c r="AE95" s="48">
        <f>Macro!$D201*Team!AE10</f>
        <v>1575</v>
      </c>
      <c r="AF95" s="49">
        <f>Macro!$D201*Team!AF10</f>
        <v>1575</v>
      </c>
      <c r="AG95" s="50">
        <f>Macro!$D201*Team!AG10</f>
        <v>1575</v>
      </c>
      <c r="AH95" s="48">
        <f>Macro!$D201*Team!AH10</f>
        <v>1715</v>
      </c>
      <c r="AI95" s="49">
        <f>Macro!$D201*Team!AI10</f>
        <v>1715</v>
      </c>
      <c r="AJ95" s="50">
        <f>Macro!$D201*Team!AJ10</f>
        <v>1715</v>
      </c>
      <c r="AK95" s="48">
        <f>Macro!$D201*Team!AK10</f>
        <v>1750</v>
      </c>
      <c r="AL95" s="49">
        <f>Macro!$D201*Team!AL10</f>
        <v>1750</v>
      </c>
      <c r="AM95" s="50">
        <f>Macro!$D201*Team!AM10</f>
        <v>1750</v>
      </c>
      <c r="AN95" s="48">
        <f>Macro!$D201*Team!AN10</f>
        <v>1855</v>
      </c>
      <c r="AO95" s="49">
        <f>Macro!$D201*Team!AO10</f>
        <v>1855</v>
      </c>
      <c r="AP95" s="50">
        <f>Macro!$D201*Team!AP10</f>
        <v>1855</v>
      </c>
      <c r="AQ95" s="48">
        <f>Macro!$D201*Team!AQ10</f>
        <v>1890</v>
      </c>
      <c r="AR95" s="49">
        <f>Macro!$D201*Team!AR10</f>
        <v>1890</v>
      </c>
      <c r="AS95" s="50">
        <f>Macro!$D201*Team!AS10</f>
        <v>1890</v>
      </c>
    </row>
    <row r="96" ht="12.0" customHeight="1">
      <c r="B96" s="8"/>
      <c r="C96" s="8" t="s">
        <v>73</v>
      </c>
      <c r="D96" s="233">
        <v>47172.39</v>
      </c>
      <c r="E96" s="234">
        <v>44459.69</v>
      </c>
      <c r="F96" s="235">
        <v>44364.079999999994</v>
      </c>
      <c r="G96" s="233">
        <v>45400.35999999999</v>
      </c>
      <c r="H96" s="234">
        <v>44763.86000000001</v>
      </c>
      <c r="I96" s="235">
        <v>45925.920000000006</v>
      </c>
      <c r="J96" s="51">
        <f t="shared" ref="J96:AS96" si="13">SUM(J73:J95)</f>
        <v>45360</v>
      </c>
      <c r="K96" s="52">
        <f t="shared" si="13"/>
        <v>45360</v>
      </c>
      <c r="L96" s="53">
        <f t="shared" si="13"/>
        <v>48870</v>
      </c>
      <c r="M96" s="51">
        <f t="shared" si="13"/>
        <v>48255</v>
      </c>
      <c r="N96" s="52">
        <f t="shared" si="13"/>
        <v>48640</v>
      </c>
      <c r="O96" s="53">
        <f t="shared" si="13"/>
        <v>49610</v>
      </c>
      <c r="P96" s="51">
        <f t="shared" si="13"/>
        <v>50380</v>
      </c>
      <c r="Q96" s="52">
        <f t="shared" si="13"/>
        <v>49980</v>
      </c>
      <c r="R96" s="53">
        <f t="shared" si="13"/>
        <v>51150</v>
      </c>
      <c r="S96" s="51">
        <f t="shared" si="13"/>
        <v>51335</v>
      </c>
      <c r="T96" s="52">
        <f t="shared" si="13"/>
        <v>51135</v>
      </c>
      <c r="U96" s="53">
        <f t="shared" si="13"/>
        <v>51135</v>
      </c>
      <c r="V96" s="51">
        <f t="shared" si="13"/>
        <v>51720</v>
      </c>
      <c r="W96" s="52">
        <f t="shared" si="13"/>
        <v>51520</v>
      </c>
      <c r="X96" s="53">
        <f t="shared" si="13"/>
        <v>51520</v>
      </c>
      <c r="Y96" s="51">
        <f t="shared" si="13"/>
        <v>52105</v>
      </c>
      <c r="Z96" s="52">
        <f t="shared" si="13"/>
        <v>52490</v>
      </c>
      <c r="AA96" s="53">
        <f t="shared" si="13"/>
        <v>52290</v>
      </c>
      <c r="AB96" s="51">
        <f t="shared" si="13"/>
        <v>53460</v>
      </c>
      <c r="AC96" s="52">
        <f t="shared" si="13"/>
        <v>53060</v>
      </c>
      <c r="AD96" s="53">
        <f t="shared" si="13"/>
        <v>53060</v>
      </c>
      <c r="AE96" s="51">
        <f t="shared" si="13"/>
        <v>53645</v>
      </c>
      <c r="AF96" s="52">
        <f t="shared" si="13"/>
        <v>53445</v>
      </c>
      <c r="AG96" s="53">
        <f t="shared" si="13"/>
        <v>53445</v>
      </c>
      <c r="AH96" s="51">
        <f t="shared" si="13"/>
        <v>55785</v>
      </c>
      <c r="AI96" s="52">
        <f t="shared" si="13"/>
        <v>54985</v>
      </c>
      <c r="AJ96" s="53">
        <f t="shared" si="13"/>
        <v>54985</v>
      </c>
      <c r="AK96" s="51">
        <f t="shared" si="13"/>
        <v>55570</v>
      </c>
      <c r="AL96" s="52">
        <f t="shared" si="13"/>
        <v>55370</v>
      </c>
      <c r="AM96" s="53">
        <f t="shared" si="13"/>
        <v>55370</v>
      </c>
      <c r="AN96" s="51">
        <f t="shared" si="13"/>
        <v>57125</v>
      </c>
      <c r="AO96" s="52">
        <f t="shared" si="13"/>
        <v>56525</v>
      </c>
      <c r="AP96" s="53">
        <f t="shared" si="13"/>
        <v>56525</v>
      </c>
      <c r="AQ96" s="51">
        <f t="shared" si="13"/>
        <v>57110</v>
      </c>
      <c r="AR96" s="52">
        <f t="shared" si="13"/>
        <v>56910</v>
      </c>
      <c r="AS96" s="53">
        <f t="shared" si="13"/>
        <v>56910</v>
      </c>
    </row>
    <row r="97" ht="12.0" customHeight="1">
      <c r="B97" s="4"/>
      <c r="D97" s="208"/>
      <c r="E97" s="231"/>
      <c r="F97" s="232"/>
      <c r="G97" s="208"/>
      <c r="H97" s="231"/>
      <c r="I97" s="232"/>
      <c r="J97" s="208"/>
      <c r="K97" s="231"/>
      <c r="L97" s="232"/>
      <c r="M97" s="208"/>
      <c r="N97" s="231"/>
      <c r="O97" s="232"/>
      <c r="P97" s="208"/>
      <c r="Q97" s="231"/>
      <c r="R97" s="232"/>
      <c r="S97" s="208"/>
      <c r="T97" s="231"/>
      <c r="U97" s="232"/>
      <c r="V97" s="208"/>
      <c r="W97" s="231"/>
      <c r="X97" s="232"/>
      <c r="Y97" s="208"/>
      <c r="Z97" s="231"/>
      <c r="AA97" s="232"/>
      <c r="AB97" s="208"/>
      <c r="AC97" s="231"/>
      <c r="AD97" s="232"/>
      <c r="AE97" s="208"/>
      <c r="AF97" s="231"/>
      <c r="AG97" s="232"/>
      <c r="AH97" s="208"/>
      <c r="AI97" s="231"/>
      <c r="AJ97" s="232"/>
      <c r="AK97" s="208"/>
      <c r="AL97" s="231"/>
      <c r="AM97" s="232"/>
      <c r="AN97" s="208"/>
      <c r="AO97" s="231"/>
      <c r="AP97" s="232"/>
      <c r="AQ97" s="208"/>
      <c r="AR97" s="231"/>
      <c r="AS97" s="232"/>
    </row>
    <row r="98" ht="12.0" customHeight="1">
      <c r="B98" s="8" t="s">
        <v>228</v>
      </c>
      <c r="D98" s="208"/>
      <c r="E98" s="231"/>
      <c r="F98" s="232"/>
      <c r="G98" s="208"/>
      <c r="H98" s="231"/>
      <c r="I98" s="232"/>
      <c r="J98" s="208"/>
      <c r="K98" s="231"/>
      <c r="L98" s="232"/>
      <c r="M98" s="208"/>
      <c r="N98" s="231"/>
      <c r="O98" s="232"/>
      <c r="P98" s="208"/>
      <c r="Q98" s="231"/>
      <c r="R98" s="232"/>
      <c r="S98" s="208"/>
      <c r="T98" s="231"/>
      <c r="U98" s="232"/>
      <c r="V98" s="208"/>
      <c r="W98" s="231"/>
      <c r="X98" s="232"/>
      <c r="Y98" s="208"/>
      <c r="Z98" s="231"/>
      <c r="AA98" s="232"/>
      <c r="AB98" s="208"/>
      <c r="AC98" s="231"/>
      <c r="AD98" s="232"/>
      <c r="AE98" s="208"/>
      <c r="AF98" s="231"/>
      <c r="AG98" s="232"/>
      <c r="AH98" s="208"/>
      <c r="AI98" s="231"/>
      <c r="AJ98" s="232"/>
      <c r="AK98" s="208"/>
      <c r="AL98" s="231"/>
      <c r="AM98" s="232"/>
      <c r="AN98" s="208"/>
      <c r="AO98" s="231"/>
      <c r="AP98" s="232"/>
      <c r="AQ98" s="208"/>
      <c r="AR98" s="231"/>
      <c r="AS98" s="232"/>
    </row>
    <row r="99" ht="12.0" customHeight="1">
      <c r="C99" s="322" t="str">
        <f>Macro!B204</f>
        <v>Misc.</v>
      </c>
      <c r="D99" s="34"/>
      <c r="E99" s="35"/>
      <c r="F99" s="36"/>
      <c r="G99" s="34"/>
      <c r="H99" s="35"/>
      <c r="I99" s="36"/>
      <c r="J99" s="34">
        <f>Macro!$D204*Team!J10</f>
        <v>600</v>
      </c>
      <c r="K99" s="35">
        <f>Macro!$D204*Team!K10</f>
        <v>600</v>
      </c>
      <c r="L99" s="36">
        <f>Macro!$D204*Team!L10</f>
        <v>750</v>
      </c>
      <c r="M99" s="34">
        <f>Macro!$D204*Team!M10</f>
        <v>775</v>
      </c>
      <c r="N99" s="35">
        <f>Macro!$D204*Team!N10</f>
        <v>800</v>
      </c>
      <c r="O99" s="36">
        <f>Macro!$D204*Team!O10</f>
        <v>850</v>
      </c>
      <c r="P99" s="34">
        <f>Macro!$D204*Team!P10</f>
        <v>900</v>
      </c>
      <c r="Q99" s="35">
        <f>Macro!$D204*Team!Q10</f>
        <v>900</v>
      </c>
      <c r="R99" s="36">
        <f>Macro!$D204*Team!R10</f>
        <v>950</v>
      </c>
      <c r="S99" s="34">
        <f>Macro!$D204*Team!S10</f>
        <v>975</v>
      </c>
      <c r="T99" s="35">
        <f>Macro!$D204*Team!T10</f>
        <v>975</v>
      </c>
      <c r="U99" s="36">
        <f>Macro!$D204*Team!U10</f>
        <v>975</v>
      </c>
      <c r="V99" s="34">
        <f>Macro!$D204*Team!V10</f>
        <v>1000</v>
      </c>
      <c r="W99" s="35">
        <f>Macro!$D204*Team!W10</f>
        <v>1000</v>
      </c>
      <c r="X99" s="36">
        <f>Macro!$D204*Team!X10</f>
        <v>1000</v>
      </c>
      <c r="Y99" s="34">
        <f>Macro!$D204*Team!Y10</f>
        <v>1025</v>
      </c>
      <c r="Z99" s="35">
        <f>Macro!$D204*Team!Z10</f>
        <v>1050</v>
      </c>
      <c r="AA99" s="36">
        <f>Macro!$D204*Team!AA10</f>
        <v>1050</v>
      </c>
      <c r="AB99" s="34">
        <f>Macro!$D204*Team!AB10</f>
        <v>1100</v>
      </c>
      <c r="AC99" s="35">
        <f>Macro!$D204*Team!AC10</f>
        <v>1100</v>
      </c>
      <c r="AD99" s="36">
        <f>Macro!$D204*Team!AD10</f>
        <v>1100</v>
      </c>
      <c r="AE99" s="34">
        <f>Macro!$D204*Team!AE10</f>
        <v>1125</v>
      </c>
      <c r="AF99" s="35">
        <f>Macro!$D204*Team!AF10</f>
        <v>1125</v>
      </c>
      <c r="AG99" s="36">
        <f>Macro!$D204*Team!AG10</f>
        <v>1125</v>
      </c>
      <c r="AH99" s="34">
        <f>Macro!$D204*Team!AH10</f>
        <v>1225</v>
      </c>
      <c r="AI99" s="35">
        <f>Macro!$D204*Team!AI10</f>
        <v>1225</v>
      </c>
      <c r="AJ99" s="36">
        <f>Macro!$D204*Team!AJ10</f>
        <v>1225</v>
      </c>
      <c r="AK99" s="34">
        <f>Macro!$D204*Team!AK10</f>
        <v>1250</v>
      </c>
      <c r="AL99" s="35">
        <f>Macro!$D204*Team!AL10</f>
        <v>1250</v>
      </c>
      <c r="AM99" s="36">
        <f>Macro!$D204*Team!AM10</f>
        <v>1250</v>
      </c>
      <c r="AN99" s="34">
        <f>Macro!$D204*Team!AN10</f>
        <v>1325</v>
      </c>
      <c r="AO99" s="35">
        <f>Macro!$D204*Team!AO10</f>
        <v>1325</v>
      </c>
      <c r="AP99" s="36">
        <f>Macro!$D204*Team!AP10</f>
        <v>1325</v>
      </c>
      <c r="AQ99" s="34">
        <f>Macro!$D204*Team!AQ10</f>
        <v>1350</v>
      </c>
      <c r="AR99" s="35">
        <f>Macro!$D204*Team!AR10</f>
        <v>1350</v>
      </c>
      <c r="AS99" s="36">
        <f>Macro!$D204*Team!AS10</f>
        <v>1350</v>
      </c>
    </row>
    <row r="100" ht="12.0" customHeight="1">
      <c r="C100" s="4" t="str">
        <f>Macro!B205</f>
        <v>[XX]</v>
      </c>
      <c r="D100" s="34"/>
      <c r="E100" s="35"/>
      <c r="F100" s="36"/>
      <c r="G100" s="34"/>
      <c r="H100" s="35"/>
      <c r="I100" s="36"/>
      <c r="J100" s="34" t="str">
        <f>Macro!$D205</f>
        <v/>
      </c>
      <c r="K100" s="35" t="str">
        <f>Macro!$D205</f>
        <v/>
      </c>
      <c r="L100" s="36" t="str">
        <f>Macro!$D205</f>
        <v/>
      </c>
      <c r="M100" s="34" t="str">
        <f>Macro!$D205</f>
        <v/>
      </c>
      <c r="N100" s="35" t="str">
        <f>Macro!$D205</f>
        <v/>
      </c>
      <c r="O100" s="36" t="str">
        <f>Macro!$D205</f>
        <v/>
      </c>
      <c r="P100" s="34" t="str">
        <f>Macro!$D205</f>
        <v/>
      </c>
      <c r="Q100" s="35" t="str">
        <f>Macro!$D205</f>
        <v/>
      </c>
      <c r="R100" s="36" t="str">
        <f>Macro!$D205</f>
        <v/>
      </c>
      <c r="S100" s="34" t="str">
        <f>Macro!$D205</f>
        <v/>
      </c>
      <c r="T100" s="35" t="str">
        <f>Macro!$D205</f>
        <v/>
      </c>
      <c r="U100" s="36" t="str">
        <f>Macro!$D205</f>
        <v/>
      </c>
      <c r="V100" s="34" t="str">
        <f>Macro!$D205</f>
        <v/>
      </c>
      <c r="W100" s="35" t="str">
        <f>Macro!$D205</f>
        <v/>
      </c>
      <c r="X100" s="36" t="str">
        <f>Macro!$D205</f>
        <v/>
      </c>
      <c r="Y100" s="34" t="str">
        <f>Macro!$D205</f>
        <v/>
      </c>
      <c r="Z100" s="35" t="str">
        <f>Macro!$D205</f>
        <v/>
      </c>
      <c r="AA100" s="36" t="str">
        <f>Macro!$D205</f>
        <v/>
      </c>
      <c r="AB100" s="34" t="str">
        <f>Macro!$D205</f>
        <v/>
      </c>
      <c r="AC100" s="35" t="str">
        <f>Macro!$D205</f>
        <v/>
      </c>
      <c r="AD100" s="36" t="str">
        <f>Macro!$D205</f>
        <v/>
      </c>
      <c r="AE100" s="34" t="str">
        <f>Macro!$D205</f>
        <v/>
      </c>
      <c r="AF100" s="35" t="str">
        <f>Macro!$D205</f>
        <v/>
      </c>
      <c r="AG100" s="36" t="str">
        <f>Macro!$D205</f>
        <v/>
      </c>
      <c r="AH100" s="34" t="str">
        <f>Macro!$D205</f>
        <v/>
      </c>
      <c r="AI100" s="35" t="str">
        <f>Macro!$D205</f>
        <v/>
      </c>
      <c r="AJ100" s="36" t="str">
        <f>Macro!$D205</f>
        <v/>
      </c>
      <c r="AK100" s="34" t="str">
        <f>Macro!$D205</f>
        <v/>
      </c>
      <c r="AL100" s="35" t="str">
        <f>Macro!$D205</f>
        <v/>
      </c>
      <c r="AM100" s="36" t="str">
        <f>Macro!$D205</f>
        <v/>
      </c>
      <c r="AN100" s="34" t="str">
        <f>Macro!$D205</f>
        <v/>
      </c>
      <c r="AO100" s="35" t="str">
        <f>Macro!$D205</f>
        <v/>
      </c>
      <c r="AP100" s="36" t="str">
        <f>Macro!$D205</f>
        <v/>
      </c>
      <c r="AQ100" s="34" t="str">
        <f>Macro!$D205</f>
        <v/>
      </c>
      <c r="AR100" s="35" t="str">
        <f>Macro!$D205</f>
        <v/>
      </c>
      <c r="AS100" s="36" t="str">
        <f>Macro!$D205</f>
        <v/>
      </c>
    </row>
    <row r="101" ht="12.0" customHeight="1">
      <c r="C101" s="322" t="str">
        <f>Macro!B206</f>
        <v>[XX]</v>
      </c>
      <c r="D101" s="34"/>
      <c r="E101" s="35"/>
      <c r="F101" s="36"/>
      <c r="G101" s="34"/>
      <c r="H101" s="35"/>
      <c r="I101" s="36"/>
      <c r="J101" s="34" t="str">
        <f>Macro!$D206</f>
        <v/>
      </c>
      <c r="K101" s="35" t="str">
        <f>Macro!$D206</f>
        <v/>
      </c>
      <c r="L101" s="36" t="str">
        <f>Macro!$D206</f>
        <v/>
      </c>
      <c r="M101" s="34" t="str">
        <f>Macro!$D206</f>
        <v/>
      </c>
      <c r="N101" s="35" t="str">
        <f>Macro!$D206</f>
        <v/>
      </c>
      <c r="O101" s="36" t="str">
        <f>Macro!$D206</f>
        <v/>
      </c>
      <c r="P101" s="34" t="str">
        <f>Macro!$D206</f>
        <v/>
      </c>
      <c r="Q101" s="35" t="str">
        <f>Macro!$D206</f>
        <v/>
      </c>
      <c r="R101" s="36" t="str">
        <f>Macro!$D206</f>
        <v/>
      </c>
      <c r="S101" s="34" t="str">
        <f>Macro!$D206</f>
        <v/>
      </c>
      <c r="T101" s="35" t="str">
        <f>Macro!$D206</f>
        <v/>
      </c>
      <c r="U101" s="36" t="str">
        <f>Macro!$D206</f>
        <v/>
      </c>
      <c r="V101" s="34" t="str">
        <f>Macro!$D206</f>
        <v/>
      </c>
      <c r="W101" s="35" t="str">
        <f>Macro!$D206</f>
        <v/>
      </c>
      <c r="X101" s="36" t="str">
        <f>Macro!$D206</f>
        <v/>
      </c>
      <c r="Y101" s="34" t="str">
        <f>Macro!$D206</f>
        <v/>
      </c>
      <c r="Z101" s="35" t="str">
        <f>Macro!$D206</f>
        <v/>
      </c>
      <c r="AA101" s="36" t="str">
        <f>Macro!$D206</f>
        <v/>
      </c>
      <c r="AB101" s="34" t="str">
        <f>Macro!$D206</f>
        <v/>
      </c>
      <c r="AC101" s="35" t="str">
        <f>Macro!$D206</f>
        <v/>
      </c>
      <c r="AD101" s="36" t="str">
        <f>Macro!$D206</f>
        <v/>
      </c>
      <c r="AE101" s="34" t="str">
        <f>Macro!$D206</f>
        <v/>
      </c>
      <c r="AF101" s="35" t="str">
        <f>Macro!$D206</f>
        <v/>
      </c>
      <c r="AG101" s="36" t="str">
        <f>Macro!$D206</f>
        <v/>
      </c>
      <c r="AH101" s="34" t="str">
        <f>Macro!$D206</f>
        <v/>
      </c>
      <c r="AI101" s="35" t="str">
        <f>Macro!$D206</f>
        <v/>
      </c>
      <c r="AJ101" s="36" t="str">
        <f>Macro!$D206</f>
        <v/>
      </c>
      <c r="AK101" s="34" t="str">
        <f>Macro!$D206</f>
        <v/>
      </c>
      <c r="AL101" s="35" t="str">
        <f>Macro!$D206</f>
        <v/>
      </c>
      <c r="AM101" s="36" t="str">
        <f>Macro!$D206</f>
        <v/>
      </c>
      <c r="AN101" s="34" t="str">
        <f>Macro!$D206</f>
        <v/>
      </c>
      <c r="AO101" s="35" t="str">
        <f>Macro!$D206</f>
        <v/>
      </c>
      <c r="AP101" s="36" t="str">
        <f>Macro!$D206</f>
        <v/>
      </c>
      <c r="AQ101" s="34" t="str">
        <f>Macro!$D206</f>
        <v/>
      </c>
      <c r="AR101" s="35" t="str">
        <f>Macro!$D206</f>
        <v/>
      </c>
      <c r="AS101" s="36" t="str">
        <f>Macro!$D206</f>
        <v/>
      </c>
    </row>
    <row r="102" ht="12.0" customHeight="1">
      <c r="C102" s="322" t="str">
        <f>Macro!B207</f>
        <v>[XX]</v>
      </c>
      <c r="D102" s="34"/>
      <c r="E102" s="35"/>
      <c r="F102" s="36"/>
      <c r="G102" s="34"/>
      <c r="H102" s="35"/>
      <c r="I102" s="36"/>
      <c r="J102" s="34" t="str">
        <f>Macro!$D207</f>
        <v/>
      </c>
      <c r="K102" s="35" t="str">
        <f>Macro!$D207</f>
        <v/>
      </c>
      <c r="L102" s="36" t="str">
        <f>Macro!$D207</f>
        <v/>
      </c>
      <c r="M102" s="34" t="str">
        <f>Macro!$D207</f>
        <v/>
      </c>
      <c r="N102" s="35" t="str">
        <f>Macro!$D207</f>
        <v/>
      </c>
      <c r="O102" s="36" t="str">
        <f>Macro!$D207</f>
        <v/>
      </c>
      <c r="P102" s="34" t="str">
        <f>Macro!$D207</f>
        <v/>
      </c>
      <c r="Q102" s="35" t="str">
        <f>Macro!$D207</f>
        <v/>
      </c>
      <c r="R102" s="36" t="str">
        <f>Macro!$D207</f>
        <v/>
      </c>
      <c r="S102" s="34" t="str">
        <f>Macro!$D207</f>
        <v/>
      </c>
      <c r="T102" s="35" t="str">
        <f>Macro!$D207</f>
        <v/>
      </c>
      <c r="U102" s="36" t="str">
        <f>Macro!$D207</f>
        <v/>
      </c>
      <c r="V102" s="34" t="str">
        <f>Macro!$D207</f>
        <v/>
      </c>
      <c r="W102" s="35" t="str">
        <f>Macro!$D207</f>
        <v/>
      </c>
      <c r="X102" s="36" t="str">
        <f>Macro!$D207</f>
        <v/>
      </c>
      <c r="Y102" s="34" t="str">
        <f>Macro!$D207</f>
        <v/>
      </c>
      <c r="Z102" s="35" t="str">
        <f>Macro!$D207</f>
        <v/>
      </c>
      <c r="AA102" s="36" t="str">
        <f>Macro!$D207</f>
        <v/>
      </c>
      <c r="AB102" s="34" t="str">
        <f>Macro!$D207</f>
        <v/>
      </c>
      <c r="AC102" s="35" t="str">
        <f>Macro!$D207</f>
        <v/>
      </c>
      <c r="AD102" s="36" t="str">
        <f>Macro!$D207</f>
        <v/>
      </c>
      <c r="AE102" s="34" t="str">
        <f>Macro!$D207</f>
        <v/>
      </c>
      <c r="AF102" s="35" t="str">
        <f>Macro!$D207</f>
        <v/>
      </c>
      <c r="AG102" s="36" t="str">
        <f>Macro!$D207</f>
        <v/>
      </c>
      <c r="AH102" s="34" t="str">
        <f>Macro!$D207</f>
        <v/>
      </c>
      <c r="AI102" s="35" t="str">
        <f>Macro!$D207</f>
        <v/>
      </c>
      <c r="AJ102" s="36" t="str">
        <f>Macro!$D207</f>
        <v/>
      </c>
      <c r="AK102" s="34" t="str">
        <f>Macro!$D207</f>
        <v/>
      </c>
      <c r="AL102" s="35" t="str">
        <f>Macro!$D207</f>
        <v/>
      </c>
      <c r="AM102" s="36" t="str">
        <f>Macro!$D207</f>
        <v/>
      </c>
      <c r="AN102" s="34" t="str">
        <f>Macro!$D207</f>
        <v/>
      </c>
      <c r="AO102" s="35" t="str">
        <f>Macro!$D207</f>
        <v/>
      </c>
      <c r="AP102" s="36" t="str">
        <f>Macro!$D207</f>
        <v/>
      </c>
      <c r="AQ102" s="34" t="str">
        <f>Macro!$D207</f>
        <v/>
      </c>
      <c r="AR102" s="35" t="str">
        <f>Macro!$D207</f>
        <v/>
      </c>
      <c r="AS102" s="36" t="str">
        <f>Macro!$D207</f>
        <v/>
      </c>
    </row>
    <row r="103" ht="12.0" customHeight="1">
      <c r="C103" s="322" t="str">
        <f>Macro!B208</f>
        <v>[XX]</v>
      </c>
      <c r="D103" s="34"/>
      <c r="E103" s="35"/>
      <c r="F103" s="36"/>
      <c r="G103" s="34"/>
      <c r="H103" s="35"/>
      <c r="I103" s="36"/>
      <c r="J103" s="34" t="str">
        <f>Macro!$D208</f>
        <v/>
      </c>
      <c r="K103" s="35" t="str">
        <f>Macro!$D208</f>
        <v/>
      </c>
      <c r="L103" s="36" t="str">
        <f>Macro!$D208</f>
        <v/>
      </c>
      <c r="M103" s="34" t="str">
        <f>Macro!$D208</f>
        <v/>
      </c>
      <c r="N103" s="35" t="str">
        <f>Macro!$D208</f>
        <v/>
      </c>
      <c r="O103" s="36" t="str">
        <f>Macro!$D208</f>
        <v/>
      </c>
      <c r="P103" s="34" t="str">
        <f>Macro!$D208</f>
        <v/>
      </c>
      <c r="Q103" s="35" t="str">
        <f>Macro!$D208</f>
        <v/>
      </c>
      <c r="R103" s="36" t="str">
        <f>Macro!$D208</f>
        <v/>
      </c>
      <c r="S103" s="34" t="str">
        <f>Macro!$D208</f>
        <v/>
      </c>
      <c r="T103" s="35" t="str">
        <f>Macro!$D208</f>
        <v/>
      </c>
      <c r="U103" s="36" t="str">
        <f>Macro!$D208</f>
        <v/>
      </c>
      <c r="V103" s="34" t="str">
        <f>Macro!$D208</f>
        <v/>
      </c>
      <c r="W103" s="35" t="str">
        <f>Macro!$D208</f>
        <v/>
      </c>
      <c r="X103" s="36" t="str">
        <f>Macro!$D208</f>
        <v/>
      </c>
      <c r="Y103" s="34" t="str">
        <f>Macro!$D208</f>
        <v/>
      </c>
      <c r="Z103" s="35" t="str">
        <f>Macro!$D208</f>
        <v/>
      </c>
      <c r="AA103" s="36" t="str">
        <f>Macro!$D208</f>
        <v/>
      </c>
      <c r="AB103" s="34" t="str">
        <f>Macro!$D208</f>
        <v/>
      </c>
      <c r="AC103" s="35" t="str">
        <f>Macro!$D208</f>
        <v/>
      </c>
      <c r="AD103" s="36" t="str">
        <f>Macro!$D208</f>
        <v/>
      </c>
      <c r="AE103" s="34" t="str">
        <f>Macro!$D208</f>
        <v/>
      </c>
      <c r="AF103" s="35" t="str">
        <f>Macro!$D208</f>
        <v/>
      </c>
      <c r="AG103" s="36" t="str">
        <f>Macro!$D208</f>
        <v/>
      </c>
      <c r="AH103" s="34" t="str">
        <f>Macro!$D208</f>
        <v/>
      </c>
      <c r="AI103" s="35" t="str">
        <f>Macro!$D208</f>
        <v/>
      </c>
      <c r="AJ103" s="36" t="str">
        <f>Macro!$D208</f>
        <v/>
      </c>
      <c r="AK103" s="34" t="str">
        <f>Macro!$D208</f>
        <v/>
      </c>
      <c r="AL103" s="35" t="str">
        <f>Macro!$D208</f>
        <v/>
      </c>
      <c r="AM103" s="36" t="str">
        <f>Macro!$D208</f>
        <v/>
      </c>
      <c r="AN103" s="34" t="str">
        <f>Macro!$D208</f>
        <v/>
      </c>
      <c r="AO103" s="35" t="str">
        <f>Macro!$D208</f>
        <v/>
      </c>
      <c r="AP103" s="36" t="str">
        <f>Macro!$D208</f>
        <v/>
      </c>
      <c r="AQ103" s="34" t="str">
        <f>Macro!$D208</f>
        <v/>
      </c>
      <c r="AR103" s="35" t="str">
        <f>Macro!$D208</f>
        <v/>
      </c>
      <c r="AS103" s="36" t="str">
        <f>Macro!$D208</f>
        <v/>
      </c>
    </row>
    <row r="104" ht="12.0" customHeight="1">
      <c r="C104" s="47" t="str">
        <f>Macro!B209</f>
        <v>[XX]</v>
      </c>
      <c r="D104" s="48"/>
      <c r="E104" s="49"/>
      <c r="F104" s="50"/>
      <c r="G104" s="48"/>
      <c r="H104" s="49"/>
      <c r="I104" s="50"/>
      <c r="J104" s="48" t="str">
        <f>Macro!$D209</f>
        <v/>
      </c>
      <c r="K104" s="49" t="str">
        <f>Macro!$D209</f>
        <v/>
      </c>
      <c r="L104" s="50" t="str">
        <f>Macro!$D209</f>
        <v/>
      </c>
      <c r="M104" s="48" t="str">
        <f>Macro!$D209</f>
        <v/>
      </c>
      <c r="N104" s="49" t="str">
        <f>Macro!$D209</f>
        <v/>
      </c>
      <c r="O104" s="50" t="str">
        <f>Macro!$D209</f>
        <v/>
      </c>
      <c r="P104" s="48" t="str">
        <f>Macro!$D209</f>
        <v/>
      </c>
      <c r="Q104" s="49" t="str">
        <f>Macro!$D209</f>
        <v/>
      </c>
      <c r="R104" s="50" t="str">
        <f>Macro!$D209</f>
        <v/>
      </c>
      <c r="S104" s="48" t="str">
        <f>Macro!$D209</f>
        <v/>
      </c>
      <c r="T104" s="49" t="str">
        <f>Macro!$D209</f>
        <v/>
      </c>
      <c r="U104" s="50" t="str">
        <f>Macro!$D209</f>
        <v/>
      </c>
      <c r="V104" s="48" t="str">
        <f>Macro!$D209</f>
        <v/>
      </c>
      <c r="W104" s="49" t="str">
        <f>Macro!$D209</f>
        <v/>
      </c>
      <c r="X104" s="50" t="str">
        <f>Macro!$D209</f>
        <v/>
      </c>
      <c r="Y104" s="48" t="str">
        <f>Macro!$D209</f>
        <v/>
      </c>
      <c r="Z104" s="49" t="str">
        <f>Macro!$D209</f>
        <v/>
      </c>
      <c r="AA104" s="50" t="str">
        <f>Macro!$D209</f>
        <v/>
      </c>
      <c r="AB104" s="48" t="str">
        <f>Macro!$D209</f>
        <v/>
      </c>
      <c r="AC104" s="49" t="str">
        <f>Macro!$D209</f>
        <v/>
      </c>
      <c r="AD104" s="50" t="str">
        <f>Macro!$D209</f>
        <v/>
      </c>
      <c r="AE104" s="48" t="str">
        <f>Macro!$D209</f>
        <v/>
      </c>
      <c r="AF104" s="49" t="str">
        <f>Macro!$D209</f>
        <v/>
      </c>
      <c r="AG104" s="50" t="str">
        <f>Macro!$D209</f>
        <v/>
      </c>
      <c r="AH104" s="48" t="str">
        <f>Macro!$D209</f>
        <v/>
      </c>
      <c r="AI104" s="49" t="str">
        <f>Macro!$D209</f>
        <v/>
      </c>
      <c r="AJ104" s="50" t="str">
        <f>Macro!$D209</f>
        <v/>
      </c>
      <c r="AK104" s="48" t="str">
        <f>Macro!$D209</f>
        <v/>
      </c>
      <c r="AL104" s="49" t="str">
        <f>Macro!$D209</f>
        <v/>
      </c>
      <c r="AM104" s="50" t="str">
        <f>Macro!$D209</f>
        <v/>
      </c>
      <c r="AN104" s="48" t="str">
        <f>Macro!$D209</f>
        <v/>
      </c>
      <c r="AO104" s="49" t="str">
        <f>Macro!$D209</f>
        <v/>
      </c>
      <c r="AP104" s="50" t="str">
        <f>Macro!$D209</f>
        <v/>
      </c>
      <c r="AQ104" s="48" t="str">
        <f>Macro!$D209</f>
        <v/>
      </c>
      <c r="AR104" s="49" t="str">
        <f>Macro!$D209</f>
        <v/>
      </c>
      <c r="AS104" s="50" t="str">
        <f>Macro!$D209</f>
        <v/>
      </c>
    </row>
    <row r="105" ht="12.0" customHeight="1">
      <c r="B105" s="8"/>
      <c r="C105" s="8" t="s">
        <v>73</v>
      </c>
      <c r="D105" s="323">
        <v>2470.84</v>
      </c>
      <c r="E105" s="324">
        <v>3651.79</v>
      </c>
      <c r="F105" s="325">
        <v>2733.8205555555533</v>
      </c>
      <c r="G105" s="323">
        <v>5791.609999999997</v>
      </c>
      <c r="H105" s="324">
        <v>7131.854561403516</v>
      </c>
      <c r="I105" s="325">
        <v>1616.4700000000028</v>
      </c>
      <c r="J105" s="295">
        <f t="shared" ref="J105:AS105" si="14">SUM(J99:J104)</f>
        <v>600</v>
      </c>
      <c r="K105" s="296">
        <f t="shared" si="14"/>
        <v>600</v>
      </c>
      <c r="L105" s="297">
        <f t="shared" si="14"/>
        <v>750</v>
      </c>
      <c r="M105" s="295">
        <f t="shared" si="14"/>
        <v>775</v>
      </c>
      <c r="N105" s="296">
        <f t="shared" si="14"/>
        <v>800</v>
      </c>
      <c r="O105" s="297">
        <f t="shared" si="14"/>
        <v>850</v>
      </c>
      <c r="P105" s="295">
        <f t="shared" si="14"/>
        <v>900</v>
      </c>
      <c r="Q105" s="296">
        <f t="shared" si="14"/>
        <v>900</v>
      </c>
      <c r="R105" s="297">
        <f t="shared" si="14"/>
        <v>950</v>
      </c>
      <c r="S105" s="295">
        <f t="shared" si="14"/>
        <v>975</v>
      </c>
      <c r="T105" s="296">
        <f t="shared" si="14"/>
        <v>975</v>
      </c>
      <c r="U105" s="297">
        <f t="shared" si="14"/>
        <v>975</v>
      </c>
      <c r="V105" s="295">
        <f t="shared" si="14"/>
        <v>1000</v>
      </c>
      <c r="W105" s="296">
        <f t="shared" si="14"/>
        <v>1000</v>
      </c>
      <c r="X105" s="297">
        <f t="shared" si="14"/>
        <v>1000</v>
      </c>
      <c r="Y105" s="295">
        <f t="shared" si="14"/>
        <v>1025</v>
      </c>
      <c r="Z105" s="296">
        <f t="shared" si="14"/>
        <v>1050</v>
      </c>
      <c r="AA105" s="297">
        <f t="shared" si="14"/>
        <v>1050</v>
      </c>
      <c r="AB105" s="295">
        <f t="shared" si="14"/>
        <v>1100</v>
      </c>
      <c r="AC105" s="296">
        <f t="shared" si="14"/>
        <v>1100</v>
      </c>
      <c r="AD105" s="297">
        <f t="shared" si="14"/>
        <v>1100</v>
      </c>
      <c r="AE105" s="295">
        <f t="shared" si="14"/>
        <v>1125</v>
      </c>
      <c r="AF105" s="296">
        <f t="shared" si="14"/>
        <v>1125</v>
      </c>
      <c r="AG105" s="297">
        <f t="shared" si="14"/>
        <v>1125</v>
      </c>
      <c r="AH105" s="295">
        <f t="shared" si="14"/>
        <v>1225</v>
      </c>
      <c r="AI105" s="296">
        <f t="shared" si="14"/>
        <v>1225</v>
      </c>
      <c r="AJ105" s="297">
        <f t="shared" si="14"/>
        <v>1225</v>
      </c>
      <c r="AK105" s="295">
        <f t="shared" si="14"/>
        <v>1250</v>
      </c>
      <c r="AL105" s="296">
        <f t="shared" si="14"/>
        <v>1250</v>
      </c>
      <c r="AM105" s="297">
        <f t="shared" si="14"/>
        <v>1250</v>
      </c>
      <c r="AN105" s="295">
        <f t="shared" si="14"/>
        <v>1325</v>
      </c>
      <c r="AO105" s="296">
        <f t="shared" si="14"/>
        <v>1325</v>
      </c>
      <c r="AP105" s="297">
        <f t="shared" si="14"/>
        <v>1325</v>
      </c>
      <c r="AQ105" s="295">
        <f t="shared" si="14"/>
        <v>1350</v>
      </c>
      <c r="AR105" s="296">
        <f t="shared" si="14"/>
        <v>1350</v>
      </c>
      <c r="AS105" s="297">
        <f t="shared" si="14"/>
        <v>1350</v>
      </c>
    </row>
    <row r="106" ht="12.0" customHeight="1">
      <c r="D106" s="64"/>
      <c r="E106" s="4"/>
      <c r="F106" s="65"/>
      <c r="G106" s="64"/>
      <c r="H106" s="4"/>
      <c r="I106" s="65"/>
      <c r="J106" s="64"/>
      <c r="K106" s="4"/>
      <c r="L106" s="65"/>
      <c r="M106" s="64"/>
      <c r="N106" s="4"/>
      <c r="O106" s="65"/>
      <c r="P106" s="64"/>
      <c r="Q106" s="4"/>
      <c r="R106" s="65"/>
      <c r="S106" s="64"/>
      <c r="T106" s="4"/>
      <c r="U106" s="65"/>
      <c r="V106" s="64"/>
      <c r="W106" s="4"/>
      <c r="X106" s="65"/>
      <c r="Y106" s="64"/>
      <c r="Z106" s="4"/>
      <c r="AA106" s="65"/>
      <c r="AB106" s="64"/>
      <c r="AC106" s="4"/>
      <c r="AD106" s="65"/>
      <c r="AE106" s="64"/>
      <c r="AF106" s="4"/>
      <c r="AG106" s="65"/>
      <c r="AH106" s="64"/>
      <c r="AI106" s="4"/>
      <c r="AJ106" s="65"/>
      <c r="AK106" s="64"/>
      <c r="AL106" s="4"/>
      <c r="AM106" s="65"/>
      <c r="AN106" s="64"/>
      <c r="AO106" s="4"/>
      <c r="AP106" s="65"/>
      <c r="AQ106" s="64"/>
      <c r="AR106" s="4"/>
      <c r="AS106" s="65"/>
    </row>
    <row r="107" ht="12.0" customHeight="1">
      <c r="A107" s="4"/>
      <c r="B107" s="122" t="s">
        <v>241</v>
      </c>
      <c r="C107" s="29"/>
      <c r="D107" s="30"/>
      <c r="E107" s="31"/>
      <c r="F107" s="32"/>
      <c r="G107" s="30"/>
      <c r="H107" s="31"/>
      <c r="I107" s="32"/>
      <c r="J107" s="30"/>
      <c r="K107" s="31"/>
      <c r="L107" s="32"/>
      <c r="M107" s="30"/>
      <c r="N107" s="31"/>
      <c r="O107" s="32"/>
      <c r="P107" s="30"/>
      <c r="Q107" s="31"/>
      <c r="R107" s="32"/>
      <c r="S107" s="30"/>
      <c r="T107" s="31"/>
      <c r="U107" s="32"/>
      <c r="V107" s="30"/>
      <c r="W107" s="31"/>
      <c r="X107" s="32"/>
      <c r="Y107" s="30"/>
      <c r="Z107" s="31"/>
      <c r="AA107" s="32"/>
      <c r="AB107" s="30"/>
      <c r="AC107" s="31"/>
      <c r="AD107" s="32"/>
      <c r="AE107" s="30"/>
      <c r="AF107" s="31"/>
      <c r="AG107" s="32"/>
      <c r="AH107" s="30"/>
      <c r="AI107" s="31"/>
      <c r="AJ107" s="32"/>
      <c r="AK107" s="30"/>
      <c r="AL107" s="31"/>
      <c r="AM107" s="32"/>
      <c r="AN107" s="30"/>
      <c r="AO107" s="31"/>
      <c r="AP107" s="32"/>
      <c r="AQ107" s="30"/>
      <c r="AR107" s="31"/>
      <c r="AS107" s="32"/>
    </row>
    <row r="108" ht="12.0" customHeight="1">
      <c r="A108" s="4"/>
      <c r="B108" s="8" t="s">
        <v>225</v>
      </c>
      <c r="C108" s="4"/>
      <c r="D108" s="25"/>
      <c r="E108" s="26"/>
      <c r="F108" s="27"/>
      <c r="G108" s="25"/>
      <c r="H108" s="26"/>
      <c r="I108" s="27"/>
      <c r="J108" s="25"/>
      <c r="K108" s="26"/>
      <c r="L108" s="27"/>
      <c r="M108" s="25"/>
      <c r="N108" s="26"/>
      <c r="O108" s="27"/>
      <c r="P108" s="25"/>
      <c r="Q108" s="26"/>
      <c r="R108" s="27"/>
      <c r="S108" s="25"/>
      <c r="T108" s="26"/>
      <c r="U108" s="27"/>
      <c r="V108" s="25"/>
      <c r="W108" s="26"/>
      <c r="X108" s="27"/>
      <c r="Y108" s="25"/>
      <c r="Z108" s="26"/>
      <c r="AA108" s="27"/>
      <c r="AB108" s="25"/>
      <c r="AC108" s="26"/>
      <c r="AD108" s="27"/>
      <c r="AE108" s="25"/>
      <c r="AF108" s="26"/>
      <c r="AG108" s="27"/>
      <c r="AH108" s="25"/>
      <c r="AI108" s="26"/>
      <c r="AJ108" s="27"/>
      <c r="AK108" s="25"/>
      <c r="AL108" s="26"/>
      <c r="AM108" s="27"/>
      <c r="AN108" s="25"/>
      <c r="AO108" s="26"/>
      <c r="AP108" s="27"/>
      <c r="AQ108" s="25"/>
      <c r="AR108" s="26"/>
      <c r="AS108" s="27"/>
    </row>
    <row r="109" ht="12.0" customHeight="1">
      <c r="A109" s="4"/>
      <c r="B109" s="8"/>
      <c r="C109" s="4" t="s">
        <v>19</v>
      </c>
      <c r="D109" s="61"/>
      <c r="E109" s="62"/>
      <c r="F109" s="63"/>
      <c r="G109" s="61"/>
      <c r="H109" s="62"/>
      <c r="I109" s="63"/>
      <c r="J109" s="61">
        <f t="shared" ref="J109:AS109" si="15">J35</f>
        <v>25600</v>
      </c>
      <c r="K109" s="62">
        <f t="shared" si="15"/>
        <v>25600</v>
      </c>
      <c r="L109" s="63">
        <f t="shared" si="15"/>
        <v>25600</v>
      </c>
      <c r="M109" s="61" t="str">
        <f t="shared" si="15"/>
        <v>#VALUE!</v>
      </c>
      <c r="N109" s="62" t="str">
        <f t="shared" si="15"/>
        <v>#VALUE!</v>
      </c>
      <c r="O109" s="63" t="str">
        <f t="shared" si="15"/>
        <v>#VALUE!</v>
      </c>
      <c r="P109" s="61" t="str">
        <f t="shared" si="15"/>
        <v>#VALUE!</v>
      </c>
      <c r="Q109" s="62" t="str">
        <f t="shared" si="15"/>
        <v>#VALUE!</v>
      </c>
      <c r="R109" s="63" t="str">
        <f t="shared" si="15"/>
        <v>#VALUE!</v>
      </c>
      <c r="S109" s="61" t="str">
        <f t="shared" si="15"/>
        <v>#VALUE!</v>
      </c>
      <c r="T109" s="62" t="str">
        <f t="shared" si="15"/>
        <v>#VALUE!</v>
      </c>
      <c r="U109" s="63" t="str">
        <f t="shared" si="15"/>
        <v>#VALUE!</v>
      </c>
      <c r="V109" s="61" t="str">
        <f t="shared" si="15"/>
        <v>#VALUE!</v>
      </c>
      <c r="W109" s="62" t="str">
        <f t="shared" si="15"/>
        <v>#VALUE!</v>
      </c>
      <c r="X109" s="63" t="str">
        <f t="shared" si="15"/>
        <v>#VALUE!</v>
      </c>
      <c r="Y109" s="61" t="str">
        <f t="shared" si="15"/>
        <v>#VALUE!</v>
      </c>
      <c r="Z109" s="62" t="str">
        <f t="shared" si="15"/>
        <v>#VALUE!</v>
      </c>
      <c r="AA109" s="63" t="str">
        <f t="shared" si="15"/>
        <v>#VALUE!</v>
      </c>
      <c r="AB109" s="61" t="str">
        <f t="shared" si="15"/>
        <v>#VALUE!</v>
      </c>
      <c r="AC109" s="62" t="str">
        <f t="shared" si="15"/>
        <v>#VALUE!</v>
      </c>
      <c r="AD109" s="63" t="str">
        <f t="shared" si="15"/>
        <v>#VALUE!</v>
      </c>
      <c r="AE109" s="61" t="str">
        <f t="shared" si="15"/>
        <v>#VALUE!</v>
      </c>
      <c r="AF109" s="62" t="str">
        <f t="shared" si="15"/>
        <v>#VALUE!</v>
      </c>
      <c r="AG109" s="63" t="str">
        <f t="shared" si="15"/>
        <v>#VALUE!</v>
      </c>
      <c r="AH109" s="61" t="str">
        <f t="shared" si="15"/>
        <v>#VALUE!</v>
      </c>
      <c r="AI109" s="62" t="str">
        <f t="shared" si="15"/>
        <v>#VALUE!</v>
      </c>
      <c r="AJ109" s="63" t="str">
        <f t="shared" si="15"/>
        <v>#VALUE!</v>
      </c>
      <c r="AK109" s="61" t="str">
        <f t="shared" si="15"/>
        <v>#VALUE!</v>
      </c>
      <c r="AL109" s="62" t="str">
        <f t="shared" si="15"/>
        <v>#VALUE!</v>
      </c>
      <c r="AM109" s="63" t="str">
        <f t="shared" si="15"/>
        <v>#VALUE!</v>
      </c>
      <c r="AN109" s="61" t="str">
        <f t="shared" si="15"/>
        <v>#VALUE!</v>
      </c>
      <c r="AO109" s="62" t="str">
        <f t="shared" si="15"/>
        <v>#VALUE!</v>
      </c>
      <c r="AP109" s="63" t="str">
        <f t="shared" si="15"/>
        <v>#VALUE!</v>
      </c>
      <c r="AQ109" s="61" t="str">
        <f t="shared" si="15"/>
        <v>#VALUE!</v>
      </c>
      <c r="AR109" s="62" t="str">
        <f t="shared" si="15"/>
        <v>#VALUE!</v>
      </c>
      <c r="AS109" s="63" t="str">
        <f t="shared" si="15"/>
        <v>#VALUE!</v>
      </c>
    </row>
    <row r="110" ht="12.0" customHeight="1">
      <c r="A110" s="4"/>
      <c r="B110" s="8"/>
      <c r="C110" s="4" t="s">
        <v>20</v>
      </c>
      <c r="D110" s="208"/>
      <c r="E110" s="231"/>
      <c r="F110" s="232"/>
      <c r="G110" s="208"/>
      <c r="H110" s="231"/>
      <c r="I110" s="232"/>
      <c r="J110" s="208">
        <v>0.0</v>
      </c>
      <c r="K110" s="231">
        <v>0.0</v>
      </c>
      <c r="L110" s="232">
        <v>0.0</v>
      </c>
      <c r="M110" s="208">
        <v>0.0</v>
      </c>
      <c r="N110" s="231">
        <v>0.0</v>
      </c>
      <c r="O110" s="232">
        <v>0.0</v>
      </c>
      <c r="P110" s="208">
        <v>0.0</v>
      </c>
      <c r="Q110" s="231">
        <v>0.0</v>
      </c>
      <c r="R110" s="232">
        <v>0.0</v>
      </c>
      <c r="S110" s="208">
        <v>0.0</v>
      </c>
      <c r="T110" s="231">
        <v>0.0</v>
      </c>
      <c r="U110" s="232">
        <v>0.0</v>
      </c>
      <c r="V110" s="208">
        <v>0.0</v>
      </c>
      <c r="W110" s="231">
        <v>0.0</v>
      </c>
      <c r="X110" s="232">
        <v>0.0</v>
      </c>
      <c r="Y110" s="208">
        <v>0.0</v>
      </c>
      <c r="Z110" s="231">
        <v>0.0</v>
      </c>
      <c r="AA110" s="232">
        <v>0.0</v>
      </c>
      <c r="AB110" s="208">
        <v>0.0</v>
      </c>
      <c r="AC110" s="231">
        <v>0.0</v>
      </c>
      <c r="AD110" s="232">
        <v>0.0</v>
      </c>
      <c r="AE110" s="208">
        <v>0.0</v>
      </c>
      <c r="AF110" s="231">
        <v>0.0</v>
      </c>
      <c r="AG110" s="232">
        <v>0.0</v>
      </c>
      <c r="AH110" s="208">
        <v>0.0</v>
      </c>
      <c r="AI110" s="231">
        <v>0.0</v>
      </c>
      <c r="AJ110" s="232">
        <v>0.0</v>
      </c>
      <c r="AK110" s="208">
        <v>0.0</v>
      </c>
      <c r="AL110" s="231">
        <v>0.0</v>
      </c>
      <c r="AM110" s="232">
        <v>0.0</v>
      </c>
      <c r="AN110" s="208">
        <v>0.0</v>
      </c>
      <c r="AO110" s="231">
        <v>0.0</v>
      </c>
      <c r="AP110" s="232">
        <v>0.0</v>
      </c>
      <c r="AQ110" s="208">
        <v>0.0</v>
      </c>
      <c r="AR110" s="231">
        <v>0.0</v>
      </c>
      <c r="AS110" s="232">
        <v>0.0</v>
      </c>
    </row>
    <row r="111" ht="12.0" customHeight="1">
      <c r="A111" s="4"/>
      <c r="B111" s="8"/>
      <c r="C111" s="4" t="s">
        <v>21</v>
      </c>
      <c r="D111" s="208"/>
      <c r="E111" s="231"/>
      <c r="F111" s="232"/>
      <c r="G111" s="208"/>
      <c r="H111" s="231"/>
      <c r="I111" s="232"/>
      <c r="J111" s="208">
        <v>0.0</v>
      </c>
      <c r="K111" s="231">
        <v>0.0</v>
      </c>
      <c r="L111" s="232">
        <v>0.0</v>
      </c>
      <c r="M111" s="208">
        <v>0.0</v>
      </c>
      <c r="N111" s="231">
        <v>0.0</v>
      </c>
      <c r="O111" s="232">
        <v>0.0</v>
      </c>
      <c r="P111" s="208">
        <v>0.0</v>
      </c>
      <c r="Q111" s="231">
        <v>0.0</v>
      </c>
      <c r="R111" s="232">
        <v>0.0</v>
      </c>
      <c r="S111" s="208">
        <v>0.0</v>
      </c>
      <c r="T111" s="231">
        <v>0.0</v>
      </c>
      <c r="U111" s="232">
        <v>0.0</v>
      </c>
      <c r="V111" s="208">
        <v>0.0</v>
      </c>
      <c r="W111" s="231">
        <v>0.0</v>
      </c>
      <c r="X111" s="232">
        <v>0.0</v>
      </c>
      <c r="Y111" s="208">
        <v>0.0</v>
      </c>
      <c r="Z111" s="231">
        <v>0.0</v>
      </c>
      <c r="AA111" s="232">
        <v>0.0</v>
      </c>
      <c r="AB111" s="208">
        <v>0.0</v>
      </c>
      <c r="AC111" s="231">
        <v>0.0</v>
      </c>
      <c r="AD111" s="232">
        <v>0.0</v>
      </c>
      <c r="AE111" s="208">
        <v>0.0</v>
      </c>
      <c r="AF111" s="231">
        <v>0.0</v>
      </c>
      <c r="AG111" s="232">
        <v>0.0</v>
      </c>
      <c r="AH111" s="208">
        <v>0.0</v>
      </c>
      <c r="AI111" s="231">
        <v>0.0</v>
      </c>
      <c r="AJ111" s="232">
        <v>0.0</v>
      </c>
      <c r="AK111" s="208">
        <v>0.0</v>
      </c>
      <c r="AL111" s="231">
        <v>0.0</v>
      </c>
      <c r="AM111" s="232">
        <v>0.0</v>
      </c>
      <c r="AN111" s="208">
        <v>0.0</v>
      </c>
      <c r="AO111" s="231">
        <v>0.0</v>
      </c>
      <c r="AP111" s="232">
        <v>0.0</v>
      </c>
      <c r="AQ111" s="208">
        <v>0.0</v>
      </c>
      <c r="AR111" s="231">
        <v>0.0</v>
      </c>
      <c r="AS111" s="232">
        <v>0.0</v>
      </c>
    </row>
    <row r="112" ht="12.0" customHeight="1">
      <c r="A112" s="4"/>
      <c r="B112" s="8"/>
      <c r="C112" s="4"/>
      <c r="D112" s="25"/>
      <c r="E112" s="26"/>
      <c r="F112" s="27"/>
      <c r="G112" s="25"/>
      <c r="H112" s="26"/>
      <c r="I112" s="27"/>
      <c r="J112" s="25"/>
      <c r="K112" s="26"/>
      <c r="L112" s="27"/>
      <c r="M112" s="25"/>
      <c r="N112" s="26"/>
      <c r="O112" s="27"/>
      <c r="P112" s="25"/>
      <c r="Q112" s="26"/>
      <c r="R112" s="27"/>
      <c r="S112" s="25"/>
      <c r="T112" s="26"/>
      <c r="U112" s="27"/>
      <c r="V112" s="25"/>
      <c r="W112" s="26"/>
      <c r="X112" s="27"/>
      <c r="Y112" s="25"/>
      <c r="Z112" s="26"/>
      <c r="AA112" s="27"/>
      <c r="AB112" s="25"/>
      <c r="AC112" s="26"/>
      <c r="AD112" s="27"/>
      <c r="AE112" s="25"/>
      <c r="AF112" s="26"/>
      <c r="AG112" s="27"/>
      <c r="AH112" s="25"/>
      <c r="AI112" s="26"/>
      <c r="AJ112" s="27"/>
      <c r="AK112" s="25"/>
      <c r="AL112" s="26"/>
      <c r="AM112" s="27"/>
      <c r="AN112" s="25"/>
      <c r="AO112" s="26"/>
      <c r="AP112" s="27"/>
      <c r="AQ112" s="25"/>
      <c r="AR112" s="26"/>
      <c r="AS112" s="27"/>
    </row>
    <row r="113" ht="12.0" customHeight="1">
      <c r="B113" s="8" t="s">
        <v>139</v>
      </c>
      <c r="D113" s="64"/>
      <c r="E113" s="4"/>
      <c r="F113" s="65"/>
      <c r="G113" s="64"/>
      <c r="H113" s="4"/>
      <c r="I113" s="65"/>
      <c r="J113" s="64"/>
      <c r="K113" s="4"/>
      <c r="L113" s="65"/>
      <c r="M113" s="64"/>
      <c r="N113" s="4"/>
      <c r="O113" s="65"/>
      <c r="P113" s="64"/>
      <c r="Q113" s="4"/>
      <c r="R113" s="65"/>
      <c r="S113" s="64"/>
      <c r="T113" s="4"/>
      <c r="U113" s="65"/>
      <c r="V113" s="64"/>
      <c r="W113" s="4"/>
      <c r="X113" s="65"/>
      <c r="Y113" s="64"/>
      <c r="Z113" s="4"/>
      <c r="AA113" s="65"/>
      <c r="AB113" s="64"/>
      <c r="AC113" s="4"/>
      <c r="AD113" s="65"/>
      <c r="AE113" s="64"/>
      <c r="AF113" s="4"/>
      <c r="AG113" s="65"/>
      <c r="AH113" s="64"/>
      <c r="AI113" s="4"/>
      <c r="AJ113" s="65"/>
      <c r="AK113" s="64"/>
      <c r="AL113" s="4"/>
      <c r="AM113" s="65"/>
      <c r="AN113" s="64"/>
      <c r="AO113" s="4"/>
      <c r="AP113" s="65"/>
      <c r="AQ113" s="64"/>
      <c r="AR113" s="4"/>
      <c r="AS113" s="65"/>
    </row>
    <row r="114" ht="12.0" customHeight="1">
      <c r="C114" s="4" t="s">
        <v>19</v>
      </c>
      <c r="D114" s="34"/>
      <c r="E114" s="35"/>
      <c r="F114" s="36"/>
      <c r="G114" s="34"/>
      <c r="H114" s="35"/>
      <c r="I114" s="36"/>
      <c r="J114" s="34">
        <f>SUMIF(Macro!$F$151:$F$160,Expenses!$C114,Expenses!J$41:J$50)</f>
        <v>0</v>
      </c>
      <c r="K114" s="35">
        <f>SUMIF(Macro!$F$151:$F$160,Expenses!$C114,Expenses!K$41:K$50)</f>
        <v>0</v>
      </c>
      <c r="L114" s="36">
        <f>SUMIF(Macro!$F$151:$F$160,Expenses!$C114,Expenses!L$41:L$50)</f>
        <v>0</v>
      </c>
      <c r="M114" s="34">
        <f>SUMIF(Macro!$F$151:$F$160,Expenses!$C114,Expenses!M$41:M$50)</f>
        <v>0</v>
      </c>
      <c r="N114" s="35">
        <f>SUMIF(Macro!$F$151:$F$160,Expenses!$C114,Expenses!N$41:N$50)</f>
        <v>0</v>
      </c>
      <c r="O114" s="36">
        <f>SUMIF(Macro!$F$151:$F$160,Expenses!$C114,Expenses!O$41:O$50)</f>
        <v>0</v>
      </c>
      <c r="P114" s="34">
        <f>SUMIF(Macro!$F$151:$F$160,Expenses!$C114,Expenses!P$41:P$50)</f>
        <v>0</v>
      </c>
      <c r="Q114" s="35">
        <f>SUMIF(Macro!$F$151:$F$160,Expenses!$C114,Expenses!Q$41:Q$50)</f>
        <v>0</v>
      </c>
      <c r="R114" s="36">
        <f>SUMIF(Macro!$F$151:$F$160,Expenses!$C114,Expenses!R$41:R$50)</f>
        <v>0</v>
      </c>
      <c r="S114" s="34">
        <f>SUMIF(Macro!$F$151:$F$160,Expenses!$C114,Expenses!S$41:S$50)</f>
        <v>0</v>
      </c>
      <c r="T114" s="35">
        <f>SUMIF(Macro!$F$151:$F$160,Expenses!$C114,Expenses!T$41:T$50)</f>
        <v>0</v>
      </c>
      <c r="U114" s="36">
        <f>SUMIF(Macro!$F$151:$F$160,Expenses!$C114,Expenses!U$41:U$50)</f>
        <v>0</v>
      </c>
      <c r="V114" s="34">
        <f>SUMIF(Macro!$F$151:$F$160,Expenses!$C114,Expenses!V$41:V$50)</f>
        <v>0</v>
      </c>
      <c r="W114" s="35">
        <f>SUMIF(Macro!$F$151:$F$160,Expenses!$C114,Expenses!W$41:W$50)</f>
        <v>0</v>
      </c>
      <c r="X114" s="36">
        <f>SUMIF(Macro!$F$151:$F$160,Expenses!$C114,Expenses!X$41:X$50)</f>
        <v>0</v>
      </c>
      <c r="Y114" s="34">
        <f>SUMIF(Macro!$F$151:$F$160,Expenses!$C114,Expenses!Y$41:Y$50)</f>
        <v>0</v>
      </c>
      <c r="Z114" s="35">
        <f>SUMIF(Macro!$F$151:$F$160,Expenses!$C114,Expenses!Z$41:Z$50)</f>
        <v>0</v>
      </c>
      <c r="AA114" s="36">
        <f>SUMIF(Macro!$F$151:$F$160,Expenses!$C114,Expenses!AA$41:AA$50)</f>
        <v>0</v>
      </c>
      <c r="AB114" s="34">
        <f>SUMIF(Macro!$F$151:$F$160,Expenses!$C114,Expenses!AB$41:AB$50)</f>
        <v>0</v>
      </c>
      <c r="AC114" s="35">
        <f>SUMIF(Macro!$F$151:$F$160,Expenses!$C114,Expenses!AC$41:AC$50)</f>
        <v>0</v>
      </c>
      <c r="AD114" s="36">
        <f>SUMIF(Macro!$F$151:$F$160,Expenses!$C114,Expenses!AD$41:AD$50)</f>
        <v>0</v>
      </c>
      <c r="AE114" s="34">
        <f>SUMIF(Macro!$F$151:$F$160,Expenses!$C114,Expenses!AE$41:AE$50)</f>
        <v>0</v>
      </c>
      <c r="AF114" s="35">
        <f>SUMIF(Macro!$F$151:$F$160,Expenses!$C114,Expenses!AF$41:AF$50)</f>
        <v>0</v>
      </c>
      <c r="AG114" s="36">
        <f>SUMIF(Macro!$F$151:$F$160,Expenses!$C114,Expenses!AG$41:AG$50)</f>
        <v>0</v>
      </c>
      <c r="AH114" s="34">
        <f>SUMIF(Macro!$F$151:$F$160,Expenses!$C114,Expenses!AH$41:AH$50)</f>
        <v>0</v>
      </c>
      <c r="AI114" s="35">
        <f>SUMIF(Macro!$F$151:$F$160,Expenses!$C114,Expenses!AI$41:AI$50)</f>
        <v>0</v>
      </c>
      <c r="AJ114" s="36">
        <f>SUMIF(Macro!$F$151:$F$160,Expenses!$C114,Expenses!AJ$41:AJ$50)</f>
        <v>0</v>
      </c>
      <c r="AK114" s="34">
        <f>SUMIF(Macro!$F$151:$F$160,Expenses!$C114,Expenses!AK$41:AK$50)</f>
        <v>0</v>
      </c>
      <c r="AL114" s="35">
        <f>SUMIF(Macro!$F$151:$F$160,Expenses!$C114,Expenses!AL$41:AL$50)</f>
        <v>0</v>
      </c>
      <c r="AM114" s="36">
        <f>SUMIF(Macro!$F$151:$F$160,Expenses!$C114,Expenses!AM$41:AM$50)</f>
        <v>0</v>
      </c>
      <c r="AN114" s="34">
        <f>SUMIF(Macro!$F$151:$F$160,Expenses!$C114,Expenses!AN$41:AN$50)</f>
        <v>0</v>
      </c>
      <c r="AO114" s="35">
        <f>SUMIF(Macro!$F$151:$F$160,Expenses!$C114,Expenses!AO$41:AO$50)</f>
        <v>0</v>
      </c>
      <c r="AP114" s="36">
        <f>SUMIF(Macro!$F$151:$F$160,Expenses!$C114,Expenses!AP$41:AP$50)</f>
        <v>0</v>
      </c>
      <c r="AQ114" s="34">
        <f>SUMIF(Macro!$F$151:$F$160,Expenses!$C114,Expenses!AQ$41:AQ$50)</f>
        <v>0</v>
      </c>
      <c r="AR114" s="35">
        <f>SUMIF(Macro!$F$151:$F$160,Expenses!$C114,Expenses!AR$41:AR$50)</f>
        <v>0</v>
      </c>
      <c r="AS114" s="36">
        <f>SUMIF(Macro!$F$151:$F$160,Expenses!$C114,Expenses!AS$41:AS$50)</f>
        <v>0</v>
      </c>
    </row>
    <row r="115" ht="12.0" customHeight="1">
      <c r="C115" s="4" t="s">
        <v>20</v>
      </c>
      <c r="D115" s="34"/>
      <c r="E115" s="35"/>
      <c r="F115" s="36"/>
      <c r="G115" s="34"/>
      <c r="H115" s="35"/>
      <c r="I115" s="36"/>
      <c r="J115" s="34">
        <f>SUMIF(Macro!$F$151:$F$160,Expenses!$C115,Expenses!J$41:J$50)</f>
        <v>0</v>
      </c>
      <c r="K115" s="35">
        <f>SUMIF(Macro!$F$151:$F$160,Expenses!$C115,Expenses!K$41:K$50)</f>
        <v>0</v>
      </c>
      <c r="L115" s="36">
        <f>SUMIF(Macro!$F$151:$F$160,Expenses!$C115,Expenses!L$41:L$50)</f>
        <v>0</v>
      </c>
      <c r="M115" s="34">
        <f>SUMIF(Macro!$F$151:$F$160,Expenses!$C115,Expenses!M$41:M$50)</f>
        <v>0</v>
      </c>
      <c r="N115" s="35">
        <f>SUMIF(Macro!$F$151:$F$160,Expenses!$C115,Expenses!N$41:N$50)</f>
        <v>0</v>
      </c>
      <c r="O115" s="36">
        <f>SUMIF(Macro!$F$151:$F$160,Expenses!$C115,Expenses!O$41:O$50)</f>
        <v>0</v>
      </c>
      <c r="P115" s="34">
        <f>SUMIF(Macro!$F$151:$F$160,Expenses!$C115,Expenses!P$41:P$50)</f>
        <v>0</v>
      </c>
      <c r="Q115" s="35">
        <f>SUMIF(Macro!$F$151:$F$160,Expenses!$C115,Expenses!Q$41:Q$50)</f>
        <v>0</v>
      </c>
      <c r="R115" s="36">
        <f>SUMIF(Macro!$F$151:$F$160,Expenses!$C115,Expenses!R$41:R$50)</f>
        <v>0</v>
      </c>
      <c r="S115" s="34">
        <f>SUMIF(Macro!$F$151:$F$160,Expenses!$C115,Expenses!S$41:S$50)</f>
        <v>0</v>
      </c>
      <c r="T115" s="35">
        <f>SUMIF(Macro!$F$151:$F$160,Expenses!$C115,Expenses!T$41:T$50)</f>
        <v>0</v>
      </c>
      <c r="U115" s="36">
        <f>SUMIF(Macro!$F$151:$F$160,Expenses!$C115,Expenses!U$41:U$50)</f>
        <v>0</v>
      </c>
      <c r="V115" s="34">
        <f>SUMIF(Macro!$F$151:$F$160,Expenses!$C115,Expenses!V$41:V$50)</f>
        <v>0</v>
      </c>
      <c r="W115" s="35">
        <f>SUMIF(Macro!$F$151:$F$160,Expenses!$C115,Expenses!W$41:W$50)</f>
        <v>0</v>
      </c>
      <c r="X115" s="36">
        <f>SUMIF(Macro!$F$151:$F$160,Expenses!$C115,Expenses!X$41:X$50)</f>
        <v>0</v>
      </c>
      <c r="Y115" s="34">
        <f>SUMIF(Macro!$F$151:$F$160,Expenses!$C115,Expenses!Y$41:Y$50)</f>
        <v>0</v>
      </c>
      <c r="Z115" s="35">
        <f>SUMIF(Macro!$F$151:$F$160,Expenses!$C115,Expenses!Z$41:Z$50)</f>
        <v>0</v>
      </c>
      <c r="AA115" s="36">
        <f>SUMIF(Macro!$F$151:$F$160,Expenses!$C115,Expenses!AA$41:AA$50)</f>
        <v>0</v>
      </c>
      <c r="AB115" s="34">
        <f>SUMIF(Macro!$F$151:$F$160,Expenses!$C115,Expenses!AB$41:AB$50)</f>
        <v>0</v>
      </c>
      <c r="AC115" s="35">
        <f>SUMIF(Macro!$F$151:$F$160,Expenses!$C115,Expenses!AC$41:AC$50)</f>
        <v>0</v>
      </c>
      <c r="AD115" s="36">
        <f>SUMIF(Macro!$F$151:$F$160,Expenses!$C115,Expenses!AD$41:AD$50)</f>
        <v>0</v>
      </c>
      <c r="AE115" s="34">
        <f>SUMIF(Macro!$F$151:$F$160,Expenses!$C115,Expenses!AE$41:AE$50)</f>
        <v>0</v>
      </c>
      <c r="AF115" s="35">
        <f>SUMIF(Macro!$F$151:$F$160,Expenses!$C115,Expenses!AF$41:AF$50)</f>
        <v>0</v>
      </c>
      <c r="AG115" s="36">
        <f>SUMIF(Macro!$F$151:$F$160,Expenses!$C115,Expenses!AG$41:AG$50)</f>
        <v>0</v>
      </c>
      <c r="AH115" s="34">
        <f>SUMIF(Macro!$F$151:$F$160,Expenses!$C115,Expenses!AH$41:AH$50)</f>
        <v>0</v>
      </c>
      <c r="AI115" s="35">
        <f>SUMIF(Macro!$F$151:$F$160,Expenses!$C115,Expenses!AI$41:AI$50)</f>
        <v>0</v>
      </c>
      <c r="AJ115" s="36">
        <f>SUMIF(Macro!$F$151:$F$160,Expenses!$C115,Expenses!AJ$41:AJ$50)</f>
        <v>0</v>
      </c>
      <c r="AK115" s="34">
        <f>SUMIF(Macro!$F$151:$F$160,Expenses!$C115,Expenses!AK$41:AK$50)</f>
        <v>0</v>
      </c>
      <c r="AL115" s="35">
        <f>SUMIF(Macro!$F$151:$F$160,Expenses!$C115,Expenses!AL$41:AL$50)</f>
        <v>0</v>
      </c>
      <c r="AM115" s="36">
        <f>SUMIF(Macro!$F$151:$F$160,Expenses!$C115,Expenses!AM$41:AM$50)</f>
        <v>0</v>
      </c>
      <c r="AN115" s="34">
        <f>SUMIF(Macro!$F$151:$F$160,Expenses!$C115,Expenses!AN$41:AN$50)</f>
        <v>0</v>
      </c>
      <c r="AO115" s="35">
        <f>SUMIF(Macro!$F$151:$F$160,Expenses!$C115,Expenses!AO$41:AO$50)</f>
        <v>0</v>
      </c>
      <c r="AP115" s="36">
        <f>SUMIF(Macro!$F$151:$F$160,Expenses!$C115,Expenses!AP$41:AP$50)</f>
        <v>0</v>
      </c>
      <c r="AQ115" s="34">
        <f>SUMIF(Macro!$F$151:$F$160,Expenses!$C115,Expenses!AQ$41:AQ$50)</f>
        <v>0</v>
      </c>
      <c r="AR115" s="35">
        <f>SUMIF(Macro!$F$151:$F$160,Expenses!$C115,Expenses!AR$41:AR$50)</f>
        <v>0</v>
      </c>
      <c r="AS115" s="36">
        <f>SUMIF(Macro!$F$151:$F$160,Expenses!$C115,Expenses!AS$41:AS$50)</f>
        <v>0</v>
      </c>
    </row>
    <row r="116" ht="12.0" customHeight="1">
      <c r="C116" s="4" t="s">
        <v>21</v>
      </c>
      <c r="D116" s="34"/>
      <c r="E116" s="35"/>
      <c r="F116" s="36"/>
      <c r="G116" s="34"/>
      <c r="H116" s="35"/>
      <c r="I116" s="36"/>
      <c r="J116" s="34">
        <f>SUMIF(Macro!$F$151:$F$160,Expenses!$C116,Expenses!J$41:J$50)</f>
        <v>0</v>
      </c>
      <c r="K116" s="35">
        <f>SUMIF(Macro!$F$151:$F$160,Expenses!$C116,Expenses!K$41:K$50)</f>
        <v>0</v>
      </c>
      <c r="L116" s="36">
        <f>SUMIF(Macro!$F$151:$F$160,Expenses!$C116,Expenses!L$41:L$50)</f>
        <v>0</v>
      </c>
      <c r="M116" s="34">
        <f>SUMIF(Macro!$F$151:$F$160,Expenses!$C116,Expenses!M$41:M$50)</f>
        <v>0</v>
      </c>
      <c r="N116" s="35">
        <f>SUMIF(Macro!$F$151:$F$160,Expenses!$C116,Expenses!N$41:N$50)</f>
        <v>0</v>
      </c>
      <c r="O116" s="36">
        <f>SUMIF(Macro!$F$151:$F$160,Expenses!$C116,Expenses!O$41:O$50)</f>
        <v>0</v>
      </c>
      <c r="P116" s="34">
        <f>SUMIF(Macro!$F$151:$F$160,Expenses!$C116,Expenses!P$41:P$50)</f>
        <v>0</v>
      </c>
      <c r="Q116" s="35">
        <f>SUMIF(Macro!$F$151:$F$160,Expenses!$C116,Expenses!Q$41:Q$50)</f>
        <v>0</v>
      </c>
      <c r="R116" s="36">
        <f>SUMIF(Macro!$F$151:$F$160,Expenses!$C116,Expenses!R$41:R$50)</f>
        <v>0</v>
      </c>
      <c r="S116" s="34">
        <f>SUMIF(Macro!$F$151:$F$160,Expenses!$C116,Expenses!S$41:S$50)</f>
        <v>0</v>
      </c>
      <c r="T116" s="35">
        <f>SUMIF(Macro!$F$151:$F$160,Expenses!$C116,Expenses!T$41:T$50)</f>
        <v>0</v>
      </c>
      <c r="U116" s="36">
        <f>SUMIF(Macro!$F$151:$F$160,Expenses!$C116,Expenses!U$41:U$50)</f>
        <v>0</v>
      </c>
      <c r="V116" s="34">
        <f>SUMIF(Macro!$F$151:$F$160,Expenses!$C116,Expenses!V$41:V$50)</f>
        <v>0</v>
      </c>
      <c r="W116" s="35">
        <f>SUMIF(Macro!$F$151:$F$160,Expenses!$C116,Expenses!W$41:W$50)</f>
        <v>0</v>
      </c>
      <c r="X116" s="36">
        <f>SUMIF(Macro!$F$151:$F$160,Expenses!$C116,Expenses!X$41:X$50)</f>
        <v>0</v>
      </c>
      <c r="Y116" s="34">
        <f>SUMIF(Macro!$F$151:$F$160,Expenses!$C116,Expenses!Y$41:Y$50)</f>
        <v>0</v>
      </c>
      <c r="Z116" s="35">
        <f>SUMIF(Macro!$F$151:$F$160,Expenses!$C116,Expenses!Z$41:Z$50)</f>
        <v>0</v>
      </c>
      <c r="AA116" s="36">
        <f>SUMIF(Macro!$F$151:$F$160,Expenses!$C116,Expenses!AA$41:AA$50)</f>
        <v>0</v>
      </c>
      <c r="AB116" s="34">
        <f>SUMIF(Macro!$F$151:$F$160,Expenses!$C116,Expenses!AB$41:AB$50)</f>
        <v>0</v>
      </c>
      <c r="AC116" s="35">
        <f>SUMIF(Macro!$F$151:$F$160,Expenses!$C116,Expenses!AC$41:AC$50)</f>
        <v>0</v>
      </c>
      <c r="AD116" s="36">
        <f>SUMIF(Macro!$F$151:$F$160,Expenses!$C116,Expenses!AD$41:AD$50)</f>
        <v>0</v>
      </c>
      <c r="AE116" s="34">
        <f>SUMIF(Macro!$F$151:$F$160,Expenses!$C116,Expenses!AE$41:AE$50)</f>
        <v>0</v>
      </c>
      <c r="AF116" s="35">
        <f>SUMIF(Macro!$F$151:$F$160,Expenses!$C116,Expenses!AF$41:AF$50)</f>
        <v>0</v>
      </c>
      <c r="AG116" s="36">
        <f>SUMIF(Macro!$F$151:$F$160,Expenses!$C116,Expenses!AG$41:AG$50)</f>
        <v>0</v>
      </c>
      <c r="AH116" s="34">
        <f>SUMIF(Macro!$F$151:$F$160,Expenses!$C116,Expenses!AH$41:AH$50)</f>
        <v>0</v>
      </c>
      <c r="AI116" s="35">
        <f>SUMIF(Macro!$F$151:$F$160,Expenses!$C116,Expenses!AI$41:AI$50)</f>
        <v>0</v>
      </c>
      <c r="AJ116" s="36">
        <f>SUMIF(Macro!$F$151:$F$160,Expenses!$C116,Expenses!AJ$41:AJ$50)</f>
        <v>0</v>
      </c>
      <c r="AK116" s="34">
        <f>SUMIF(Macro!$F$151:$F$160,Expenses!$C116,Expenses!AK$41:AK$50)</f>
        <v>0</v>
      </c>
      <c r="AL116" s="35">
        <f>SUMIF(Macro!$F$151:$F$160,Expenses!$C116,Expenses!AL$41:AL$50)</f>
        <v>0</v>
      </c>
      <c r="AM116" s="36">
        <f>SUMIF(Macro!$F$151:$F$160,Expenses!$C116,Expenses!AM$41:AM$50)</f>
        <v>0</v>
      </c>
      <c r="AN116" s="34">
        <f>SUMIF(Macro!$F$151:$F$160,Expenses!$C116,Expenses!AN$41:AN$50)</f>
        <v>0</v>
      </c>
      <c r="AO116" s="35">
        <f>SUMIF(Macro!$F$151:$F$160,Expenses!$C116,Expenses!AO$41:AO$50)</f>
        <v>0</v>
      </c>
      <c r="AP116" s="36">
        <f>SUMIF(Macro!$F$151:$F$160,Expenses!$C116,Expenses!AP$41:AP$50)</f>
        <v>0</v>
      </c>
      <c r="AQ116" s="34">
        <f>SUMIF(Macro!$F$151:$F$160,Expenses!$C116,Expenses!AQ$41:AQ$50)</f>
        <v>0</v>
      </c>
      <c r="AR116" s="35">
        <f>SUMIF(Macro!$F$151:$F$160,Expenses!$C116,Expenses!AR$41:AR$50)</f>
        <v>0</v>
      </c>
      <c r="AS116" s="36">
        <f>SUMIF(Macro!$F$151:$F$160,Expenses!$C116,Expenses!AS$41:AS$50)</f>
        <v>0</v>
      </c>
    </row>
    <row r="117" ht="12.0" customHeight="1">
      <c r="D117" s="209"/>
      <c r="E117" s="210"/>
      <c r="F117" s="211"/>
      <c r="G117" s="209"/>
      <c r="H117" s="210"/>
      <c r="I117" s="211"/>
      <c r="J117" s="209"/>
      <c r="K117" s="210"/>
      <c r="L117" s="211"/>
      <c r="M117" s="209"/>
      <c r="N117" s="210"/>
      <c r="O117" s="211"/>
      <c r="P117" s="209"/>
      <c r="Q117" s="210"/>
      <c r="R117" s="211"/>
      <c r="S117" s="209"/>
      <c r="T117" s="210"/>
      <c r="U117" s="211"/>
      <c r="V117" s="209"/>
      <c r="W117" s="210"/>
      <c r="X117" s="211"/>
      <c r="Y117" s="209"/>
      <c r="Z117" s="210"/>
      <c r="AA117" s="211"/>
      <c r="AB117" s="209"/>
      <c r="AC117" s="210"/>
      <c r="AD117" s="211"/>
      <c r="AE117" s="209"/>
      <c r="AF117" s="210"/>
      <c r="AG117" s="211"/>
      <c r="AH117" s="209"/>
      <c r="AI117" s="210"/>
      <c r="AJ117" s="211"/>
      <c r="AK117" s="209"/>
      <c r="AL117" s="210"/>
      <c r="AM117" s="211"/>
      <c r="AN117" s="209"/>
      <c r="AO117" s="210"/>
      <c r="AP117" s="211"/>
      <c r="AQ117" s="209"/>
      <c r="AR117" s="210"/>
      <c r="AS117" s="211"/>
    </row>
    <row r="118" ht="12.0" customHeight="1">
      <c r="B118" s="8" t="s">
        <v>155</v>
      </c>
      <c r="D118" s="209"/>
      <c r="E118" s="210"/>
      <c r="F118" s="211"/>
      <c r="G118" s="209"/>
      <c r="H118" s="210"/>
      <c r="I118" s="211"/>
      <c r="J118" s="209"/>
      <c r="K118" s="210"/>
      <c r="L118" s="211"/>
      <c r="M118" s="209"/>
      <c r="N118" s="210"/>
      <c r="O118" s="211"/>
      <c r="P118" s="209"/>
      <c r="Q118" s="210"/>
      <c r="R118" s="211"/>
      <c r="S118" s="209"/>
      <c r="T118" s="210"/>
      <c r="U118" s="211"/>
      <c r="V118" s="209"/>
      <c r="W118" s="210"/>
      <c r="X118" s="211"/>
      <c r="Y118" s="209"/>
      <c r="Z118" s="210"/>
      <c r="AA118" s="211"/>
      <c r="AB118" s="209"/>
      <c r="AC118" s="210"/>
      <c r="AD118" s="211"/>
      <c r="AE118" s="209"/>
      <c r="AF118" s="210"/>
      <c r="AG118" s="211"/>
      <c r="AH118" s="209"/>
      <c r="AI118" s="210"/>
      <c r="AJ118" s="211"/>
      <c r="AK118" s="209"/>
      <c r="AL118" s="210"/>
      <c r="AM118" s="211"/>
      <c r="AN118" s="209"/>
      <c r="AO118" s="210"/>
      <c r="AP118" s="211"/>
      <c r="AQ118" s="209"/>
      <c r="AR118" s="210"/>
      <c r="AS118" s="211"/>
    </row>
    <row r="119" ht="12.0" customHeight="1">
      <c r="C119" s="4" t="s">
        <v>19</v>
      </c>
      <c r="D119" s="34"/>
      <c r="E119" s="35"/>
      <c r="F119" s="36"/>
      <c r="G119" s="34"/>
      <c r="H119" s="35"/>
      <c r="I119" s="36"/>
      <c r="J119" s="34">
        <f>SUMIF(Macro!$F$169:$F$177,Expenses!$C119,Expenses!J$62:J$70)</f>
        <v>0</v>
      </c>
      <c r="K119" s="35">
        <f>SUMIF(Macro!$F$169:$F$177,Expenses!$C119,Expenses!K$62:K$70)</f>
        <v>0</v>
      </c>
      <c r="L119" s="36">
        <f>SUMIF(Macro!$F$169:$F$177,Expenses!$C119,Expenses!L$62:L$70)</f>
        <v>0</v>
      </c>
      <c r="M119" s="34">
        <f>SUMIF(Macro!$F$169:$F$177,Expenses!$C119,Expenses!M$62:M$70)</f>
        <v>0</v>
      </c>
      <c r="N119" s="35">
        <f>SUMIF(Macro!$F$169:$F$177,Expenses!$C119,Expenses!N$62:N$70)</f>
        <v>0</v>
      </c>
      <c r="O119" s="36">
        <f>SUMIF(Macro!$F$169:$F$177,Expenses!$C119,Expenses!O$62:O$70)</f>
        <v>0</v>
      </c>
      <c r="P119" s="34">
        <f>SUMIF(Macro!$F$169:$F$177,Expenses!$C119,Expenses!P$62:P$70)</f>
        <v>0</v>
      </c>
      <c r="Q119" s="35">
        <f>SUMIF(Macro!$F$169:$F$177,Expenses!$C119,Expenses!Q$62:Q$70)</f>
        <v>0</v>
      </c>
      <c r="R119" s="36">
        <f>SUMIF(Macro!$F$169:$F$177,Expenses!$C119,Expenses!R$62:R$70)</f>
        <v>0</v>
      </c>
      <c r="S119" s="34">
        <f>SUMIF(Macro!$F$169:$F$177,Expenses!$C119,Expenses!S$62:S$70)</f>
        <v>0</v>
      </c>
      <c r="T119" s="35">
        <f>SUMIF(Macro!$F$169:$F$177,Expenses!$C119,Expenses!T$62:T$70)</f>
        <v>0</v>
      </c>
      <c r="U119" s="36">
        <f>SUMIF(Macro!$F$169:$F$177,Expenses!$C119,Expenses!U$62:U$70)</f>
        <v>0</v>
      </c>
      <c r="V119" s="34">
        <f>SUMIF(Macro!$F$169:$F$177,Expenses!$C119,Expenses!V$62:V$70)</f>
        <v>0</v>
      </c>
      <c r="W119" s="35">
        <f>SUMIF(Macro!$F$169:$F$177,Expenses!$C119,Expenses!W$62:W$70)</f>
        <v>0</v>
      </c>
      <c r="X119" s="36">
        <f>SUMIF(Macro!$F$169:$F$177,Expenses!$C119,Expenses!X$62:X$70)</f>
        <v>0</v>
      </c>
      <c r="Y119" s="34">
        <f>SUMIF(Macro!$F$169:$F$177,Expenses!$C119,Expenses!Y$62:Y$70)</f>
        <v>0</v>
      </c>
      <c r="Z119" s="35">
        <f>SUMIF(Macro!$F$169:$F$177,Expenses!$C119,Expenses!Z$62:Z$70)</f>
        <v>0</v>
      </c>
      <c r="AA119" s="36">
        <f>SUMIF(Macro!$F$169:$F$177,Expenses!$C119,Expenses!AA$62:AA$70)</f>
        <v>0</v>
      </c>
      <c r="AB119" s="34">
        <f>SUMIF(Macro!$F$169:$F$177,Expenses!$C119,Expenses!AB$62:AB$70)</f>
        <v>0</v>
      </c>
      <c r="AC119" s="35">
        <f>SUMIF(Macro!$F$169:$F$177,Expenses!$C119,Expenses!AC$62:AC$70)</f>
        <v>0</v>
      </c>
      <c r="AD119" s="36">
        <f>SUMIF(Macro!$F$169:$F$177,Expenses!$C119,Expenses!AD$62:AD$70)</f>
        <v>0</v>
      </c>
      <c r="AE119" s="34">
        <f>SUMIF(Macro!$F$169:$F$177,Expenses!$C119,Expenses!AE$62:AE$70)</f>
        <v>0</v>
      </c>
      <c r="AF119" s="35">
        <f>SUMIF(Macro!$F$169:$F$177,Expenses!$C119,Expenses!AF$62:AF$70)</f>
        <v>0</v>
      </c>
      <c r="AG119" s="36">
        <f>SUMIF(Macro!$F$169:$F$177,Expenses!$C119,Expenses!AG$62:AG$70)</f>
        <v>0</v>
      </c>
      <c r="AH119" s="34">
        <f>SUMIF(Macro!$F$169:$F$177,Expenses!$C119,Expenses!AH$62:AH$70)</f>
        <v>0</v>
      </c>
      <c r="AI119" s="35">
        <f>SUMIF(Macro!$F$169:$F$177,Expenses!$C119,Expenses!AI$62:AI$70)</f>
        <v>0</v>
      </c>
      <c r="AJ119" s="36">
        <f>SUMIF(Macro!$F$169:$F$177,Expenses!$C119,Expenses!AJ$62:AJ$70)</f>
        <v>0</v>
      </c>
      <c r="AK119" s="34">
        <f>SUMIF(Macro!$F$169:$F$177,Expenses!$C119,Expenses!AK$62:AK$70)</f>
        <v>0</v>
      </c>
      <c r="AL119" s="35">
        <f>SUMIF(Macro!$F$169:$F$177,Expenses!$C119,Expenses!AL$62:AL$70)</f>
        <v>0</v>
      </c>
      <c r="AM119" s="36">
        <f>SUMIF(Macro!$F$169:$F$177,Expenses!$C119,Expenses!AM$62:AM$70)</f>
        <v>0</v>
      </c>
      <c r="AN119" s="34">
        <f>SUMIF(Macro!$F$169:$F$177,Expenses!$C119,Expenses!AN$62:AN$70)</f>
        <v>0</v>
      </c>
      <c r="AO119" s="35">
        <f>SUMIF(Macro!$F$169:$F$177,Expenses!$C119,Expenses!AO$62:AO$70)</f>
        <v>0</v>
      </c>
      <c r="AP119" s="36">
        <f>SUMIF(Macro!$F$169:$F$177,Expenses!$C119,Expenses!AP$62:AP$70)</f>
        <v>0</v>
      </c>
      <c r="AQ119" s="34">
        <f>SUMIF(Macro!$F$169:$F$177,Expenses!$C119,Expenses!AQ$62:AQ$70)</f>
        <v>0</v>
      </c>
      <c r="AR119" s="35">
        <f>SUMIF(Macro!$F$169:$F$177,Expenses!$C119,Expenses!AR$62:AR$70)</f>
        <v>0</v>
      </c>
      <c r="AS119" s="36">
        <f>SUMIF(Macro!$F$169:$F$177,Expenses!$C119,Expenses!AS$62:AS$70)</f>
        <v>0</v>
      </c>
    </row>
    <row r="120" ht="12.0" customHeight="1">
      <c r="C120" s="4" t="s">
        <v>20</v>
      </c>
      <c r="D120" s="34"/>
      <c r="E120" s="35"/>
      <c r="F120" s="36"/>
      <c r="G120" s="34"/>
      <c r="H120" s="35"/>
      <c r="I120" s="36"/>
      <c r="J120" s="34">
        <f>SUMIF(Macro!$F$169:$F$177,Expenses!$C120,Expenses!J$62:J$70)</f>
        <v>50000</v>
      </c>
      <c r="K120" s="35">
        <f>SUMIF(Macro!$F$169:$F$177,Expenses!$C120,Expenses!K$62:K$70)</f>
        <v>50000</v>
      </c>
      <c r="L120" s="36">
        <f>SUMIF(Macro!$F$169:$F$177,Expenses!$C120,Expenses!L$62:L$70)</f>
        <v>50000</v>
      </c>
      <c r="M120" s="34">
        <f>SUMIF(Macro!$F$169:$F$177,Expenses!$C120,Expenses!M$62:M$70)</f>
        <v>50000</v>
      </c>
      <c r="N120" s="35">
        <f>SUMIF(Macro!$F$169:$F$177,Expenses!$C120,Expenses!N$62:N$70)</f>
        <v>50000</v>
      </c>
      <c r="O120" s="36">
        <f>SUMIF(Macro!$F$169:$F$177,Expenses!$C120,Expenses!O$62:O$70)</f>
        <v>50000</v>
      </c>
      <c r="P120" s="34">
        <f>SUMIF(Macro!$F$169:$F$177,Expenses!$C120,Expenses!P$62:P$70)</f>
        <v>50000</v>
      </c>
      <c r="Q120" s="35">
        <f>SUMIF(Macro!$F$169:$F$177,Expenses!$C120,Expenses!Q$62:Q$70)</f>
        <v>50000</v>
      </c>
      <c r="R120" s="36">
        <f>SUMIF(Macro!$F$169:$F$177,Expenses!$C120,Expenses!R$62:R$70)</f>
        <v>50000</v>
      </c>
      <c r="S120" s="34">
        <f>SUMIF(Macro!$F$169:$F$177,Expenses!$C120,Expenses!S$62:S$70)</f>
        <v>50000</v>
      </c>
      <c r="T120" s="35">
        <f>SUMIF(Macro!$F$169:$F$177,Expenses!$C120,Expenses!T$62:T$70)</f>
        <v>50000</v>
      </c>
      <c r="U120" s="36">
        <f>SUMIF(Macro!$F$169:$F$177,Expenses!$C120,Expenses!U$62:U$70)</f>
        <v>50000</v>
      </c>
      <c r="V120" s="34">
        <f>SUMIF(Macro!$F$169:$F$177,Expenses!$C120,Expenses!V$62:V$70)</f>
        <v>60000</v>
      </c>
      <c r="W120" s="35">
        <f>SUMIF(Macro!$F$169:$F$177,Expenses!$C120,Expenses!W$62:W$70)</f>
        <v>60000</v>
      </c>
      <c r="X120" s="36">
        <f>SUMIF(Macro!$F$169:$F$177,Expenses!$C120,Expenses!X$62:X$70)</f>
        <v>60000</v>
      </c>
      <c r="Y120" s="34">
        <f>SUMIF(Macro!$F$169:$F$177,Expenses!$C120,Expenses!Y$62:Y$70)</f>
        <v>60000</v>
      </c>
      <c r="Z120" s="35">
        <f>SUMIF(Macro!$F$169:$F$177,Expenses!$C120,Expenses!Z$62:Z$70)</f>
        <v>60000</v>
      </c>
      <c r="AA120" s="36">
        <f>SUMIF(Macro!$F$169:$F$177,Expenses!$C120,Expenses!AA$62:AA$70)</f>
        <v>60000</v>
      </c>
      <c r="AB120" s="34">
        <f>SUMIF(Macro!$F$169:$F$177,Expenses!$C120,Expenses!AB$62:AB$70)</f>
        <v>60000</v>
      </c>
      <c r="AC120" s="35">
        <f>SUMIF(Macro!$F$169:$F$177,Expenses!$C120,Expenses!AC$62:AC$70)</f>
        <v>60000</v>
      </c>
      <c r="AD120" s="36">
        <f>SUMIF(Macro!$F$169:$F$177,Expenses!$C120,Expenses!AD$62:AD$70)</f>
        <v>60000</v>
      </c>
      <c r="AE120" s="34">
        <f>SUMIF(Macro!$F$169:$F$177,Expenses!$C120,Expenses!AE$62:AE$70)</f>
        <v>60000</v>
      </c>
      <c r="AF120" s="35">
        <f>SUMIF(Macro!$F$169:$F$177,Expenses!$C120,Expenses!AF$62:AF$70)</f>
        <v>60000</v>
      </c>
      <c r="AG120" s="36">
        <f>SUMIF(Macro!$F$169:$F$177,Expenses!$C120,Expenses!AG$62:AG$70)</f>
        <v>60000</v>
      </c>
      <c r="AH120" s="34">
        <f>SUMIF(Macro!$F$169:$F$177,Expenses!$C120,Expenses!AH$62:AH$70)</f>
        <v>70000</v>
      </c>
      <c r="AI120" s="35">
        <f>SUMIF(Macro!$F$169:$F$177,Expenses!$C120,Expenses!AI$62:AI$70)</f>
        <v>70000</v>
      </c>
      <c r="AJ120" s="36">
        <f>SUMIF(Macro!$F$169:$F$177,Expenses!$C120,Expenses!AJ$62:AJ$70)</f>
        <v>70000</v>
      </c>
      <c r="AK120" s="34">
        <f>SUMIF(Macro!$F$169:$F$177,Expenses!$C120,Expenses!AK$62:AK$70)</f>
        <v>70000</v>
      </c>
      <c r="AL120" s="35">
        <f>SUMIF(Macro!$F$169:$F$177,Expenses!$C120,Expenses!AL$62:AL$70)</f>
        <v>70000</v>
      </c>
      <c r="AM120" s="36">
        <f>SUMIF(Macro!$F$169:$F$177,Expenses!$C120,Expenses!AM$62:AM$70)</f>
        <v>70000</v>
      </c>
      <c r="AN120" s="34">
        <f>SUMIF(Macro!$F$169:$F$177,Expenses!$C120,Expenses!AN$62:AN$70)</f>
        <v>70000</v>
      </c>
      <c r="AO120" s="35">
        <f>SUMIF(Macro!$F$169:$F$177,Expenses!$C120,Expenses!AO$62:AO$70)</f>
        <v>70000</v>
      </c>
      <c r="AP120" s="36">
        <f>SUMIF(Macro!$F$169:$F$177,Expenses!$C120,Expenses!AP$62:AP$70)</f>
        <v>70000</v>
      </c>
      <c r="AQ120" s="34">
        <f>SUMIF(Macro!$F$169:$F$177,Expenses!$C120,Expenses!AQ$62:AQ$70)</f>
        <v>70000</v>
      </c>
      <c r="AR120" s="35">
        <f>SUMIF(Macro!$F$169:$F$177,Expenses!$C120,Expenses!AR$62:AR$70)</f>
        <v>70000</v>
      </c>
      <c r="AS120" s="36">
        <f>SUMIF(Macro!$F$169:$F$177,Expenses!$C120,Expenses!AS$62:AS$70)</f>
        <v>70000</v>
      </c>
    </row>
    <row r="121" ht="12.0" customHeight="1">
      <c r="C121" s="4" t="s">
        <v>21</v>
      </c>
      <c r="D121" s="34"/>
      <c r="E121" s="35"/>
      <c r="F121" s="36"/>
      <c r="G121" s="34"/>
      <c r="H121" s="35"/>
      <c r="I121" s="36"/>
      <c r="J121" s="34">
        <f>SUMIF(Macro!$F$169:$F$177,Expenses!$C121,Expenses!J$62:J$70)</f>
        <v>0</v>
      </c>
      <c r="K121" s="35">
        <f>SUMIF(Macro!$F$169:$F$177,Expenses!$C121,Expenses!K$62:K$70)</f>
        <v>0</v>
      </c>
      <c r="L121" s="36">
        <f>SUMIF(Macro!$F$169:$F$177,Expenses!$C121,Expenses!L$62:L$70)</f>
        <v>0</v>
      </c>
      <c r="M121" s="34">
        <f>SUMIF(Macro!$F$169:$F$177,Expenses!$C121,Expenses!M$62:M$70)</f>
        <v>0</v>
      </c>
      <c r="N121" s="35">
        <f>SUMIF(Macro!$F$169:$F$177,Expenses!$C121,Expenses!N$62:N$70)</f>
        <v>0</v>
      </c>
      <c r="O121" s="36">
        <f>SUMIF(Macro!$F$169:$F$177,Expenses!$C121,Expenses!O$62:O$70)</f>
        <v>0</v>
      </c>
      <c r="P121" s="34">
        <f>SUMIF(Macro!$F$169:$F$177,Expenses!$C121,Expenses!P$62:P$70)</f>
        <v>0</v>
      </c>
      <c r="Q121" s="35">
        <f>SUMIF(Macro!$F$169:$F$177,Expenses!$C121,Expenses!Q$62:Q$70)</f>
        <v>0</v>
      </c>
      <c r="R121" s="36">
        <f>SUMIF(Macro!$F$169:$F$177,Expenses!$C121,Expenses!R$62:R$70)</f>
        <v>0</v>
      </c>
      <c r="S121" s="34">
        <f>SUMIF(Macro!$F$169:$F$177,Expenses!$C121,Expenses!S$62:S$70)</f>
        <v>0</v>
      </c>
      <c r="T121" s="35">
        <f>SUMIF(Macro!$F$169:$F$177,Expenses!$C121,Expenses!T$62:T$70)</f>
        <v>0</v>
      </c>
      <c r="U121" s="36">
        <f>SUMIF(Macro!$F$169:$F$177,Expenses!$C121,Expenses!U$62:U$70)</f>
        <v>0</v>
      </c>
      <c r="V121" s="34">
        <f>SUMIF(Macro!$F$169:$F$177,Expenses!$C121,Expenses!V$62:V$70)</f>
        <v>0</v>
      </c>
      <c r="W121" s="35">
        <f>SUMIF(Macro!$F$169:$F$177,Expenses!$C121,Expenses!W$62:W$70)</f>
        <v>0</v>
      </c>
      <c r="X121" s="36">
        <f>SUMIF(Macro!$F$169:$F$177,Expenses!$C121,Expenses!X$62:X$70)</f>
        <v>0</v>
      </c>
      <c r="Y121" s="34">
        <f>SUMIF(Macro!$F$169:$F$177,Expenses!$C121,Expenses!Y$62:Y$70)</f>
        <v>0</v>
      </c>
      <c r="Z121" s="35">
        <f>SUMIF(Macro!$F$169:$F$177,Expenses!$C121,Expenses!Z$62:Z$70)</f>
        <v>0</v>
      </c>
      <c r="AA121" s="36">
        <f>SUMIF(Macro!$F$169:$F$177,Expenses!$C121,Expenses!AA$62:AA$70)</f>
        <v>0</v>
      </c>
      <c r="AB121" s="34">
        <f>SUMIF(Macro!$F$169:$F$177,Expenses!$C121,Expenses!AB$62:AB$70)</f>
        <v>0</v>
      </c>
      <c r="AC121" s="35">
        <f>SUMIF(Macro!$F$169:$F$177,Expenses!$C121,Expenses!AC$62:AC$70)</f>
        <v>0</v>
      </c>
      <c r="AD121" s="36">
        <f>SUMIF(Macro!$F$169:$F$177,Expenses!$C121,Expenses!AD$62:AD$70)</f>
        <v>0</v>
      </c>
      <c r="AE121" s="34">
        <f>SUMIF(Macro!$F$169:$F$177,Expenses!$C121,Expenses!AE$62:AE$70)</f>
        <v>0</v>
      </c>
      <c r="AF121" s="35">
        <f>SUMIF(Macro!$F$169:$F$177,Expenses!$C121,Expenses!AF$62:AF$70)</f>
        <v>0</v>
      </c>
      <c r="AG121" s="36">
        <f>SUMIF(Macro!$F$169:$F$177,Expenses!$C121,Expenses!AG$62:AG$70)</f>
        <v>0</v>
      </c>
      <c r="AH121" s="34">
        <f>SUMIF(Macro!$F$169:$F$177,Expenses!$C121,Expenses!AH$62:AH$70)</f>
        <v>0</v>
      </c>
      <c r="AI121" s="35">
        <f>SUMIF(Macro!$F$169:$F$177,Expenses!$C121,Expenses!AI$62:AI$70)</f>
        <v>0</v>
      </c>
      <c r="AJ121" s="36">
        <f>SUMIF(Macro!$F$169:$F$177,Expenses!$C121,Expenses!AJ$62:AJ$70)</f>
        <v>0</v>
      </c>
      <c r="AK121" s="34">
        <f>SUMIF(Macro!$F$169:$F$177,Expenses!$C121,Expenses!AK$62:AK$70)</f>
        <v>0</v>
      </c>
      <c r="AL121" s="35">
        <f>SUMIF(Macro!$F$169:$F$177,Expenses!$C121,Expenses!AL$62:AL$70)</f>
        <v>0</v>
      </c>
      <c r="AM121" s="36">
        <f>SUMIF(Macro!$F$169:$F$177,Expenses!$C121,Expenses!AM$62:AM$70)</f>
        <v>0</v>
      </c>
      <c r="AN121" s="34">
        <f>SUMIF(Macro!$F$169:$F$177,Expenses!$C121,Expenses!AN$62:AN$70)</f>
        <v>0</v>
      </c>
      <c r="AO121" s="35">
        <f>SUMIF(Macro!$F$169:$F$177,Expenses!$C121,Expenses!AO$62:AO$70)</f>
        <v>0</v>
      </c>
      <c r="AP121" s="36">
        <f>SUMIF(Macro!$F$169:$F$177,Expenses!$C121,Expenses!AP$62:AP$70)</f>
        <v>0</v>
      </c>
      <c r="AQ121" s="34">
        <f>SUMIF(Macro!$F$169:$F$177,Expenses!$C121,Expenses!AQ$62:AQ$70)</f>
        <v>0</v>
      </c>
      <c r="AR121" s="35">
        <f>SUMIF(Macro!$F$169:$F$177,Expenses!$C121,Expenses!AR$62:AR$70)</f>
        <v>0</v>
      </c>
      <c r="AS121" s="36">
        <f>SUMIF(Macro!$F$169:$F$177,Expenses!$C121,Expenses!AS$62:AS$70)</f>
        <v>0</v>
      </c>
    </row>
    <row r="122" ht="12.0" customHeight="1">
      <c r="D122" s="209"/>
      <c r="E122" s="210"/>
      <c r="F122" s="211"/>
      <c r="G122" s="209"/>
      <c r="H122" s="210"/>
      <c r="I122" s="211"/>
      <c r="J122" s="209"/>
      <c r="K122" s="210"/>
      <c r="L122" s="211"/>
      <c r="M122" s="209"/>
      <c r="N122" s="210"/>
      <c r="O122" s="211"/>
      <c r="P122" s="209"/>
      <c r="Q122" s="210"/>
      <c r="R122" s="211"/>
      <c r="S122" s="209"/>
      <c r="T122" s="210"/>
      <c r="U122" s="211"/>
      <c r="V122" s="209"/>
      <c r="W122" s="210"/>
      <c r="X122" s="211"/>
      <c r="Y122" s="209"/>
      <c r="Z122" s="210"/>
      <c r="AA122" s="211"/>
      <c r="AB122" s="209"/>
      <c r="AC122" s="210"/>
      <c r="AD122" s="211"/>
      <c r="AE122" s="209"/>
      <c r="AF122" s="210"/>
      <c r="AG122" s="211"/>
      <c r="AH122" s="209"/>
      <c r="AI122" s="210"/>
      <c r="AJ122" s="211"/>
      <c r="AK122" s="209"/>
      <c r="AL122" s="210"/>
      <c r="AM122" s="211"/>
      <c r="AN122" s="209"/>
      <c r="AO122" s="210"/>
      <c r="AP122" s="211"/>
      <c r="AQ122" s="209"/>
      <c r="AR122" s="210"/>
      <c r="AS122" s="211"/>
    </row>
    <row r="123" ht="12.0" customHeight="1">
      <c r="B123" s="8" t="s">
        <v>159</v>
      </c>
      <c r="D123" s="209"/>
      <c r="E123" s="210"/>
      <c r="F123" s="211"/>
      <c r="G123" s="209"/>
      <c r="H123" s="210"/>
      <c r="I123" s="211"/>
      <c r="J123" s="209"/>
      <c r="K123" s="210"/>
      <c r="L123" s="211"/>
      <c r="M123" s="209"/>
      <c r="N123" s="210"/>
      <c r="O123" s="211"/>
      <c r="P123" s="209"/>
      <c r="Q123" s="210"/>
      <c r="R123" s="211"/>
      <c r="S123" s="209"/>
      <c r="T123" s="210"/>
      <c r="U123" s="211"/>
      <c r="V123" s="209"/>
      <c r="W123" s="210"/>
      <c r="X123" s="211"/>
      <c r="Y123" s="209"/>
      <c r="Z123" s="210"/>
      <c r="AA123" s="211"/>
      <c r="AB123" s="209"/>
      <c r="AC123" s="210"/>
      <c r="AD123" s="211"/>
      <c r="AE123" s="209"/>
      <c r="AF123" s="210"/>
      <c r="AG123" s="211"/>
      <c r="AH123" s="209"/>
      <c r="AI123" s="210"/>
      <c r="AJ123" s="211"/>
      <c r="AK123" s="209"/>
      <c r="AL123" s="210"/>
      <c r="AM123" s="211"/>
      <c r="AN123" s="209"/>
      <c r="AO123" s="210"/>
      <c r="AP123" s="211"/>
      <c r="AQ123" s="209"/>
      <c r="AR123" s="210"/>
      <c r="AS123" s="211"/>
    </row>
    <row r="124" ht="12.0" customHeight="1">
      <c r="C124" s="4" t="s">
        <v>19</v>
      </c>
      <c r="D124" s="34"/>
      <c r="E124" s="35"/>
      <c r="F124" s="36"/>
      <c r="G124" s="34"/>
      <c r="H124" s="35"/>
      <c r="I124" s="36"/>
      <c r="J124" s="34">
        <f>SUMIF(Macro!$F$180:$F$201,Expenses!$C124,Expenses!J$74:J$95)</f>
        <v>20</v>
      </c>
      <c r="K124" s="35">
        <f>SUMIF(Macro!$F$180:$F$201,Expenses!$C124,Expenses!K$74:K$95)</f>
        <v>20</v>
      </c>
      <c r="L124" s="36">
        <f>SUMIF(Macro!$F$180:$F$201,Expenses!$C124,Expenses!L$74:L$95)</f>
        <v>20</v>
      </c>
      <c r="M124" s="34">
        <f>SUMIF(Macro!$F$180:$F$201,Expenses!$C124,Expenses!M$74:M$95)</f>
        <v>20</v>
      </c>
      <c r="N124" s="35">
        <f>SUMIF(Macro!$F$180:$F$201,Expenses!$C124,Expenses!N$74:N$95)</f>
        <v>20</v>
      </c>
      <c r="O124" s="36">
        <f>SUMIF(Macro!$F$180:$F$201,Expenses!$C124,Expenses!O$74:O$95)</f>
        <v>20</v>
      </c>
      <c r="P124" s="34">
        <f>SUMIF(Macro!$F$180:$F$201,Expenses!$C124,Expenses!P$74:P$95)</f>
        <v>20</v>
      </c>
      <c r="Q124" s="35">
        <f>SUMIF(Macro!$F$180:$F$201,Expenses!$C124,Expenses!Q$74:Q$95)</f>
        <v>20</v>
      </c>
      <c r="R124" s="36">
        <f>SUMIF(Macro!$F$180:$F$201,Expenses!$C124,Expenses!R$74:R$95)</f>
        <v>20</v>
      </c>
      <c r="S124" s="34">
        <f>SUMIF(Macro!$F$180:$F$201,Expenses!$C124,Expenses!S$74:S$95)</f>
        <v>20</v>
      </c>
      <c r="T124" s="35">
        <f>SUMIF(Macro!$F$180:$F$201,Expenses!$C124,Expenses!T$74:T$95)</f>
        <v>20</v>
      </c>
      <c r="U124" s="36">
        <f>SUMIF(Macro!$F$180:$F$201,Expenses!$C124,Expenses!U$74:U$95)</f>
        <v>20</v>
      </c>
      <c r="V124" s="34">
        <f>SUMIF(Macro!$F$180:$F$201,Expenses!$C124,Expenses!V$74:V$95)</f>
        <v>20</v>
      </c>
      <c r="W124" s="35">
        <f>SUMIF(Macro!$F$180:$F$201,Expenses!$C124,Expenses!W$74:W$95)</f>
        <v>20</v>
      </c>
      <c r="X124" s="36">
        <f>SUMIF(Macro!$F$180:$F$201,Expenses!$C124,Expenses!X$74:X$95)</f>
        <v>20</v>
      </c>
      <c r="Y124" s="34">
        <f>SUMIF(Macro!$F$180:$F$201,Expenses!$C124,Expenses!Y$74:Y$95)</f>
        <v>20</v>
      </c>
      <c r="Z124" s="35">
        <f>SUMIF(Macro!$F$180:$F$201,Expenses!$C124,Expenses!Z$74:Z$95)</f>
        <v>20</v>
      </c>
      <c r="AA124" s="36">
        <f>SUMIF(Macro!$F$180:$F$201,Expenses!$C124,Expenses!AA$74:AA$95)</f>
        <v>20</v>
      </c>
      <c r="AB124" s="34">
        <f>SUMIF(Macro!$F$180:$F$201,Expenses!$C124,Expenses!AB$74:AB$95)</f>
        <v>20</v>
      </c>
      <c r="AC124" s="35">
        <f>SUMIF(Macro!$F$180:$F$201,Expenses!$C124,Expenses!AC$74:AC$95)</f>
        <v>20</v>
      </c>
      <c r="AD124" s="36">
        <f>SUMIF(Macro!$F$180:$F$201,Expenses!$C124,Expenses!AD$74:AD$95)</f>
        <v>20</v>
      </c>
      <c r="AE124" s="34">
        <f>SUMIF(Macro!$F$180:$F$201,Expenses!$C124,Expenses!AE$74:AE$95)</f>
        <v>20</v>
      </c>
      <c r="AF124" s="35">
        <f>SUMIF(Macro!$F$180:$F$201,Expenses!$C124,Expenses!AF$74:AF$95)</f>
        <v>20</v>
      </c>
      <c r="AG124" s="36">
        <f>SUMIF(Macro!$F$180:$F$201,Expenses!$C124,Expenses!AG$74:AG$95)</f>
        <v>20</v>
      </c>
      <c r="AH124" s="34">
        <f>SUMIF(Macro!$F$180:$F$201,Expenses!$C124,Expenses!AH$74:AH$95)</f>
        <v>20</v>
      </c>
      <c r="AI124" s="35">
        <f>SUMIF(Macro!$F$180:$F$201,Expenses!$C124,Expenses!AI$74:AI$95)</f>
        <v>20</v>
      </c>
      <c r="AJ124" s="36">
        <f>SUMIF(Macro!$F$180:$F$201,Expenses!$C124,Expenses!AJ$74:AJ$95)</f>
        <v>20</v>
      </c>
      <c r="AK124" s="34">
        <f>SUMIF(Macro!$F$180:$F$201,Expenses!$C124,Expenses!AK$74:AK$95)</f>
        <v>20</v>
      </c>
      <c r="AL124" s="35">
        <f>SUMIF(Macro!$F$180:$F$201,Expenses!$C124,Expenses!AL$74:AL$95)</f>
        <v>20</v>
      </c>
      <c r="AM124" s="36">
        <f>SUMIF(Macro!$F$180:$F$201,Expenses!$C124,Expenses!AM$74:AM$95)</f>
        <v>20</v>
      </c>
      <c r="AN124" s="34">
        <f>SUMIF(Macro!$F$180:$F$201,Expenses!$C124,Expenses!AN$74:AN$95)</f>
        <v>20</v>
      </c>
      <c r="AO124" s="35">
        <f>SUMIF(Macro!$F$180:$F$201,Expenses!$C124,Expenses!AO$74:AO$95)</f>
        <v>20</v>
      </c>
      <c r="AP124" s="36">
        <f>SUMIF(Macro!$F$180:$F$201,Expenses!$C124,Expenses!AP$74:AP$95)</f>
        <v>20</v>
      </c>
      <c r="AQ124" s="34">
        <f>SUMIF(Macro!$F$180:$F$201,Expenses!$C124,Expenses!AQ$74:AQ$95)</f>
        <v>20</v>
      </c>
      <c r="AR124" s="35">
        <f>SUMIF(Macro!$F$180:$F$201,Expenses!$C124,Expenses!AR$74:AR$95)</f>
        <v>20</v>
      </c>
      <c r="AS124" s="36">
        <f>SUMIF(Macro!$F$180:$F$201,Expenses!$C124,Expenses!AS$74:AS$95)</f>
        <v>20</v>
      </c>
    </row>
    <row r="125" ht="12.0" customHeight="1">
      <c r="C125" s="4" t="s">
        <v>20</v>
      </c>
      <c r="D125" s="34"/>
      <c r="E125" s="35"/>
      <c r="F125" s="36"/>
      <c r="G125" s="34"/>
      <c r="H125" s="35"/>
      <c r="I125" s="36"/>
      <c r="J125" s="34">
        <f>SUMIF(Macro!$F$180:$F$201,Expenses!$C125,Expenses!J$74:J$95)</f>
        <v>20</v>
      </c>
      <c r="K125" s="35">
        <f>SUMIF(Macro!$F$180:$F$201,Expenses!$C125,Expenses!K$74:K$95)</f>
        <v>20</v>
      </c>
      <c r="L125" s="36">
        <f>SUMIF(Macro!$F$180:$F$201,Expenses!$C125,Expenses!L$74:L$95)</f>
        <v>20</v>
      </c>
      <c r="M125" s="34">
        <f>SUMIF(Macro!$F$180:$F$201,Expenses!$C125,Expenses!M$74:M$95)</f>
        <v>20</v>
      </c>
      <c r="N125" s="35">
        <f>SUMIF(Macro!$F$180:$F$201,Expenses!$C125,Expenses!N$74:N$95)</f>
        <v>20</v>
      </c>
      <c r="O125" s="36">
        <f>SUMIF(Macro!$F$180:$F$201,Expenses!$C125,Expenses!O$74:O$95)</f>
        <v>20</v>
      </c>
      <c r="P125" s="34">
        <f>SUMIF(Macro!$F$180:$F$201,Expenses!$C125,Expenses!P$74:P$95)</f>
        <v>20</v>
      </c>
      <c r="Q125" s="35">
        <f>SUMIF(Macro!$F$180:$F$201,Expenses!$C125,Expenses!Q$74:Q$95)</f>
        <v>20</v>
      </c>
      <c r="R125" s="36">
        <f>SUMIF(Macro!$F$180:$F$201,Expenses!$C125,Expenses!R$74:R$95)</f>
        <v>20</v>
      </c>
      <c r="S125" s="34">
        <f>SUMIF(Macro!$F$180:$F$201,Expenses!$C125,Expenses!S$74:S$95)</f>
        <v>20</v>
      </c>
      <c r="T125" s="35">
        <f>SUMIF(Macro!$F$180:$F$201,Expenses!$C125,Expenses!T$74:T$95)</f>
        <v>20</v>
      </c>
      <c r="U125" s="36">
        <f>SUMIF(Macro!$F$180:$F$201,Expenses!$C125,Expenses!U$74:U$95)</f>
        <v>20</v>
      </c>
      <c r="V125" s="34">
        <f>SUMIF(Macro!$F$180:$F$201,Expenses!$C125,Expenses!V$74:V$95)</f>
        <v>20</v>
      </c>
      <c r="W125" s="35">
        <f>SUMIF(Macro!$F$180:$F$201,Expenses!$C125,Expenses!W$74:W$95)</f>
        <v>20</v>
      </c>
      <c r="X125" s="36">
        <f>SUMIF(Macro!$F$180:$F$201,Expenses!$C125,Expenses!X$74:X$95)</f>
        <v>20</v>
      </c>
      <c r="Y125" s="34">
        <f>SUMIF(Macro!$F$180:$F$201,Expenses!$C125,Expenses!Y$74:Y$95)</f>
        <v>20</v>
      </c>
      <c r="Z125" s="35">
        <f>SUMIF(Macro!$F$180:$F$201,Expenses!$C125,Expenses!Z$74:Z$95)</f>
        <v>20</v>
      </c>
      <c r="AA125" s="36">
        <f>SUMIF(Macro!$F$180:$F$201,Expenses!$C125,Expenses!AA$74:AA$95)</f>
        <v>20</v>
      </c>
      <c r="AB125" s="34">
        <f>SUMIF(Macro!$F$180:$F$201,Expenses!$C125,Expenses!AB$74:AB$95)</f>
        <v>20</v>
      </c>
      <c r="AC125" s="35">
        <f>SUMIF(Macro!$F$180:$F$201,Expenses!$C125,Expenses!AC$74:AC$95)</f>
        <v>20</v>
      </c>
      <c r="AD125" s="36">
        <f>SUMIF(Macro!$F$180:$F$201,Expenses!$C125,Expenses!AD$74:AD$95)</f>
        <v>20</v>
      </c>
      <c r="AE125" s="34">
        <f>SUMIF(Macro!$F$180:$F$201,Expenses!$C125,Expenses!AE$74:AE$95)</f>
        <v>20</v>
      </c>
      <c r="AF125" s="35">
        <f>SUMIF(Macro!$F$180:$F$201,Expenses!$C125,Expenses!AF$74:AF$95)</f>
        <v>20</v>
      </c>
      <c r="AG125" s="36">
        <f>SUMIF(Macro!$F$180:$F$201,Expenses!$C125,Expenses!AG$74:AG$95)</f>
        <v>20</v>
      </c>
      <c r="AH125" s="34">
        <f>SUMIF(Macro!$F$180:$F$201,Expenses!$C125,Expenses!AH$74:AH$95)</f>
        <v>20</v>
      </c>
      <c r="AI125" s="35">
        <f>SUMIF(Macro!$F$180:$F$201,Expenses!$C125,Expenses!AI$74:AI$95)</f>
        <v>20</v>
      </c>
      <c r="AJ125" s="36">
        <f>SUMIF(Macro!$F$180:$F$201,Expenses!$C125,Expenses!AJ$74:AJ$95)</f>
        <v>20</v>
      </c>
      <c r="AK125" s="34">
        <f>SUMIF(Macro!$F$180:$F$201,Expenses!$C125,Expenses!AK$74:AK$95)</f>
        <v>20</v>
      </c>
      <c r="AL125" s="35">
        <f>SUMIF(Macro!$F$180:$F$201,Expenses!$C125,Expenses!AL$74:AL$95)</f>
        <v>20</v>
      </c>
      <c r="AM125" s="36">
        <f>SUMIF(Macro!$F$180:$F$201,Expenses!$C125,Expenses!AM$74:AM$95)</f>
        <v>20</v>
      </c>
      <c r="AN125" s="34">
        <f>SUMIF(Macro!$F$180:$F$201,Expenses!$C125,Expenses!AN$74:AN$95)</f>
        <v>20</v>
      </c>
      <c r="AO125" s="35">
        <f>SUMIF(Macro!$F$180:$F$201,Expenses!$C125,Expenses!AO$74:AO$95)</f>
        <v>20</v>
      </c>
      <c r="AP125" s="36">
        <f>SUMIF(Macro!$F$180:$F$201,Expenses!$C125,Expenses!AP$74:AP$95)</f>
        <v>20</v>
      </c>
      <c r="AQ125" s="34">
        <f>SUMIF(Macro!$F$180:$F$201,Expenses!$C125,Expenses!AQ$74:AQ$95)</f>
        <v>20</v>
      </c>
      <c r="AR125" s="35">
        <f>SUMIF(Macro!$F$180:$F$201,Expenses!$C125,Expenses!AR$74:AR$95)</f>
        <v>20</v>
      </c>
      <c r="AS125" s="36">
        <f>SUMIF(Macro!$F$180:$F$201,Expenses!$C125,Expenses!AS$74:AS$95)</f>
        <v>20</v>
      </c>
    </row>
    <row r="126" ht="12.0" customHeight="1">
      <c r="C126" s="4" t="s">
        <v>21</v>
      </c>
      <c r="D126" s="34"/>
      <c r="E126" s="35"/>
      <c r="F126" s="36"/>
      <c r="G126" s="34"/>
      <c r="H126" s="35"/>
      <c r="I126" s="36"/>
      <c r="J126" s="34">
        <f>SUMIF(Macro!$F$180:$F$201,Expenses!$C126,Expenses!J$74:J$95)</f>
        <v>20</v>
      </c>
      <c r="K126" s="35">
        <f>SUMIF(Macro!$F$180:$F$201,Expenses!$C126,Expenses!K$74:K$95)</f>
        <v>20</v>
      </c>
      <c r="L126" s="36">
        <f>SUMIF(Macro!$F$180:$F$201,Expenses!$C126,Expenses!L$74:L$95)</f>
        <v>20</v>
      </c>
      <c r="M126" s="34">
        <f>SUMIF(Macro!$F$180:$F$201,Expenses!$C126,Expenses!M$74:M$95)</f>
        <v>20</v>
      </c>
      <c r="N126" s="35">
        <f>SUMIF(Macro!$F$180:$F$201,Expenses!$C126,Expenses!N$74:N$95)</f>
        <v>20</v>
      </c>
      <c r="O126" s="36">
        <f>SUMIF(Macro!$F$180:$F$201,Expenses!$C126,Expenses!O$74:O$95)</f>
        <v>20</v>
      </c>
      <c r="P126" s="34">
        <f>SUMIF(Macro!$F$180:$F$201,Expenses!$C126,Expenses!P$74:P$95)</f>
        <v>20</v>
      </c>
      <c r="Q126" s="35">
        <f>SUMIF(Macro!$F$180:$F$201,Expenses!$C126,Expenses!Q$74:Q$95)</f>
        <v>20</v>
      </c>
      <c r="R126" s="36">
        <f>SUMIF(Macro!$F$180:$F$201,Expenses!$C126,Expenses!R$74:R$95)</f>
        <v>20</v>
      </c>
      <c r="S126" s="34">
        <f>SUMIF(Macro!$F$180:$F$201,Expenses!$C126,Expenses!S$74:S$95)</f>
        <v>20</v>
      </c>
      <c r="T126" s="35">
        <f>SUMIF(Macro!$F$180:$F$201,Expenses!$C126,Expenses!T$74:T$95)</f>
        <v>20</v>
      </c>
      <c r="U126" s="36">
        <f>SUMIF(Macro!$F$180:$F$201,Expenses!$C126,Expenses!U$74:U$95)</f>
        <v>20</v>
      </c>
      <c r="V126" s="34">
        <f>SUMIF(Macro!$F$180:$F$201,Expenses!$C126,Expenses!V$74:V$95)</f>
        <v>20</v>
      </c>
      <c r="W126" s="35">
        <f>SUMIF(Macro!$F$180:$F$201,Expenses!$C126,Expenses!W$74:W$95)</f>
        <v>20</v>
      </c>
      <c r="X126" s="36">
        <f>SUMIF(Macro!$F$180:$F$201,Expenses!$C126,Expenses!X$74:X$95)</f>
        <v>20</v>
      </c>
      <c r="Y126" s="34">
        <f>SUMIF(Macro!$F$180:$F$201,Expenses!$C126,Expenses!Y$74:Y$95)</f>
        <v>20</v>
      </c>
      <c r="Z126" s="35">
        <f>SUMIF(Macro!$F$180:$F$201,Expenses!$C126,Expenses!Z$74:Z$95)</f>
        <v>20</v>
      </c>
      <c r="AA126" s="36">
        <f>SUMIF(Macro!$F$180:$F$201,Expenses!$C126,Expenses!AA$74:AA$95)</f>
        <v>20</v>
      </c>
      <c r="AB126" s="34">
        <f>SUMIF(Macro!$F$180:$F$201,Expenses!$C126,Expenses!AB$74:AB$95)</f>
        <v>20</v>
      </c>
      <c r="AC126" s="35">
        <f>SUMIF(Macro!$F$180:$F$201,Expenses!$C126,Expenses!AC$74:AC$95)</f>
        <v>20</v>
      </c>
      <c r="AD126" s="36">
        <f>SUMIF(Macro!$F$180:$F$201,Expenses!$C126,Expenses!AD$74:AD$95)</f>
        <v>20</v>
      </c>
      <c r="AE126" s="34">
        <f>SUMIF(Macro!$F$180:$F$201,Expenses!$C126,Expenses!AE$74:AE$95)</f>
        <v>20</v>
      </c>
      <c r="AF126" s="35">
        <f>SUMIF(Macro!$F$180:$F$201,Expenses!$C126,Expenses!AF$74:AF$95)</f>
        <v>20</v>
      </c>
      <c r="AG126" s="36">
        <f>SUMIF(Macro!$F$180:$F$201,Expenses!$C126,Expenses!AG$74:AG$95)</f>
        <v>20</v>
      </c>
      <c r="AH126" s="34">
        <f>SUMIF(Macro!$F$180:$F$201,Expenses!$C126,Expenses!AH$74:AH$95)</f>
        <v>20</v>
      </c>
      <c r="AI126" s="35">
        <f>SUMIF(Macro!$F$180:$F$201,Expenses!$C126,Expenses!AI$74:AI$95)</f>
        <v>20</v>
      </c>
      <c r="AJ126" s="36">
        <f>SUMIF(Macro!$F$180:$F$201,Expenses!$C126,Expenses!AJ$74:AJ$95)</f>
        <v>20</v>
      </c>
      <c r="AK126" s="34">
        <f>SUMIF(Macro!$F$180:$F$201,Expenses!$C126,Expenses!AK$74:AK$95)</f>
        <v>20</v>
      </c>
      <c r="AL126" s="35">
        <f>SUMIF(Macro!$F$180:$F$201,Expenses!$C126,Expenses!AL$74:AL$95)</f>
        <v>20</v>
      </c>
      <c r="AM126" s="36">
        <f>SUMIF(Macro!$F$180:$F$201,Expenses!$C126,Expenses!AM$74:AM$95)</f>
        <v>20</v>
      </c>
      <c r="AN126" s="34">
        <f>SUMIF(Macro!$F$180:$F$201,Expenses!$C126,Expenses!AN$74:AN$95)</f>
        <v>20</v>
      </c>
      <c r="AO126" s="35">
        <f>SUMIF(Macro!$F$180:$F$201,Expenses!$C126,Expenses!AO$74:AO$95)</f>
        <v>20</v>
      </c>
      <c r="AP126" s="36">
        <f>SUMIF(Macro!$F$180:$F$201,Expenses!$C126,Expenses!AP$74:AP$95)</f>
        <v>20</v>
      </c>
      <c r="AQ126" s="34">
        <f>SUMIF(Macro!$F$180:$F$201,Expenses!$C126,Expenses!AQ$74:AQ$95)</f>
        <v>20</v>
      </c>
      <c r="AR126" s="35">
        <f>SUMIF(Macro!$F$180:$F$201,Expenses!$C126,Expenses!AR$74:AR$95)</f>
        <v>20</v>
      </c>
      <c r="AS126" s="36">
        <f>SUMIF(Macro!$F$180:$F$201,Expenses!$C126,Expenses!AS$74:AS$95)</f>
        <v>20</v>
      </c>
    </row>
    <row r="127" ht="12.0" customHeight="1">
      <c r="D127" s="64"/>
      <c r="E127" s="4"/>
      <c r="F127" s="65"/>
      <c r="G127" s="64"/>
      <c r="H127" s="4"/>
      <c r="I127" s="65"/>
      <c r="J127" s="64"/>
      <c r="K127" s="4"/>
      <c r="L127" s="65"/>
      <c r="M127" s="64"/>
      <c r="N127" s="4"/>
      <c r="O127" s="65"/>
      <c r="P127" s="64"/>
      <c r="Q127" s="4"/>
      <c r="R127" s="65"/>
      <c r="S127" s="64"/>
      <c r="T127" s="4"/>
      <c r="U127" s="65"/>
      <c r="V127" s="64"/>
      <c r="W127" s="4"/>
      <c r="X127" s="65"/>
      <c r="Y127" s="64"/>
      <c r="Z127" s="4"/>
      <c r="AA127" s="65"/>
      <c r="AB127" s="64"/>
      <c r="AC127" s="4"/>
      <c r="AD127" s="65"/>
      <c r="AE127" s="64"/>
      <c r="AF127" s="4"/>
      <c r="AG127" s="65"/>
      <c r="AH127" s="64"/>
      <c r="AI127" s="4"/>
      <c r="AJ127" s="65"/>
      <c r="AK127" s="64"/>
      <c r="AL127" s="4"/>
      <c r="AM127" s="65"/>
      <c r="AN127" s="64"/>
      <c r="AO127" s="4"/>
      <c r="AP127" s="65"/>
      <c r="AQ127" s="64"/>
      <c r="AR127" s="4"/>
      <c r="AS127" s="65"/>
    </row>
    <row r="128" ht="12.0" customHeight="1">
      <c r="B128" s="8" t="s">
        <v>242</v>
      </c>
      <c r="D128" s="64"/>
      <c r="E128" s="4"/>
      <c r="F128" s="65"/>
      <c r="G128" s="64"/>
      <c r="H128" s="4"/>
      <c r="I128" s="65"/>
      <c r="J128" s="64"/>
      <c r="K128" s="4"/>
      <c r="L128" s="65"/>
      <c r="M128" s="64"/>
      <c r="N128" s="4"/>
      <c r="O128" s="65"/>
      <c r="P128" s="64"/>
      <c r="Q128" s="4"/>
      <c r="R128" s="65"/>
      <c r="S128" s="64"/>
      <c r="T128" s="4"/>
      <c r="U128" s="65"/>
      <c r="V128" s="64"/>
      <c r="W128" s="4"/>
      <c r="X128" s="65"/>
      <c r="Y128" s="64"/>
      <c r="Z128" s="4"/>
      <c r="AA128" s="65"/>
      <c r="AB128" s="64"/>
      <c r="AC128" s="4"/>
      <c r="AD128" s="65"/>
      <c r="AE128" s="64"/>
      <c r="AF128" s="4"/>
      <c r="AG128" s="65"/>
      <c r="AH128" s="64"/>
      <c r="AI128" s="4"/>
      <c r="AJ128" s="65"/>
      <c r="AK128" s="64"/>
      <c r="AL128" s="4"/>
      <c r="AM128" s="65"/>
      <c r="AN128" s="64"/>
      <c r="AO128" s="4"/>
      <c r="AP128" s="65"/>
      <c r="AQ128" s="64"/>
      <c r="AR128" s="4"/>
      <c r="AS128" s="65"/>
    </row>
    <row r="129" ht="12.0" customHeight="1">
      <c r="C129" s="4" t="s">
        <v>19</v>
      </c>
      <c r="D129" s="61"/>
      <c r="E129" s="62"/>
      <c r="F129" s="63"/>
      <c r="G129" s="61"/>
      <c r="H129" s="62"/>
      <c r="I129" s="63"/>
      <c r="J129" s="61">
        <f t="shared" ref="J129:AS129" si="16">J114+J119+J124+J109</f>
        <v>25620</v>
      </c>
      <c r="K129" s="62">
        <f t="shared" si="16"/>
        <v>25620</v>
      </c>
      <c r="L129" s="63">
        <f t="shared" si="16"/>
        <v>25620</v>
      </c>
      <c r="M129" s="61" t="str">
        <f t="shared" si="16"/>
        <v>#VALUE!</v>
      </c>
      <c r="N129" s="62" t="str">
        <f t="shared" si="16"/>
        <v>#VALUE!</v>
      </c>
      <c r="O129" s="63" t="str">
        <f t="shared" si="16"/>
        <v>#VALUE!</v>
      </c>
      <c r="P129" s="61" t="str">
        <f t="shared" si="16"/>
        <v>#VALUE!</v>
      </c>
      <c r="Q129" s="62" t="str">
        <f t="shared" si="16"/>
        <v>#VALUE!</v>
      </c>
      <c r="R129" s="63" t="str">
        <f t="shared" si="16"/>
        <v>#VALUE!</v>
      </c>
      <c r="S129" s="61" t="str">
        <f t="shared" si="16"/>
        <v>#VALUE!</v>
      </c>
      <c r="T129" s="62" t="str">
        <f t="shared" si="16"/>
        <v>#VALUE!</v>
      </c>
      <c r="U129" s="63" t="str">
        <f t="shared" si="16"/>
        <v>#VALUE!</v>
      </c>
      <c r="V129" s="61" t="str">
        <f t="shared" si="16"/>
        <v>#VALUE!</v>
      </c>
      <c r="W129" s="62" t="str">
        <f t="shared" si="16"/>
        <v>#VALUE!</v>
      </c>
      <c r="X129" s="63" t="str">
        <f t="shared" si="16"/>
        <v>#VALUE!</v>
      </c>
      <c r="Y129" s="61" t="str">
        <f t="shared" si="16"/>
        <v>#VALUE!</v>
      </c>
      <c r="Z129" s="62" t="str">
        <f t="shared" si="16"/>
        <v>#VALUE!</v>
      </c>
      <c r="AA129" s="63" t="str">
        <f t="shared" si="16"/>
        <v>#VALUE!</v>
      </c>
      <c r="AB129" s="61" t="str">
        <f t="shared" si="16"/>
        <v>#VALUE!</v>
      </c>
      <c r="AC129" s="62" t="str">
        <f t="shared" si="16"/>
        <v>#VALUE!</v>
      </c>
      <c r="AD129" s="63" t="str">
        <f t="shared" si="16"/>
        <v>#VALUE!</v>
      </c>
      <c r="AE129" s="61" t="str">
        <f t="shared" si="16"/>
        <v>#VALUE!</v>
      </c>
      <c r="AF129" s="62" t="str">
        <f t="shared" si="16"/>
        <v>#VALUE!</v>
      </c>
      <c r="AG129" s="63" t="str">
        <f t="shared" si="16"/>
        <v>#VALUE!</v>
      </c>
      <c r="AH129" s="61" t="str">
        <f t="shared" si="16"/>
        <v>#VALUE!</v>
      </c>
      <c r="AI129" s="62" t="str">
        <f t="shared" si="16"/>
        <v>#VALUE!</v>
      </c>
      <c r="AJ129" s="63" t="str">
        <f t="shared" si="16"/>
        <v>#VALUE!</v>
      </c>
      <c r="AK129" s="61" t="str">
        <f t="shared" si="16"/>
        <v>#VALUE!</v>
      </c>
      <c r="AL129" s="62" t="str">
        <f t="shared" si="16"/>
        <v>#VALUE!</v>
      </c>
      <c r="AM129" s="63" t="str">
        <f t="shared" si="16"/>
        <v>#VALUE!</v>
      </c>
      <c r="AN129" s="61" t="str">
        <f t="shared" si="16"/>
        <v>#VALUE!</v>
      </c>
      <c r="AO129" s="62" t="str">
        <f t="shared" si="16"/>
        <v>#VALUE!</v>
      </c>
      <c r="AP129" s="63" t="str">
        <f t="shared" si="16"/>
        <v>#VALUE!</v>
      </c>
      <c r="AQ129" s="61" t="str">
        <f t="shared" si="16"/>
        <v>#VALUE!</v>
      </c>
      <c r="AR129" s="62" t="str">
        <f t="shared" si="16"/>
        <v>#VALUE!</v>
      </c>
      <c r="AS129" s="63" t="str">
        <f t="shared" si="16"/>
        <v>#VALUE!</v>
      </c>
    </row>
    <row r="130" ht="12.0" customHeight="1">
      <c r="C130" s="4" t="s">
        <v>20</v>
      </c>
      <c r="D130" s="61"/>
      <c r="E130" s="62"/>
      <c r="F130" s="63"/>
      <c r="G130" s="61"/>
      <c r="H130" s="62"/>
      <c r="I130" s="63"/>
      <c r="J130" s="61">
        <f t="shared" ref="J130:AS130" si="17">J115+J120+J125+J110</f>
        <v>50020</v>
      </c>
      <c r="K130" s="62">
        <f t="shared" si="17"/>
        <v>50020</v>
      </c>
      <c r="L130" s="63">
        <f t="shared" si="17"/>
        <v>50020</v>
      </c>
      <c r="M130" s="61">
        <f t="shared" si="17"/>
        <v>50020</v>
      </c>
      <c r="N130" s="62">
        <f t="shared" si="17"/>
        <v>50020</v>
      </c>
      <c r="O130" s="63">
        <f t="shared" si="17"/>
        <v>50020</v>
      </c>
      <c r="P130" s="61">
        <f t="shared" si="17"/>
        <v>50020</v>
      </c>
      <c r="Q130" s="62">
        <f t="shared" si="17"/>
        <v>50020</v>
      </c>
      <c r="R130" s="63">
        <f t="shared" si="17"/>
        <v>50020</v>
      </c>
      <c r="S130" s="61">
        <f t="shared" si="17"/>
        <v>50020</v>
      </c>
      <c r="T130" s="62">
        <f t="shared" si="17"/>
        <v>50020</v>
      </c>
      <c r="U130" s="63">
        <f t="shared" si="17"/>
        <v>50020</v>
      </c>
      <c r="V130" s="61">
        <f t="shared" si="17"/>
        <v>60020</v>
      </c>
      <c r="W130" s="62">
        <f t="shared" si="17"/>
        <v>60020</v>
      </c>
      <c r="X130" s="63">
        <f t="shared" si="17"/>
        <v>60020</v>
      </c>
      <c r="Y130" s="61">
        <f t="shared" si="17"/>
        <v>60020</v>
      </c>
      <c r="Z130" s="62">
        <f t="shared" si="17"/>
        <v>60020</v>
      </c>
      <c r="AA130" s="63">
        <f t="shared" si="17"/>
        <v>60020</v>
      </c>
      <c r="AB130" s="61">
        <f t="shared" si="17"/>
        <v>60020</v>
      </c>
      <c r="AC130" s="62">
        <f t="shared" si="17"/>
        <v>60020</v>
      </c>
      <c r="AD130" s="63">
        <f t="shared" si="17"/>
        <v>60020</v>
      </c>
      <c r="AE130" s="61">
        <f t="shared" si="17"/>
        <v>60020</v>
      </c>
      <c r="AF130" s="62">
        <f t="shared" si="17"/>
        <v>60020</v>
      </c>
      <c r="AG130" s="63">
        <f t="shared" si="17"/>
        <v>60020</v>
      </c>
      <c r="AH130" s="61">
        <f t="shared" si="17"/>
        <v>70020</v>
      </c>
      <c r="AI130" s="62">
        <f t="shared" si="17"/>
        <v>70020</v>
      </c>
      <c r="AJ130" s="63">
        <f t="shared" si="17"/>
        <v>70020</v>
      </c>
      <c r="AK130" s="61">
        <f t="shared" si="17"/>
        <v>70020</v>
      </c>
      <c r="AL130" s="62">
        <f t="shared" si="17"/>
        <v>70020</v>
      </c>
      <c r="AM130" s="63">
        <f t="shared" si="17"/>
        <v>70020</v>
      </c>
      <c r="AN130" s="61">
        <f t="shared" si="17"/>
        <v>70020</v>
      </c>
      <c r="AO130" s="62">
        <f t="shared" si="17"/>
        <v>70020</v>
      </c>
      <c r="AP130" s="63">
        <f t="shared" si="17"/>
        <v>70020</v>
      </c>
      <c r="AQ130" s="61">
        <f t="shared" si="17"/>
        <v>70020</v>
      </c>
      <c r="AR130" s="62">
        <f t="shared" si="17"/>
        <v>70020</v>
      </c>
      <c r="AS130" s="63">
        <f t="shared" si="17"/>
        <v>70020</v>
      </c>
    </row>
    <row r="131" ht="12.0" customHeight="1">
      <c r="C131" s="4" t="s">
        <v>21</v>
      </c>
      <c r="D131" s="326"/>
      <c r="E131" s="327"/>
      <c r="F131" s="328"/>
      <c r="G131" s="326"/>
      <c r="H131" s="327"/>
      <c r="I131" s="328"/>
      <c r="J131" s="326">
        <f t="shared" ref="J131:AS131" si="18">J116+J121+J126+J111</f>
        <v>20</v>
      </c>
      <c r="K131" s="327">
        <f t="shared" si="18"/>
        <v>20</v>
      </c>
      <c r="L131" s="328">
        <f t="shared" si="18"/>
        <v>20</v>
      </c>
      <c r="M131" s="326">
        <f t="shared" si="18"/>
        <v>20</v>
      </c>
      <c r="N131" s="327">
        <f t="shared" si="18"/>
        <v>20</v>
      </c>
      <c r="O131" s="328">
        <f t="shared" si="18"/>
        <v>20</v>
      </c>
      <c r="P131" s="326">
        <f t="shared" si="18"/>
        <v>20</v>
      </c>
      <c r="Q131" s="327">
        <f t="shared" si="18"/>
        <v>20</v>
      </c>
      <c r="R131" s="328">
        <f t="shared" si="18"/>
        <v>20</v>
      </c>
      <c r="S131" s="326">
        <f t="shared" si="18"/>
        <v>20</v>
      </c>
      <c r="T131" s="327">
        <f t="shared" si="18"/>
        <v>20</v>
      </c>
      <c r="U131" s="328">
        <f t="shared" si="18"/>
        <v>20</v>
      </c>
      <c r="V131" s="326">
        <f t="shared" si="18"/>
        <v>20</v>
      </c>
      <c r="W131" s="327">
        <f t="shared" si="18"/>
        <v>20</v>
      </c>
      <c r="X131" s="328">
        <f t="shared" si="18"/>
        <v>20</v>
      </c>
      <c r="Y131" s="326">
        <f t="shared" si="18"/>
        <v>20</v>
      </c>
      <c r="Z131" s="327">
        <f t="shared" si="18"/>
        <v>20</v>
      </c>
      <c r="AA131" s="328">
        <f t="shared" si="18"/>
        <v>20</v>
      </c>
      <c r="AB131" s="326">
        <f t="shared" si="18"/>
        <v>20</v>
      </c>
      <c r="AC131" s="327">
        <f t="shared" si="18"/>
        <v>20</v>
      </c>
      <c r="AD131" s="328">
        <f t="shared" si="18"/>
        <v>20</v>
      </c>
      <c r="AE131" s="326">
        <f t="shared" si="18"/>
        <v>20</v>
      </c>
      <c r="AF131" s="327">
        <f t="shared" si="18"/>
        <v>20</v>
      </c>
      <c r="AG131" s="328">
        <f t="shared" si="18"/>
        <v>20</v>
      </c>
      <c r="AH131" s="326">
        <f t="shared" si="18"/>
        <v>20</v>
      </c>
      <c r="AI131" s="327">
        <f t="shared" si="18"/>
        <v>20</v>
      </c>
      <c r="AJ131" s="328">
        <f t="shared" si="18"/>
        <v>20</v>
      </c>
      <c r="AK131" s="326">
        <f t="shared" si="18"/>
        <v>20</v>
      </c>
      <c r="AL131" s="327">
        <f t="shared" si="18"/>
        <v>20</v>
      </c>
      <c r="AM131" s="328">
        <f t="shared" si="18"/>
        <v>20</v>
      </c>
      <c r="AN131" s="326">
        <f t="shared" si="18"/>
        <v>20</v>
      </c>
      <c r="AO131" s="327">
        <f t="shared" si="18"/>
        <v>20</v>
      </c>
      <c r="AP131" s="328">
        <f t="shared" si="18"/>
        <v>20</v>
      </c>
      <c r="AQ131" s="326">
        <f t="shared" si="18"/>
        <v>20</v>
      </c>
      <c r="AR131" s="327">
        <f t="shared" si="18"/>
        <v>20</v>
      </c>
      <c r="AS131" s="328">
        <f t="shared" si="18"/>
        <v>20</v>
      </c>
    </row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  <row r="1001" ht="12.0" customHeight="1"/>
  </sheetData>
  <mergeCells count="20">
    <mergeCell ref="G4:I4"/>
    <mergeCell ref="J4:L4"/>
    <mergeCell ref="M4:O4"/>
    <mergeCell ref="P4:R4"/>
    <mergeCell ref="S4:U4"/>
    <mergeCell ref="V4:X4"/>
    <mergeCell ref="Y4:AA4"/>
    <mergeCell ref="AB4:AD4"/>
    <mergeCell ref="AE4:AG4"/>
    <mergeCell ref="AH4:AJ4"/>
    <mergeCell ref="AK4:AM4"/>
    <mergeCell ref="AN4:AP4"/>
    <mergeCell ref="J1:T1"/>
    <mergeCell ref="U1:V1"/>
    <mergeCell ref="D3:I3"/>
    <mergeCell ref="J3:U3"/>
    <mergeCell ref="V3:AG3"/>
    <mergeCell ref="AH3:AS3"/>
    <mergeCell ref="D4:F4"/>
    <mergeCell ref="AQ4:AS4"/>
  </mergeCell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7.0" topLeftCell="D8" activePane="bottomRight" state="frozen"/>
      <selection activeCell="D1" sqref="D1" pane="topRight"/>
      <selection activeCell="A8" sqref="A8" pane="bottomLeft"/>
      <selection activeCell="D8" sqref="D8" pane="bottomRight"/>
    </sheetView>
  </sheetViews>
  <sheetFormatPr customHeight="1" defaultColWidth="14.43" defaultRowHeight="15.0" outlineLevelCol="1"/>
  <cols>
    <col customWidth="1" min="1" max="1" width="3.0"/>
    <col customWidth="1" min="2" max="2" width="3.29"/>
    <col customWidth="1" min="3" max="3" width="22.0"/>
    <col customWidth="1" hidden="1" min="4" max="9" width="12.71" outlineLevel="1"/>
    <col customWidth="1" min="10" max="45" width="12.71"/>
  </cols>
  <sheetData>
    <row r="1" ht="25.5" customHeight="1">
      <c r="A1" s="194"/>
      <c r="J1" s="5"/>
      <c r="U1" s="4"/>
    </row>
    <row r="2" ht="25.5" customHeight="1">
      <c r="A2" s="194" t="str">
        <f>Macro!A2</f>
        <v>StartUp Co</v>
      </c>
      <c r="M2" s="329"/>
    </row>
    <row r="3" ht="12.0" customHeight="1">
      <c r="B3" s="8" t="s">
        <v>1</v>
      </c>
      <c r="D3" s="107">
        <f>'Top line'!D3</f>
        <v>2020</v>
      </c>
      <c r="E3" s="108"/>
      <c r="F3" s="108"/>
      <c r="G3" s="108"/>
      <c r="H3" s="108"/>
      <c r="I3" s="109"/>
      <c r="J3" s="107">
        <f>'Top line'!J3</f>
        <v>2021</v>
      </c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9"/>
      <c r="V3" s="107">
        <f>'Top line'!V3</f>
        <v>2022</v>
      </c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9"/>
      <c r="AH3" s="107">
        <f>'Top line'!AH3</f>
        <v>2023</v>
      </c>
      <c r="AI3" s="108"/>
      <c r="AJ3" s="108"/>
      <c r="AK3" s="108"/>
      <c r="AL3" s="108"/>
      <c r="AM3" s="108"/>
      <c r="AN3" s="108"/>
      <c r="AO3" s="108"/>
      <c r="AP3" s="108"/>
      <c r="AQ3" s="108"/>
      <c r="AR3" s="108"/>
      <c r="AS3" s="109"/>
    </row>
    <row r="4" ht="12.0" customHeight="1">
      <c r="B4" s="8" t="s">
        <v>2</v>
      </c>
      <c r="D4" s="110">
        <f>'Top line'!D4</f>
        <v>3</v>
      </c>
      <c r="E4" s="111"/>
      <c r="F4" s="112"/>
      <c r="G4" s="110">
        <f>'Top line'!G4</f>
        <v>4</v>
      </c>
      <c r="H4" s="111"/>
      <c r="I4" s="112"/>
      <c r="J4" s="107">
        <f>'Top line'!J4</f>
        <v>1</v>
      </c>
      <c r="K4" s="108"/>
      <c r="L4" s="109"/>
      <c r="M4" s="107">
        <f>'Top line'!M4</f>
        <v>2</v>
      </c>
      <c r="N4" s="108"/>
      <c r="O4" s="109"/>
      <c r="P4" s="107">
        <f>'Top line'!P4</f>
        <v>3</v>
      </c>
      <c r="Q4" s="108"/>
      <c r="R4" s="109"/>
      <c r="S4" s="107">
        <f>'Top line'!S4</f>
        <v>4</v>
      </c>
      <c r="T4" s="108"/>
      <c r="U4" s="109"/>
      <c r="V4" s="107">
        <f>'Top line'!V4</f>
        <v>1</v>
      </c>
      <c r="W4" s="108"/>
      <c r="X4" s="109"/>
      <c r="Y4" s="107">
        <f>'Top line'!Y4</f>
        <v>2</v>
      </c>
      <c r="Z4" s="108"/>
      <c r="AA4" s="109"/>
      <c r="AB4" s="107">
        <f>'Top line'!AB4</f>
        <v>3</v>
      </c>
      <c r="AC4" s="108"/>
      <c r="AD4" s="109"/>
      <c r="AE4" s="107">
        <f>'Top line'!AE4</f>
        <v>4</v>
      </c>
      <c r="AF4" s="108"/>
      <c r="AG4" s="109"/>
      <c r="AH4" s="107">
        <f>'Top line'!AH4</f>
        <v>1</v>
      </c>
      <c r="AI4" s="108"/>
      <c r="AJ4" s="109"/>
      <c r="AK4" s="107">
        <f>'Top line'!AK4</f>
        <v>2</v>
      </c>
      <c r="AL4" s="108"/>
      <c r="AM4" s="109"/>
      <c r="AN4" s="107">
        <f>'Top line'!AN4</f>
        <v>3</v>
      </c>
      <c r="AO4" s="108"/>
      <c r="AP4" s="109"/>
      <c r="AQ4" s="107">
        <f>'Top line'!AQ4</f>
        <v>4</v>
      </c>
      <c r="AR4" s="108"/>
      <c r="AS4" s="109"/>
    </row>
    <row r="5" ht="12.0" customHeight="1">
      <c r="B5" s="8" t="s">
        <v>7</v>
      </c>
      <c r="D5" s="113">
        <f>'Top line'!D5</f>
        <v>43707</v>
      </c>
      <c r="E5" s="114">
        <f>'Top line'!E5</f>
        <v>43738</v>
      </c>
      <c r="F5" s="115">
        <f>'Top line'!F5</f>
        <v>43769</v>
      </c>
      <c r="G5" s="113">
        <f>'Top line'!G5</f>
        <v>43799</v>
      </c>
      <c r="H5" s="114">
        <f>'Top line'!H5</f>
        <v>43830</v>
      </c>
      <c r="I5" s="115">
        <f>'Top line'!I5</f>
        <v>43861</v>
      </c>
      <c r="J5" s="113">
        <f>'Top line'!J5</f>
        <v>43890</v>
      </c>
      <c r="K5" s="114">
        <f>'Top line'!K5</f>
        <v>43921</v>
      </c>
      <c r="L5" s="115">
        <f>'Top line'!L5</f>
        <v>43951</v>
      </c>
      <c r="M5" s="114">
        <f>'Top line'!M5</f>
        <v>43982</v>
      </c>
      <c r="N5" s="114">
        <f>'Top line'!N5</f>
        <v>44012</v>
      </c>
      <c r="O5" s="115">
        <f>'Top line'!O5</f>
        <v>44043</v>
      </c>
      <c r="P5" s="113">
        <f>'Top line'!P5</f>
        <v>44074</v>
      </c>
      <c r="Q5" s="114">
        <f>'Top line'!Q5</f>
        <v>44104</v>
      </c>
      <c r="R5" s="115">
        <f>'Top line'!R5</f>
        <v>44135</v>
      </c>
      <c r="S5" s="113">
        <f>'Top line'!S5</f>
        <v>44165</v>
      </c>
      <c r="T5" s="114">
        <f>'Top line'!T5</f>
        <v>44196</v>
      </c>
      <c r="U5" s="115">
        <f>'Top line'!U5</f>
        <v>44227</v>
      </c>
      <c r="V5" s="113">
        <f>'Top line'!V5</f>
        <v>44255</v>
      </c>
      <c r="W5" s="114">
        <f>'Top line'!W5</f>
        <v>44286</v>
      </c>
      <c r="X5" s="115">
        <f>'Top line'!X5</f>
        <v>44316</v>
      </c>
      <c r="Y5" s="113">
        <f>'Top line'!Y5</f>
        <v>44347</v>
      </c>
      <c r="Z5" s="114">
        <f>'Top line'!Z5</f>
        <v>44377</v>
      </c>
      <c r="AA5" s="115">
        <f>'Top line'!AA5</f>
        <v>44408</v>
      </c>
      <c r="AB5" s="113">
        <f>'Top line'!AB5</f>
        <v>44439</v>
      </c>
      <c r="AC5" s="114">
        <f>'Top line'!AC5</f>
        <v>44469</v>
      </c>
      <c r="AD5" s="115">
        <f>'Top line'!AD5</f>
        <v>44500</v>
      </c>
      <c r="AE5" s="113">
        <f>'Top line'!AE5</f>
        <v>44530</v>
      </c>
      <c r="AF5" s="114">
        <f>'Top line'!AF5</f>
        <v>44561</v>
      </c>
      <c r="AG5" s="115">
        <f>'Top line'!AG5</f>
        <v>44592</v>
      </c>
      <c r="AH5" s="113">
        <f>'Top line'!AH5</f>
        <v>44620</v>
      </c>
      <c r="AI5" s="114">
        <f>'Top line'!AI5</f>
        <v>44651</v>
      </c>
      <c r="AJ5" s="115">
        <f>'Top line'!AJ5</f>
        <v>44681</v>
      </c>
      <c r="AK5" s="113">
        <f>'Top line'!AK5</f>
        <v>44712</v>
      </c>
      <c r="AL5" s="114">
        <f>'Top line'!AL5</f>
        <v>44742</v>
      </c>
      <c r="AM5" s="115">
        <f>'Top line'!AM5</f>
        <v>44773</v>
      </c>
      <c r="AN5" s="113">
        <f>'Top line'!AN5</f>
        <v>44804</v>
      </c>
      <c r="AO5" s="114">
        <f>'Top line'!AO5</f>
        <v>44834</v>
      </c>
      <c r="AP5" s="115">
        <f>'Top line'!AP5</f>
        <v>44865</v>
      </c>
      <c r="AQ5" s="113">
        <f>'Top line'!AQ5</f>
        <v>44895</v>
      </c>
      <c r="AR5" s="114">
        <f>'Top line'!AR5</f>
        <v>44926</v>
      </c>
      <c r="AS5" s="115">
        <f>'Top line'!AS5</f>
        <v>44957</v>
      </c>
    </row>
    <row r="6" ht="15.0" customHeight="1">
      <c r="D6" s="116" t="s">
        <v>42</v>
      </c>
      <c r="E6" s="117" t="s">
        <v>42</v>
      </c>
      <c r="F6" s="118" t="s">
        <v>42</v>
      </c>
      <c r="G6" s="116" t="s">
        <v>42</v>
      </c>
      <c r="H6" s="117" t="s">
        <v>42</v>
      </c>
      <c r="I6" s="118" t="s">
        <v>42</v>
      </c>
      <c r="J6" s="119" t="s">
        <v>42</v>
      </c>
      <c r="K6" s="120" t="s">
        <v>42</v>
      </c>
      <c r="L6" s="120" t="s">
        <v>42</v>
      </c>
      <c r="M6" s="119" t="s">
        <v>43</v>
      </c>
      <c r="N6" s="120" t="s">
        <v>43</v>
      </c>
      <c r="O6" s="121" t="s">
        <v>43</v>
      </c>
      <c r="P6" s="119" t="s">
        <v>43</v>
      </c>
      <c r="Q6" s="120" t="s">
        <v>43</v>
      </c>
      <c r="R6" s="121" t="s">
        <v>43</v>
      </c>
      <c r="S6" s="119" t="s">
        <v>43</v>
      </c>
      <c r="T6" s="120" t="s">
        <v>43</v>
      </c>
      <c r="U6" s="121" t="s">
        <v>43</v>
      </c>
      <c r="V6" s="119" t="s">
        <v>43</v>
      </c>
      <c r="W6" s="120" t="s">
        <v>43</v>
      </c>
      <c r="X6" s="121" t="s">
        <v>43</v>
      </c>
      <c r="Y6" s="119" t="s">
        <v>43</v>
      </c>
      <c r="Z6" s="120" t="s">
        <v>43</v>
      </c>
      <c r="AA6" s="121" t="s">
        <v>43</v>
      </c>
      <c r="AB6" s="119" t="s">
        <v>43</v>
      </c>
      <c r="AC6" s="120" t="s">
        <v>43</v>
      </c>
      <c r="AD6" s="121" t="s">
        <v>43</v>
      </c>
      <c r="AE6" s="119" t="s">
        <v>43</v>
      </c>
      <c r="AF6" s="120" t="s">
        <v>43</v>
      </c>
      <c r="AG6" s="121" t="s">
        <v>43</v>
      </c>
      <c r="AH6" s="119" t="s">
        <v>43</v>
      </c>
      <c r="AI6" s="120" t="s">
        <v>43</v>
      </c>
      <c r="AJ6" s="121" t="s">
        <v>43</v>
      </c>
      <c r="AK6" s="119" t="s">
        <v>43</v>
      </c>
      <c r="AL6" s="120" t="s">
        <v>43</v>
      </c>
      <c r="AM6" s="121" t="s">
        <v>43</v>
      </c>
      <c r="AN6" s="119" t="s">
        <v>43</v>
      </c>
      <c r="AO6" s="120" t="s">
        <v>43</v>
      </c>
      <c r="AP6" s="121" t="s">
        <v>43</v>
      </c>
      <c r="AQ6" s="119" t="s">
        <v>43</v>
      </c>
      <c r="AR6" s="120" t="s">
        <v>43</v>
      </c>
      <c r="AS6" s="121" t="s">
        <v>43</v>
      </c>
    </row>
    <row r="7" ht="4.5" customHeight="1">
      <c r="D7" s="25"/>
      <c r="E7" s="26"/>
      <c r="F7" s="27"/>
      <c r="G7" s="25"/>
      <c r="H7" s="26"/>
      <c r="I7" s="27"/>
      <c r="J7" s="25"/>
      <c r="K7" s="26"/>
      <c r="L7" s="27"/>
      <c r="M7" s="26"/>
      <c r="N7" s="26"/>
      <c r="O7" s="27"/>
      <c r="P7" s="25"/>
      <c r="Q7" s="26"/>
      <c r="R7" s="27"/>
      <c r="S7" s="25"/>
      <c r="T7" s="26"/>
      <c r="U7" s="27"/>
      <c r="V7" s="25"/>
      <c r="W7" s="26"/>
      <c r="X7" s="27"/>
      <c r="Y7" s="25"/>
      <c r="Z7" s="26"/>
      <c r="AA7" s="27"/>
      <c r="AB7" s="25"/>
      <c r="AC7" s="26"/>
      <c r="AD7" s="27"/>
      <c r="AE7" s="25"/>
      <c r="AF7" s="26"/>
      <c r="AG7" s="27"/>
      <c r="AH7" s="25"/>
      <c r="AI7" s="26"/>
      <c r="AJ7" s="27"/>
      <c r="AK7" s="25"/>
      <c r="AL7" s="26"/>
      <c r="AM7" s="27"/>
      <c r="AN7" s="25"/>
      <c r="AO7" s="26"/>
      <c r="AP7" s="27"/>
      <c r="AQ7" s="25"/>
      <c r="AR7" s="26"/>
      <c r="AS7" s="27"/>
    </row>
    <row r="8" ht="12.0" customHeight="1">
      <c r="B8" s="122" t="s">
        <v>243</v>
      </c>
      <c r="C8" s="29"/>
      <c r="D8" s="30"/>
      <c r="E8" s="31"/>
      <c r="F8" s="32"/>
      <c r="G8" s="30"/>
      <c r="H8" s="31"/>
      <c r="I8" s="31"/>
      <c r="J8" s="30"/>
      <c r="K8" s="31"/>
      <c r="L8" s="32"/>
      <c r="M8" s="30"/>
      <c r="N8" s="31"/>
      <c r="O8" s="32"/>
      <c r="P8" s="30"/>
      <c r="Q8" s="31"/>
      <c r="R8" s="32"/>
      <c r="S8" s="30"/>
      <c r="T8" s="31"/>
      <c r="U8" s="32"/>
      <c r="V8" s="30"/>
      <c r="W8" s="31"/>
      <c r="X8" s="32"/>
      <c r="Y8" s="30"/>
      <c r="Z8" s="31"/>
      <c r="AA8" s="32"/>
      <c r="AB8" s="30"/>
      <c r="AC8" s="31"/>
      <c r="AD8" s="32"/>
      <c r="AE8" s="30"/>
      <c r="AF8" s="31"/>
      <c r="AG8" s="31"/>
      <c r="AH8" s="30"/>
      <c r="AI8" s="31"/>
      <c r="AJ8" s="32"/>
      <c r="AK8" s="31"/>
      <c r="AL8" s="31"/>
      <c r="AM8" s="32"/>
      <c r="AN8" s="31"/>
      <c r="AO8" s="31"/>
      <c r="AP8" s="32"/>
      <c r="AQ8" s="31"/>
      <c r="AR8" s="31"/>
      <c r="AS8" s="32"/>
    </row>
    <row r="9" ht="12.0" customHeight="1">
      <c r="C9" s="4" t="s">
        <v>212</v>
      </c>
      <c r="D9" s="64"/>
      <c r="E9" s="4"/>
      <c r="F9" s="65"/>
      <c r="G9" s="212">
        <v>160000.0</v>
      </c>
      <c r="H9" s="213">
        <v>160000.0</v>
      </c>
      <c r="I9" s="214">
        <v>160000.0</v>
      </c>
      <c r="J9" s="212">
        <v>160000.0</v>
      </c>
      <c r="K9" s="213">
        <v>160000.0</v>
      </c>
      <c r="L9" s="214">
        <v>300000.0</v>
      </c>
      <c r="M9" s="35">
        <f>'Top line'!M36</f>
        <v>160000</v>
      </c>
      <c r="N9" s="35" t="str">
        <f>'Top line'!N36</f>
        <v>#VALUE!</v>
      </c>
      <c r="O9" s="36" t="str">
        <f>'Top line'!O36</f>
        <v>#VALUE!</v>
      </c>
      <c r="P9" s="34" t="str">
        <f>'Top line'!P36</f>
        <v>#VALUE!</v>
      </c>
      <c r="Q9" s="35" t="str">
        <f>'Top line'!Q36</f>
        <v>#VALUE!</v>
      </c>
      <c r="R9" s="36" t="str">
        <f>'Top line'!R36</f>
        <v>#VALUE!</v>
      </c>
      <c r="S9" s="34" t="str">
        <f>'Top line'!S36</f>
        <v>#VALUE!</v>
      </c>
      <c r="T9" s="35" t="str">
        <f>'Top line'!T36</f>
        <v>#VALUE!</v>
      </c>
      <c r="U9" s="36" t="str">
        <f>'Top line'!U36</f>
        <v>#VALUE!</v>
      </c>
      <c r="V9" s="34" t="str">
        <f>'Top line'!V36</f>
        <v>#VALUE!</v>
      </c>
      <c r="W9" s="35" t="str">
        <f>'Top line'!W36</f>
        <v>#VALUE!</v>
      </c>
      <c r="X9" s="36" t="str">
        <f>'Top line'!X36</f>
        <v>#VALUE!</v>
      </c>
      <c r="Y9" s="34" t="str">
        <f>'Top line'!Y36</f>
        <v>#VALUE!</v>
      </c>
      <c r="Z9" s="35" t="str">
        <f>'Top line'!Z36</f>
        <v>#VALUE!</v>
      </c>
      <c r="AA9" s="36" t="str">
        <f>'Top line'!AA36</f>
        <v>#VALUE!</v>
      </c>
      <c r="AB9" s="34" t="str">
        <f>'Top line'!AB36</f>
        <v>#VALUE!</v>
      </c>
      <c r="AC9" s="35" t="str">
        <f>'Top line'!AC36</f>
        <v>#VALUE!</v>
      </c>
      <c r="AD9" s="36" t="str">
        <f>'Top line'!AD36</f>
        <v>#VALUE!</v>
      </c>
      <c r="AE9" s="34" t="str">
        <f>'Top line'!AE36</f>
        <v>#VALUE!</v>
      </c>
      <c r="AF9" s="35" t="str">
        <f>'Top line'!AF36</f>
        <v>#VALUE!</v>
      </c>
      <c r="AG9" s="36" t="str">
        <f>'Top line'!AG36</f>
        <v>#VALUE!</v>
      </c>
      <c r="AH9" s="34" t="str">
        <f>'Top line'!AH36</f>
        <v>#VALUE!</v>
      </c>
      <c r="AI9" s="35" t="str">
        <f>'Top line'!AI36</f>
        <v>#VALUE!</v>
      </c>
      <c r="AJ9" s="36" t="str">
        <f>'Top line'!AJ36</f>
        <v>#VALUE!</v>
      </c>
      <c r="AK9" s="34" t="str">
        <f>'Top line'!AK36</f>
        <v>#VALUE!</v>
      </c>
      <c r="AL9" s="35" t="str">
        <f>'Top line'!AL36</f>
        <v>#VALUE!</v>
      </c>
      <c r="AM9" s="36" t="str">
        <f>'Top line'!AM36</f>
        <v>#VALUE!</v>
      </c>
      <c r="AN9" s="34" t="str">
        <f>'Top line'!AN36</f>
        <v>#VALUE!</v>
      </c>
      <c r="AO9" s="35" t="str">
        <f>'Top line'!AO36</f>
        <v>#VALUE!</v>
      </c>
      <c r="AP9" s="36" t="str">
        <f>'Top line'!AP36</f>
        <v>#VALUE!</v>
      </c>
      <c r="AQ9" s="34" t="str">
        <f>'Top line'!AQ36</f>
        <v>#VALUE!</v>
      </c>
      <c r="AR9" s="35" t="str">
        <f>'Top line'!AR36</f>
        <v>#VALUE!</v>
      </c>
      <c r="AS9" s="36" t="str">
        <f>'Top line'!AS36</f>
        <v>#VALUE!</v>
      </c>
    </row>
    <row r="10" ht="12.0" customHeight="1">
      <c r="C10" s="47" t="s">
        <v>244</v>
      </c>
      <c r="D10" s="239"/>
      <c r="E10" s="47"/>
      <c r="F10" s="240"/>
      <c r="G10" s="215">
        <v>0.0</v>
      </c>
      <c r="H10" s="216">
        <v>0.0</v>
      </c>
      <c r="I10" s="217">
        <v>0.0</v>
      </c>
      <c r="J10" s="215">
        <v>0.0</v>
      </c>
      <c r="K10" s="216">
        <v>0.0</v>
      </c>
      <c r="L10" s="217">
        <v>0.0</v>
      </c>
      <c r="M10" s="242">
        <f>IFERROR(VLOOKUP(M5,Macro!$D$216:$E$218,2,FALSE),0)</f>
        <v>5000000</v>
      </c>
      <c r="N10" s="49">
        <f>IFERROR(VLOOKUP(N5,Macro!$D$216:$E$218,2,FALSE),0)</f>
        <v>0</v>
      </c>
      <c r="O10" s="50">
        <f>IFERROR(VLOOKUP(O5,Macro!$D$216:$E$218,2,FALSE),0)</f>
        <v>0</v>
      </c>
      <c r="P10" s="48">
        <f>IFERROR(VLOOKUP(P5,Macro!$D$216:$E$218,2,FALSE),0)</f>
        <v>0</v>
      </c>
      <c r="Q10" s="49">
        <f>IFERROR(VLOOKUP(Q5,Macro!$D$216:$E$218,2,FALSE),0)</f>
        <v>0</v>
      </c>
      <c r="R10" s="50">
        <f>IFERROR(VLOOKUP(R5,Macro!$D$216:$E$218,2,FALSE),0)</f>
        <v>0</v>
      </c>
      <c r="S10" s="48">
        <f>IFERROR(VLOOKUP(S5,Macro!$D$216:$E$218,2,FALSE),0)</f>
        <v>0</v>
      </c>
      <c r="T10" s="49">
        <f>IFERROR(VLOOKUP(T5,Macro!$D$216:$E$218,2,FALSE),0)</f>
        <v>0</v>
      </c>
      <c r="U10" s="50">
        <f>IFERROR(VLOOKUP(U5,Macro!$D$216:$E$218,2,FALSE),0)</f>
        <v>0</v>
      </c>
      <c r="V10" s="48">
        <f>IFERROR(VLOOKUP(V5,Macro!$D$216:$E$218,2,FALSE),0)</f>
        <v>0</v>
      </c>
      <c r="W10" s="49">
        <f>IFERROR(VLOOKUP(W5,Macro!$D$216:$E$218,2,FALSE),0)</f>
        <v>0</v>
      </c>
      <c r="X10" s="50">
        <f>IFERROR(VLOOKUP(X5,Macro!$D$216:$E$218,2,FALSE),0)</f>
        <v>0</v>
      </c>
      <c r="Y10" s="48">
        <f>IFERROR(VLOOKUP(Y5,Macro!$D$216:$E$218,2,FALSE),0)</f>
        <v>0</v>
      </c>
      <c r="Z10" s="49">
        <f>IFERROR(VLOOKUP(Z5,Macro!$D$216:$E$218,2,FALSE),0)</f>
        <v>0</v>
      </c>
      <c r="AA10" s="50">
        <f>IFERROR(VLOOKUP(AA5,Macro!$D$216:$E$218,2,FALSE),0)</f>
        <v>0</v>
      </c>
      <c r="AB10" s="48">
        <f>IFERROR(VLOOKUP(AB5,Macro!$D$216:$E$218,2,FALSE),0)</f>
        <v>0</v>
      </c>
      <c r="AC10" s="49">
        <f>IFERROR(VLOOKUP(AC5,Macro!$D$216:$E$218,2,FALSE),0)</f>
        <v>0</v>
      </c>
      <c r="AD10" s="50">
        <f>IFERROR(VLOOKUP(AD5,Macro!$D$216:$E$218,2,FALSE),0)</f>
        <v>0</v>
      </c>
      <c r="AE10" s="48">
        <f>IFERROR(VLOOKUP(AE5,Macro!$D$216:$E$218,2,FALSE),0)</f>
        <v>0</v>
      </c>
      <c r="AF10" s="49">
        <f>IFERROR(VLOOKUP(AF5,Macro!$D$216:$E$218,2,FALSE),0)</f>
        <v>0</v>
      </c>
      <c r="AG10" s="50">
        <f>IFERROR(VLOOKUP(AG5,Macro!$D$216:$E$218,2,FALSE),0)</f>
        <v>0</v>
      </c>
      <c r="AH10" s="48">
        <f>IFERROR(VLOOKUP(AH5,Macro!$D$216:$E$218,2,FALSE),0)</f>
        <v>0</v>
      </c>
      <c r="AI10" s="49">
        <f>IFERROR(VLOOKUP(AI5,Macro!$D$216:$E$218,2,FALSE),0)</f>
        <v>0</v>
      </c>
      <c r="AJ10" s="50">
        <f>IFERROR(VLOOKUP(AJ5,Macro!$D$216:$E$218,2,FALSE),0)</f>
        <v>0</v>
      </c>
      <c r="AK10" s="48">
        <f>IFERROR(VLOOKUP(AK5,Macro!$D$216:$E$218,2,FALSE),0)</f>
        <v>0</v>
      </c>
      <c r="AL10" s="49">
        <f>IFERROR(VLOOKUP(AL5,Macro!$D$216:$E$218,2,FALSE),0)</f>
        <v>0</v>
      </c>
      <c r="AM10" s="50">
        <f>IFERROR(VLOOKUP(AM5,Macro!$D$216:$E$218,2,FALSE),0)</f>
        <v>0</v>
      </c>
      <c r="AN10" s="48">
        <f>IFERROR(VLOOKUP(AN5,Macro!$D$216:$E$218,2,FALSE),0)</f>
        <v>0</v>
      </c>
      <c r="AO10" s="49">
        <f>IFERROR(VLOOKUP(AO5,Macro!$D$216:$E$218,2,FALSE),0)</f>
        <v>0</v>
      </c>
      <c r="AP10" s="50">
        <f>IFERROR(VLOOKUP(AP5,Macro!$D$216:$E$218,2,FALSE),0)</f>
        <v>0</v>
      </c>
      <c r="AQ10" s="48">
        <f>IFERROR(VLOOKUP(AQ5,Macro!$D$216:$E$218,2,FALSE),0)</f>
        <v>0</v>
      </c>
      <c r="AR10" s="49">
        <f>IFERROR(VLOOKUP(AR5,Macro!$D$216:$E$218,2,FALSE),0)</f>
        <v>0</v>
      </c>
      <c r="AS10" s="50">
        <f>IFERROR(VLOOKUP(AS5,Macro!$D$216:$E$218,2,FALSE),0)</f>
        <v>0</v>
      </c>
    </row>
    <row r="11" ht="12.0" customHeight="1">
      <c r="A11" s="8"/>
      <c r="B11" s="8"/>
      <c r="C11" s="8" t="s">
        <v>73</v>
      </c>
      <c r="D11" s="93"/>
      <c r="E11" s="8"/>
      <c r="F11" s="244"/>
      <c r="G11" s="94">
        <f t="shared" ref="G11:AS11" si="1">SUM(G9:G10)</f>
        <v>160000</v>
      </c>
      <c r="H11" s="95">
        <f t="shared" si="1"/>
        <v>160000</v>
      </c>
      <c r="I11" s="96">
        <f t="shared" si="1"/>
        <v>160000</v>
      </c>
      <c r="J11" s="94">
        <f t="shared" si="1"/>
        <v>160000</v>
      </c>
      <c r="K11" s="95">
        <f t="shared" si="1"/>
        <v>160000</v>
      </c>
      <c r="L11" s="96">
        <f t="shared" si="1"/>
        <v>300000</v>
      </c>
      <c r="M11" s="95">
        <f t="shared" si="1"/>
        <v>5160000</v>
      </c>
      <c r="N11" s="95" t="str">
        <f t="shared" si="1"/>
        <v>#VALUE!</v>
      </c>
      <c r="O11" s="96" t="str">
        <f t="shared" si="1"/>
        <v>#VALUE!</v>
      </c>
      <c r="P11" s="94" t="str">
        <f t="shared" si="1"/>
        <v>#VALUE!</v>
      </c>
      <c r="Q11" s="95" t="str">
        <f t="shared" si="1"/>
        <v>#VALUE!</v>
      </c>
      <c r="R11" s="96" t="str">
        <f t="shared" si="1"/>
        <v>#VALUE!</v>
      </c>
      <c r="S11" s="94" t="str">
        <f t="shared" si="1"/>
        <v>#VALUE!</v>
      </c>
      <c r="T11" s="95" t="str">
        <f t="shared" si="1"/>
        <v>#VALUE!</v>
      </c>
      <c r="U11" s="96" t="str">
        <f t="shared" si="1"/>
        <v>#VALUE!</v>
      </c>
      <c r="V11" s="94" t="str">
        <f t="shared" si="1"/>
        <v>#VALUE!</v>
      </c>
      <c r="W11" s="95" t="str">
        <f t="shared" si="1"/>
        <v>#VALUE!</v>
      </c>
      <c r="X11" s="96" t="str">
        <f t="shared" si="1"/>
        <v>#VALUE!</v>
      </c>
      <c r="Y11" s="94" t="str">
        <f t="shared" si="1"/>
        <v>#VALUE!</v>
      </c>
      <c r="Z11" s="95" t="str">
        <f t="shared" si="1"/>
        <v>#VALUE!</v>
      </c>
      <c r="AA11" s="96" t="str">
        <f t="shared" si="1"/>
        <v>#VALUE!</v>
      </c>
      <c r="AB11" s="94" t="str">
        <f t="shared" si="1"/>
        <v>#VALUE!</v>
      </c>
      <c r="AC11" s="95" t="str">
        <f t="shared" si="1"/>
        <v>#VALUE!</v>
      </c>
      <c r="AD11" s="96" t="str">
        <f t="shared" si="1"/>
        <v>#VALUE!</v>
      </c>
      <c r="AE11" s="94" t="str">
        <f t="shared" si="1"/>
        <v>#VALUE!</v>
      </c>
      <c r="AF11" s="95" t="str">
        <f t="shared" si="1"/>
        <v>#VALUE!</v>
      </c>
      <c r="AG11" s="96" t="str">
        <f t="shared" si="1"/>
        <v>#VALUE!</v>
      </c>
      <c r="AH11" s="94" t="str">
        <f t="shared" si="1"/>
        <v>#VALUE!</v>
      </c>
      <c r="AI11" s="95" t="str">
        <f t="shared" si="1"/>
        <v>#VALUE!</v>
      </c>
      <c r="AJ11" s="96" t="str">
        <f t="shared" si="1"/>
        <v>#VALUE!</v>
      </c>
      <c r="AK11" s="94" t="str">
        <f t="shared" si="1"/>
        <v>#VALUE!</v>
      </c>
      <c r="AL11" s="95" t="str">
        <f t="shared" si="1"/>
        <v>#VALUE!</v>
      </c>
      <c r="AM11" s="96" t="str">
        <f t="shared" si="1"/>
        <v>#VALUE!</v>
      </c>
      <c r="AN11" s="94" t="str">
        <f t="shared" si="1"/>
        <v>#VALUE!</v>
      </c>
      <c r="AO11" s="95" t="str">
        <f t="shared" si="1"/>
        <v>#VALUE!</v>
      </c>
      <c r="AP11" s="96" t="str">
        <f t="shared" si="1"/>
        <v>#VALUE!</v>
      </c>
      <c r="AQ11" s="94" t="str">
        <f t="shared" si="1"/>
        <v>#VALUE!</v>
      </c>
      <c r="AR11" s="95" t="str">
        <f t="shared" si="1"/>
        <v>#VALUE!</v>
      </c>
      <c r="AS11" s="96" t="str">
        <f t="shared" si="1"/>
        <v>#VALUE!</v>
      </c>
    </row>
    <row r="12" ht="12.0" customHeight="1">
      <c r="D12" s="64"/>
      <c r="E12" s="4"/>
      <c r="F12" s="65"/>
      <c r="G12" s="209"/>
      <c r="H12" s="4"/>
      <c r="I12" s="65"/>
      <c r="J12" s="209"/>
      <c r="K12" s="4"/>
      <c r="L12" s="65"/>
      <c r="M12" s="62"/>
      <c r="N12" s="62"/>
      <c r="O12" s="62"/>
      <c r="P12" s="61"/>
      <c r="Q12" s="62"/>
      <c r="R12" s="65"/>
      <c r="S12" s="64"/>
      <c r="T12" s="4"/>
      <c r="U12" s="65"/>
      <c r="V12" s="64"/>
      <c r="W12" s="4"/>
      <c r="X12" s="65"/>
      <c r="Y12" s="64"/>
      <c r="Z12" s="4"/>
      <c r="AA12" s="65"/>
      <c r="AB12" s="64"/>
      <c r="AC12" s="4"/>
      <c r="AD12" s="65"/>
      <c r="AE12" s="64"/>
      <c r="AF12" s="4"/>
      <c r="AG12" s="65"/>
      <c r="AH12" s="64"/>
      <c r="AI12" s="4"/>
      <c r="AJ12" s="65"/>
      <c r="AK12" s="64"/>
      <c r="AL12" s="4"/>
      <c r="AM12" s="65"/>
      <c r="AN12" s="64"/>
      <c r="AO12" s="4"/>
      <c r="AP12" s="65"/>
      <c r="AQ12" s="64"/>
      <c r="AR12" s="4"/>
      <c r="AS12" s="65"/>
    </row>
    <row r="13" ht="12.0" customHeight="1">
      <c r="B13" s="122" t="s">
        <v>245</v>
      </c>
      <c r="C13" s="29"/>
      <c r="D13" s="30"/>
      <c r="E13" s="31"/>
      <c r="F13" s="32"/>
      <c r="G13" s="30"/>
      <c r="H13" s="31"/>
      <c r="I13" s="31"/>
      <c r="J13" s="30"/>
      <c r="K13" s="31"/>
      <c r="L13" s="32"/>
      <c r="M13" s="30"/>
      <c r="N13" s="31"/>
      <c r="O13" s="32"/>
      <c r="P13" s="30"/>
      <c r="Q13" s="31"/>
      <c r="R13" s="32"/>
      <c r="S13" s="30"/>
      <c r="T13" s="31"/>
      <c r="U13" s="32"/>
      <c r="V13" s="30"/>
      <c r="W13" s="31"/>
      <c r="X13" s="32"/>
      <c r="Y13" s="30"/>
      <c r="Z13" s="31"/>
      <c r="AA13" s="32"/>
      <c r="AB13" s="30"/>
      <c r="AC13" s="31"/>
      <c r="AD13" s="32"/>
      <c r="AE13" s="30"/>
      <c r="AF13" s="31"/>
      <c r="AG13" s="31"/>
      <c r="AH13" s="30"/>
      <c r="AI13" s="31"/>
      <c r="AJ13" s="32"/>
      <c r="AK13" s="31"/>
      <c r="AL13" s="31"/>
      <c r="AM13" s="32"/>
      <c r="AN13" s="31"/>
      <c r="AO13" s="31"/>
      <c r="AP13" s="32"/>
      <c r="AQ13" s="31"/>
      <c r="AR13" s="31"/>
      <c r="AS13" s="32"/>
    </row>
    <row r="14" ht="12.0" customHeight="1">
      <c r="C14" s="4" t="s">
        <v>246</v>
      </c>
      <c r="D14" s="64"/>
      <c r="E14" s="4"/>
      <c r="F14" s="65"/>
      <c r="G14" s="212">
        <v>17500.0</v>
      </c>
      <c r="H14" s="213">
        <v>17500.0</v>
      </c>
      <c r="I14" s="214">
        <v>17500.0</v>
      </c>
      <c r="J14" s="212">
        <v>17500.0</v>
      </c>
      <c r="K14" s="213">
        <v>17500.0</v>
      </c>
      <c r="L14" s="214">
        <v>17500.0</v>
      </c>
      <c r="M14" s="35">
        <f>Expenses!M22</f>
        <v>17500</v>
      </c>
      <c r="N14" s="35">
        <f>Expenses!N22</f>
        <v>17500</v>
      </c>
      <c r="O14" s="36">
        <f>Expenses!O22</f>
        <v>17500</v>
      </c>
      <c r="P14" s="34">
        <f>Expenses!P22</f>
        <v>17500</v>
      </c>
      <c r="Q14" s="35">
        <f>Expenses!Q22</f>
        <v>17500</v>
      </c>
      <c r="R14" s="36">
        <f>Expenses!R22</f>
        <v>17500</v>
      </c>
      <c r="S14" s="34">
        <f>Expenses!S22</f>
        <v>17500</v>
      </c>
      <c r="T14" s="35">
        <f>Expenses!T22</f>
        <v>17500</v>
      </c>
      <c r="U14" s="36">
        <f>Expenses!U22</f>
        <v>17500</v>
      </c>
      <c r="V14" s="34">
        <f>Expenses!V22</f>
        <v>17500</v>
      </c>
      <c r="W14" s="35">
        <f>Expenses!W22</f>
        <v>17500</v>
      </c>
      <c r="X14" s="36">
        <f>Expenses!X22</f>
        <v>17500</v>
      </c>
      <c r="Y14" s="34">
        <f>Expenses!Y22</f>
        <v>17500</v>
      </c>
      <c r="Z14" s="35">
        <f>Expenses!Z22</f>
        <v>17500</v>
      </c>
      <c r="AA14" s="36">
        <f>Expenses!AA22</f>
        <v>17500</v>
      </c>
      <c r="AB14" s="34">
        <f>Expenses!AB22</f>
        <v>17500</v>
      </c>
      <c r="AC14" s="35">
        <f>Expenses!AC22</f>
        <v>17500</v>
      </c>
      <c r="AD14" s="36">
        <f>Expenses!AD22</f>
        <v>17500</v>
      </c>
      <c r="AE14" s="34">
        <f>Expenses!AE22</f>
        <v>17500</v>
      </c>
      <c r="AF14" s="35">
        <f>Expenses!AF22</f>
        <v>17500</v>
      </c>
      <c r="AG14" s="36">
        <f>Expenses!AG22</f>
        <v>17500</v>
      </c>
      <c r="AH14" s="34">
        <f>Expenses!AH22</f>
        <v>17500</v>
      </c>
      <c r="AI14" s="35">
        <f>Expenses!AI22</f>
        <v>17500</v>
      </c>
      <c r="AJ14" s="36">
        <f>Expenses!AJ22</f>
        <v>17500</v>
      </c>
      <c r="AK14" s="34">
        <f>Expenses!AK22</f>
        <v>17500</v>
      </c>
      <c r="AL14" s="35">
        <f>Expenses!AL22</f>
        <v>17500</v>
      </c>
      <c r="AM14" s="36">
        <f>Expenses!AM22</f>
        <v>17500</v>
      </c>
      <c r="AN14" s="34">
        <f>Expenses!AN22</f>
        <v>17500</v>
      </c>
      <c r="AO14" s="35">
        <f>Expenses!AO22</f>
        <v>17500</v>
      </c>
      <c r="AP14" s="36">
        <f>Expenses!AP22</f>
        <v>17500</v>
      </c>
      <c r="AQ14" s="34">
        <f>Expenses!AQ22</f>
        <v>17500</v>
      </c>
      <c r="AR14" s="35">
        <f>Expenses!AR22</f>
        <v>17500</v>
      </c>
      <c r="AS14" s="36">
        <f>Expenses!AS22</f>
        <v>17500</v>
      </c>
    </row>
    <row r="15" ht="12.0" customHeight="1">
      <c r="C15" s="4" t="s">
        <v>247</v>
      </c>
      <c r="D15" s="64"/>
      <c r="E15" s="4"/>
      <c r="F15" s="65"/>
      <c r="G15" s="212">
        <v>530060.0</v>
      </c>
      <c r="H15" s="213">
        <v>530060.0</v>
      </c>
      <c r="I15" s="214">
        <v>530060.0</v>
      </c>
      <c r="J15" s="212">
        <v>530060.0</v>
      </c>
      <c r="K15" s="213">
        <v>530060.0</v>
      </c>
      <c r="L15" s="214">
        <v>623720.0</v>
      </c>
      <c r="M15" s="35" t="str">
        <f>Expenses!M16</f>
        <v>#VALUE!</v>
      </c>
      <c r="N15" s="35" t="str">
        <f>Expenses!N16</f>
        <v>#VALUE!</v>
      </c>
      <c r="O15" s="36" t="str">
        <f>Expenses!O16</f>
        <v>#VALUE!</v>
      </c>
      <c r="P15" s="34" t="str">
        <f>Expenses!P16</f>
        <v>#VALUE!</v>
      </c>
      <c r="Q15" s="35" t="str">
        <f>Expenses!Q16</f>
        <v>#VALUE!</v>
      </c>
      <c r="R15" s="36" t="str">
        <f>Expenses!R16</f>
        <v>#VALUE!</v>
      </c>
      <c r="S15" s="34" t="str">
        <f>Expenses!S16</f>
        <v>#VALUE!</v>
      </c>
      <c r="T15" s="35" t="str">
        <f>Expenses!T16</f>
        <v>#VALUE!</v>
      </c>
      <c r="U15" s="36" t="str">
        <f>Expenses!U16</f>
        <v>#VALUE!</v>
      </c>
      <c r="V15" s="34" t="str">
        <f>Expenses!V16</f>
        <v>#VALUE!</v>
      </c>
      <c r="W15" s="35" t="str">
        <f>Expenses!W16</f>
        <v>#VALUE!</v>
      </c>
      <c r="X15" s="36" t="str">
        <f>Expenses!X16</f>
        <v>#VALUE!</v>
      </c>
      <c r="Y15" s="34" t="str">
        <f>Expenses!Y16</f>
        <v>#VALUE!</v>
      </c>
      <c r="Z15" s="35" t="str">
        <f>Expenses!Z16</f>
        <v>#VALUE!</v>
      </c>
      <c r="AA15" s="36" t="str">
        <f>Expenses!AA16</f>
        <v>#VALUE!</v>
      </c>
      <c r="AB15" s="34" t="str">
        <f>Expenses!AB16</f>
        <v>#VALUE!</v>
      </c>
      <c r="AC15" s="35" t="str">
        <f>Expenses!AC16</f>
        <v>#VALUE!</v>
      </c>
      <c r="AD15" s="36" t="str">
        <f>Expenses!AD16</f>
        <v>#VALUE!</v>
      </c>
      <c r="AE15" s="34" t="str">
        <f>Expenses!AE16</f>
        <v>#VALUE!</v>
      </c>
      <c r="AF15" s="35" t="str">
        <f>Expenses!AF16</f>
        <v>#VALUE!</v>
      </c>
      <c r="AG15" s="36" t="str">
        <f>Expenses!AG16</f>
        <v>#VALUE!</v>
      </c>
      <c r="AH15" s="34" t="str">
        <f>Expenses!AH16</f>
        <v>#VALUE!</v>
      </c>
      <c r="AI15" s="35" t="str">
        <f>Expenses!AI16</f>
        <v>#VALUE!</v>
      </c>
      <c r="AJ15" s="36" t="str">
        <f>Expenses!AJ16</f>
        <v>#VALUE!</v>
      </c>
      <c r="AK15" s="34" t="str">
        <f>Expenses!AK16</f>
        <v>#VALUE!</v>
      </c>
      <c r="AL15" s="35" t="str">
        <f>Expenses!AL16</f>
        <v>#VALUE!</v>
      </c>
      <c r="AM15" s="36" t="str">
        <f>Expenses!AM16</f>
        <v>#VALUE!</v>
      </c>
      <c r="AN15" s="34" t="str">
        <f>Expenses!AN16</f>
        <v>#VALUE!</v>
      </c>
      <c r="AO15" s="35" t="str">
        <f>Expenses!AO16</f>
        <v>#VALUE!</v>
      </c>
      <c r="AP15" s="36" t="str">
        <f>Expenses!AP16</f>
        <v>#VALUE!</v>
      </c>
      <c r="AQ15" s="34" t="str">
        <f>Expenses!AQ16</f>
        <v>#VALUE!</v>
      </c>
      <c r="AR15" s="35" t="str">
        <f>Expenses!AR16</f>
        <v>#VALUE!</v>
      </c>
      <c r="AS15" s="36" t="str">
        <f>Expenses!AS16</f>
        <v>#VALUE!</v>
      </c>
    </row>
    <row r="16" ht="12.0" customHeight="1">
      <c r="C16" s="4" t="s">
        <v>188</v>
      </c>
      <c r="D16" s="64"/>
      <c r="E16" s="4"/>
      <c r="F16" s="65"/>
      <c r="G16" s="212">
        <v>0.0</v>
      </c>
      <c r="H16" s="213">
        <v>0.0</v>
      </c>
      <c r="I16" s="214">
        <v>0.0</v>
      </c>
      <c r="J16" s="212">
        <v>0.0</v>
      </c>
      <c r="K16" s="213">
        <v>0.0</v>
      </c>
      <c r="L16" s="214">
        <v>0.0</v>
      </c>
      <c r="M16" s="35" t="str">
        <f>Expenses!M26</f>
        <v/>
      </c>
      <c r="N16" s="35" t="str">
        <f>Expenses!N26</f>
        <v/>
      </c>
      <c r="O16" s="36" t="str">
        <f>Expenses!O26</f>
        <v/>
      </c>
      <c r="P16" s="34" t="str">
        <f>Expenses!P26</f>
        <v/>
      </c>
      <c r="Q16" s="35" t="str">
        <f>Expenses!Q26</f>
        <v/>
      </c>
      <c r="R16" s="36" t="str">
        <f>Expenses!R26</f>
        <v/>
      </c>
      <c r="S16" s="34" t="str">
        <f>Expenses!S26</f>
        <v/>
      </c>
      <c r="T16" s="35" t="str">
        <f>Expenses!T26</f>
        <v/>
      </c>
      <c r="U16" s="36" t="str">
        <f>Expenses!U26</f>
        <v/>
      </c>
      <c r="V16" s="34" t="str">
        <f>Expenses!V26</f>
        <v/>
      </c>
      <c r="W16" s="35" t="str">
        <f>Expenses!W26</f>
        <v/>
      </c>
      <c r="X16" s="36" t="str">
        <f>Expenses!X26</f>
        <v/>
      </c>
      <c r="Y16" s="34" t="str">
        <f>Expenses!Y26</f>
        <v/>
      </c>
      <c r="Z16" s="35" t="str">
        <f>Expenses!Z26</f>
        <v/>
      </c>
      <c r="AA16" s="36" t="str">
        <f>Expenses!AA26</f>
        <v/>
      </c>
      <c r="AB16" s="34" t="str">
        <f>Expenses!AB26</f>
        <v/>
      </c>
      <c r="AC16" s="35" t="str">
        <f>Expenses!AC26</f>
        <v/>
      </c>
      <c r="AD16" s="36" t="str">
        <f>Expenses!AD26</f>
        <v/>
      </c>
      <c r="AE16" s="34" t="str">
        <f>Expenses!AE26</f>
        <v/>
      </c>
      <c r="AF16" s="35" t="str">
        <f>Expenses!AF26</f>
        <v/>
      </c>
      <c r="AG16" s="36" t="str">
        <f>Expenses!AG26</f>
        <v/>
      </c>
      <c r="AH16" s="34" t="str">
        <f>Expenses!AH26</f>
        <v/>
      </c>
      <c r="AI16" s="35" t="str">
        <f>Expenses!AI26</f>
        <v/>
      </c>
      <c r="AJ16" s="36" t="str">
        <f>Expenses!AJ26</f>
        <v/>
      </c>
      <c r="AK16" s="34" t="str">
        <f>Expenses!AK26</f>
        <v/>
      </c>
      <c r="AL16" s="35" t="str">
        <f>Expenses!AL26</f>
        <v/>
      </c>
      <c r="AM16" s="36" t="str">
        <f>Expenses!AM26</f>
        <v/>
      </c>
      <c r="AN16" s="34" t="str">
        <f>Expenses!AN26</f>
        <v/>
      </c>
      <c r="AO16" s="35" t="str">
        <f>Expenses!AO26</f>
        <v/>
      </c>
      <c r="AP16" s="36" t="str">
        <f>Expenses!AP26</f>
        <v/>
      </c>
      <c r="AQ16" s="34" t="str">
        <f>Expenses!AQ26</f>
        <v/>
      </c>
      <c r="AR16" s="35" t="str">
        <f>Expenses!AR26</f>
        <v/>
      </c>
      <c r="AS16" s="36" t="str">
        <f>Expenses!AS26</f>
        <v/>
      </c>
    </row>
    <row r="17" ht="12.0" customHeight="1">
      <c r="C17" s="4" t="s">
        <v>185</v>
      </c>
      <c r="D17" s="64"/>
      <c r="E17" s="4"/>
      <c r="F17" s="65"/>
      <c r="G17" s="212">
        <v>0.0</v>
      </c>
      <c r="H17" s="213">
        <v>0.0</v>
      </c>
      <c r="I17" s="214">
        <v>0.0</v>
      </c>
      <c r="J17" s="212">
        <v>0.0</v>
      </c>
      <c r="K17" s="213">
        <v>0.0</v>
      </c>
      <c r="L17" s="214">
        <v>0.0</v>
      </c>
      <c r="M17" s="35" t="str">
        <f>Expenses!M25</f>
        <v/>
      </c>
      <c r="N17" s="35" t="str">
        <f>Expenses!N25</f>
        <v/>
      </c>
      <c r="O17" s="36" t="str">
        <f>Expenses!O25</f>
        <v/>
      </c>
      <c r="P17" s="34" t="str">
        <f>Expenses!P25</f>
        <v/>
      </c>
      <c r="Q17" s="35" t="str">
        <f>Expenses!Q25</f>
        <v/>
      </c>
      <c r="R17" s="36" t="str">
        <f>Expenses!R25</f>
        <v/>
      </c>
      <c r="S17" s="34" t="str">
        <f>Expenses!S25</f>
        <v/>
      </c>
      <c r="T17" s="35" t="str">
        <f>Expenses!T25</f>
        <v/>
      </c>
      <c r="U17" s="36" t="str">
        <f>Expenses!U25</f>
        <v/>
      </c>
      <c r="V17" s="34" t="str">
        <f>Expenses!V25</f>
        <v/>
      </c>
      <c r="W17" s="35" t="str">
        <f>Expenses!W25</f>
        <v/>
      </c>
      <c r="X17" s="36" t="str">
        <f>Expenses!X25</f>
        <v/>
      </c>
      <c r="Y17" s="34" t="str">
        <f>Expenses!Y25</f>
        <v/>
      </c>
      <c r="Z17" s="35" t="str">
        <f>Expenses!Z25</f>
        <v/>
      </c>
      <c r="AA17" s="36" t="str">
        <f>Expenses!AA25</f>
        <v/>
      </c>
      <c r="AB17" s="34" t="str">
        <f>Expenses!AB25</f>
        <v/>
      </c>
      <c r="AC17" s="35" t="str">
        <f>Expenses!AC25</f>
        <v/>
      </c>
      <c r="AD17" s="36" t="str">
        <f>Expenses!AD25</f>
        <v/>
      </c>
      <c r="AE17" s="34" t="str">
        <f>Expenses!AE25</f>
        <v/>
      </c>
      <c r="AF17" s="35" t="str">
        <f>Expenses!AF25</f>
        <v/>
      </c>
      <c r="AG17" s="36" t="str">
        <f>Expenses!AG25</f>
        <v/>
      </c>
      <c r="AH17" s="34" t="str">
        <f>Expenses!AH25</f>
        <v/>
      </c>
      <c r="AI17" s="35" t="str">
        <f>Expenses!AI25</f>
        <v/>
      </c>
      <c r="AJ17" s="36" t="str">
        <f>Expenses!AJ25</f>
        <v/>
      </c>
      <c r="AK17" s="34" t="str">
        <f>Expenses!AK25</f>
        <v/>
      </c>
      <c r="AL17" s="35" t="str">
        <f>Expenses!AL25</f>
        <v/>
      </c>
      <c r="AM17" s="36" t="str">
        <f>Expenses!AM25</f>
        <v/>
      </c>
      <c r="AN17" s="34" t="str">
        <f>Expenses!AN25</f>
        <v/>
      </c>
      <c r="AO17" s="35" t="str">
        <f>Expenses!AO25</f>
        <v/>
      </c>
      <c r="AP17" s="36" t="str">
        <f>Expenses!AP25</f>
        <v/>
      </c>
      <c r="AQ17" s="34" t="str">
        <f>Expenses!AQ25</f>
        <v/>
      </c>
      <c r="AR17" s="35" t="str">
        <f>Expenses!AR25</f>
        <v/>
      </c>
      <c r="AS17" s="36" t="str">
        <f>Expenses!AS25</f>
        <v/>
      </c>
    </row>
    <row r="18" ht="12.0" customHeight="1">
      <c r="C18" s="47" t="s">
        <v>234</v>
      </c>
      <c r="D18" s="239"/>
      <c r="E18" s="47"/>
      <c r="F18" s="240"/>
      <c r="G18" s="215">
        <v>0.0</v>
      </c>
      <c r="H18" s="216">
        <v>0.0</v>
      </c>
      <c r="I18" s="217">
        <v>0.0</v>
      </c>
      <c r="J18" s="215">
        <v>0.0</v>
      </c>
      <c r="K18" s="216">
        <v>0.0</v>
      </c>
      <c r="L18" s="217">
        <v>9000.0</v>
      </c>
      <c r="M18" s="49">
        <f>SUM(Expenses!M29:M30)</f>
        <v>1500</v>
      </c>
      <c r="N18" s="49">
        <f>SUM(Expenses!N29:N30)</f>
        <v>1500</v>
      </c>
      <c r="O18" s="50">
        <f>SUM(Expenses!O29:O30)</f>
        <v>3000</v>
      </c>
      <c r="P18" s="48">
        <f>SUM(Expenses!P29:P30)</f>
        <v>3000</v>
      </c>
      <c r="Q18" s="49">
        <f>SUM(Expenses!Q29:Q30)</f>
        <v>0</v>
      </c>
      <c r="R18" s="50">
        <f>SUM(Expenses!R29:R30)</f>
        <v>3000</v>
      </c>
      <c r="S18" s="48">
        <f>SUM(Expenses!S29:S30)</f>
        <v>1500</v>
      </c>
      <c r="T18" s="49">
        <f>SUM(Expenses!T29:T30)</f>
        <v>0</v>
      </c>
      <c r="U18" s="50">
        <f>SUM(Expenses!U29:U30)</f>
        <v>0</v>
      </c>
      <c r="V18" s="48">
        <f>SUM(Expenses!V29:V30)</f>
        <v>1500</v>
      </c>
      <c r="W18" s="49">
        <f>SUM(Expenses!W29:W30)</f>
        <v>0</v>
      </c>
      <c r="X18" s="50">
        <f>SUM(Expenses!X29:X30)</f>
        <v>0</v>
      </c>
      <c r="Y18" s="48">
        <f>SUM(Expenses!Y29:Y30)</f>
        <v>1500</v>
      </c>
      <c r="Z18" s="49">
        <f>SUM(Expenses!Z29:Z30)</f>
        <v>1500</v>
      </c>
      <c r="AA18" s="50">
        <f>SUM(Expenses!AA29:AA30)</f>
        <v>0</v>
      </c>
      <c r="AB18" s="48">
        <f>SUM(Expenses!AB29:AB30)</f>
        <v>3000</v>
      </c>
      <c r="AC18" s="49">
        <f>SUM(Expenses!AC29:AC30)</f>
        <v>0</v>
      </c>
      <c r="AD18" s="50">
        <f>SUM(Expenses!AD29:AD30)</f>
        <v>0</v>
      </c>
      <c r="AE18" s="48">
        <f>SUM(Expenses!AE29:AE30)</f>
        <v>1500</v>
      </c>
      <c r="AF18" s="49">
        <f>SUM(Expenses!AF29:AF30)</f>
        <v>0</v>
      </c>
      <c r="AG18" s="50">
        <f>SUM(Expenses!AG29:AG30)</f>
        <v>0</v>
      </c>
      <c r="AH18" s="48">
        <f>SUM(Expenses!AH29:AH30)</f>
        <v>6000</v>
      </c>
      <c r="AI18" s="49">
        <f>SUM(Expenses!AI29:AI30)</f>
        <v>0</v>
      </c>
      <c r="AJ18" s="50">
        <f>SUM(Expenses!AJ29:AJ30)</f>
        <v>0</v>
      </c>
      <c r="AK18" s="48">
        <f>SUM(Expenses!AK29:AK30)</f>
        <v>1500</v>
      </c>
      <c r="AL18" s="49">
        <f>SUM(Expenses!AL29:AL30)</f>
        <v>0</v>
      </c>
      <c r="AM18" s="50">
        <f>SUM(Expenses!AM29:AM30)</f>
        <v>0</v>
      </c>
      <c r="AN18" s="48">
        <f>SUM(Expenses!AN29:AN30)</f>
        <v>4500</v>
      </c>
      <c r="AO18" s="49">
        <f>SUM(Expenses!AO29:AO30)</f>
        <v>0</v>
      </c>
      <c r="AP18" s="50">
        <f>SUM(Expenses!AP29:AP30)</f>
        <v>0</v>
      </c>
      <c r="AQ18" s="48">
        <f>SUM(Expenses!AQ29:AQ30)</f>
        <v>1500</v>
      </c>
      <c r="AR18" s="49">
        <f>SUM(Expenses!AR29:AR30)</f>
        <v>0</v>
      </c>
      <c r="AS18" s="50">
        <f>SUM(Expenses!AS29:AS30)</f>
        <v>0</v>
      </c>
    </row>
    <row r="19" ht="12.0" customHeight="1">
      <c r="A19" s="8"/>
      <c r="B19" s="8"/>
      <c r="C19" s="8" t="s">
        <v>73</v>
      </c>
      <c r="D19" s="93"/>
      <c r="E19" s="8"/>
      <c r="F19" s="244"/>
      <c r="G19" s="51">
        <f t="shared" ref="G19:AS19" si="2">SUM(G14:G18)</f>
        <v>547560</v>
      </c>
      <c r="H19" s="52">
        <f t="shared" si="2"/>
        <v>547560</v>
      </c>
      <c r="I19" s="53">
        <f t="shared" si="2"/>
        <v>547560</v>
      </c>
      <c r="J19" s="51">
        <f t="shared" si="2"/>
        <v>547560</v>
      </c>
      <c r="K19" s="52">
        <f t="shared" si="2"/>
        <v>547560</v>
      </c>
      <c r="L19" s="53">
        <f t="shared" si="2"/>
        <v>650220</v>
      </c>
      <c r="M19" s="52" t="str">
        <f t="shared" si="2"/>
        <v>#VALUE!</v>
      </c>
      <c r="N19" s="52" t="str">
        <f t="shared" si="2"/>
        <v>#VALUE!</v>
      </c>
      <c r="O19" s="53" t="str">
        <f t="shared" si="2"/>
        <v>#VALUE!</v>
      </c>
      <c r="P19" s="51" t="str">
        <f t="shared" si="2"/>
        <v>#VALUE!</v>
      </c>
      <c r="Q19" s="52" t="str">
        <f t="shared" si="2"/>
        <v>#VALUE!</v>
      </c>
      <c r="R19" s="53" t="str">
        <f t="shared" si="2"/>
        <v>#VALUE!</v>
      </c>
      <c r="S19" s="51" t="str">
        <f t="shared" si="2"/>
        <v>#VALUE!</v>
      </c>
      <c r="T19" s="52" t="str">
        <f t="shared" si="2"/>
        <v>#VALUE!</v>
      </c>
      <c r="U19" s="53" t="str">
        <f t="shared" si="2"/>
        <v>#VALUE!</v>
      </c>
      <c r="V19" s="51" t="str">
        <f t="shared" si="2"/>
        <v>#VALUE!</v>
      </c>
      <c r="W19" s="52" t="str">
        <f t="shared" si="2"/>
        <v>#VALUE!</v>
      </c>
      <c r="X19" s="53" t="str">
        <f t="shared" si="2"/>
        <v>#VALUE!</v>
      </c>
      <c r="Y19" s="51" t="str">
        <f t="shared" si="2"/>
        <v>#VALUE!</v>
      </c>
      <c r="Z19" s="52" t="str">
        <f t="shared" si="2"/>
        <v>#VALUE!</v>
      </c>
      <c r="AA19" s="53" t="str">
        <f t="shared" si="2"/>
        <v>#VALUE!</v>
      </c>
      <c r="AB19" s="51" t="str">
        <f t="shared" si="2"/>
        <v>#VALUE!</v>
      </c>
      <c r="AC19" s="52" t="str">
        <f t="shared" si="2"/>
        <v>#VALUE!</v>
      </c>
      <c r="AD19" s="53" t="str">
        <f t="shared" si="2"/>
        <v>#VALUE!</v>
      </c>
      <c r="AE19" s="51" t="str">
        <f t="shared" si="2"/>
        <v>#VALUE!</v>
      </c>
      <c r="AF19" s="52" t="str">
        <f t="shared" si="2"/>
        <v>#VALUE!</v>
      </c>
      <c r="AG19" s="53" t="str">
        <f t="shared" si="2"/>
        <v>#VALUE!</v>
      </c>
      <c r="AH19" s="51" t="str">
        <f t="shared" si="2"/>
        <v>#VALUE!</v>
      </c>
      <c r="AI19" s="52" t="str">
        <f t="shared" si="2"/>
        <v>#VALUE!</v>
      </c>
      <c r="AJ19" s="53" t="str">
        <f t="shared" si="2"/>
        <v>#VALUE!</v>
      </c>
      <c r="AK19" s="51" t="str">
        <f t="shared" si="2"/>
        <v>#VALUE!</v>
      </c>
      <c r="AL19" s="52" t="str">
        <f t="shared" si="2"/>
        <v>#VALUE!</v>
      </c>
      <c r="AM19" s="53" t="str">
        <f t="shared" si="2"/>
        <v>#VALUE!</v>
      </c>
      <c r="AN19" s="51" t="str">
        <f t="shared" si="2"/>
        <v>#VALUE!</v>
      </c>
      <c r="AO19" s="52" t="str">
        <f t="shared" si="2"/>
        <v>#VALUE!</v>
      </c>
      <c r="AP19" s="53" t="str">
        <f t="shared" si="2"/>
        <v>#VALUE!</v>
      </c>
      <c r="AQ19" s="51" t="str">
        <f t="shared" si="2"/>
        <v>#VALUE!</v>
      </c>
      <c r="AR19" s="52" t="str">
        <f t="shared" si="2"/>
        <v>#VALUE!</v>
      </c>
      <c r="AS19" s="53" t="str">
        <f t="shared" si="2"/>
        <v>#VALUE!</v>
      </c>
    </row>
    <row r="20" ht="12.0" customHeight="1">
      <c r="C20" s="4"/>
      <c r="D20" s="64"/>
      <c r="E20" s="4"/>
      <c r="F20" s="65"/>
      <c r="G20" s="64"/>
      <c r="H20" s="4"/>
      <c r="I20" s="65"/>
      <c r="J20" s="34"/>
      <c r="K20" s="35"/>
      <c r="L20" s="36"/>
      <c r="M20" s="35"/>
      <c r="N20" s="35"/>
      <c r="O20" s="36"/>
      <c r="P20" s="34"/>
      <c r="Q20" s="35"/>
      <c r="R20" s="36"/>
      <c r="S20" s="34"/>
      <c r="T20" s="35"/>
      <c r="U20" s="36"/>
      <c r="V20" s="34"/>
      <c r="W20" s="35"/>
      <c r="X20" s="36"/>
      <c r="Y20" s="34"/>
      <c r="Z20" s="35"/>
      <c r="AA20" s="36"/>
      <c r="AB20" s="34"/>
      <c r="AC20" s="35"/>
      <c r="AD20" s="36"/>
      <c r="AE20" s="34"/>
      <c r="AF20" s="35"/>
      <c r="AG20" s="36"/>
      <c r="AH20" s="34"/>
      <c r="AI20" s="35"/>
      <c r="AJ20" s="36"/>
      <c r="AK20" s="34"/>
      <c r="AL20" s="35"/>
      <c r="AM20" s="36"/>
      <c r="AN20" s="34"/>
      <c r="AO20" s="35"/>
      <c r="AP20" s="36"/>
      <c r="AQ20" s="34"/>
      <c r="AR20" s="35"/>
      <c r="AS20" s="36"/>
    </row>
    <row r="21" ht="12.0" customHeight="1">
      <c r="B21" s="4" t="s">
        <v>248</v>
      </c>
      <c r="D21" s="64"/>
      <c r="E21" s="4"/>
      <c r="F21" s="65"/>
      <c r="G21" s="212">
        <v>3000000.0</v>
      </c>
      <c r="H21" s="62">
        <f t="shared" ref="H21:AS21" si="3">G23</f>
        <v>2612440</v>
      </c>
      <c r="I21" s="63">
        <f t="shared" si="3"/>
        <v>2224880</v>
      </c>
      <c r="J21" s="61">
        <f t="shared" si="3"/>
        <v>1837320</v>
      </c>
      <c r="K21" s="62">
        <f t="shared" si="3"/>
        <v>1449760</v>
      </c>
      <c r="L21" s="63">
        <f t="shared" si="3"/>
        <v>1062200</v>
      </c>
      <c r="M21" s="62">
        <f t="shared" si="3"/>
        <v>711980</v>
      </c>
      <c r="N21" s="62" t="str">
        <f t="shared" si="3"/>
        <v>#VALUE!</v>
      </c>
      <c r="O21" s="63" t="str">
        <f t="shared" si="3"/>
        <v>#VALUE!</v>
      </c>
      <c r="P21" s="61" t="str">
        <f t="shared" si="3"/>
        <v>#VALUE!</v>
      </c>
      <c r="Q21" s="62" t="str">
        <f t="shared" si="3"/>
        <v>#VALUE!</v>
      </c>
      <c r="R21" s="63" t="str">
        <f t="shared" si="3"/>
        <v>#VALUE!</v>
      </c>
      <c r="S21" s="61" t="str">
        <f t="shared" si="3"/>
        <v>#VALUE!</v>
      </c>
      <c r="T21" s="62" t="str">
        <f t="shared" si="3"/>
        <v>#VALUE!</v>
      </c>
      <c r="U21" s="63" t="str">
        <f t="shared" si="3"/>
        <v>#VALUE!</v>
      </c>
      <c r="V21" s="61" t="str">
        <f t="shared" si="3"/>
        <v>#VALUE!</v>
      </c>
      <c r="W21" s="62" t="str">
        <f t="shared" si="3"/>
        <v>#VALUE!</v>
      </c>
      <c r="X21" s="63" t="str">
        <f t="shared" si="3"/>
        <v>#VALUE!</v>
      </c>
      <c r="Y21" s="61" t="str">
        <f t="shared" si="3"/>
        <v>#VALUE!</v>
      </c>
      <c r="Z21" s="62" t="str">
        <f t="shared" si="3"/>
        <v>#VALUE!</v>
      </c>
      <c r="AA21" s="63" t="str">
        <f t="shared" si="3"/>
        <v>#VALUE!</v>
      </c>
      <c r="AB21" s="61" t="str">
        <f t="shared" si="3"/>
        <v>#VALUE!</v>
      </c>
      <c r="AC21" s="62" t="str">
        <f t="shared" si="3"/>
        <v>#VALUE!</v>
      </c>
      <c r="AD21" s="63" t="str">
        <f t="shared" si="3"/>
        <v>#VALUE!</v>
      </c>
      <c r="AE21" s="61" t="str">
        <f t="shared" si="3"/>
        <v>#VALUE!</v>
      </c>
      <c r="AF21" s="62" t="str">
        <f t="shared" si="3"/>
        <v>#VALUE!</v>
      </c>
      <c r="AG21" s="63" t="str">
        <f t="shared" si="3"/>
        <v>#VALUE!</v>
      </c>
      <c r="AH21" s="61" t="str">
        <f t="shared" si="3"/>
        <v>#VALUE!</v>
      </c>
      <c r="AI21" s="62" t="str">
        <f t="shared" si="3"/>
        <v>#VALUE!</v>
      </c>
      <c r="AJ21" s="63" t="str">
        <f t="shared" si="3"/>
        <v>#VALUE!</v>
      </c>
      <c r="AK21" s="61" t="str">
        <f t="shared" si="3"/>
        <v>#VALUE!</v>
      </c>
      <c r="AL21" s="62" t="str">
        <f t="shared" si="3"/>
        <v>#VALUE!</v>
      </c>
      <c r="AM21" s="63" t="str">
        <f t="shared" si="3"/>
        <v>#VALUE!</v>
      </c>
      <c r="AN21" s="61" t="str">
        <f t="shared" si="3"/>
        <v>#VALUE!</v>
      </c>
      <c r="AO21" s="62" t="str">
        <f t="shared" si="3"/>
        <v>#VALUE!</v>
      </c>
      <c r="AP21" s="63" t="str">
        <f t="shared" si="3"/>
        <v>#VALUE!</v>
      </c>
      <c r="AQ21" s="61" t="str">
        <f t="shared" si="3"/>
        <v>#VALUE!</v>
      </c>
      <c r="AR21" s="62" t="str">
        <f t="shared" si="3"/>
        <v>#VALUE!</v>
      </c>
      <c r="AS21" s="63" t="str">
        <f t="shared" si="3"/>
        <v>#VALUE!</v>
      </c>
    </row>
    <row r="22" ht="12.0" customHeight="1">
      <c r="B22" s="4" t="s">
        <v>249</v>
      </c>
      <c r="D22" s="64"/>
      <c r="E22" s="4"/>
      <c r="F22" s="65"/>
      <c r="G22" s="61">
        <f t="shared" ref="G22:AS22" si="4">G11-G19</f>
        <v>-387560</v>
      </c>
      <c r="H22" s="62">
        <f t="shared" si="4"/>
        <v>-387560</v>
      </c>
      <c r="I22" s="63">
        <f t="shared" si="4"/>
        <v>-387560</v>
      </c>
      <c r="J22" s="61">
        <f t="shared" si="4"/>
        <v>-387560</v>
      </c>
      <c r="K22" s="62">
        <f t="shared" si="4"/>
        <v>-387560</v>
      </c>
      <c r="L22" s="63">
        <f t="shared" si="4"/>
        <v>-350220</v>
      </c>
      <c r="M22" s="62" t="str">
        <f t="shared" si="4"/>
        <v>#VALUE!</v>
      </c>
      <c r="N22" s="62" t="str">
        <f t="shared" si="4"/>
        <v>#VALUE!</v>
      </c>
      <c r="O22" s="63" t="str">
        <f t="shared" si="4"/>
        <v>#VALUE!</v>
      </c>
      <c r="P22" s="61" t="str">
        <f t="shared" si="4"/>
        <v>#VALUE!</v>
      </c>
      <c r="Q22" s="62" t="str">
        <f t="shared" si="4"/>
        <v>#VALUE!</v>
      </c>
      <c r="R22" s="63" t="str">
        <f t="shared" si="4"/>
        <v>#VALUE!</v>
      </c>
      <c r="S22" s="61" t="str">
        <f t="shared" si="4"/>
        <v>#VALUE!</v>
      </c>
      <c r="T22" s="62" t="str">
        <f t="shared" si="4"/>
        <v>#VALUE!</v>
      </c>
      <c r="U22" s="63" t="str">
        <f t="shared" si="4"/>
        <v>#VALUE!</v>
      </c>
      <c r="V22" s="61" t="str">
        <f t="shared" si="4"/>
        <v>#VALUE!</v>
      </c>
      <c r="W22" s="62" t="str">
        <f t="shared" si="4"/>
        <v>#VALUE!</v>
      </c>
      <c r="X22" s="63" t="str">
        <f t="shared" si="4"/>
        <v>#VALUE!</v>
      </c>
      <c r="Y22" s="61" t="str">
        <f t="shared" si="4"/>
        <v>#VALUE!</v>
      </c>
      <c r="Z22" s="62" t="str">
        <f t="shared" si="4"/>
        <v>#VALUE!</v>
      </c>
      <c r="AA22" s="63" t="str">
        <f t="shared" si="4"/>
        <v>#VALUE!</v>
      </c>
      <c r="AB22" s="61" t="str">
        <f t="shared" si="4"/>
        <v>#VALUE!</v>
      </c>
      <c r="AC22" s="62" t="str">
        <f t="shared" si="4"/>
        <v>#VALUE!</v>
      </c>
      <c r="AD22" s="63" t="str">
        <f t="shared" si="4"/>
        <v>#VALUE!</v>
      </c>
      <c r="AE22" s="61" t="str">
        <f t="shared" si="4"/>
        <v>#VALUE!</v>
      </c>
      <c r="AF22" s="62" t="str">
        <f t="shared" si="4"/>
        <v>#VALUE!</v>
      </c>
      <c r="AG22" s="63" t="str">
        <f t="shared" si="4"/>
        <v>#VALUE!</v>
      </c>
      <c r="AH22" s="61" t="str">
        <f t="shared" si="4"/>
        <v>#VALUE!</v>
      </c>
      <c r="AI22" s="62" t="str">
        <f t="shared" si="4"/>
        <v>#VALUE!</v>
      </c>
      <c r="AJ22" s="63" t="str">
        <f t="shared" si="4"/>
        <v>#VALUE!</v>
      </c>
      <c r="AK22" s="61" t="str">
        <f t="shared" si="4"/>
        <v>#VALUE!</v>
      </c>
      <c r="AL22" s="62" t="str">
        <f t="shared" si="4"/>
        <v>#VALUE!</v>
      </c>
      <c r="AM22" s="63" t="str">
        <f t="shared" si="4"/>
        <v>#VALUE!</v>
      </c>
      <c r="AN22" s="61" t="str">
        <f t="shared" si="4"/>
        <v>#VALUE!</v>
      </c>
      <c r="AO22" s="62" t="str">
        <f t="shared" si="4"/>
        <v>#VALUE!</v>
      </c>
      <c r="AP22" s="63" t="str">
        <f t="shared" si="4"/>
        <v>#VALUE!</v>
      </c>
      <c r="AQ22" s="61" t="str">
        <f t="shared" si="4"/>
        <v>#VALUE!</v>
      </c>
      <c r="AR22" s="62" t="str">
        <f t="shared" si="4"/>
        <v>#VALUE!</v>
      </c>
      <c r="AS22" s="63" t="str">
        <f t="shared" si="4"/>
        <v>#VALUE!</v>
      </c>
    </row>
    <row r="23" ht="12.0" customHeight="1">
      <c r="B23" s="4" t="s">
        <v>10</v>
      </c>
      <c r="D23" s="208"/>
      <c r="E23" s="231"/>
      <c r="F23" s="232"/>
      <c r="G23" s="61">
        <f t="shared" ref="G23:AS23" si="5">SUM(G21:G22)</f>
        <v>2612440</v>
      </c>
      <c r="H23" s="62">
        <f t="shared" si="5"/>
        <v>2224880</v>
      </c>
      <c r="I23" s="63">
        <f t="shared" si="5"/>
        <v>1837320</v>
      </c>
      <c r="J23" s="62">
        <f t="shared" si="5"/>
        <v>1449760</v>
      </c>
      <c r="K23" s="62">
        <f t="shared" si="5"/>
        <v>1062200</v>
      </c>
      <c r="L23" s="63">
        <f t="shared" si="5"/>
        <v>711980</v>
      </c>
      <c r="M23" s="62" t="str">
        <f t="shared" si="5"/>
        <v>#VALUE!</v>
      </c>
      <c r="N23" s="62" t="str">
        <f t="shared" si="5"/>
        <v>#VALUE!</v>
      </c>
      <c r="O23" s="63" t="str">
        <f t="shared" si="5"/>
        <v>#VALUE!</v>
      </c>
      <c r="P23" s="61" t="str">
        <f t="shared" si="5"/>
        <v>#VALUE!</v>
      </c>
      <c r="Q23" s="62" t="str">
        <f t="shared" si="5"/>
        <v>#VALUE!</v>
      </c>
      <c r="R23" s="63" t="str">
        <f t="shared" si="5"/>
        <v>#VALUE!</v>
      </c>
      <c r="S23" s="61" t="str">
        <f t="shared" si="5"/>
        <v>#VALUE!</v>
      </c>
      <c r="T23" s="62" t="str">
        <f t="shared" si="5"/>
        <v>#VALUE!</v>
      </c>
      <c r="U23" s="63" t="str">
        <f t="shared" si="5"/>
        <v>#VALUE!</v>
      </c>
      <c r="V23" s="61" t="str">
        <f t="shared" si="5"/>
        <v>#VALUE!</v>
      </c>
      <c r="W23" s="62" t="str">
        <f t="shared" si="5"/>
        <v>#VALUE!</v>
      </c>
      <c r="X23" s="63" t="str">
        <f t="shared" si="5"/>
        <v>#VALUE!</v>
      </c>
      <c r="Y23" s="61" t="str">
        <f t="shared" si="5"/>
        <v>#VALUE!</v>
      </c>
      <c r="Z23" s="62" t="str">
        <f t="shared" si="5"/>
        <v>#VALUE!</v>
      </c>
      <c r="AA23" s="63" t="str">
        <f t="shared" si="5"/>
        <v>#VALUE!</v>
      </c>
      <c r="AB23" s="61" t="str">
        <f t="shared" si="5"/>
        <v>#VALUE!</v>
      </c>
      <c r="AC23" s="62" t="str">
        <f t="shared" si="5"/>
        <v>#VALUE!</v>
      </c>
      <c r="AD23" s="63" t="str">
        <f t="shared" si="5"/>
        <v>#VALUE!</v>
      </c>
      <c r="AE23" s="61" t="str">
        <f t="shared" si="5"/>
        <v>#VALUE!</v>
      </c>
      <c r="AF23" s="62" t="str">
        <f t="shared" si="5"/>
        <v>#VALUE!</v>
      </c>
      <c r="AG23" s="63" t="str">
        <f t="shared" si="5"/>
        <v>#VALUE!</v>
      </c>
      <c r="AH23" s="61" t="str">
        <f t="shared" si="5"/>
        <v>#VALUE!</v>
      </c>
      <c r="AI23" s="62" t="str">
        <f t="shared" si="5"/>
        <v>#VALUE!</v>
      </c>
      <c r="AJ23" s="63" t="str">
        <f t="shared" si="5"/>
        <v>#VALUE!</v>
      </c>
      <c r="AK23" s="61" t="str">
        <f t="shared" si="5"/>
        <v>#VALUE!</v>
      </c>
      <c r="AL23" s="62" t="str">
        <f t="shared" si="5"/>
        <v>#VALUE!</v>
      </c>
      <c r="AM23" s="63" t="str">
        <f t="shared" si="5"/>
        <v>#VALUE!</v>
      </c>
      <c r="AN23" s="61" t="str">
        <f t="shared" si="5"/>
        <v>#VALUE!</v>
      </c>
      <c r="AO23" s="62" t="str">
        <f t="shared" si="5"/>
        <v>#VALUE!</v>
      </c>
      <c r="AP23" s="63" t="str">
        <f t="shared" si="5"/>
        <v>#VALUE!</v>
      </c>
      <c r="AQ23" s="61" t="str">
        <f t="shared" si="5"/>
        <v>#VALUE!</v>
      </c>
      <c r="AR23" s="62" t="str">
        <f t="shared" si="5"/>
        <v>#VALUE!</v>
      </c>
      <c r="AS23" s="63" t="str">
        <f t="shared" si="5"/>
        <v>#VALUE!</v>
      </c>
    </row>
    <row r="24" ht="12.0" customHeight="1">
      <c r="B24" s="4" t="s">
        <v>250</v>
      </c>
      <c r="D24" s="64"/>
      <c r="E24" s="4"/>
      <c r="F24" s="65"/>
      <c r="G24" s="64"/>
      <c r="H24" s="4"/>
      <c r="I24" s="65"/>
      <c r="J24" s="34"/>
      <c r="K24" s="35"/>
      <c r="L24" s="36"/>
      <c r="M24" s="35" t="str">
        <f>IF(M23&lt;Macro!$D$6,1,0)</f>
        <v>#VALUE!</v>
      </c>
      <c r="N24" s="35" t="str">
        <f>IF(N23&lt;Macro!$D$6,1,0)</f>
        <v>#VALUE!</v>
      </c>
      <c r="O24" s="36" t="str">
        <f>IF(O23&lt;Macro!$D$6,1,0)</f>
        <v>#VALUE!</v>
      </c>
      <c r="P24" s="34" t="str">
        <f>IF(P23&lt;Macro!$D$6,1,0)</f>
        <v>#VALUE!</v>
      </c>
      <c r="Q24" s="35" t="str">
        <f>IF(Q23&lt;Macro!$D$6,1,0)</f>
        <v>#VALUE!</v>
      </c>
      <c r="R24" s="36" t="str">
        <f>IF(R23&lt;Macro!$D$6,1,0)</f>
        <v>#VALUE!</v>
      </c>
      <c r="S24" s="34" t="str">
        <f>IF(S23&lt;Macro!$D$6,1,0)</f>
        <v>#VALUE!</v>
      </c>
      <c r="T24" s="35" t="str">
        <f>IF(T23&lt;Macro!$D$6,1,0)</f>
        <v>#VALUE!</v>
      </c>
      <c r="U24" s="36" t="str">
        <f>IF(U23&lt;Macro!$D$6,1,0)</f>
        <v>#VALUE!</v>
      </c>
      <c r="V24" s="34" t="str">
        <f>IF(V23&lt;Macro!$D$6,1,0)</f>
        <v>#VALUE!</v>
      </c>
      <c r="W24" s="35" t="str">
        <f>IF(W23&lt;Macro!$D$6,1,0)</f>
        <v>#VALUE!</v>
      </c>
      <c r="X24" s="36" t="str">
        <f>IF(X23&lt;Macro!$D$6,1,0)</f>
        <v>#VALUE!</v>
      </c>
      <c r="Y24" s="34" t="str">
        <f>IF(Y23&lt;Macro!$D$6,1,0)</f>
        <v>#VALUE!</v>
      </c>
      <c r="Z24" s="35" t="str">
        <f>IF(Z23&lt;Macro!$D$6,1,0)</f>
        <v>#VALUE!</v>
      </c>
      <c r="AA24" s="36" t="str">
        <f>IF(AA23&lt;Macro!$D$6,1,0)</f>
        <v>#VALUE!</v>
      </c>
      <c r="AB24" s="34" t="str">
        <f>IF(AB23&lt;Macro!$D$6,1,0)</f>
        <v>#VALUE!</v>
      </c>
      <c r="AC24" s="35" t="str">
        <f>IF(AC23&lt;Macro!$D$6,1,0)</f>
        <v>#VALUE!</v>
      </c>
      <c r="AD24" s="36" t="str">
        <f>IF(AD23&lt;Macro!$D$6,1,0)</f>
        <v>#VALUE!</v>
      </c>
      <c r="AE24" s="34" t="str">
        <f>IF(AE23&lt;Macro!$D$6,1,0)</f>
        <v>#VALUE!</v>
      </c>
      <c r="AF24" s="35" t="str">
        <f>IF(AF23&lt;Macro!$D$6,1,0)</f>
        <v>#VALUE!</v>
      </c>
      <c r="AG24" s="36" t="str">
        <f>IF(AG23&lt;Macro!$D$6,1,0)</f>
        <v>#VALUE!</v>
      </c>
      <c r="AH24" s="34" t="str">
        <f>IF(AH23&lt;Macro!$D$6,1,0)</f>
        <v>#VALUE!</v>
      </c>
      <c r="AI24" s="35" t="str">
        <f>IF(AI23&lt;Macro!$D$6,1,0)</f>
        <v>#VALUE!</v>
      </c>
      <c r="AJ24" s="36" t="str">
        <f>IF(AJ23&lt;Macro!$D$6,1,0)</f>
        <v>#VALUE!</v>
      </c>
      <c r="AK24" s="34" t="str">
        <f>IF(AK23&lt;Macro!$D$6,1,0)</f>
        <v>#VALUE!</v>
      </c>
      <c r="AL24" s="35" t="str">
        <f>IF(AL23&lt;Macro!$D$6,1,0)</f>
        <v>#VALUE!</v>
      </c>
      <c r="AM24" s="36" t="str">
        <f>IF(AM23&lt;Macro!$D$6,1,0)</f>
        <v>#VALUE!</v>
      </c>
      <c r="AN24" s="34" t="str">
        <f>IF(AN23&lt;Macro!$D$6,1,0)</f>
        <v>#VALUE!</v>
      </c>
      <c r="AO24" s="35" t="str">
        <f>IF(AO23&lt;Macro!$D$6,1,0)</f>
        <v>#VALUE!</v>
      </c>
      <c r="AP24" s="36" t="str">
        <f>IF(AP23&lt;Macro!$D$6,1,0)</f>
        <v>#VALUE!</v>
      </c>
      <c r="AQ24" s="34" t="str">
        <f>IF(AQ23&lt;Macro!$D$6,1,0)</f>
        <v>#VALUE!</v>
      </c>
      <c r="AR24" s="35" t="str">
        <f>IF(AR23&lt;Macro!$D$6,1,0)</f>
        <v>#VALUE!</v>
      </c>
      <c r="AS24" s="36" t="str">
        <f>IF(AS23&lt;Macro!$D$6,1,0)</f>
        <v>#VALUE!</v>
      </c>
    </row>
    <row r="25" ht="12.0" customHeight="1">
      <c r="B25" s="4" t="s">
        <v>251</v>
      </c>
      <c r="D25" s="124"/>
      <c r="E25" s="125"/>
      <c r="F25" s="126"/>
      <c r="G25" s="326">
        <f t="shared" ref="G25:AS25" si="6">G22-G10</f>
        <v>-387560</v>
      </c>
      <c r="H25" s="327">
        <f t="shared" si="6"/>
        <v>-387560</v>
      </c>
      <c r="I25" s="328">
        <f t="shared" si="6"/>
        <v>-387560</v>
      </c>
      <c r="J25" s="326">
        <f t="shared" si="6"/>
        <v>-387560</v>
      </c>
      <c r="K25" s="327">
        <f t="shared" si="6"/>
        <v>-387560</v>
      </c>
      <c r="L25" s="328">
        <f t="shared" si="6"/>
        <v>-350220</v>
      </c>
      <c r="M25" s="327" t="str">
        <f t="shared" si="6"/>
        <v>#VALUE!</v>
      </c>
      <c r="N25" s="327" t="str">
        <f t="shared" si="6"/>
        <v>#VALUE!</v>
      </c>
      <c r="O25" s="328" t="str">
        <f t="shared" si="6"/>
        <v>#VALUE!</v>
      </c>
      <c r="P25" s="326" t="str">
        <f t="shared" si="6"/>
        <v>#VALUE!</v>
      </c>
      <c r="Q25" s="327" t="str">
        <f t="shared" si="6"/>
        <v>#VALUE!</v>
      </c>
      <c r="R25" s="328" t="str">
        <f t="shared" si="6"/>
        <v>#VALUE!</v>
      </c>
      <c r="S25" s="326" t="str">
        <f t="shared" si="6"/>
        <v>#VALUE!</v>
      </c>
      <c r="T25" s="327" t="str">
        <f t="shared" si="6"/>
        <v>#VALUE!</v>
      </c>
      <c r="U25" s="328" t="str">
        <f t="shared" si="6"/>
        <v>#VALUE!</v>
      </c>
      <c r="V25" s="326" t="str">
        <f t="shared" si="6"/>
        <v>#VALUE!</v>
      </c>
      <c r="W25" s="327" t="str">
        <f t="shared" si="6"/>
        <v>#VALUE!</v>
      </c>
      <c r="X25" s="328" t="str">
        <f t="shared" si="6"/>
        <v>#VALUE!</v>
      </c>
      <c r="Y25" s="326" t="str">
        <f t="shared" si="6"/>
        <v>#VALUE!</v>
      </c>
      <c r="Z25" s="327" t="str">
        <f t="shared" si="6"/>
        <v>#VALUE!</v>
      </c>
      <c r="AA25" s="328" t="str">
        <f t="shared" si="6"/>
        <v>#VALUE!</v>
      </c>
      <c r="AB25" s="326" t="str">
        <f t="shared" si="6"/>
        <v>#VALUE!</v>
      </c>
      <c r="AC25" s="327" t="str">
        <f t="shared" si="6"/>
        <v>#VALUE!</v>
      </c>
      <c r="AD25" s="328" t="str">
        <f t="shared" si="6"/>
        <v>#VALUE!</v>
      </c>
      <c r="AE25" s="326" t="str">
        <f t="shared" si="6"/>
        <v>#VALUE!</v>
      </c>
      <c r="AF25" s="327" t="str">
        <f t="shared" si="6"/>
        <v>#VALUE!</v>
      </c>
      <c r="AG25" s="328" t="str">
        <f t="shared" si="6"/>
        <v>#VALUE!</v>
      </c>
      <c r="AH25" s="326" t="str">
        <f t="shared" si="6"/>
        <v>#VALUE!</v>
      </c>
      <c r="AI25" s="327" t="str">
        <f t="shared" si="6"/>
        <v>#VALUE!</v>
      </c>
      <c r="AJ25" s="328" t="str">
        <f t="shared" si="6"/>
        <v>#VALUE!</v>
      </c>
      <c r="AK25" s="326" t="str">
        <f t="shared" si="6"/>
        <v>#VALUE!</v>
      </c>
      <c r="AL25" s="327" t="str">
        <f t="shared" si="6"/>
        <v>#VALUE!</v>
      </c>
      <c r="AM25" s="328" t="str">
        <f t="shared" si="6"/>
        <v>#VALUE!</v>
      </c>
      <c r="AN25" s="326" t="str">
        <f t="shared" si="6"/>
        <v>#VALUE!</v>
      </c>
      <c r="AO25" s="327" t="str">
        <f t="shared" si="6"/>
        <v>#VALUE!</v>
      </c>
      <c r="AP25" s="328" t="str">
        <f t="shared" si="6"/>
        <v>#VALUE!</v>
      </c>
      <c r="AQ25" s="326" t="str">
        <f t="shared" si="6"/>
        <v>#VALUE!</v>
      </c>
      <c r="AR25" s="327" t="str">
        <f t="shared" si="6"/>
        <v>#VALUE!</v>
      </c>
      <c r="AS25" s="328" t="str">
        <f t="shared" si="6"/>
        <v>#VALUE!</v>
      </c>
    </row>
    <row r="26" ht="12.0" customHeight="1">
      <c r="D26" s="6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</row>
    <row r="27" ht="12.0" hidden="1" customHeight="1">
      <c r="D27" s="64"/>
      <c r="E27" s="4"/>
      <c r="F27" s="4"/>
      <c r="G27" s="4"/>
      <c r="H27" s="4"/>
      <c r="I27" s="4"/>
      <c r="J27" s="210"/>
      <c r="K27" s="210"/>
      <c r="L27" s="210"/>
      <c r="M27" s="210"/>
      <c r="N27" s="210"/>
      <c r="O27" s="210"/>
      <c r="P27" s="210"/>
      <c r="Q27" s="210"/>
      <c r="R27" s="210"/>
      <c r="S27" s="210"/>
      <c r="T27" s="210"/>
      <c r="U27" s="210"/>
      <c r="V27" s="210"/>
      <c r="W27" s="210"/>
      <c r="X27" s="210"/>
      <c r="Y27" s="210"/>
      <c r="Z27" s="210"/>
      <c r="AA27" s="210"/>
      <c r="AB27" s="210"/>
      <c r="AC27" s="210"/>
      <c r="AD27" s="210"/>
      <c r="AE27" s="210"/>
      <c r="AF27" s="210"/>
      <c r="AG27" s="210"/>
      <c r="AH27" s="210"/>
      <c r="AI27" s="210"/>
      <c r="AJ27" s="210"/>
      <c r="AK27" s="210"/>
      <c r="AL27" s="210"/>
      <c r="AM27" s="210"/>
      <c r="AN27" s="210"/>
      <c r="AO27" s="210"/>
      <c r="AP27" s="210"/>
      <c r="AQ27" s="210"/>
      <c r="AR27" s="210"/>
      <c r="AS27" s="210"/>
    </row>
    <row r="28" ht="12.0" hidden="1" customHeight="1">
      <c r="D28" s="64"/>
      <c r="E28" s="4"/>
      <c r="F28" s="4"/>
      <c r="G28" s="4"/>
      <c r="H28" s="4"/>
      <c r="I28" s="4"/>
      <c r="J28" s="210"/>
      <c r="K28" s="210"/>
      <c r="L28" s="210"/>
      <c r="M28" s="210"/>
      <c r="N28" s="210"/>
      <c r="O28" s="210"/>
      <c r="P28" s="210"/>
      <c r="Q28" s="210"/>
      <c r="R28" s="210"/>
      <c r="S28" s="210"/>
      <c r="T28" s="210"/>
      <c r="U28" s="210"/>
      <c r="V28" s="210"/>
      <c r="W28" s="210"/>
      <c r="X28" s="210"/>
      <c r="Y28" s="210"/>
      <c r="Z28" s="210"/>
      <c r="AA28" s="210"/>
      <c r="AB28" s="210"/>
      <c r="AC28" s="210"/>
      <c r="AD28" s="210"/>
      <c r="AE28" s="210"/>
      <c r="AF28" s="210"/>
      <c r="AG28" s="210"/>
      <c r="AH28" s="210"/>
      <c r="AI28" s="210"/>
      <c r="AJ28" s="210"/>
      <c r="AK28" s="210"/>
      <c r="AL28" s="210"/>
      <c r="AM28" s="210"/>
      <c r="AN28" s="210"/>
      <c r="AO28" s="210"/>
      <c r="AP28" s="210"/>
      <c r="AQ28" s="210"/>
      <c r="AR28" s="210"/>
      <c r="AS28" s="210"/>
    </row>
    <row r="29" ht="12.0" hidden="1" customHeight="1">
      <c r="D29" s="64"/>
      <c r="E29" s="4"/>
      <c r="F29" s="4"/>
      <c r="G29" s="4"/>
      <c r="H29" s="4"/>
      <c r="I29" s="4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0"/>
      <c r="U29" s="210"/>
      <c r="V29" s="210"/>
      <c r="W29" s="210"/>
      <c r="X29" s="210"/>
      <c r="Y29" s="210"/>
      <c r="Z29" s="210"/>
      <c r="AA29" s="210"/>
      <c r="AB29" s="210"/>
      <c r="AC29" s="210"/>
      <c r="AD29" s="210"/>
      <c r="AE29" s="210"/>
      <c r="AF29" s="210"/>
      <c r="AG29" s="210"/>
      <c r="AH29" s="210"/>
      <c r="AI29" s="210"/>
      <c r="AJ29" s="210"/>
      <c r="AK29" s="210"/>
      <c r="AL29" s="210"/>
      <c r="AM29" s="210"/>
      <c r="AN29" s="210"/>
      <c r="AO29" s="210"/>
      <c r="AP29" s="210"/>
      <c r="AQ29" s="210"/>
      <c r="AR29" s="210"/>
      <c r="AS29" s="210"/>
    </row>
    <row r="30" ht="12.0" hidden="1" customHeight="1">
      <c r="D30" s="64"/>
      <c r="E30" s="4"/>
      <c r="F30" s="4"/>
      <c r="G30" s="4"/>
      <c r="H30" s="4"/>
      <c r="I30" s="4"/>
      <c r="J30" s="330"/>
      <c r="K30" s="210"/>
      <c r="L30" s="210"/>
      <c r="M30" s="210"/>
      <c r="N30" s="210"/>
      <c r="O30" s="210"/>
      <c r="P30" s="210"/>
      <c r="Q30" s="210"/>
      <c r="R30" s="210"/>
      <c r="S30" s="210"/>
      <c r="T30" s="210"/>
      <c r="U30" s="210"/>
      <c r="V30" s="210"/>
      <c r="W30" s="210"/>
      <c r="X30" s="210"/>
      <c r="Y30" s="210"/>
      <c r="Z30" s="210"/>
      <c r="AA30" s="210"/>
      <c r="AB30" s="210"/>
      <c r="AC30" s="210"/>
      <c r="AD30" s="210"/>
      <c r="AE30" s="210"/>
      <c r="AF30" s="210"/>
      <c r="AG30" s="210"/>
      <c r="AH30" s="210"/>
      <c r="AI30" s="210"/>
      <c r="AJ30" s="210"/>
      <c r="AK30" s="210"/>
      <c r="AL30" s="210"/>
      <c r="AM30" s="210"/>
      <c r="AN30" s="210"/>
      <c r="AO30" s="210"/>
      <c r="AP30" s="210"/>
      <c r="AQ30" s="210"/>
      <c r="AR30" s="210"/>
      <c r="AS30" s="210"/>
    </row>
    <row r="31" ht="12.0" hidden="1" customHeight="1">
      <c r="B31" s="4"/>
      <c r="C31" s="4"/>
      <c r="D31" s="64"/>
      <c r="E31" s="4"/>
      <c r="F31" s="4"/>
      <c r="G31" s="4"/>
      <c r="H31" s="4"/>
      <c r="I31" s="4"/>
      <c r="J31" s="330"/>
      <c r="K31" s="210"/>
      <c r="L31" s="210"/>
      <c r="M31" s="210"/>
      <c r="N31" s="210"/>
      <c r="O31" s="210"/>
      <c r="P31" s="210"/>
      <c r="Q31" s="210"/>
      <c r="R31" s="210"/>
      <c r="S31" s="210"/>
      <c r="T31" s="210"/>
      <c r="U31" s="210"/>
      <c r="V31" s="210"/>
      <c r="W31" s="210"/>
      <c r="X31" s="210"/>
      <c r="Y31" s="210"/>
      <c r="Z31" s="210"/>
      <c r="AA31" s="210"/>
      <c r="AB31" s="210"/>
      <c r="AC31" s="210"/>
      <c r="AD31" s="210"/>
      <c r="AE31" s="210"/>
      <c r="AF31" s="210"/>
      <c r="AG31" s="210"/>
      <c r="AH31" s="210"/>
      <c r="AI31" s="210"/>
      <c r="AJ31" s="210"/>
      <c r="AK31" s="210"/>
      <c r="AL31" s="210"/>
      <c r="AM31" s="210"/>
      <c r="AN31" s="210"/>
      <c r="AO31" s="210"/>
      <c r="AP31" s="210"/>
      <c r="AQ31" s="210"/>
      <c r="AR31" s="210"/>
      <c r="AS31" s="210"/>
    </row>
    <row r="32" ht="12.0" hidden="1" customHeight="1">
      <c r="B32" s="4"/>
      <c r="C32" s="4"/>
      <c r="D32" s="64"/>
      <c r="E32" s="4"/>
      <c r="F32" s="4"/>
      <c r="G32" s="4"/>
      <c r="H32" s="4"/>
      <c r="I32" s="4"/>
      <c r="J32" s="330"/>
      <c r="K32" s="210"/>
      <c r="L32" s="210"/>
      <c r="M32" s="210"/>
      <c r="N32" s="210"/>
      <c r="O32" s="210"/>
      <c r="P32" s="210"/>
      <c r="Q32" s="210"/>
      <c r="R32" s="210"/>
      <c r="S32" s="210"/>
      <c r="T32" s="210"/>
      <c r="U32" s="210"/>
      <c r="V32" s="210"/>
      <c r="W32" s="210"/>
      <c r="X32" s="210"/>
      <c r="Y32" s="210"/>
      <c r="Z32" s="210"/>
      <c r="AA32" s="210"/>
      <c r="AB32" s="210"/>
      <c r="AC32" s="210"/>
      <c r="AD32" s="210"/>
      <c r="AE32" s="210"/>
      <c r="AF32" s="210"/>
      <c r="AG32" s="210"/>
      <c r="AH32" s="210"/>
      <c r="AI32" s="210"/>
      <c r="AJ32" s="210"/>
      <c r="AK32" s="210"/>
      <c r="AL32" s="210"/>
      <c r="AM32" s="210"/>
      <c r="AN32" s="210"/>
      <c r="AO32" s="210"/>
      <c r="AP32" s="210"/>
      <c r="AQ32" s="210"/>
      <c r="AR32" s="210"/>
      <c r="AS32" s="210"/>
    </row>
    <row r="33" ht="12.0" hidden="1" customHeight="1">
      <c r="C33" s="4"/>
      <c r="D33" s="64"/>
      <c r="E33" s="4"/>
      <c r="F33" s="4"/>
      <c r="G33" s="4"/>
      <c r="H33" s="4"/>
      <c r="I33" s="4"/>
      <c r="J33" s="330"/>
      <c r="K33" s="210"/>
      <c r="L33" s="210"/>
      <c r="M33" s="210"/>
      <c r="N33" s="210"/>
      <c r="O33" s="210"/>
      <c r="P33" s="210"/>
      <c r="Q33" s="210"/>
      <c r="R33" s="210"/>
      <c r="S33" s="210"/>
      <c r="T33" s="210"/>
      <c r="U33" s="210"/>
      <c r="V33" s="210"/>
      <c r="W33" s="210"/>
      <c r="X33" s="210"/>
      <c r="Y33" s="210"/>
      <c r="Z33" s="210"/>
      <c r="AA33" s="210"/>
      <c r="AB33" s="210"/>
      <c r="AC33" s="210"/>
      <c r="AD33" s="210"/>
      <c r="AE33" s="210"/>
      <c r="AF33" s="210"/>
      <c r="AG33" s="210"/>
      <c r="AH33" s="210"/>
      <c r="AI33" s="210"/>
      <c r="AJ33" s="210"/>
      <c r="AK33" s="210"/>
      <c r="AL33" s="210"/>
      <c r="AM33" s="210"/>
      <c r="AN33" s="210"/>
      <c r="AO33" s="210"/>
      <c r="AP33" s="210"/>
      <c r="AQ33" s="210"/>
      <c r="AR33" s="210"/>
      <c r="AS33" s="210"/>
    </row>
    <row r="34" ht="12.0" hidden="1" customHeight="1">
      <c r="D34" s="64"/>
      <c r="E34" s="4"/>
      <c r="F34" s="4"/>
      <c r="G34" s="4"/>
      <c r="H34" s="4"/>
      <c r="I34" s="4"/>
      <c r="J34" s="210"/>
      <c r="K34" s="210"/>
      <c r="L34" s="210"/>
      <c r="M34" s="210"/>
      <c r="N34" s="210"/>
      <c r="O34" s="210"/>
      <c r="P34" s="210"/>
      <c r="Q34" s="210"/>
      <c r="R34" s="210"/>
      <c r="S34" s="210"/>
      <c r="T34" s="210"/>
      <c r="U34" s="210"/>
      <c r="V34" s="210"/>
      <c r="W34" s="210"/>
      <c r="X34" s="210"/>
      <c r="Y34" s="210"/>
      <c r="Z34" s="210"/>
      <c r="AA34" s="210"/>
      <c r="AB34" s="210"/>
      <c r="AC34" s="210"/>
      <c r="AD34" s="210"/>
      <c r="AE34" s="210"/>
      <c r="AF34" s="210"/>
      <c r="AG34" s="210"/>
      <c r="AH34" s="210"/>
      <c r="AI34" s="210"/>
      <c r="AJ34" s="210"/>
      <c r="AK34" s="210"/>
      <c r="AL34" s="210"/>
      <c r="AM34" s="210"/>
      <c r="AN34" s="210"/>
      <c r="AO34" s="210"/>
      <c r="AP34" s="210"/>
      <c r="AQ34" s="210"/>
      <c r="AR34" s="210"/>
      <c r="AS34" s="210"/>
    </row>
    <row r="35" ht="12.0" hidden="1" customHeight="1">
      <c r="D35" s="64"/>
      <c r="E35" s="4"/>
      <c r="F35" s="4"/>
      <c r="G35" s="4"/>
      <c r="H35" s="4"/>
      <c r="I35" s="4"/>
      <c r="J35" s="210"/>
      <c r="K35" s="210"/>
      <c r="L35" s="210"/>
      <c r="M35" s="210"/>
      <c r="N35" s="210"/>
      <c r="O35" s="210"/>
      <c r="P35" s="210"/>
      <c r="Q35" s="210"/>
      <c r="R35" s="210"/>
      <c r="S35" s="210"/>
      <c r="T35" s="210"/>
      <c r="U35" s="210"/>
      <c r="V35" s="210"/>
      <c r="W35" s="210"/>
      <c r="X35" s="210"/>
      <c r="Y35" s="210"/>
      <c r="Z35" s="210"/>
      <c r="AA35" s="210"/>
      <c r="AB35" s="210"/>
      <c r="AC35" s="210"/>
      <c r="AD35" s="210"/>
      <c r="AE35" s="210"/>
      <c r="AF35" s="210"/>
      <c r="AG35" s="210"/>
      <c r="AH35" s="210"/>
      <c r="AI35" s="210"/>
      <c r="AJ35" s="210"/>
      <c r="AK35" s="210"/>
      <c r="AL35" s="210"/>
      <c r="AM35" s="210"/>
      <c r="AN35" s="210"/>
      <c r="AO35" s="210"/>
      <c r="AP35" s="210"/>
      <c r="AQ35" s="210"/>
      <c r="AR35" s="210"/>
      <c r="AS35" s="210"/>
    </row>
    <row r="36" ht="12.0" hidden="1" customHeight="1">
      <c r="D36" s="64"/>
      <c r="E36" s="4"/>
      <c r="F36" s="4"/>
      <c r="G36" s="4"/>
      <c r="H36" s="4"/>
      <c r="I36" s="4"/>
      <c r="J36" s="210"/>
      <c r="K36" s="210"/>
      <c r="L36" s="210"/>
      <c r="M36" s="210"/>
      <c r="N36" s="210"/>
      <c r="O36" s="210"/>
      <c r="P36" s="210"/>
      <c r="Q36" s="210"/>
      <c r="R36" s="210"/>
      <c r="S36" s="210"/>
      <c r="T36" s="210"/>
      <c r="U36" s="210"/>
      <c r="V36" s="210"/>
      <c r="W36" s="210"/>
      <c r="X36" s="210"/>
      <c r="Y36" s="210"/>
      <c r="Z36" s="210"/>
      <c r="AA36" s="210"/>
      <c r="AB36" s="210"/>
      <c r="AC36" s="210"/>
      <c r="AD36" s="210"/>
      <c r="AE36" s="210"/>
      <c r="AF36" s="210"/>
      <c r="AG36" s="210"/>
      <c r="AH36" s="210"/>
      <c r="AI36" s="210"/>
      <c r="AJ36" s="210"/>
      <c r="AK36" s="210"/>
      <c r="AL36" s="210"/>
      <c r="AM36" s="210"/>
      <c r="AN36" s="210"/>
      <c r="AO36" s="210"/>
      <c r="AP36" s="210"/>
      <c r="AQ36" s="210"/>
      <c r="AR36" s="210"/>
      <c r="AS36" s="210"/>
    </row>
    <row r="37" ht="12.0" hidden="1" customHeight="1">
      <c r="D37" s="64"/>
      <c r="E37" s="4"/>
      <c r="F37" s="4"/>
      <c r="G37" s="4"/>
      <c r="H37" s="4"/>
      <c r="I37" s="4"/>
      <c r="J37" s="210"/>
      <c r="K37" s="210"/>
      <c r="L37" s="210"/>
      <c r="M37" s="210"/>
      <c r="N37" s="210"/>
      <c r="O37" s="210"/>
      <c r="P37" s="210"/>
      <c r="Q37" s="210"/>
      <c r="R37" s="210"/>
      <c r="S37" s="210"/>
      <c r="T37" s="210"/>
      <c r="U37" s="210"/>
      <c r="V37" s="210"/>
      <c r="W37" s="210"/>
      <c r="X37" s="210"/>
      <c r="Y37" s="210"/>
      <c r="Z37" s="210"/>
      <c r="AA37" s="210"/>
      <c r="AB37" s="210"/>
      <c r="AC37" s="210"/>
      <c r="AD37" s="210"/>
      <c r="AE37" s="210"/>
      <c r="AF37" s="210"/>
      <c r="AG37" s="210"/>
      <c r="AH37" s="210"/>
      <c r="AI37" s="210"/>
      <c r="AJ37" s="210"/>
      <c r="AK37" s="210"/>
      <c r="AL37" s="210"/>
      <c r="AM37" s="210"/>
      <c r="AN37" s="210"/>
      <c r="AO37" s="210"/>
      <c r="AP37" s="210"/>
      <c r="AQ37" s="210"/>
      <c r="AR37" s="210"/>
      <c r="AS37" s="210"/>
    </row>
    <row r="38" ht="12.0" hidden="1" customHeight="1">
      <c r="D38" s="64"/>
      <c r="E38" s="4"/>
      <c r="F38" s="4"/>
      <c r="G38" s="4"/>
      <c r="H38" s="4"/>
      <c r="I38" s="4"/>
      <c r="J38" s="210"/>
      <c r="K38" s="210"/>
      <c r="L38" s="210"/>
      <c r="M38" s="210"/>
      <c r="N38" s="210"/>
      <c r="O38" s="210"/>
      <c r="P38" s="210"/>
      <c r="Q38" s="210"/>
      <c r="R38" s="210"/>
      <c r="S38" s="210"/>
      <c r="T38" s="210"/>
      <c r="U38" s="210"/>
      <c r="V38" s="210"/>
      <c r="W38" s="210"/>
      <c r="X38" s="210"/>
      <c r="Y38" s="210"/>
      <c r="Z38" s="210"/>
      <c r="AA38" s="210"/>
      <c r="AB38" s="210"/>
      <c r="AC38" s="210"/>
      <c r="AD38" s="210"/>
      <c r="AE38" s="210"/>
      <c r="AF38" s="210"/>
      <c r="AG38" s="210"/>
      <c r="AH38" s="210"/>
      <c r="AI38" s="210"/>
      <c r="AJ38" s="210"/>
      <c r="AK38" s="210"/>
      <c r="AL38" s="210"/>
      <c r="AM38" s="210"/>
      <c r="AN38" s="210"/>
      <c r="AO38" s="210"/>
      <c r="AP38" s="210"/>
      <c r="AQ38" s="210"/>
      <c r="AR38" s="210"/>
      <c r="AS38" s="210"/>
    </row>
    <row r="39" ht="12.0" hidden="1" customHeight="1">
      <c r="D39" s="64"/>
      <c r="E39" s="4"/>
      <c r="F39" s="4"/>
      <c r="G39" s="4"/>
      <c r="H39" s="4"/>
      <c r="I39" s="4"/>
      <c r="J39" s="210"/>
      <c r="K39" s="210"/>
      <c r="L39" s="210"/>
      <c r="M39" s="210"/>
      <c r="N39" s="210"/>
      <c r="O39" s="210"/>
      <c r="P39" s="210"/>
      <c r="Q39" s="210"/>
      <c r="R39" s="210"/>
      <c r="S39" s="210"/>
      <c r="T39" s="210"/>
      <c r="U39" s="210"/>
      <c r="V39" s="210"/>
      <c r="W39" s="210"/>
      <c r="X39" s="210"/>
      <c r="Y39" s="210"/>
      <c r="Z39" s="210"/>
      <c r="AA39" s="210"/>
      <c r="AB39" s="210"/>
      <c r="AC39" s="210"/>
      <c r="AD39" s="210"/>
      <c r="AE39" s="210"/>
      <c r="AF39" s="210"/>
      <c r="AG39" s="210"/>
      <c r="AH39" s="210"/>
      <c r="AI39" s="210"/>
      <c r="AJ39" s="210"/>
      <c r="AK39" s="210"/>
      <c r="AL39" s="210"/>
      <c r="AM39" s="210"/>
      <c r="AN39" s="210"/>
      <c r="AO39" s="210"/>
      <c r="AP39" s="210"/>
      <c r="AQ39" s="210"/>
      <c r="AR39" s="210"/>
      <c r="AS39" s="210"/>
    </row>
    <row r="40" ht="12.0" hidden="1" customHeight="1">
      <c r="D40" s="64"/>
      <c r="E40" s="4"/>
      <c r="F40" s="4"/>
      <c r="G40" s="4"/>
      <c r="H40" s="4"/>
      <c r="I40" s="4"/>
      <c r="J40" s="210"/>
      <c r="K40" s="210"/>
      <c r="L40" s="210"/>
      <c r="M40" s="210"/>
      <c r="N40" s="210"/>
      <c r="O40" s="210"/>
      <c r="P40" s="210"/>
      <c r="Q40" s="210"/>
      <c r="R40" s="210"/>
      <c r="S40" s="210"/>
      <c r="T40" s="210"/>
      <c r="U40" s="210"/>
      <c r="V40" s="210"/>
      <c r="W40" s="210"/>
      <c r="X40" s="210"/>
      <c r="Y40" s="210"/>
      <c r="Z40" s="210"/>
      <c r="AA40" s="210"/>
      <c r="AB40" s="210"/>
      <c r="AC40" s="210"/>
      <c r="AD40" s="210"/>
      <c r="AE40" s="210"/>
      <c r="AF40" s="210"/>
      <c r="AG40" s="210"/>
      <c r="AH40" s="210"/>
      <c r="AI40" s="210"/>
      <c r="AJ40" s="210"/>
      <c r="AK40" s="210"/>
      <c r="AL40" s="210"/>
      <c r="AM40" s="210"/>
      <c r="AN40" s="210"/>
      <c r="AO40" s="210"/>
      <c r="AP40" s="210"/>
      <c r="AQ40" s="210"/>
      <c r="AR40" s="210"/>
      <c r="AS40" s="210"/>
    </row>
    <row r="41" ht="12.0" hidden="1" customHeight="1">
      <c r="D41" s="64"/>
      <c r="E41" s="4"/>
      <c r="F41" s="4"/>
      <c r="G41" s="4"/>
      <c r="H41" s="4"/>
      <c r="I41" s="4"/>
      <c r="J41" s="210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10"/>
      <c r="W41" s="210"/>
      <c r="X41" s="210"/>
      <c r="Y41" s="210"/>
      <c r="Z41" s="210"/>
      <c r="AA41" s="210"/>
      <c r="AB41" s="210"/>
      <c r="AC41" s="210"/>
      <c r="AD41" s="210"/>
      <c r="AE41" s="210"/>
      <c r="AF41" s="210"/>
      <c r="AG41" s="210"/>
      <c r="AH41" s="210"/>
      <c r="AI41" s="210"/>
      <c r="AJ41" s="210"/>
      <c r="AK41" s="210"/>
      <c r="AL41" s="210"/>
      <c r="AM41" s="210"/>
      <c r="AN41" s="210"/>
      <c r="AO41" s="210"/>
      <c r="AP41" s="210"/>
      <c r="AQ41" s="210"/>
      <c r="AR41" s="210"/>
      <c r="AS41" s="210"/>
    </row>
    <row r="42" ht="12.0" hidden="1" customHeight="1">
      <c r="D42" s="64"/>
      <c r="E42" s="4"/>
      <c r="F42" s="4"/>
      <c r="G42" s="4"/>
      <c r="H42" s="4"/>
      <c r="I42" s="4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  <c r="AA42" s="210"/>
      <c r="AB42" s="210"/>
      <c r="AC42" s="210"/>
      <c r="AD42" s="210"/>
      <c r="AE42" s="210"/>
      <c r="AF42" s="210"/>
      <c r="AG42" s="210"/>
      <c r="AH42" s="210"/>
      <c r="AI42" s="210"/>
      <c r="AJ42" s="210"/>
      <c r="AK42" s="210"/>
      <c r="AL42" s="210"/>
      <c r="AM42" s="210"/>
      <c r="AN42" s="210"/>
      <c r="AO42" s="210"/>
      <c r="AP42" s="210"/>
      <c r="AQ42" s="210"/>
      <c r="AR42" s="210"/>
      <c r="AS42" s="210"/>
    </row>
    <row r="43" ht="12.0" hidden="1" customHeight="1">
      <c r="D43" s="64"/>
      <c r="E43" s="4"/>
      <c r="F43" s="4"/>
      <c r="G43" s="4"/>
      <c r="H43" s="4"/>
      <c r="I43" s="4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  <c r="AA43" s="210"/>
      <c r="AB43" s="210"/>
      <c r="AC43" s="210"/>
      <c r="AD43" s="210"/>
      <c r="AE43" s="210"/>
      <c r="AF43" s="210"/>
      <c r="AG43" s="210"/>
      <c r="AH43" s="210"/>
      <c r="AI43" s="210"/>
      <c r="AJ43" s="210"/>
      <c r="AK43" s="210"/>
      <c r="AL43" s="210"/>
      <c r="AM43" s="210"/>
      <c r="AN43" s="210"/>
      <c r="AO43" s="210"/>
      <c r="AP43" s="210"/>
      <c r="AQ43" s="210"/>
      <c r="AR43" s="210"/>
      <c r="AS43" s="210"/>
    </row>
    <row r="44" ht="12.0" hidden="1" customHeight="1">
      <c r="D44" s="6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</row>
    <row r="45" ht="12.0" hidden="1" customHeight="1">
      <c r="D45" s="6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</row>
    <row r="46" ht="12.0" hidden="1" customHeight="1">
      <c r="D46" s="6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</row>
    <row r="47" ht="12.0" hidden="1" customHeight="1">
      <c r="D47" s="6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</row>
    <row r="48" ht="12.0" hidden="1" customHeight="1">
      <c r="D48" s="6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</row>
    <row r="49" ht="12.0" hidden="1" customHeight="1">
      <c r="D49" s="6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</row>
    <row r="50" ht="12.0" hidden="1" customHeight="1">
      <c r="D50" s="6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ht="12.0" hidden="1" customHeight="1">
      <c r="D51" s="6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</row>
    <row r="52" ht="12.0" hidden="1" customHeight="1">
      <c r="D52" s="6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</row>
    <row r="53" ht="12.0" hidden="1" customHeight="1">
      <c r="D53" s="6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</row>
    <row r="54" ht="12.0" hidden="1" customHeight="1">
      <c r="D54" s="6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</row>
    <row r="55" ht="12.0" hidden="1" customHeight="1">
      <c r="D55" s="6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</row>
    <row r="56" ht="12.0" hidden="1" customHeight="1">
      <c r="D56" s="6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</row>
    <row r="57" ht="12.0" hidden="1" customHeight="1">
      <c r="D57" s="6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</row>
    <row r="58" ht="12.0" hidden="1" customHeight="1">
      <c r="D58" s="6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</row>
    <row r="59" ht="12.0" hidden="1" customHeight="1">
      <c r="D59" s="6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</row>
    <row r="60" ht="12.0" hidden="1" customHeight="1">
      <c r="D60" s="6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</row>
    <row r="61" ht="12.0" hidden="1" customHeight="1">
      <c r="D61" s="6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</row>
    <row r="62" ht="12.0" hidden="1" customHeight="1">
      <c r="D62" s="6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</row>
    <row r="63" ht="12.0" hidden="1" customHeight="1">
      <c r="D63" s="6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</row>
    <row r="64" ht="12.0" hidden="1" customHeight="1">
      <c r="D64" s="6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</row>
    <row r="65" ht="12.0" hidden="1" customHeight="1">
      <c r="D65" s="6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</row>
    <row r="66" ht="12.0" hidden="1" customHeight="1">
      <c r="D66" s="6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</row>
    <row r="67" ht="12.0" hidden="1" customHeight="1">
      <c r="D67" s="6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</row>
    <row r="68" ht="12.0" hidden="1" customHeight="1">
      <c r="D68" s="6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</row>
    <row r="69" ht="12.0" hidden="1" customHeight="1">
      <c r="D69" s="6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</row>
    <row r="70" ht="12.0" hidden="1" customHeight="1">
      <c r="D70" s="6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</row>
    <row r="71" ht="12.0" hidden="1" customHeight="1">
      <c r="D71" s="6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</row>
    <row r="72" ht="12.0" hidden="1" customHeight="1">
      <c r="D72" s="6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</row>
    <row r="73" ht="12.0" hidden="1" customHeight="1">
      <c r="D73" s="6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</row>
    <row r="74" ht="12.0" hidden="1" customHeight="1">
      <c r="D74" s="6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</row>
    <row r="75" ht="12.0" hidden="1" customHeight="1">
      <c r="D75" s="6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</row>
    <row r="76" ht="12.0" hidden="1" customHeight="1">
      <c r="D76" s="64"/>
      <c r="E76" s="4"/>
      <c r="F76" s="4"/>
      <c r="G76" s="4"/>
      <c r="H76" s="4"/>
      <c r="I76" s="331">
        <v>4.0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</row>
    <row r="77" ht="12.0" hidden="1" customHeight="1">
      <c r="D77" s="6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</row>
    <row r="78" ht="12.0" hidden="1" customHeight="1">
      <c r="D78" s="6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</row>
    <row r="79" ht="12.0" hidden="1" customHeight="1">
      <c r="D79" s="6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</row>
    <row r="80" ht="12.0" hidden="1" customHeight="1">
      <c r="D80" s="6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</row>
    <row r="81" ht="12.0" hidden="1" customHeight="1">
      <c r="D81" s="6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</row>
    <row r="82" ht="12.0" hidden="1" customHeight="1">
      <c r="D82" s="6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</row>
    <row r="83" ht="12.0" hidden="1" customHeight="1">
      <c r="D83" s="6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</row>
    <row r="84" ht="12.0" hidden="1" customHeight="1">
      <c r="D84" s="6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</row>
    <row r="85" ht="12.0" hidden="1" customHeight="1">
      <c r="D85" s="6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</row>
    <row r="86" ht="12.0" hidden="1" customHeight="1">
      <c r="D86" s="6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</row>
    <row r="87" ht="12.0" hidden="1" customHeight="1">
      <c r="D87" s="6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</row>
    <row r="88" ht="12.0" hidden="1" customHeight="1">
      <c r="D88" s="6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</row>
    <row r="89" ht="12.0" hidden="1" customHeight="1">
      <c r="D89" s="6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</row>
    <row r="90" ht="12.0" hidden="1" customHeight="1">
      <c r="D90" s="6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</row>
    <row r="91" ht="12.0" hidden="1" customHeight="1">
      <c r="D91" s="6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</row>
    <row r="92" ht="12.0" hidden="1" customHeight="1">
      <c r="D92" s="6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</row>
    <row r="93" ht="12.0" hidden="1" customHeight="1">
      <c r="D93" s="6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</row>
    <row r="94" ht="12.0" hidden="1" customHeight="1">
      <c r="D94" s="6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</row>
    <row r="95" ht="12.0" hidden="1" customHeight="1">
      <c r="D95" s="6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</row>
    <row r="96" ht="12.0" hidden="1" customHeight="1">
      <c r="D96" s="6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</row>
    <row r="97" ht="12.0" hidden="1" customHeight="1">
      <c r="D97" s="6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</row>
    <row r="98" ht="12.0" hidden="1" customHeight="1">
      <c r="D98" s="6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</row>
    <row r="99" ht="12.0" hidden="1" customHeight="1">
      <c r="D99" s="6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</row>
    <row r="100" ht="12.0" hidden="1" customHeight="1">
      <c r="D100" s="6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</row>
    <row r="101" ht="12.0" hidden="1" customHeight="1">
      <c r="D101" s="6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</row>
    <row r="102" ht="12.0" hidden="1" customHeight="1">
      <c r="D102" s="6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</row>
    <row r="103" ht="12.0" hidden="1" customHeight="1">
      <c r="D103" s="6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</row>
    <row r="104" ht="12.0" hidden="1" customHeight="1">
      <c r="D104" s="6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</row>
    <row r="105" ht="12.0" hidden="1" customHeight="1">
      <c r="D105" s="6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</row>
    <row r="106" ht="12.0" hidden="1" customHeight="1">
      <c r="D106" s="6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</row>
    <row r="107" ht="12.0" hidden="1" customHeight="1">
      <c r="D107" s="6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</row>
    <row r="108" ht="12.0" hidden="1" customHeight="1">
      <c r="D108" s="6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</row>
    <row r="109" ht="12.0" hidden="1" customHeight="1">
      <c r="D109" s="6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</row>
    <row r="110" ht="12.0" hidden="1" customHeight="1">
      <c r="D110" s="6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</row>
    <row r="111" ht="12.0" hidden="1" customHeight="1">
      <c r="D111" s="6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</row>
    <row r="112" ht="12.0" hidden="1" customHeight="1">
      <c r="D112" s="6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</row>
    <row r="113" ht="12.0" hidden="1" customHeight="1">
      <c r="D113" s="6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</row>
    <row r="114" ht="12.0" hidden="1" customHeight="1">
      <c r="D114" s="6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</row>
    <row r="115" ht="12.0" hidden="1" customHeight="1">
      <c r="D115" s="6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</row>
    <row r="116" ht="12.0" hidden="1" customHeight="1">
      <c r="D116" s="6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</row>
    <row r="117" ht="12.0" hidden="1" customHeight="1">
      <c r="D117" s="6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</row>
    <row r="118" ht="12.0" hidden="1" customHeight="1">
      <c r="D118" s="6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</row>
    <row r="119" ht="12.0" hidden="1" customHeight="1">
      <c r="D119" s="6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</row>
    <row r="120" ht="12.0" hidden="1" customHeight="1">
      <c r="D120" s="6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</row>
    <row r="121" ht="12.0" hidden="1" customHeight="1">
      <c r="D121" s="6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</row>
    <row r="122" ht="12.0" hidden="1" customHeight="1">
      <c r="D122" s="6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</row>
    <row r="123" ht="12.0" hidden="1" customHeight="1">
      <c r="D123" s="6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</row>
    <row r="124" ht="12.0" hidden="1" customHeight="1">
      <c r="D124" s="6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</row>
    <row r="125" ht="12.0" hidden="1" customHeight="1">
      <c r="D125" s="6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</row>
    <row r="126" ht="12.0" hidden="1" customHeight="1">
      <c r="D126" s="6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</row>
    <row r="127" ht="12.0" hidden="1" customHeight="1">
      <c r="D127" s="6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</row>
    <row r="128" ht="12.0" hidden="1" customHeight="1">
      <c r="D128" s="6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</row>
    <row r="129" ht="12.0" hidden="1" customHeight="1">
      <c r="D129" s="6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</row>
    <row r="130" ht="12.0" hidden="1" customHeight="1">
      <c r="D130" s="6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</row>
    <row r="131" ht="12.0" hidden="1" customHeight="1">
      <c r="D131" s="6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</row>
    <row r="132" ht="12.0" hidden="1" customHeight="1">
      <c r="D132" s="6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</row>
    <row r="133" ht="12.0" hidden="1" customHeight="1">
      <c r="D133" s="6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</row>
    <row r="134" ht="12.0" hidden="1" customHeight="1">
      <c r="D134" s="6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</row>
    <row r="135" ht="12.0" hidden="1" customHeight="1">
      <c r="D135" s="6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</row>
    <row r="136" ht="12.0" hidden="1" customHeight="1">
      <c r="D136" s="6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</row>
    <row r="137" ht="12.0" hidden="1" customHeight="1">
      <c r="D137" s="6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</row>
    <row r="138" ht="12.0" hidden="1" customHeight="1">
      <c r="D138" s="6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</row>
    <row r="139" ht="12.0" hidden="1" customHeight="1">
      <c r="D139" s="6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</row>
    <row r="140" ht="12.0" hidden="1" customHeight="1">
      <c r="D140" s="6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</row>
    <row r="141" ht="12.0" hidden="1" customHeight="1">
      <c r="D141" s="6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</row>
    <row r="142" ht="12.0" hidden="1" customHeight="1">
      <c r="D142" s="6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</row>
    <row r="143" ht="12.0" hidden="1" customHeight="1">
      <c r="D143" s="6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</row>
    <row r="144" ht="12.0" hidden="1" customHeight="1">
      <c r="D144" s="6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</row>
    <row r="145" ht="12.0" hidden="1" customHeight="1">
      <c r="D145" s="6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</row>
    <row r="146" ht="12.0" hidden="1" customHeight="1">
      <c r="D146" s="6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</row>
    <row r="147" ht="12.0" hidden="1" customHeight="1">
      <c r="D147" s="6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</row>
    <row r="148" ht="12.0" hidden="1" customHeight="1">
      <c r="D148" s="6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</row>
    <row r="149" ht="12.0" hidden="1" customHeight="1">
      <c r="D149" s="6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</row>
    <row r="150" ht="12.0" hidden="1" customHeight="1">
      <c r="D150" s="6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</row>
    <row r="151" ht="12.0" hidden="1" customHeight="1">
      <c r="D151" s="6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</row>
    <row r="152" ht="12.0" hidden="1" customHeight="1">
      <c r="D152" s="6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</row>
    <row r="153" ht="12.0" hidden="1" customHeight="1">
      <c r="D153" s="6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</row>
    <row r="154" ht="12.0" hidden="1" customHeight="1">
      <c r="D154" s="6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</row>
    <row r="155" ht="12.0" hidden="1" customHeight="1">
      <c r="D155" s="6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</row>
    <row r="156" ht="12.0" hidden="1" customHeight="1">
      <c r="D156" s="6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</row>
    <row r="157" ht="12.0" hidden="1" customHeight="1">
      <c r="D157" s="6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</row>
    <row r="158" ht="12.0" hidden="1" customHeight="1">
      <c r="D158" s="6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</row>
    <row r="159" ht="12.0" hidden="1" customHeight="1">
      <c r="D159" s="6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</row>
    <row r="160" ht="12.0" hidden="1" customHeight="1">
      <c r="D160" s="6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</row>
    <row r="161" ht="12.0" hidden="1" customHeight="1">
      <c r="D161" s="6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</row>
    <row r="162" ht="12.0" hidden="1" customHeight="1">
      <c r="D162" s="6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</row>
    <row r="163" ht="12.0" hidden="1" customHeight="1">
      <c r="D163" s="6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</row>
    <row r="164" ht="12.0" hidden="1" customHeight="1">
      <c r="D164" s="6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</row>
    <row r="165" ht="12.0" hidden="1" customHeight="1">
      <c r="D165" s="6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</row>
    <row r="166" ht="12.0" hidden="1" customHeight="1">
      <c r="D166" s="6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</row>
    <row r="167" ht="12.0" hidden="1" customHeight="1">
      <c r="D167" s="6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</row>
    <row r="168" ht="12.0" hidden="1" customHeight="1">
      <c r="D168" s="6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</row>
    <row r="169" ht="12.0" hidden="1" customHeight="1">
      <c r="D169" s="6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</row>
    <row r="170" ht="12.0" hidden="1" customHeight="1">
      <c r="D170" s="6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</row>
    <row r="171" ht="12.0" hidden="1" customHeight="1">
      <c r="D171" s="6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</row>
    <row r="172" ht="12.0" hidden="1" customHeight="1">
      <c r="D172" s="6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</row>
    <row r="173" ht="12.0" hidden="1" customHeight="1">
      <c r="D173" s="6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</row>
    <row r="174" ht="12.0" hidden="1" customHeight="1">
      <c r="D174" s="6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</row>
    <row r="175" ht="12.0" hidden="1" customHeight="1">
      <c r="D175" s="6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</row>
    <row r="176" ht="12.0" hidden="1" customHeight="1">
      <c r="D176" s="6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</row>
    <row r="177" ht="12.0" hidden="1" customHeight="1">
      <c r="D177" s="6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</row>
    <row r="178" ht="12.0" hidden="1" customHeight="1">
      <c r="D178" s="6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</row>
    <row r="179" ht="12.0" hidden="1" customHeight="1">
      <c r="D179" s="6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</row>
    <row r="180" ht="12.0" hidden="1" customHeight="1">
      <c r="D180" s="6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</row>
    <row r="181" ht="12.0" hidden="1" customHeight="1">
      <c r="D181" s="6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</row>
    <row r="182" ht="12.0" hidden="1" customHeight="1">
      <c r="D182" s="124"/>
      <c r="E182" s="125"/>
      <c r="F182" s="125"/>
      <c r="G182" s="125"/>
      <c r="H182" s="125"/>
      <c r="I182" s="125"/>
      <c r="J182" s="125"/>
      <c r="K182" s="125"/>
      <c r="L182" s="125"/>
      <c r="M182" s="125"/>
      <c r="N182" s="125"/>
      <c r="O182" s="125"/>
      <c r="P182" s="125"/>
      <c r="Q182" s="125"/>
      <c r="R182" s="125"/>
      <c r="S182" s="125"/>
      <c r="T182" s="125"/>
      <c r="U182" s="125"/>
      <c r="V182" s="125"/>
      <c r="W182" s="125"/>
      <c r="X182" s="125"/>
      <c r="Y182" s="125"/>
      <c r="Z182" s="125"/>
      <c r="AA182" s="125"/>
      <c r="AB182" s="125"/>
      <c r="AC182" s="125"/>
      <c r="AD182" s="125"/>
      <c r="AE182" s="125"/>
      <c r="AF182" s="125"/>
      <c r="AG182" s="125"/>
      <c r="AH182" s="125"/>
      <c r="AI182" s="125"/>
      <c r="AJ182" s="125"/>
      <c r="AK182" s="125"/>
      <c r="AL182" s="125"/>
      <c r="AM182" s="125"/>
      <c r="AN182" s="125"/>
      <c r="AO182" s="125"/>
      <c r="AP182" s="125"/>
      <c r="AQ182" s="125"/>
      <c r="AR182" s="125"/>
      <c r="AS182" s="125"/>
    </row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  <row r="1001" ht="12.0" customHeight="1"/>
  </sheetData>
  <mergeCells count="20">
    <mergeCell ref="G4:I4"/>
    <mergeCell ref="J4:L4"/>
    <mergeCell ref="M4:O4"/>
    <mergeCell ref="P4:R4"/>
    <mergeCell ref="S4:U4"/>
    <mergeCell ref="V4:X4"/>
    <mergeCell ref="Y4:AA4"/>
    <mergeCell ref="AB4:AD4"/>
    <mergeCell ref="AE4:AG4"/>
    <mergeCell ref="AH4:AJ4"/>
    <mergeCell ref="AK4:AM4"/>
    <mergeCell ref="AN4:AP4"/>
    <mergeCell ref="J1:T1"/>
    <mergeCell ref="U1:V1"/>
    <mergeCell ref="D3:I3"/>
    <mergeCell ref="J3:U3"/>
    <mergeCell ref="V3:AG3"/>
    <mergeCell ref="AH3:AS3"/>
    <mergeCell ref="D4:F4"/>
    <mergeCell ref="AQ4:AS4"/>
  </mergeCells>
  <conditionalFormatting sqref="M33:AF33">
    <cfRule type="colorScale" priority="1">
      <colorScale>
        <cfvo type="min"/>
        <cfvo type="max"/>
        <color rgb="FFFCFCFF"/>
        <color rgb="FF63BE7B"/>
      </colorScale>
    </cfRule>
  </conditionalFormatting>
  <conditionalFormatting sqref="M33:AF3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workbookViewId="0"/>
  </sheetViews>
  <sheetFormatPr customHeight="1" defaultColWidth="14.43" defaultRowHeight="15.0"/>
  <cols>
    <col customWidth="1" min="1" max="1" width="223.71"/>
    <col customWidth="1" hidden="1" min="2" max="2" width="41.71"/>
    <col customWidth="1" hidden="1" min="3" max="3" width="21.14"/>
    <col customWidth="1" hidden="1" min="4" max="6" width="9.14"/>
    <col customWidth="1" min="7" max="26" width="8.71"/>
  </cols>
  <sheetData>
    <row r="1" ht="339.0" customHeight="1">
      <c r="A1" s="130" t="s">
        <v>252</v>
      </c>
    </row>
    <row r="2" ht="69.0" hidden="1" customHeight="1"/>
    <row r="3" ht="64.5" hidden="1" customHeight="1"/>
    <row r="4" ht="12.75" hidden="1" customHeight="1"/>
    <row r="5" ht="12.75" hidden="1" customHeight="1"/>
    <row r="6" ht="12.75" hidden="1" customHeight="1"/>
    <row r="7" ht="12.75" hidden="1" customHeight="1"/>
    <row r="8" ht="12.75" hidden="1" customHeight="1"/>
    <row r="9" ht="12.75" hidden="1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2.71"/>
    <col customWidth="1" min="2" max="2" width="3.0"/>
    <col customWidth="1" min="3" max="3" width="22.0"/>
    <col customWidth="1" hidden="1" min="4" max="6" width="10.71" outlineLevel="1"/>
    <col customWidth="1" hidden="1" min="7" max="9" width="11.71" outlineLevel="1"/>
    <col customWidth="1" min="10" max="45" width="12.71"/>
  </cols>
  <sheetData>
    <row r="1" ht="25.5" customHeight="1">
      <c r="A1" s="5"/>
      <c r="T1" s="4"/>
    </row>
    <row r="2" ht="25.5" customHeight="1">
      <c r="A2" s="105" t="str">
        <f>Macro!A2</f>
        <v>StartUp Co</v>
      </c>
    </row>
    <row r="3" ht="12.75" customHeight="1">
      <c r="B3" s="8" t="s">
        <v>1</v>
      </c>
      <c r="D3" s="107">
        <f>'Top line'!D3</f>
        <v>2020</v>
      </c>
      <c r="E3" s="108"/>
      <c r="F3" s="108"/>
      <c r="G3" s="108"/>
      <c r="H3" s="108"/>
      <c r="I3" s="109"/>
      <c r="J3" s="107">
        <f>'Top line'!J3</f>
        <v>2021</v>
      </c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9"/>
      <c r="V3" s="107">
        <f>'Top line'!V3</f>
        <v>2022</v>
      </c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9"/>
      <c r="AH3" s="107">
        <f>'Top line'!AH3</f>
        <v>2023</v>
      </c>
      <c r="AI3" s="108"/>
      <c r="AJ3" s="108"/>
      <c r="AK3" s="108"/>
      <c r="AL3" s="108"/>
      <c r="AM3" s="108"/>
      <c r="AN3" s="108"/>
      <c r="AO3" s="108"/>
      <c r="AP3" s="108"/>
      <c r="AQ3" s="108"/>
      <c r="AR3" s="108"/>
      <c r="AS3" s="109"/>
    </row>
    <row r="4" ht="12.75" customHeight="1">
      <c r="C4" s="8" t="s">
        <v>2</v>
      </c>
      <c r="D4" s="110">
        <f>'Top line'!D4</f>
        <v>3</v>
      </c>
      <c r="E4" s="111"/>
      <c r="F4" s="112"/>
      <c r="G4" s="107">
        <f>'Top line'!G4</f>
        <v>4</v>
      </c>
      <c r="H4" s="108"/>
      <c r="I4" s="109"/>
      <c r="J4" s="107">
        <f>'Top line'!J4</f>
        <v>1</v>
      </c>
      <c r="K4" s="108"/>
      <c r="L4" s="109"/>
      <c r="M4" s="107">
        <f>'Top line'!M4</f>
        <v>2</v>
      </c>
      <c r="N4" s="108"/>
      <c r="O4" s="109"/>
      <c r="P4" s="107">
        <f>'Top line'!P4</f>
        <v>3</v>
      </c>
      <c r="Q4" s="108"/>
      <c r="R4" s="109"/>
      <c r="S4" s="107">
        <f>'Top line'!S4</f>
        <v>4</v>
      </c>
      <c r="T4" s="108"/>
      <c r="U4" s="109"/>
      <c r="V4" s="107">
        <f>'Top line'!V4</f>
        <v>1</v>
      </c>
      <c r="W4" s="108"/>
      <c r="X4" s="109"/>
      <c r="Y4" s="107">
        <f>'Top line'!Y4</f>
        <v>2</v>
      </c>
      <c r="Z4" s="108"/>
      <c r="AA4" s="109"/>
      <c r="AB4" s="107">
        <f>'Top line'!AB4</f>
        <v>3</v>
      </c>
      <c r="AC4" s="108"/>
      <c r="AD4" s="109"/>
      <c r="AE4" s="107">
        <f>'Top line'!AE4</f>
        <v>4</v>
      </c>
      <c r="AF4" s="108"/>
      <c r="AG4" s="109"/>
      <c r="AH4" s="107">
        <f>'Top line'!AH4</f>
        <v>1</v>
      </c>
      <c r="AI4" s="108"/>
      <c r="AJ4" s="109"/>
      <c r="AK4" s="107">
        <f>'Top line'!AK4</f>
        <v>2</v>
      </c>
      <c r="AL4" s="108"/>
      <c r="AM4" s="109"/>
      <c r="AN4" s="107">
        <f>'Top line'!AN4</f>
        <v>3</v>
      </c>
      <c r="AO4" s="108"/>
      <c r="AP4" s="109"/>
      <c r="AQ4" s="107">
        <f>'Top line'!AQ4</f>
        <v>4</v>
      </c>
      <c r="AR4" s="108"/>
      <c r="AS4" s="109"/>
    </row>
    <row r="5" ht="12.75" customHeight="1">
      <c r="C5" s="8" t="s">
        <v>7</v>
      </c>
      <c r="D5" s="113">
        <f>'Top line'!D5</f>
        <v>43707</v>
      </c>
      <c r="E5" s="114">
        <f>'Top line'!E5</f>
        <v>43738</v>
      </c>
      <c r="F5" s="115">
        <f>'Top line'!F5</f>
        <v>43769</v>
      </c>
      <c r="G5" s="113">
        <f>'Top line'!G5</f>
        <v>43799</v>
      </c>
      <c r="H5" s="114">
        <f>'Top line'!H5</f>
        <v>43830</v>
      </c>
      <c r="I5" s="115">
        <f>'Top line'!I5</f>
        <v>43861</v>
      </c>
      <c r="J5" s="113">
        <f>'Top line'!J5</f>
        <v>43890</v>
      </c>
      <c r="K5" s="114">
        <f>'Top line'!K5</f>
        <v>43921</v>
      </c>
      <c r="L5" s="115">
        <f>'Top line'!L5</f>
        <v>43951</v>
      </c>
      <c r="M5" s="114">
        <f>'Top line'!M5</f>
        <v>43982</v>
      </c>
      <c r="N5" s="114">
        <f>'Top line'!N5</f>
        <v>44012</v>
      </c>
      <c r="O5" s="115">
        <f>'Top line'!O5</f>
        <v>44043</v>
      </c>
      <c r="P5" s="113">
        <f>'Top line'!P5</f>
        <v>44074</v>
      </c>
      <c r="Q5" s="114">
        <f>'Top line'!Q5</f>
        <v>44104</v>
      </c>
      <c r="R5" s="115">
        <f>'Top line'!R5</f>
        <v>44135</v>
      </c>
      <c r="S5" s="113">
        <f>'Top line'!S5</f>
        <v>44165</v>
      </c>
      <c r="T5" s="114">
        <f>'Top line'!T5</f>
        <v>44196</v>
      </c>
      <c r="U5" s="115">
        <f>'Top line'!U5</f>
        <v>44227</v>
      </c>
      <c r="V5" s="113">
        <f>'Top line'!V5</f>
        <v>44255</v>
      </c>
      <c r="W5" s="114">
        <f>'Top line'!W5</f>
        <v>44286</v>
      </c>
      <c r="X5" s="115">
        <f>'Top line'!X5</f>
        <v>44316</v>
      </c>
      <c r="Y5" s="113">
        <f>'Top line'!Y5</f>
        <v>44347</v>
      </c>
      <c r="Z5" s="114">
        <f>'Top line'!Z5</f>
        <v>44377</v>
      </c>
      <c r="AA5" s="115">
        <f>'Top line'!AA5</f>
        <v>44408</v>
      </c>
      <c r="AB5" s="113">
        <f>'Top line'!AB5</f>
        <v>44439</v>
      </c>
      <c r="AC5" s="114">
        <f>'Top line'!AC5</f>
        <v>44469</v>
      </c>
      <c r="AD5" s="115">
        <f>'Top line'!AD5</f>
        <v>44500</v>
      </c>
      <c r="AE5" s="113">
        <f>'Top line'!AE5</f>
        <v>44530</v>
      </c>
      <c r="AF5" s="114">
        <f>'Top line'!AF5</f>
        <v>44561</v>
      </c>
      <c r="AG5" s="115">
        <f>'Top line'!AG5</f>
        <v>44592</v>
      </c>
      <c r="AH5" s="113">
        <f>'Top line'!AH5</f>
        <v>44620</v>
      </c>
      <c r="AI5" s="114">
        <f>'Top line'!AI5</f>
        <v>44651</v>
      </c>
      <c r="AJ5" s="115">
        <f>'Top line'!AJ5</f>
        <v>44681</v>
      </c>
      <c r="AK5" s="113">
        <f>'Top line'!AK5</f>
        <v>44712</v>
      </c>
      <c r="AL5" s="114">
        <f>'Top line'!AL5</f>
        <v>44742</v>
      </c>
      <c r="AM5" s="115">
        <f>'Top line'!AM5</f>
        <v>44773</v>
      </c>
      <c r="AN5" s="113">
        <f>'Top line'!AN5</f>
        <v>44804</v>
      </c>
      <c r="AO5" s="114">
        <f>'Top line'!AO5</f>
        <v>44834</v>
      </c>
      <c r="AP5" s="115">
        <f>'Top line'!AP5</f>
        <v>44865</v>
      </c>
      <c r="AQ5" s="113">
        <f>'Top line'!AQ5</f>
        <v>44895</v>
      </c>
      <c r="AR5" s="114">
        <f>'Top line'!AR5</f>
        <v>44926</v>
      </c>
      <c r="AS5" s="115">
        <f>'Top line'!AS5</f>
        <v>44957</v>
      </c>
    </row>
    <row r="6" ht="15.0" customHeight="1">
      <c r="D6" s="116" t="s">
        <v>42</v>
      </c>
      <c r="E6" s="117" t="s">
        <v>42</v>
      </c>
      <c r="F6" s="118" t="s">
        <v>42</v>
      </c>
      <c r="G6" s="116" t="s">
        <v>42</v>
      </c>
      <c r="H6" s="117" t="s">
        <v>42</v>
      </c>
      <c r="I6" s="118" t="s">
        <v>42</v>
      </c>
      <c r="J6" s="119" t="s">
        <v>42</v>
      </c>
      <c r="K6" s="120" t="s">
        <v>42</v>
      </c>
      <c r="L6" s="120" t="s">
        <v>42</v>
      </c>
      <c r="M6" s="119" t="s">
        <v>43</v>
      </c>
      <c r="N6" s="120" t="s">
        <v>43</v>
      </c>
      <c r="O6" s="121" t="s">
        <v>43</v>
      </c>
      <c r="P6" s="119" t="s">
        <v>43</v>
      </c>
      <c r="Q6" s="120" t="s">
        <v>43</v>
      </c>
      <c r="R6" s="121" t="s">
        <v>43</v>
      </c>
      <c r="S6" s="119" t="s">
        <v>43</v>
      </c>
      <c r="T6" s="120" t="s">
        <v>43</v>
      </c>
      <c r="U6" s="121" t="s">
        <v>43</v>
      </c>
      <c r="V6" s="119" t="s">
        <v>43</v>
      </c>
      <c r="W6" s="120" t="s">
        <v>43</v>
      </c>
      <c r="X6" s="121" t="s">
        <v>43</v>
      </c>
      <c r="Y6" s="119" t="s">
        <v>43</v>
      </c>
      <c r="Z6" s="120" t="s">
        <v>43</v>
      </c>
      <c r="AA6" s="121" t="s">
        <v>43</v>
      </c>
      <c r="AB6" s="119" t="s">
        <v>43</v>
      </c>
      <c r="AC6" s="120" t="s">
        <v>43</v>
      </c>
      <c r="AD6" s="121" t="s">
        <v>43</v>
      </c>
      <c r="AE6" s="119" t="s">
        <v>43</v>
      </c>
      <c r="AF6" s="120" t="s">
        <v>43</v>
      </c>
      <c r="AG6" s="121" t="s">
        <v>43</v>
      </c>
      <c r="AH6" s="119" t="s">
        <v>43</v>
      </c>
      <c r="AI6" s="120" t="s">
        <v>43</v>
      </c>
      <c r="AJ6" s="121" t="s">
        <v>43</v>
      </c>
      <c r="AK6" s="119" t="s">
        <v>43</v>
      </c>
      <c r="AL6" s="120" t="s">
        <v>43</v>
      </c>
      <c r="AM6" s="121" t="s">
        <v>43</v>
      </c>
      <c r="AN6" s="119" t="s">
        <v>43</v>
      </c>
      <c r="AO6" s="120" t="s">
        <v>43</v>
      </c>
      <c r="AP6" s="121" t="s">
        <v>43</v>
      </c>
      <c r="AQ6" s="119" t="s">
        <v>43</v>
      </c>
      <c r="AR6" s="120" t="s">
        <v>43</v>
      </c>
      <c r="AS6" s="121" t="s">
        <v>43</v>
      </c>
    </row>
    <row r="7" ht="4.5" customHeight="1">
      <c r="D7" s="25"/>
      <c r="E7" s="26"/>
      <c r="F7" s="27"/>
      <c r="G7" s="25"/>
      <c r="H7" s="26"/>
      <c r="I7" s="27"/>
      <c r="J7" s="25"/>
      <c r="K7" s="26"/>
      <c r="L7" s="27"/>
      <c r="M7" s="26"/>
      <c r="N7" s="26"/>
      <c r="O7" s="26"/>
      <c r="P7" s="25"/>
      <c r="Q7" s="26"/>
      <c r="R7" s="27"/>
      <c r="S7" s="26"/>
      <c r="T7" s="26"/>
      <c r="U7" s="26"/>
      <c r="V7" s="25"/>
      <c r="W7" s="26"/>
      <c r="X7" s="27"/>
      <c r="Y7" s="26"/>
      <c r="Z7" s="26"/>
      <c r="AA7" s="26"/>
      <c r="AB7" s="25"/>
      <c r="AC7" s="26"/>
      <c r="AD7" s="27"/>
      <c r="AE7" s="26"/>
      <c r="AF7" s="26"/>
      <c r="AG7" s="26"/>
      <c r="AH7" s="25"/>
      <c r="AI7" s="26"/>
      <c r="AJ7" s="27"/>
      <c r="AK7" s="26"/>
      <c r="AL7" s="26"/>
      <c r="AM7" s="26"/>
      <c r="AN7" s="25"/>
      <c r="AO7" s="26"/>
      <c r="AP7" s="27"/>
      <c r="AQ7" s="26"/>
      <c r="AR7" s="26"/>
      <c r="AS7" s="27"/>
    </row>
    <row r="8" ht="12.75" customHeight="1">
      <c r="B8" s="122" t="s">
        <v>8</v>
      </c>
      <c r="C8" s="29"/>
      <c r="D8" s="30"/>
      <c r="E8" s="31"/>
      <c r="F8" s="32"/>
      <c r="G8" s="30"/>
      <c r="H8" s="31"/>
      <c r="I8" s="32"/>
      <c r="J8" s="30"/>
      <c r="K8" s="31"/>
      <c r="L8" s="32"/>
      <c r="M8" s="31"/>
      <c r="N8" s="31"/>
      <c r="O8" s="31"/>
      <c r="P8" s="30"/>
      <c r="Q8" s="31"/>
      <c r="R8" s="32"/>
      <c r="S8" s="31"/>
      <c r="T8" s="31"/>
      <c r="U8" s="31"/>
      <c r="V8" s="30"/>
      <c r="W8" s="31"/>
      <c r="X8" s="32"/>
      <c r="Y8" s="31"/>
      <c r="Z8" s="31"/>
      <c r="AA8" s="31"/>
      <c r="AB8" s="30"/>
      <c r="AC8" s="31"/>
      <c r="AD8" s="32"/>
      <c r="AE8" s="31"/>
      <c r="AF8" s="31"/>
      <c r="AG8" s="31"/>
      <c r="AH8" s="30"/>
      <c r="AI8" s="31"/>
      <c r="AJ8" s="32"/>
      <c r="AK8" s="31"/>
      <c r="AL8" s="31"/>
      <c r="AM8" s="31"/>
      <c r="AN8" s="30"/>
      <c r="AO8" s="31"/>
      <c r="AP8" s="32"/>
      <c r="AQ8" s="31"/>
      <c r="AR8" s="31"/>
      <c r="AS8" s="32"/>
    </row>
    <row r="9" ht="12.75" customHeight="1">
      <c r="C9" s="123" t="s">
        <v>9</v>
      </c>
      <c r="D9" s="64"/>
      <c r="E9" s="4"/>
      <c r="F9" s="65"/>
      <c r="G9" s="34">
        <f>'Top line'!G39</f>
        <v>110000</v>
      </c>
      <c r="H9" s="35">
        <f>'Top line'!H39</f>
        <v>160000</v>
      </c>
      <c r="I9" s="36">
        <f>'Top line'!I39</f>
        <v>210000</v>
      </c>
      <c r="J9" s="34">
        <f>'Top line'!J39</f>
        <v>350000</v>
      </c>
      <c r="K9" s="35">
        <f>'Top line'!K39</f>
        <v>490000</v>
      </c>
      <c r="L9" s="36">
        <f>'Top line'!L39</f>
        <v>630000</v>
      </c>
      <c r="M9" s="35" t="str">
        <f>'Top line'!M39</f>
        <v>#VALUE!</v>
      </c>
      <c r="N9" s="35" t="str">
        <f>'Top line'!N39</f>
        <v>#VALUE!</v>
      </c>
      <c r="O9" s="35" t="str">
        <f>'Top line'!O39</f>
        <v>#VALUE!</v>
      </c>
      <c r="P9" s="34" t="str">
        <f>'Top line'!P39</f>
        <v>#VALUE!</v>
      </c>
      <c r="Q9" s="35" t="str">
        <f>'Top line'!Q39</f>
        <v>#VALUE!</v>
      </c>
      <c r="R9" s="36" t="str">
        <f>'Top line'!R39</f>
        <v>#VALUE!</v>
      </c>
      <c r="S9" s="35" t="str">
        <f>'Top line'!S39</f>
        <v>#VALUE!</v>
      </c>
      <c r="T9" s="35" t="str">
        <f>'Top line'!T39</f>
        <v>#VALUE!</v>
      </c>
      <c r="U9" s="35" t="str">
        <f>'Top line'!U39</f>
        <v>#VALUE!</v>
      </c>
      <c r="V9" s="34" t="str">
        <f>'Top line'!V39</f>
        <v>#VALUE!</v>
      </c>
      <c r="W9" s="35" t="str">
        <f>'Top line'!W39</f>
        <v>#VALUE!</v>
      </c>
      <c r="X9" s="36" t="str">
        <f>'Top line'!X39</f>
        <v>#VALUE!</v>
      </c>
      <c r="Y9" s="35" t="str">
        <f>'Top line'!Y39</f>
        <v>#VALUE!</v>
      </c>
      <c r="Z9" s="35" t="str">
        <f>'Top line'!Z39</f>
        <v>#VALUE!</v>
      </c>
      <c r="AA9" s="35" t="str">
        <f>'Top line'!AA39</f>
        <v>#VALUE!</v>
      </c>
      <c r="AB9" s="34" t="str">
        <f>'Top line'!AB39</f>
        <v>#VALUE!</v>
      </c>
      <c r="AC9" s="35" t="str">
        <f>'Top line'!AC39</f>
        <v>#VALUE!</v>
      </c>
      <c r="AD9" s="36" t="str">
        <f>'Top line'!AD39</f>
        <v>#VALUE!</v>
      </c>
      <c r="AE9" s="35" t="str">
        <f>'Top line'!AE39</f>
        <v>#VALUE!</v>
      </c>
      <c r="AF9" s="35" t="str">
        <f>'Top line'!AF39</f>
        <v>#VALUE!</v>
      </c>
      <c r="AG9" s="35" t="str">
        <f>'Top line'!AG39</f>
        <v>#VALUE!</v>
      </c>
      <c r="AH9" s="34" t="str">
        <f>'Top line'!AH39</f>
        <v>#VALUE!</v>
      </c>
      <c r="AI9" s="35" t="str">
        <f>'Top line'!AI39</f>
        <v>#VALUE!</v>
      </c>
      <c r="AJ9" s="36" t="str">
        <f>'Top line'!AJ39</f>
        <v>#VALUE!</v>
      </c>
      <c r="AK9" s="35" t="str">
        <f>'Top line'!AK39</f>
        <v>#VALUE!</v>
      </c>
      <c r="AL9" s="35" t="str">
        <f>'Top line'!AL39</f>
        <v>#VALUE!</v>
      </c>
      <c r="AM9" s="35" t="str">
        <f>'Top line'!AM39</f>
        <v>#VALUE!</v>
      </c>
      <c r="AN9" s="34" t="str">
        <f>'Top line'!AN39</f>
        <v>#VALUE!</v>
      </c>
      <c r="AO9" s="35" t="str">
        <f>'Top line'!AO39</f>
        <v>#VALUE!</v>
      </c>
      <c r="AP9" s="36" t="str">
        <f>'Top line'!AP39</f>
        <v>#VALUE!</v>
      </c>
      <c r="AQ9" s="35" t="str">
        <f>'Top line'!AQ39</f>
        <v>#VALUE!</v>
      </c>
      <c r="AR9" s="35" t="str">
        <f>'Top line'!AR39</f>
        <v>#VALUE!</v>
      </c>
      <c r="AS9" s="36" t="str">
        <f>'Top line'!AS39</f>
        <v>#VALUE!</v>
      </c>
    </row>
    <row r="10" ht="15.0" customHeight="1">
      <c r="C10" s="123" t="s">
        <v>253</v>
      </c>
      <c r="D10" s="64"/>
      <c r="E10" s="4"/>
      <c r="F10" s="65"/>
      <c r="G10" s="34"/>
      <c r="H10" s="35"/>
      <c r="I10" s="36"/>
      <c r="J10" s="61">
        <f t="shared" ref="J10:AS10" si="1">I9</f>
        <v>210000</v>
      </c>
      <c r="K10" s="62">
        <f t="shared" si="1"/>
        <v>350000</v>
      </c>
      <c r="L10" s="62">
        <f t="shared" si="1"/>
        <v>490000</v>
      </c>
      <c r="M10" s="61">
        <f t="shared" si="1"/>
        <v>630000</v>
      </c>
      <c r="N10" s="62" t="str">
        <f t="shared" si="1"/>
        <v>#VALUE!</v>
      </c>
      <c r="O10" s="62" t="str">
        <f t="shared" si="1"/>
        <v>#VALUE!</v>
      </c>
      <c r="P10" s="61" t="str">
        <f t="shared" si="1"/>
        <v>#VALUE!</v>
      </c>
      <c r="Q10" s="62" t="str">
        <f t="shared" si="1"/>
        <v>#VALUE!</v>
      </c>
      <c r="R10" s="62" t="str">
        <f t="shared" si="1"/>
        <v>#VALUE!</v>
      </c>
      <c r="S10" s="61" t="str">
        <f t="shared" si="1"/>
        <v>#VALUE!</v>
      </c>
      <c r="T10" s="62" t="str">
        <f t="shared" si="1"/>
        <v>#VALUE!</v>
      </c>
      <c r="U10" s="62" t="str">
        <f t="shared" si="1"/>
        <v>#VALUE!</v>
      </c>
      <c r="V10" s="61" t="str">
        <f t="shared" si="1"/>
        <v>#VALUE!</v>
      </c>
      <c r="W10" s="62" t="str">
        <f t="shared" si="1"/>
        <v>#VALUE!</v>
      </c>
      <c r="X10" s="62" t="str">
        <f t="shared" si="1"/>
        <v>#VALUE!</v>
      </c>
      <c r="Y10" s="61" t="str">
        <f t="shared" si="1"/>
        <v>#VALUE!</v>
      </c>
      <c r="Z10" s="62" t="str">
        <f t="shared" si="1"/>
        <v>#VALUE!</v>
      </c>
      <c r="AA10" s="62" t="str">
        <f t="shared" si="1"/>
        <v>#VALUE!</v>
      </c>
      <c r="AB10" s="61" t="str">
        <f t="shared" si="1"/>
        <v>#VALUE!</v>
      </c>
      <c r="AC10" s="62" t="str">
        <f t="shared" si="1"/>
        <v>#VALUE!</v>
      </c>
      <c r="AD10" s="62" t="str">
        <f t="shared" si="1"/>
        <v>#VALUE!</v>
      </c>
      <c r="AE10" s="61" t="str">
        <f t="shared" si="1"/>
        <v>#VALUE!</v>
      </c>
      <c r="AF10" s="62" t="str">
        <f t="shared" si="1"/>
        <v>#VALUE!</v>
      </c>
      <c r="AG10" s="62" t="str">
        <f t="shared" si="1"/>
        <v>#VALUE!</v>
      </c>
      <c r="AH10" s="61" t="str">
        <f t="shared" si="1"/>
        <v>#VALUE!</v>
      </c>
      <c r="AI10" s="62" t="str">
        <f t="shared" si="1"/>
        <v>#VALUE!</v>
      </c>
      <c r="AJ10" s="62" t="str">
        <f t="shared" si="1"/>
        <v>#VALUE!</v>
      </c>
      <c r="AK10" s="61" t="str">
        <f t="shared" si="1"/>
        <v>#VALUE!</v>
      </c>
      <c r="AL10" s="62" t="str">
        <f t="shared" si="1"/>
        <v>#VALUE!</v>
      </c>
      <c r="AM10" s="62" t="str">
        <f t="shared" si="1"/>
        <v>#VALUE!</v>
      </c>
      <c r="AN10" s="61" t="str">
        <f t="shared" si="1"/>
        <v>#VALUE!</v>
      </c>
      <c r="AO10" s="62" t="str">
        <f t="shared" si="1"/>
        <v>#VALUE!</v>
      </c>
      <c r="AP10" s="62" t="str">
        <f t="shared" si="1"/>
        <v>#VALUE!</v>
      </c>
      <c r="AQ10" s="61" t="str">
        <f t="shared" si="1"/>
        <v>#VALUE!</v>
      </c>
      <c r="AR10" s="62" t="str">
        <f t="shared" si="1"/>
        <v>#VALUE!</v>
      </c>
      <c r="AS10" s="63" t="str">
        <f t="shared" si="1"/>
        <v>#VALUE!</v>
      </c>
    </row>
    <row r="11" ht="15.0" customHeight="1">
      <c r="C11" s="123" t="s">
        <v>254</v>
      </c>
      <c r="D11" s="64"/>
      <c r="E11" s="4"/>
      <c r="F11" s="65"/>
      <c r="G11" s="34"/>
      <c r="H11" s="35"/>
      <c r="I11" s="36"/>
      <c r="J11" s="61">
        <f t="shared" ref="J11:AS11" si="2">J9-J10</f>
        <v>140000</v>
      </c>
      <c r="K11" s="62">
        <f t="shared" si="2"/>
        <v>140000</v>
      </c>
      <c r="L11" s="62">
        <f t="shared" si="2"/>
        <v>140000</v>
      </c>
      <c r="M11" s="61" t="str">
        <f t="shared" si="2"/>
        <v>#VALUE!</v>
      </c>
      <c r="N11" s="62" t="str">
        <f t="shared" si="2"/>
        <v>#VALUE!</v>
      </c>
      <c r="O11" s="62" t="str">
        <f t="shared" si="2"/>
        <v>#VALUE!</v>
      </c>
      <c r="P11" s="61" t="str">
        <f t="shared" si="2"/>
        <v>#VALUE!</v>
      </c>
      <c r="Q11" s="62" t="str">
        <f t="shared" si="2"/>
        <v>#VALUE!</v>
      </c>
      <c r="R11" s="62" t="str">
        <f t="shared" si="2"/>
        <v>#VALUE!</v>
      </c>
      <c r="S11" s="61" t="str">
        <f t="shared" si="2"/>
        <v>#VALUE!</v>
      </c>
      <c r="T11" s="62" t="str">
        <f t="shared" si="2"/>
        <v>#VALUE!</v>
      </c>
      <c r="U11" s="62" t="str">
        <f t="shared" si="2"/>
        <v>#VALUE!</v>
      </c>
      <c r="V11" s="61" t="str">
        <f t="shared" si="2"/>
        <v>#VALUE!</v>
      </c>
      <c r="W11" s="62" t="str">
        <f t="shared" si="2"/>
        <v>#VALUE!</v>
      </c>
      <c r="X11" s="62" t="str">
        <f t="shared" si="2"/>
        <v>#VALUE!</v>
      </c>
      <c r="Y11" s="61" t="str">
        <f t="shared" si="2"/>
        <v>#VALUE!</v>
      </c>
      <c r="Z11" s="62" t="str">
        <f t="shared" si="2"/>
        <v>#VALUE!</v>
      </c>
      <c r="AA11" s="62" t="str">
        <f t="shared" si="2"/>
        <v>#VALUE!</v>
      </c>
      <c r="AB11" s="61" t="str">
        <f t="shared" si="2"/>
        <v>#VALUE!</v>
      </c>
      <c r="AC11" s="62" t="str">
        <f t="shared" si="2"/>
        <v>#VALUE!</v>
      </c>
      <c r="AD11" s="62" t="str">
        <f t="shared" si="2"/>
        <v>#VALUE!</v>
      </c>
      <c r="AE11" s="61" t="str">
        <f t="shared" si="2"/>
        <v>#VALUE!</v>
      </c>
      <c r="AF11" s="62" t="str">
        <f t="shared" si="2"/>
        <v>#VALUE!</v>
      </c>
      <c r="AG11" s="62" t="str">
        <f t="shared" si="2"/>
        <v>#VALUE!</v>
      </c>
      <c r="AH11" s="61" t="str">
        <f t="shared" si="2"/>
        <v>#VALUE!</v>
      </c>
      <c r="AI11" s="62" t="str">
        <f t="shared" si="2"/>
        <v>#VALUE!</v>
      </c>
      <c r="AJ11" s="62" t="str">
        <f t="shared" si="2"/>
        <v>#VALUE!</v>
      </c>
      <c r="AK11" s="61" t="str">
        <f t="shared" si="2"/>
        <v>#VALUE!</v>
      </c>
      <c r="AL11" s="62" t="str">
        <f t="shared" si="2"/>
        <v>#VALUE!</v>
      </c>
      <c r="AM11" s="62" t="str">
        <f t="shared" si="2"/>
        <v>#VALUE!</v>
      </c>
      <c r="AN11" s="61" t="str">
        <f t="shared" si="2"/>
        <v>#VALUE!</v>
      </c>
      <c r="AO11" s="62" t="str">
        <f t="shared" si="2"/>
        <v>#VALUE!</v>
      </c>
      <c r="AP11" s="62" t="str">
        <f t="shared" si="2"/>
        <v>#VALUE!</v>
      </c>
      <c r="AQ11" s="61" t="str">
        <f t="shared" si="2"/>
        <v>#VALUE!</v>
      </c>
      <c r="AR11" s="62" t="str">
        <f t="shared" si="2"/>
        <v>#VALUE!</v>
      </c>
      <c r="AS11" s="63" t="str">
        <f t="shared" si="2"/>
        <v>#VALUE!</v>
      </c>
    </row>
    <row r="12" ht="15.0" customHeight="1">
      <c r="C12" s="123" t="s">
        <v>255</v>
      </c>
      <c r="D12" s="64"/>
      <c r="E12" s="4"/>
      <c r="F12" s="65"/>
      <c r="G12" s="34"/>
      <c r="H12" s="35"/>
      <c r="I12" s="36"/>
      <c r="J12" s="34">
        <f>-'Cash analysis'!J25</f>
        <v>387560</v>
      </c>
      <c r="K12" s="35">
        <f>-'Cash analysis'!K25</f>
        <v>387560</v>
      </c>
      <c r="L12" s="35">
        <f>-'Cash analysis'!L25</f>
        <v>350220</v>
      </c>
      <c r="M12" s="34" t="str">
        <f>-'Cash analysis'!M25</f>
        <v>#VALUE!</v>
      </c>
      <c r="N12" s="35" t="str">
        <f>-'Cash analysis'!N25</f>
        <v>#VALUE!</v>
      </c>
      <c r="O12" s="35" t="str">
        <f>-'Cash analysis'!O25</f>
        <v>#VALUE!</v>
      </c>
      <c r="P12" s="34" t="str">
        <f>-'Cash analysis'!P25</f>
        <v>#VALUE!</v>
      </c>
      <c r="Q12" s="35" t="str">
        <f>-'Cash analysis'!Q25</f>
        <v>#VALUE!</v>
      </c>
      <c r="R12" s="35" t="str">
        <f>-'Cash analysis'!R25</f>
        <v>#VALUE!</v>
      </c>
      <c r="S12" s="34" t="str">
        <f>-'Cash analysis'!S25</f>
        <v>#VALUE!</v>
      </c>
      <c r="T12" s="35" t="str">
        <f>-'Cash analysis'!T25</f>
        <v>#VALUE!</v>
      </c>
      <c r="U12" s="35" t="str">
        <f>-'Cash analysis'!U25</f>
        <v>#VALUE!</v>
      </c>
      <c r="V12" s="34" t="str">
        <f>-'Cash analysis'!V25</f>
        <v>#VALUE!</v>
      </c>
      <c r="W12" s="35" t="str">
        <f>-'Cash analysis'!W25</f>
        <v>#VALUE!</v>
      </c>
      <c r="X12" s="35" t="str">
        <f>-'Cash analysis'!X25</f>
        <v>#VALUE!</v>
      </c>
      <c r="Y12" s="34" t="str">
        <f>-'Cash analysis'!Y25</f>
        <v>#VALUE!</v>
      </c>
      <c r="Z12" s="35" t="str">
        <f>-'Cash analysis'!Z25</f>
        <v>#VALUE!</v>
      </c>
      <c r="AA12" s="35" t="str">
        <f>-'Cash analysis'!AA25</f>
        <v>#VALUE!</v>
      </c>
      <c r="AB12" s="34" t="str">
        <f>-'Cash analysis'!AB25</f>
        <v>#VALUE!</v>
      </c>
      <c r="AC12" s="35" t="str">
        <f>-'Cash analysis'!AC25</f>
        <v>#VALUE!</v>
      </c>
      <c r="AD12" s="35" t="str">
        <f>-'Cash analysis'!AD25</f>
        <v>#VALUE!</v>
      </c>
      <c r="AE12" s="34" t="str">
        <f>-'Cash analysis'!AE25</f>
        <v>#VALUE!</v>
      </c>
      <c r="AF12" s="35" t="str">
        <f>-'Cash analysis'!AF25</f>
        <v>#VALUE!</v>
      </c>
      <c r="AG12" s="35" t="str">
        <f>-'Cash analysis'!AG25</f>
        <v>#VALUE!</v>
      </c>
      <c r="AH12" s="34" t="str">
        <f>-'Cash analysis'!AH25</f>
        <v>#VALUE!</v>
      </c>
      <c r="AI12" s="35" t="str">
        <f>-'Cash analysis'!AI25</f>
        <v>#VALUE!</v>
      </c>
      <c r="AJ12" s="35" t="str">
        <f>-'Cash analysis'!AJ25</f>
        <v>#VALUE!</v>
      </c>
      <c r="AK12" s="34" t="str">
        <f>-'Cash analysis'!AK25</f>
        <v>#VALUE!</v>
      </c>
      <c r="AL12" s="35" t="str">
        <f>-'Cash analysis'!AL25</f>
        <v>#VALUE!</v>
      </c>
      <c r="AM12" s="35" t="str">
        <f>-'Cash analysis'!AM25</f>
        <v>#VALUE!</v>
      </c>
      <c r="AN12" s="34" t="str">
        <f>-'Cash analysis'!AN25</f>
        <v>#VALUE!</v>
      </c>
      <c r="AO12" s="35" t="str">
        <f>-'Cash analysis'!AO25</f>
        <v>#VALUE!</v>
      </c>
      <c r="AP12" s="35" t="str">
        <f>-'Cash analysis'!AP25</f>
        <v>#VALUE!</v>
      </c>
      <c r="AQ12" s="34" t="str">
        <f>-'Cash analysis'!AQ25</f>
        <v>#VALUE!</v>
      </c>
      <c r="AR12" s="35" t="str">
        <f>-'Cash analysis'!AR25</f>
        <v>#VALUE!</v>
      </c>
      <c r="AS12" s="36" t="str">
        <f>-'Cash analysis'!AS25</f>
        <v>#VALUE!</v>
      </c>
    </row>
    <row r="13" ht="12.75" customHeight="1">
      <c r="C13" s="8" t="s">
        <v>256</v>
      </c>
      <c r="D13" s="124"/>
      <c r="E13" s="125"/>
      <c r="F13" s="126"/>
      <c r="G13" s="127">
        <f>IFERROR('Cash analysis'!G23,"NA")</f>
        <v>2612440</v>
      </c>
      <c r="H13" s="128">
        <f>IFERROR('Cash analysis'!H23,"NA")</f>
        <v>2224880</v>
      </c>
      <c r="I13" s="129">
        <f>IFERROR('Cash analysis'!I23,"NA")</f>
        <v>1837320</v>
      </c>
      <c r="J13" s="127">
        <f>IFERROR('Cash analysis'!J23,"NA")</f>
        <v>1449760</v>
      </c>
      <c r="K13" s="128">
        <f>IFERROR('Cash analysis'!K23,"NA")</f>
        <v>1062200</v>
      </c>
      <c r="L13" s="129">
        <f>IFERROR('Cash analysis'!L23,"NA")</f>
        <v>711980</v>
      </c>
      <c r="M13" s="128" t="str">
        <f>IFERROR('Cash analysis'!M23,"NA")</f>
        <v>NA</v>
      </c>
      <c r="N13" s="128" t="str">
        <f>IFERROR('Cash analysis'!N23,"NA")</f>
        <v>NA</v>
      </c>
      <c r="O13" s="128" t="str">
        <f>IFERROR('Cash analysis'!O23,"NA")</f>
        <v>NA</v>
      </c>
      <c r="P13" s="127" t="str">
        <f>IFERROR('Cash analysis'!P23,"NA")</f>
        <v>NA</v>
      </c>
      <c r="Q13" s="128" t="str">
        <f>IFERROR('Cash analysis'!Q23,"NA")</f>
        <v>NA</v>
      </c>
      <c r="R13" s="129" t="str">
        <f>IFERROR('Cash analysis'!R23,"NA")</f>
        <v>NA</v>
      </c>
      <c r="S13" s="128" t="str">
        <f>IFERROR('Cash analysis'!S23,"NA")</f>
        <v>NA</v>
      </c>
      <c r="T13" s="128" t="str">
        <f>IFERROR('Cash analysis'!T23,"NA")</f>
        <v>NA</v>
      </c>
      <c r="U13" s="128" t="str">
        <f>IFERROR('Cash analysis'!U23,"NA")</f>
        <v>NA</v>
      </c>
      <c r="V13" s="127" t="str">
        <f>IFERROR('Cash analysis'!V23,"NA")</f>
        <v>NA</v>
      </c>
      <c r="W13" s="128" t="str">
        <f>IFERROR('Cash analysis'!W23,"NA")</f>
        <v>NA</v>
      </c>
      <c r="X13" s="129" t="str">
        <f>IFERROR('Cash analysis'!X23,"NA")</f>
        <v>NA</v>
      </c>
      <c r="Y13" s="128" t="str">
        <f>IFERROR('Cash analysis'!Y23,"NA")</f>
        <v>NA</v>
      </c>
      <c r="Z13" s="128" t="str">
        <f>IFERROR('Cash analysis'!Z23,"NA")</f>
        <v>NA</v>
      </c>
      <c r="AA13" s="128" t="str">
        <f>IFERROR('Cash analysis'!AA23,"NA")</f>
        <v>NA</v>
      </c>
      <c r="AB13" s="127" t="str">
        <f>IFERROR('Cash analysis'!AB23,"NA")</f>
        <v>NA</v>
      </c>
      <c r="AC13" s="128" t="str">
        <f>IFERROR('Cash analysis'!AC23,"NA")</f>
        <v>NA</v>
      </c>
      <c r="AD13" s="129" t="str">
        <f>IFERROR('Cash analysis'!AD23,"NA")</f>
        <v>NA</v>
      </c>
      <c r="AE13" s="128" t="str">
        <f>IFERROR('Cash analysis'!AE23,"NA")</f>
        <v>NA</v>
      </c>
      <c r="AF13" s="128" t="str">
        <f>IFERROR('Cash analysis'!AF23,"NA")</f>
        <v>NA</v>
      </c>
      <c r="AG13" s="128" t="str">
        <f>IFERROR('Cash analysis'!AG23,"NA")</f>
        <v>NA</v>
      </c>
      <c r="AH13" s="127" t="str">
        <f>IFERROR('Cash analysis'!AH23,"NA")</f>
        <v>NA</v>
      </c>
      <c r="AI13" s="128" t="str">
        <f>IFERROR('Cash analysis'!AI23,"NA")</f>
        <v>NA</v>
      </c>
      <c r="AJ13" s="129" t="str">
        <f>IFERROR('Cash analysis'!AJ23,"NA")</f>
        <v>NA</v>
      </c>
      <c r="AK13" s="128" t="str">
        <f>IFERROR('Cash analysis'!AK23,"NA")</f>
        <v>NA</v>
      </c>
      <c r="AL13" s="128" t="str">
        <f>IFERROR('Cash analysis'!AL23,"NA")</f>
        <v>NA</v>
      </c>
      <c r="AM13" s="128" t="str">
        <f>IFERROR('Cash analysis'!AM23,"NA")</f>
        <v>NA</v>
      </c>
      <c r="AN13" s="127" t="str">
        <f>IFERROR('Cash analysis'!AN23,"NA")</f>
        <v>NA</v>
      </c>
      <c r="AO13" s="128" t="str">
        <f>IFERROR('Cash analysis'!AO23,"NA")</f>
        <v>NA</v>
      </c>
      <c r="AP13" s="129" t="str">
        <f>IFERROR('Cash analysis'!AP23,"NA")</f>
        <v>NA</v>
      </c>
      <c r="AQ13" s="128" t="str">
        <f>IFERROR('Cash analysis'!AQ23,"NA")</f>
        <v>NA</v>
      </c>
      <c r="AR13" s="128" t="str">
        <f>IFERROR('Cash analysis'!AR23,"NA")</f>
        <v>NA</v>
      </c>
      <c r="AS13" s="129" t="str">
        <f>IFERROR('Cash analysis'!AS23,"NA")</f>
        <v>NA</v>
      </c>
    </row>
    <row r="14" ht="12.0" customHeight="1"/>
    <row r="15" ht="354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20">
    <mergeCell ref="G4:I4"/>
    <mergeCell ref="J4:L4"/>
    <mergeCell ref="M4:O4"/>
    <mergeCell ref="P4:R4"/>
    <mergeCell ref="S4:U4"/>
    <mergeCell ref="V4:X4"/>
    <mergeCell ref="Y4:AA4"/>
    <mergeCell ref="AB4:AD4"/>
    <mergeCell ref="AE4:AG4"/>
    <mergeCell ref="AH4:AJ4"/>
    <mergeCell ref="AK4:AM4"/>
    <mergeCell ref="AN4:AP4"/>
    <mergeCell ref="A1:S1"/>
    <mergeCell ref="T1:U1"/>
    <mergeCell ref="D3:I3"/>
    <mergeCell ref="J3:U3"/>
    <mergeCell ref="V3:AG3"/>
    <mergeCell ref="AH3:AS3"/>
    <mergeCell ref="D4:F4"/>
    <mergeCell ref="AQ4:AS4"/>
  </mergeCell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26.0"/>
    <col customWidth="1" min="3" max="6" width="25.71"/>
    <col customWidth="1" min="7" max="26" width="8.86"/>
  </cols>
  <sheetData>
    <row r="1" ht="12.0" customHeight="1"/>
    <row r="2" ht="12.0" customHeight="1"/>
    <row r="3" ht="12.0" customHeight="1">
      <c r="C3" s="332" t="s">
        <v>257</v>
      </c>
      <c r="D3" s="332" t="s">
        <v>258</v>
      </c>
      <c r="E3" s="332" t="s">
        <v>259</v>
      </c>
    </row>
    <row r="4" ht="12.0" customHeight="1">
      <c r="B4" s="4"/>
      <c r="C4" s="333" t="s">
        <v>260</v>
      </c>
      <c r="D4" s="333" t="s">
        <v>261</v>
      </c>
      <c r="E4" s="333" t="s">
        <v>262</v>
      </c>
    </row>
    <row r="5" ht="12.0" customHeight="1">
      <c r="B5" s="4"/>
      <c r="C5" s="334"/>
      <c r="D5" s="334"/>
      <c r="E5" s="334"/>
    </row>
    <row r="6" ht="12.0" customHeight="1">
      <c r="B6" s="8" t="s">
        <v>263</v>
      </c>
    </row>
    <row r="7" ht="12.0" customHeight="1">
      <c r="B7" s="335">
        <v>43831.0</v>
      </c>
      <c r="C7" s="336" t="str">
        <f>'Cash analysis'!X23</f>
        <v>#VALUE!</v>
      </c>
      <c r="D7" s="337" t="str">
        <f>'Cash analysis'!#REF!</f>
        <v>#ERROR!</v>
      </c>
      <c r="E7" s="338" t="str">
        <f>'Cash analysis'!#REF!</f>
        <v>#ERROR!</v>
      </c>
    </row>
    <row r="8" ht="12.0" customHeight="1">
      <c r="B8" s="339">
        <v>43922.0</v>
      </c>
      <c r="C8" s="34" t="str">
        <f>'Cash analysis'!AA23</f>
        <v>#VALUE!</v>
      </c>
      <c r="D8" s="35" t="str">
        <f>'Cash analysis'!#REF!</f>
        <v>#ERROR!</v>
      </c>
      <c r="E8" s="36" t="str">
        <f>'Cash analysis'!#REF!</f>
        <v>#ERROR!</v>
      </c>
    </row>
    <row r="9" ht="12.0" customHeight="1">
      <c r="B9" s="340">
        <v>44013.0</v>
      </c>
      <c r="C9" s="341" t="str">
        <f>'Cash analysis'!AD23</f>
        <v>#VALUE!</v>
      </c>
      <c r="D9" s="342" t="str">
        <f>'Cash analysis'!#REF!</f>
        <v>#ERROR!</v>
      </c>
      <c r="E9" s="343" t="str">
        <f>'Cash analysis'!#REF!</f>
        <v>#ERROR!</v>
      </c>
    </row>
    <row r="10" ht="12.0" customHeight="1"/>
    <row r="11" ht="12.0" customHeight="1">
      <c r="B11" s="8" t="s">
        <v>212</v>
      </c>
    </row>
    <row r="12" ht="12.0" customHeight="1">
      <c r="B12" s="344" t="s">
        <v>264</v>
      </c>
      <c r="C12" s="336" t="str">
        <f>SUM('Cash analysis'!M9:O9)</f>
        <v>#VALUE!</v>
      </c>
      <c r="D12" s="337" t="str">
        <f>SUM('Cash analysis'!#REF!)</f>
        <v>#ERROR!</v>
      </c>
      <c r="E12" s="338" t="str">
        <f>SUM('Cash analysis'!#REF!)</f>
        <v>#ERROR!</v>
      </c>
    </row>
    <row r="13" ht="12.0" customHeight="1">
      <c r="B13" s="345" t="s">
        <v>265</v>
      </c>
      <c r="C13" s="34" t="str">
        <f>SUM('Cash analysis'!P9:R9)</f>
        <v>#VALUE!</v>
      </c>
      <c r="D13" s="35" t="str">
        <f>SUM('Cash analysis'!#REF!)</f>
        <v>#ERROR!</v>
      </c>
      <c r="E13" s="36" t="str">
        <f>SUM('Cash analysis'!#REF!)</f>
        <v>#ERROR!</v>
      </c>
    </row>
    <row r="14" ht="12.0" customHeight="1">
      <c r="B14" s="346" t="s">
        <v>266</v>
      </c>
      <c r="C14" s="341" t="str">
        <f>SUM('Cash analysis'!S9:U9)</f>
        <v>#VALUE!</v>
      </c>
      <c r="D14" s="342" t="str">
        <f>SUM('Cash analysis'!#REF!)</f>
        <v>#ERROR!</v>
      </c>
      <c r="E14" s="343" t="str">
        <f>SUM('Cash analysis'!#REF!)</f>
        <v>#ERROR!</v>
      </c>
    </row>
    <row r="15" ht="12.0" customHeight="1"/>
    <row r="16" ht="12.0" customHeight="1">
      <c r="B16" s="8" t="s">
        <v>267</v>
      </c>
    </row>
    <row r="17" ht="12.0" customHeight="1">
      <c r="B17" s="335">
        <v>43556.0</v>
      </c>
      <c r="C17" s="336" t="str">
        <f>'Top line'!O44</f>
        <v>#VALUE!</v>
      </c>
      <c r="D17" s="337" t="str">
        <f>'Top line'!#REF!</f>
        <v>#ERROR!</v>
      </c>
      <c r="E17" s="338" t="str">
        <f>'Top line'!#REF!</f>
        <v>#ERROR!</v>
      </c>
    </row>
    <row r="18" ht="12.0" customHeight="1">
      <c r="B18" s="339">
        <v>43647.0</v>
      </c>
      <c r="C18" s="34" t="str">
        <f>'Top line'!R44</f>
        <v>#VALUE!</v>
      </c>
      <c r="D18" s="35" t="str">
        <f>'Top line'!#REF!</f>
        <v>#ERROR!</v>
      </c>
      <c r="E18" s="36" t="str">
        <f>'Top line'!#REF!</f>
        <v>#ERROR!</v>
      </c>
    </row>
    <row r="19" ht="12.0" customHeight="1">
      <c r="B19" s="340">
        <v>43739.0</v>
      </c>
      <c r="C19" s="341" t="str">
        <f>'Top line'!U44</f>
        <v>#VALUE!</v>
      </c>
      <c r="D19" s="342" t="str">
        <f>'Top line'!#REF!</f>
        <v>#ERROR!</v>
      </c>
      <c r="E19" s="343" t="str">
        <f>'Top line'!#REF!</f>
        <v>#ERROR!</v>
      </c>
    </row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conditionalFormatting sqref="C7:E9">
    <cfRule type="cellIs" dxfId="0" priority="1" operator="lessThan">
      <formula>1000000</formula>
    </cfRule>
  </conditionalFormatting>
  <printOptions/>
  <pageMargins bottom="0.75" footer="0.0" header="0.0" left="0.7" right="0.7" top="0.75"/>
  <pageSetup orientation="landscape"/>
  <drawing r:id="rId1"/>
</worksheet>
</file>