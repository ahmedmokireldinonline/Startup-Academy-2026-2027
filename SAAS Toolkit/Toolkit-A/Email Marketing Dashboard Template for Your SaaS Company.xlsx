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Marketing Dashboard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<sst xmlns="http://schemas.openxmlformats.org/spreadsheetml/2006/main" count="19" uniqueCount="18">
  <si>
    <t>EMAIL MARKETING DASHBOARD</t>
  </si>
  <si>
    <t>CURRENT STATUS</t>
  </si>
  <si>
    <t xml:space="preserve">  </t>
  </si>
  <si>
    <t>EMAIL LIST DATA BY LAST 30 DAYS</t>
  </si>
  <si>
    <t>EMAIL MARKETING DASHBOARD DATA</t>
  </si>
  <si>
    <t>EMAIL LIST DATA BY MONTH</t>
  </si>
  <si>
    <t>MONTH / YEAR</t>
  </si>
  <si>
    <t>NEW SUBSCRIPTIONS</t>
  </si>
  <si>
    <t>UNSUBSCRIPTIONS</t>
  </si>
  <si>
    <t>BOUNCED</t>
  </si>
  <si>
    <t>NEW SUB GROWTH  ( % )</t>
  </si>
  <si>
    <t>UNSUB GROWTH  ( % )</t>
  </si>
  <si>
    <t>BOUNCE GROWTH  ( % )</t>
  </si>
  <si>
    <t>DATE</t>
  </si>
  <si>
    <t>CAMPAIGN 1</t>
  </si>
  <si>
    <t>CAMPAIGN 2</t>
  </si>
  <si>
    <t>CAMPAIGN 3</t>
  </si>
  <si>
    <t>CAMPAIGN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</si>
</sst>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(&quot;$&quot;* #,##0.00_);_(&quot;$&quot;* \(#,##0.00\);_(&quot;$&quot;* &quot;-&quot;??_);_(@_)"/>
  </numFmts>
  <fonts count="13">
    <font>
      <sz val="12.0"/>
      <color theme="1"/>
      <name val="Arial"/>
    </font>
    <font>
      <b/>
      <sz val="22.0"/>
      <color theme="1"/>
      <name val="Arial"/>
    </font>
    <font>
      <b/>
      <sz val="14.0"/>
      <color theme="0"/>
      <name val="Arial"/>
    </font>
    <font/>
    <font>
      <b/>
      <sz val="11.0"/>
      <color theme="0"/>
      <name val="Arial"/>
    </font>
    <font>
      <b/>
      <sz val="10.0"/>
      <color rgb="FF76923C"/>
      <name val="Arial"/>
    </font>
    <font>
      <sz val="10.0"/>
      <color theme="1"/>
      <name val="Arial"/>
    </font>
    <font>
      <b/>
      <sz val="10.0"/>
      <color rgb="FF31859B"/>
      <name val="Arial"/>
    </font>
    <font>
      <b/>
      <sz val="10.0"/>
      <color rgb="FF4F6128"/>
      <name val="Arial"/>
    </font>
    <font>
      <b/>
      <sz val="12.0"/>
      <color theme="0"/>
      <name val="Arial"/>
    </font>
    <font>
      <b/>
      <sz val="11.0"/>
      <color rgb="FF76923C"/>
      <name val="Arial"/>
    </font>
    <font>
      <b/>
      <sz val="12.0"/>
      <color rgb="FF244061"/>
      <name val="Calibri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76923C"/>
        <bgColor rgb="FF76923C"/>
      </patternFill>
    </fill>
  </fills>
  <borders count="7">
    <border/>
    <border>
      <left/>
      <right/>
      <top/>
      <bottom/>
    </border>
    <border>
      <left style="thin">
        <color theme="6"/>
      </left>
      <top style="thin">
        <color theme="6"/>
      </top>
      <bottom style="thin">
        <color theme="6"/>
      </bottom>
    </border>
    <border>
      <top style="thin">
        <color theme="6"/>
      </top>
      <bottom style="thin">
        <color theme="6"/>
      </bottom>
    </border>
    <border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right/>
      <top style="thin">
        <color theme="6"/>
      </top>
      <bottom style="thin">
        <color theme="6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1" fillId="2" fontId="1" numFmtId="0" xfId="0" applyAlignment="1" applyBorder="1" applyFont="1">
      <alignment vertical="center"/>
    </xf>
    <xf borderId="0" fillId="0" fontId="0" numFmtId="0" xfId="0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center"/>
    </xf>
    <xf borderId="5" fillId="4" fontId="4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5" fillId="8" fontId="5" numFmtId="16" xfId="0" applyAlignment="1" applyBorder="1" applyFill="1" applyFont="1" applyNumberFormat="1">
      <alignment horizontal="left" vertical="center"/>
    </xf>
    <xf borderId="5" fillId="8" fontId="6" numFmtId="3" xfId="0" applyAlignment="1" applyBorder="1" applyFont="1" applyNumberFormat="1">
      <alignment horizontal="right" vertical="center"/>
    </xf>
    <xf borderId="5" fillId="8" fontId="6" numFmtId="1" xfId="0" applyAlignment="1" applyBorder="1" applyFont="1" applyNumberFormat="1">
      <alignment horizontal="right" vertical="center"/>
    </xf>
    <xf borderId="5" fillId="8" fontId="7" numFmtId="9" xfId="0" applyAlignment="1" applyBorder="1" applyFont="1" applyNumberFormat="1">
      <alignment horizontal="center" vertical="center"/>
    </xf>
    <xf borderId="5" fillId="8" fontId="8" numFmtId="164" xfId="0" applyAlignment="1" applyBorder="1" applyFont="1" applyNumberFormat="1">
      <alignment horizontal="center" vertical="center"/>
    </xf>
    <xf borderId="5" fillId="8" fontId="6" numFmtId="165" xfId="0" applyAlignment="1" applyBorder="1" applyFont="1" applyNumberFormat="1">
      <alignment horizontal="left" vertical="center"/>
    </xf>
    <xf borderId="5" fillId="8" fontId="7" numFmtId="164" xfId="0" applyAlignment="1" applyBorder="1" applyFont="1" applyNumberFormat="1">
      <alignment horizontal="center" vertical="center"/>
    </xf>
    <xf borderId="6" fillId="0" fontId="3" numFmtId="0" xfId="0" applyBorder="1" applyFont="1"/>
    <xf borderId="0" fillId="0" fontId="2" numFmtId="0" xfId="0" applyAlignment="1" applyFont="1">
      <alignment vertical="center"/>
    </xf>
    <xf borderId="5" fillId="9" fontId="9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horizontal="left" vertical="center"/>
    </xf>
    <xf borderId="5" fillId="0" fontId="6" numFmtId="1" xfId="0" applyAlignment="1" applyBorder="1" applyFont="1" applyNumberFormat="1">
      <alignment horizontal="center" vertical="center"/>
    </xf>
    <xf borderId="0" fillId="0" fontId="11" numFmtId="0" xfId="0" applyFont="1"/>
    <xf borderId="0" fillId="0" fontId="11" numFmtId="1" xfId="0" applyAlignment="1" applyFont="1" applyNumberFormat="1">
      <alignment horizontal="center"/>
    </xf>
    <xf borderId="0" fillId="0" fontId="1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200">
                <a:solidFill>
                  <a:schemeClr val="accent3"/>
                </a:solidFill>
                <a:latin typeface="+mn-lt"/>
              </a:defRPr>
            </a:pPr>
            <a:r>
              <a:rPr b="1" i="0" sz="2200">
                <a:solidFill>
                  <a:schemeClr val="accent3"/>
                </a:solidFill>
                <a:latin typeface="+mn-lt"/>
              </a:rPr>
              <a:t>EMAIL LIST DATA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NEW SUB GROWTH  ( % 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DATA!$B$4:$B$27</c:f>
            </c:strRef>
          </c:cat>
          <c:val>
            <c:numRef>
              <c:f>DATA!$F$4:$F$27</c:f>
              <c:numCache/>
            </c:numRef>
          </c:val>
        </c:ser>
        <c:ser>
          <c:idx val="1"/>
          <c:order val="1"/>
          <c:tx>
            <c:v>UNSUB GROWTH  ( % 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DATA!$B$4:$B$27</c:f>
            </c:strRef>
          </c:cat>
          <c:val>
            <c:numRef>
              <c:f>DATA!$G$4:$G$27</c:f>
              <c:numCache/>
            </c:numRef>
          </c:val>
        </c:ser>
        <c:ser>
          <c:idx val="2"/>
          <c:order val="2"/>
          <c:tx>
            <c:v>BOUNCE GROWTH  ( % )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DATA!$B$4:$B$27</c:f>
            </c:strRef>
          </c:cat>
          <c:val>
            <c:numRef>
              <c:f>DATA!$H$4:$H$27</c:f>
              <c:numCache/>
            </c:numRef>
          </c:val>
        </c:ser>
        <c:axId val="1471962152"/>
        <c:axId val="213775878"/>
      </c:barChart>
      <c:catAx>
        <c:axId val="1471962152"/>
        <c:scaling>
          <c:orientation val="minMax"/>
          <c:min val="4240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cross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13775878"/>
      </c:catAx>
      <c:valAx>
        <c:axId val="213775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7196215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CAMPAIGN 1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DATA!$C$31:$C$60</c:f>
              <c:numCache/>
            </c:numRef>
          </c:val>
          <c:smooth val="0"/>
        </c:ser>
        <c:ser>
          <c:idx val="1"/>
          <c:order val="1"/>
          <c:tx>
            <c:v>CAMPAIGN 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DATA!$D$31:$D$60</c:f>
              <c:numCache/>
            </c:numRef>
          </c:val>
          <c:smooth val="0"/>
        </c:ser>
        <c:ser>
          <c:idx val="2"/>
          <c:order val="2"/>
          <c:tx>
            <c:v>CAMPAIGN 3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DATA!$E$31:$E$60</c:f>
              <c:numCache/>
            </c:numRef>
          </c:val>
          <c:smooth val="0"/>
        </c:ser>
        <c:ser>
          <c:idx val="3"/>
          <c:order val="3"/>
          <c:tx>
            <c:v>CAMPAIGN 4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DATA!$F$31:$F$60</c:f>
              <c:numCache/>
            </c:numRef>
          </c:val>
          <c:smooth val="0"/>
        </c:ser>
        <c:axId val="808870745"/>
        <c:axId val="15550891"/>
      </c:lineChart>
      <c:catAx>
        <c:axId val="808870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5550891"/>
      </c:catAx>
      <c:valAx>
        <c:axId val="15550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808870745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17697450" cy="50101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8</xdr:row>
      <xdr:rowOff>0</xdr:rowOff>
    </xdr:from>
    <xdr:ext cx="18002250" cy="5162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942975</xdr:colOff>
      <xdr:row>2</xdr:row>
      <xdr:rowOff>552450</xdr:rowOff>
    </xdr:from>
    <xdr:ext cx="4238625" cy="914400"/>
    <xdr:sp>
      <xdr:nvSpPr>
        <xdr:cNvPr id="3" name="Shape 3"/>
        <xdr:cNvSpPr/>
      </xdr:nvSpPr>
      <xdr:spPr>
        <a:xfrm>
          <a:off x="3231450" y="3322800"/>
          <a:ext cx="4229100" cy="914400"/>
        </a:xfrm>
        <a:prstGeom prst="roundRect">
          <a:avLst>
            <a:gd fmla="val 9028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400">
            <a:solidFill>
              <a:srgbClr val="76923C"/>
            </a:solidFill>
          </a:endParaRPr>
        </a:p>
      </xdr:txBody>
    </xdr:sp>
    <xdr:clientData fLocksWithSheet="0"/>
  </xdr:oneCellAnchor>
  <xdr:oneCellAnchor>
    <xdr:from>
      <xdr:col>3</xdr:col>
      <xdr:colOff>1552575</xdr:colOff>
      <xdr:row>2</xdr:row>
      <xdr:rowOff>552450</xdr:rowOff>
    </xdr:from>
    <xdr:ext cx="4238625" cy="914400"/>
    <xdr:sp>
      <xdr:nvSpPr>
        <xdr:cNvPr id="4" name="Shape 4"/>
        <xdr:cNvSpPr/>
      </xdr:nvSpPr>
      <xdr:spPr>
        <a:xfrm>
          <a:off x="3231450" y="3322800"/>
          <a:ext cx="4229100" cy="914400"/>
        </a:xfrm>
        <a:prstGeom prst="roundRect">
          <a:avLst>
            <a:gd fmla="val 9028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400">
            <a:solidFill>
              <a:srgbClr val="76923C"/>
            </a:solidFill>
          </a:endParaRPr>
        </a:p>
      </xdr:txBody>
    </xdr:sp>
    <xdr:clientData fLocksWithSheet="0"/>
  </xdr:oneCellAnchor>
  <xdr:oneCellAnchor>
    <xdr:from>
      <xdr:col>5</xdr:col>
      <xdr:colOff>2000250</xdr:colOff>
      <xdr:row>2</xdr:row>
      <xdr:rowOff>533400</xdr:rowOff>
    </xdr:from>
    <xdr:ext cx="4238625" cy="914400"/>
    <xdr:sp>
      <xdr:nvSpPr>
        <xdr:cNvPr id="5" name="Shape 5"/>
        <xdr:cNvSpPr/>
      </xdr:nvSpPr>
      <xdr:spPr>
        <a:xfrm>
          <a:off x="3231450" y="3322800"/>
          <a:ext cx="4229100" cy="914400"/>
        </a:xfrm>
        <a:prstGeom prst="roundRect">
          <a:avLst>
            <a:gd fmla="val 9028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400">
            <a:solidFill>
              <a:srgbClr val="76923C"/>
            </a:solidFill>
          </a:endParaRPr>
        </a:p>
      </xdr:txBody>
    </xdr:sp>
    <xdr:clientData fLocksWithSheet="0"/>
  </xdr:oneCellAnchor>
  <xdr:oneCellAnchor>
    <xdr:from>
      <xdr:col>1</xdr:col>
      <xdr:colOff>866775</xdr:colOff>
      <xdr:row>2</xdr:row>
      <xdr:rowOff>57150</xdr:rowOff>
    </xdr:from>
    <xdr:ext cx="4352925" cy="457200"/>
    <xdr:sp>
      <xdr:nvSpPr>
        <xdr:cNvPr id="6" name="Shape 6"/>
        <xdr:cNvSpPr txBox="1"/>
      </xdr:nvSpPr>
      <xdr:spPr>
        <a:xfrm>
          <a:off x="3174300" y="3551400"/>
          <a:ext cx="434340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76923C"/>
              </a:solidFill>
              <a:latin typeface="Arial"/>
              <a:ea typeface="Arial"/>
              <a:cs typeface="Arial"/>
              <a:sym typeface="Arial"/>
            </a:rPr>
            <a:t>NEW SUB </a:t>
          </a:r>
          <a:r>
            <a:rPr b="1" lang="en-US" sz="1800">
              <a:solidFill>
                <a:srgbClr val="76923C"/>
              </a:solidFill>
              <a:latin typeface="Arial"/>
              <a:ea typeface="Arial"/>
              <a:cs typeface="Arial"/>
              <a:sym typeface="Arial"/>
            </a:rPr>
            <a:t>GROWTH</a:t>
          </a:r>
          <a:endParaRPr b="1" sz="1800">
            <a:solidFill>
              <a:srgbClr val="76923C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1485900</xdr:colOff>
      <xdr:row>2</xdr:row>
      <xdr:rowOff>57150</xdr:rowOff>
    </xdr:from>
    <xdr:ext cx="4352925" cy="457200"/>
    <xdr:sp>
      <xdr:nvSpPr>
        <xdr:cNvPr id="7" name="Shape 7"/>
        <xdr:cNvSpPr txBox="1"/>
      </xdr:nvSpPr>
      <xdr:spPr>
        <a:xfrm>
          <a:off x="3174300" y="3551400"/>
          <a:ext cx="434340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76923C"/>
              </a:solidFill>
              <a:latin typeface="Arial"/>
              <a:ea typeface="Arial"/>
              <a:cs typeface="Arial"/>
              <a:sym typeface="Arial"/>
            </a:rPr>
            <a:t>UNSUB </a:t>
          </a:r>
          <a:r>
            <a:rPr b="1" lang="en-US" sz="1800">
              <a:solidFill>
                <a:srgbClr val="76923C"/>
              </a:solidFill>
              <a:latin typeface="Arial"/>
              <a:ea typeface="Arial"/>
              <a:cs typeface="Arial"/>
              <a:sym typeface="Arial"/>
            </a:rPr>
            <a:t>GROWTH</a:t>
          </a:r>
          <a:endParaRPr b="1" sz="1800">
            <a:solidFill>
              <a:srgbClr val="76923C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1943100</xdr:colOff>
      <xdr:row>2</xdr:row>
      <xdr:rowOff>19050</xdr:rowOff>
    </xdr:from>
    <xdr:ext cx="4352925" cy="457200"/>
    <xdr:sp>
      <xdr:nvSpPr>
        <xdr:cNvPr id="8" name="Shape 8"/>
        <xdr:cNvSpPr txBox="1"/>
      </xdr:nvSpPr>
      <xdr:spPr>
        <a:xfrm>
          <a:off x="3174300" y="3551400"/>
          <a:ext cx="434340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76923C"/>
              </a:solidFill>
              <a:latin typeface="Arial"/>
              <a:ea typeface="Arial"/>
              <a:cs typeface="Arial"/>
              <a:sym typeface="Arial"/>
            </a:rPr>
            <a:t>BOUNCE </a:t>
          </a:r>
          <a:r>
            <a:rPr b="1" lang="en-US" sz="1800">
              <a:solidFill>
                <a:srgbClr val="76923C"/>
              </a:solidFill>
              <a:latin typeface="Arial"/>
              <a:ea typeface="Arial"/>
              <a:cs typeface="Arial"/>
              <a:sym typeface="Arial"/>
            </a:rPr>
            <a:t>GROWTH</a:t>
          </a:r>
          <a:endParaRPr b="1" sz="1800">
            <a:solidFill>
              <a:srgbClr val="76923C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2533650</xdr:colOff>
      <xdr:row>4</xdr:row>
      <xdr:rowOff>-47625</xdr:rowOff>
    </xdr:from>
    <xdr:ext cx="2857500" cy="781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/>
  </sheetPr>
  <sheetViews>
    <sheetView showGridLines="0" workbookViewId="0"/>
  </sheetViews>
  <sheetFormatPr customHeight="1" defaultColWidth="11.22" defaultRowHeight="15.0"/>
  <cols>
    <col customWidth="1" min="1" max="1" width="3.0"/>
    <col customWidth="1" min="2" max="8" width="30.0"/>
    <col customWidth="1" min="9" max="9" width="3.0"/>
    <col customWidth="1" min="10" max="26" width="10.78"/>
  </cols>
  <sheetData>
    <row r="1" ht="45.75" customHeight="1">
      <c r="A1" s="1"/>
      <c r="B1" s="2" t="s">
        <v>0</v>
      </c>
      <c r="C1" s="2"/>
      <c r="D1" s="2"/>
      <c r="E1" s="2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1"/>
      <c r="B2" s="4" t="s">
        <v>1</v>
      </c>
      <c r="C2" s="5"/>
      <c r="D2" s="5"/>
      <c r="E2" s="5"/>
      <c r="F2" s="5"/>
      <c r="G2" s="5"/>
      <c r="H2" s="6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7.75" customHeight="1">
      <c r="A3" s="1"/>
      <c r="B3" s="2"/>
      <c r="C3" s="2"/>
      <c r="D3" s="2"/>
      <c r="E3" s="2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02.0" customHeight="1">
      <c r="A5" s="1"/>
      <c r="B5" s="2"/>
      <c r="C5" s="2"/>
      <c r="D5" s="2"/>
      <c r="E5" s="2"/>
      <c r="F5" s="1"/>
      <c r="G5" s="1"/>
      <c r="H5" s="1"/>
      <c r="I5" s="1"/>
      <c r="J5" s="3"/>
      <c r="K5" s="3"/>
      <c r="L5" s="3" t="s">
        <v>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1"/>
      <c r="D6" s="1"/>
      <c r="E6" s="1"/>
      <c r="F6" s="1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1"/>
      <c r="B7" s="4" t="s">
        <v>3</v>
      </c>
      <c r="C7" s="5"/>
      <c r="D7" s="5"/>
      <c r="E7" s="5"/>
      <c r="F7" s="5"/>
      <c r="G7" s="5"/>
      <c r="H7" s="6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"/>
      <c r="B8" s="1"/>
      <c r="C8" s="1"/>
      <c r="D8" s="1"/>
      <c r="E8" s="1"/>
      <c r="F8" s="1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08.75" customHeight="1">
      <c r="A9" s="1"/>
      <c r="B9" s="1"/>
      <c r="C9" s="1"/>
      <c r="D9" s="1"/>
      <c r="E9" s="1"/>
      <c r="F9" s="1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1"/>
      <c r="D10" s="1"/>
      <c r="E10" s="1"/>
      <c r="F10" s="1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2">
    <mergeCell ref="B2:H2"/>
    <mergeCell ref="B7:H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1.22" defaultRowHeight="15.0"/>
  <cols>
    <col customWidth="1" min="1" max="1" width="2.33"/>
    <col customWidth="1" min="2" max="8" width="24.0"/>
  </cols>
  <sheetData>
    <row r="1" ht="43.5" customHeight="1">
      <c r="B1" s="7" t="s">
        <v>4</v>
      </c>
    </row>
    <row r="2" ht="28.5" customHeight="1">
      <c r="B2" s="4" t="s">
        <v>5</v>
      </c>
      <c r="C2" s="5"/>
      <c r="D2" s="5"/>
      <c r="E2" s="5"/>
      <c r="F2" s="5"/>
      <c r="G2" s="5"/>
      <c r="H2" s="6"/>
    </row>
    <row r="3">
      <c r="B3" s="8" t="s">
        <v>6</v>
      </c>
      <c r="C3" s="9" t="s">
        <v>7</v>
      </c>
      <c r="D3" s="10" t="s">
        <v>8</v>
      </c>
      <c r="E3" s="11" t="s">
        <v>9</v>
      </c>
      <c r="F3" s="9" t="s">
        <v>10</v>
      </c>
      <c r="G3" s="10" t="s">
        <v>11</v>
      </c>
      <c r="H3" s="11" t="s">
        <v>12</v>
      </c>
    </row>
    <row r="4">
      <c r="B4" s="12">
        <v>42385.0</v>
      </c>
      <c r="C4" s="13">
        <v>1800.0</v>
      </c>
      <c r="D4" s="13">
        <v>120.0</v>
      </c>
      <c r="E4" s="14">
        <v>7.0</v>
      </c>
      <c r="F4" s="15"/>
      <c r="G4" s="15"/>
      <c r="H4" s="15"/>
    </row>
    <row r="5">
      <c r="B5" s="12">
        <v>42416.0</v>
      </c>
      <c r="C5" s="13">
        <v>2645.0</v>
      </c>
      <c r="D5" s="13">
        <v>100.0</v>
      </c>
      <c r="E5" s="14">
        <v>3.0</v>
      </c>
      <c r="F5" s="16">
        <f t="shared" ref="F5:H5" si="1">IF((C4=0),1,((C5-C4)/C4))</f>
        <v>0.4694444444</v>
      </c>
      <c r="G5" s="16">
        <f t="shared" si="1"/>
        <v>-0.1666666667</v>
      </c>
      <c r="H5" s="16">
        <f t="shared" si="1"/>
        <v>-0.5714285714</v>
      </c>
    </row>
    <row r="6">
      <c r="B6" s="12">
        <v>42445.0</v>
      </c>
      <c r="C6" s="13">
        <v>2311.0</v>
      </c>
      <c r="D6" s="13">
        <v>50.0</v>
      </c>
      <c r="E6" s="14">
        <v>2.0</v>
      </c>
      <c r="F6" s="16">
        <f t="shared" ref="F6:H6" si="2">IF((C5=0),1,((C6-C5)/C5))</f>
        <v>-0.1262759924</v>
      </c>
      <c r="G6" s="16">
        <f t="shared" si="2"/>
        <v>-0.5</v>
      </c>
      <c r="H6" s="16">
        <f t="shared" si="2"/>
        <v>-0.3333333333</v>
      </c>
    </row>
    <row r="7">
      <c r="B7" s="12">
        <v>42476.0</v>
      </c>
      <c r="C7" s="13">
        <v>2119.0</v>
      </c>
      <c r="D7" s="13">
        <v>23.0</v>
      </c>
      <c r="E7" s="14">
        <v>8.0</v>
      </c>
      <c r="F7" s="16">
        <f t="shared" ref="F7:H7" si="3">IF((C6=0),1,((C7-C6)/C6))</f>
        <v>-0.08308091735</v>
      </c>
      <c r="G7" s="16">
        <f t="shared" si="3"/>
        <v>-0.54</v>
      </c>
      <c r="H7" s="16">
        <f t="shared" si="3"/>
        <v>3</v>
      </c>
    </row>
    <row r="8">
      <c r="B8" s="12">
        <v>42506.0</v>
      </c>
      <c r="C8" s="13">
        <v>2221.0</v>
      </c>
      <c r="D8" s="13">
        <v>110.0</v>
      </c>
      <c r="E8" s="14">
        <v>5.0</v>
      </c>
      <c r="F8" s="16">
        <f t="shared" ref="F8:H8" si="4">IF((C7=0),1,((C8-C7)/C7))</f>
        <v>0.04813591317</v>
      </c>
      <c r="G8" s="16">
        <f t="shared" si="4"/>
        <v>3.782608696</v>
      </c>
      <c r="H8" s="16">
        <f t="shared" si="4"/>
        <v>-0.375</v>
      </c>
    </row>
    <row r="9">
      <c r="B9" s="12">
        <v>42537.0</v>
      </c>
      <c r="C9" s="13">
        <v>1180.0</v>
      </c>
      <c r="D9" s="13">
        <v>65.0</v>
      </c>
      <c r="E9" s="14">
        <v>12.0</v>
      </c>
      <c r="F9" s="16">
        <f t="shared" ref="F9:H9" si="5">IF((C8=0),1,((C9-C8)/C8))</f>
        <v>-0.4687077893</v>
      </c>
      <c r="G9" s="16">
        <f t="shared" si="5"/>
        <v>-0.4090909091</v>
      </c>
      <c r="H9" s="16">
        <f t="shared" si="5"/>
        <v>1.4</v>
      </c>
    </row>
    <row r="10">
      <c r="B10" s="12">
        <v>42567.0</v>
      </c>
      <c r="C10" s="13">
        <v>2360.0</v>
      </c>
      <c r="D10" s="13">
        <v>72.0</v>
      </c>
      <c r="E10" s="14">
        <v>16.0</v>
      </c>
      <c r="F10" s="16">
        <f t="shared" ref="F10:H10" si="6">IF((C9=0),1,((C10-C9)/C9))</f>
        <v>1</v>
      </c>
      <c r="G10" s="16">
        <f t="shared" si="6"/>
        <v>0.1076923077</v>
      </c>
      <c r="H10" s="16">
        <f t="shared" si="6"/>
        <v>0.3333333333</v>
      </c>
    </row>
    <row r="11">
      <c r="B11" s="12">
        <v>42598.0</v>
      </c>
      <c r="C11" s="13">
        <v>2440.0</v>
      </c>
      <c r="D11" s="13">
        <v>92.0</v>
      </c>
      <c r="E11" s="14">
        <v>3.0</v>
      </c>
      <c r="F11" s="16">
        <f t="shared" ref="F11:H11" si="7">IF((C10=0),1,((C11-C10)/C10))</f>
        <v>0.03389830508</v>
      </c>
      <c r="G11" s="16">
        <f t="shared" si="7"/>
        <v>0.2777777778</v>
      </c>
      <c r="H11" s="16">
        <f t="shared" si="7"/>
        <v>-0.8125</v>
      </c>
    </row>
    <row r="12">
      <c r="B12" s="12">
        <v>42629.0</v>
      </c>
      <c r="C12" s="13">
        <v>2520.0</v>
      </c>
      <c r="D12" s="13">
        <v>30.0</v>
      </c>
      <c r="E12" s="14">
        <v>12.0</v>
      </c>
      <c r="F12" s="16">
        <f t="shared" ref="F12:H12" si="8">IF((C11=0),1,((C12-C11)/C11))</f>
        <v>0.03278688525</v>
      </c>
      <c r="G12" s="16">
        <f t="shared" si="8"/>
        <v>-0.6739130435</v>
      </c>
      <c r="H12" s="16">
        <f t="shared" si="8"/>
        <v>3</v>
      </c>
    </row>
    <row r="13">
      <c r="B13" s="12">
        <v>42659.0</v>
      </c>
      <c r="C13" s="13">
        <v>3157.0</v>
      </c>
      <c r="D13" s="13">
        <v>32.0</v>
      </c>
      <c r="E13" s="14">
        <v>18.0</v>
      </c>
      <c r="F13" s="16">
        <f t="shared" ref="F13:H13" si="9">IF((C12=0),1,((C13-C12)/C12))</f>
        <v>0.2527777778</v>
      </c>
      <c r="G13" s="16">
        <f t="shared" si="9"/>
        <v>0.06666666667</v>
      </c>
      <c r="H13" s="16">
        <f t="shared" si="9"/>
        <v>0.5</v>
      </c>
    </row>
    <row r="14">
      <c r="B14" s="12">
        <v>42690.0</v>
      </c>
      <c r="C14" s="13">
        <v>5820.0</v>
      </c>
      <c r="D14" s="13">
        <v>33.0</v>
      </c>
      <c r="E14" s="14">
        <v>15.0</v>
      </c>
      <c r="F14" s="16">
        <f t="shared" ref="F14:H14" si="10">IF((C13=0),1,((C14-C13)/C13))</f>
        <v>0.8435223313</v>
      </c>
      <c r="G14" s="16">
        <f t="shared" si="10"/>
        <v>0.03125</v>
      </c>
      <c r="H14" s="16">
        <f t="shared" si="10"/>
        <v>-0.1666666667</v>
      </c>
    </row>
    <row r="15">
      <c r="B15" s="12">
        <v>42720.0</v>
      </c>
      <c r="C15" s="13">
        <v>11841.0</v>
      </c>
      <c r="D15" s="13">
        <v>35.0</v>
      </c>
      <c r="E15" s="14">
        <v>11.0</v>
      </c>
      <c r="F15" s="16">
        <f t="shared" ref="F15:H15" si="11">IF((C14=0),1,((C15-C14)/C14))</f>
        <v>1.034536082</v>
      </c>
      <c r="G15" s="16">
        <f t="shared" si="11"/>
        <v>0.06060606061</v>
      </c>
      <c r="H15" s="16">
        <f t="shared" si="11"/>
        <v>-0.2666666667</v>
      </c>
    </row>
    <row r="16">
      <c r="B16" s="12">
        <v>42386.0</v>
      </c>
      <c r="C16" s="17"/>
      <c r="D16" s="13"/>
      <c r="E16" s="17"/>
      <c r="F16" s="18"/>
      <c r="G16" s="15"/>
      <c r="H16" s="15"/>
    </row>
    <row r="17">
      <c r="B17" s="12">
        <v>42417.0</v>
      </c>
      <c r="C17" s="17"/>
      <c r="D17" s="13"/>
      <c r="E17" s="17"/>
      <c r="F17" s="18"/>
      <c r="G17" s="15"/>
      <c r="H17" s="15"/>
    </row>
    <row r="18">
      <c r="B18" s="12">
        <v>42446.0</v>
      </c>
      <c r="C18" s="17"/>
      <c r="D18" s="13"/>
      <c r="E18" s="17"/>
      <c r="F18" s="18"/>
      <c r="G18" s="15"/>
      <c r="H18" s="15"/>
    </row>
    <row r="19">
      <c r="B19" s="12">
        <v>42477.0</v>
      </c>
      <c r="C19" s="17"/>
      <c r="D19" s="13"/>
      <c r="E19" s="17"/>
      <c r="F19" s="18"/>
      <c r="G19" s="15"/>
      <c r="H19" s="15"/>
    </row>
    <row r="20">
      <c r="B20" s="12">
        <v>42507.0</v>
      </c>
      <c r="C20" s="17"/>
      <c r="D20" s="13"/>
      <c r="E20" s="17"/>
      <c r="F20" s="18"/>
      <c r="G20" s="15"/>
      <c r="H20" s="15"/>
    </row>
    <row r="21">
      <c r="B21" s="12">
        <v>42538.0</v>
      </c>
      <c r="C21" s="17"/>
      <c r="D21" s="13"/>
      <c r="E21" s="17"/>
      <c r="F21" s="18"/>
      <c r="G21" s="15"/>
      <c r="H21" s="15"/>
    </row>
    <row r="22">
      <c r="B22" s="12">
        <v>42599.0</v>
      </c>
      <c r="C22" s="17"/>
      <c r="D22" s="13"/>
      <c r="E22" s="17"/>
      <c r="F22" s="18"/>
      <c r="G22" s="15"/>
      <c r="H22" s="15"/>
    </row>
    <row r="23">
      <c r="B23" s="12">
        <v>42630.0</v>
      </c>
      <c r="C23" s="17"/>
      <c r="D23" s="13"/>
      <c r="E23" s="17"/>
      <c r="F23" s="18"/>
      <c r="G23" s="15"/>
      <c r="H23" s="15"/>
    </row>
    <row r="24">
      <c r="B24" s="12">
        <v>42660.0</v>
      </c>
      <c r="C24" s="17"/>
      <c r="D24" s="13"/>
      <c r="E24" s="17"/>
      <c r="F24" s="18"/>
      <c r="G24" s="15"/>
      <c r="H24" s="15"/>
    </row>
    <row r="25">
      <c r="B25" s="12">
        <v>42691.0</v>
      </c>
      <c r="C25" s="17"/>
      <c r="D25" s="13"/>
      <c r="E25" s="17"/>
      <c r="F25" s="18"/>
      <c r="G25" s="15"/>
      <c r="H25" s="15"/>
    </row>
    <row r="26">
      <c r="B26" s="12">
        <v>42721.0</v>
      </c>
      <c r="C26" s="17"/>
      <c r="D26" s="13"/>
      <c r="E26" s="17"/>
      <c r="F26" s="18"/>
      <c r="G26" s="15"/>
      <c r="H26" s="15"/>
    </row>
    <row r="27">
      <c r="B27" s="12">
        <v>42387.0</v>
      </c>
      <c r="C27" s="17"/>
      <c r="D27" s="13"/>
      <c r="E27" s="17"/>
      <c r="F27" s="18"/>
      <c r="G27" s="15"/>
      <c r="H27" s="15"/>
    </row>
    <row r="29" ht="28.5" customHeight="1">
      <c r="B29" s="4" t="s">
        <v>3</v>
      </c>
      <c r="C29" s="5"/>
      <c r="D29" s="5"/>
      <c r="E29" s="5"/>
      <c r="F29" s="19"/>
      <c r="G29" s="20"/>
      <c r="H29" s="20"/>
    </row>
    <row r="30" ht="54.75" customHeight="1">
      <c r="B30" s="21" t="s">
        <v>13</v>
      </c>
      <c r="C30" s="21" t="s">
        <v>14</v>
      </c>
      <c r="D30" s="21" t="s">
        <v>15</v>
      </c>
      <c r="E30" s="21" t="s">
        <v>16</v>
      </c>
      <c r="F30" s="21" t="s">
        <v>17</v>
      </c>
    </row>
    <row r="31">
      <c r="B31" s="22">
        <v>1.0</v>
      </c>
      <c r="C31" s="23">
        <v>291.0</v>
      </c>
      <c r="D31" s="23"/>
      <c r="E31" s="23"/>
      <c r="F31" s="23"/>
    </row>
    <row r="32">
      <c r="B32" s="22">
        <f t="shared" ref="B32:B60" si="12">B31+1</f>
        <v>2</v>
      </c>
      <c r="C32" s="23">
        <v>245.0</v>
      </c>
      <c r="D32" s="23"/>
      <c r="E32" s="23"/>
      <c r="F32" s="23"/>
    </row>
    <row r="33">
      <c r="B33" s="22">
        <f t="shared" si="12"/>
        <v>3</v>
      </c>
      <c r="C33" s="23">
        <v>255.0</v>
      </c>
      <c r="D33" s="23"/>
      <c r="E33" s="23"/>
      <c r="F33" s="23"/>
    </row>
    <row r="34">
      <c r="B34" s="22">
        <f t="shared" si="12"/>
        <v>4</v>
      </c>
      <c r="C34" s="23">
        <v>142.0</v>
      </c>
      <c r="D34" s="23"/>
      <c r="E34" s="23"/>
      <c r="F34" s="23"/>
    </row>
    <row r="35">
      <c r="B35" s="22">
        <f t="shared" si="12"/>
        <v>5</v>
      </c>
      <c r="C35" s="23">
        <v>167.0</v>
      </c>
      <c r="D35" s="23"/>
      <c r="E35" s="23"/>
      <c r="F35" s="23"/>
    </row>
    <row r="36">
      <c r="B36" s="22">
        <f t="shared" si="12"/>
        <v>6</v>
      </c>
      <c r="C36" s="23">
        <v>277.0</v>
      </c>
      <c r="D36" s="23"/>
      <c r="E36" s="23"/>
      <c r="F36" s="23"/>
    </row>
    <row r="37">
      <c r="B37" s="22">
        <f t="shared" si="12"/>
        <v>7</v>
      </c>
      <c r="C37" s="23">
        <v>129.0</v>
      </c>
      <c r="D37" s="23"/>
      <c r="E37" s="23"/>
      <c r="F37" s="23"/>
    </row>
    <row r="38">
      <c r="B38" s="22">
        <f t="shared" si="12"/>
        <v>8</v>
      </c>
      <c r="C38" s="23">
        <v>140.0</v>
      </c>
      <c r="D38" s="23">
        <v>94.0</v>
      </c>
      <c r="E38" s="23"/>
      <c r="F38" s="23"/>
    </row>
    <row r="39">
      <c r="B39" s="22">
        <f t="shared" si="12"/>
        <v>9</v>
      </c>
      <c r="C39" s="23">
        <v>262.0</v>
      </c>
      <c r="D39" s="23">
        <v>128.0</v>
      </c>
      <c r="E39" s="23"/>
      <c r="F39" s="23"/>
    </row>
    <row r="40">
      <c r="B40" s="22">
        <f t="shared" si="12"/>
        <v>10</v>
      </c>
      <c r="C40" s="23">
        <v>5.0</v>
      </c>
      <c r="D40" s="23">
        <v>320.0</v>
      </c>
      <c r="E40" s="23"/>
      <c r="F40" s="23"/>
    </row>
    <row r="41">
      <c r="B41" s="22">
        <f t="shared" si="12"/>
        <v>11</v>
      </c>
      <c r="C41" s="23">
        <v>31.0</v>
      </c>
      <c r="D41" s="23">
        <v>255.0</v>
      </c>
      <c r="E41" s="23"/>
      <c r="F41" s="23"/>
    </row>
    <row r="42">
      <c r="B42" s="22">
        <f t="shared" si="12"/>
        <v>12</v>
      </c>
      <c r="C42" s="23">
        <v>8.0</v>
      </c>
      <c r="D42" s="23">
        <v>207.0</v>
      </c>
      <c r="E42" s="23"/>
      <c r="F42" s="23"/>
    </row>
    <row r="43">
      <c r="B43" s="22">
        <f t="shared" si="12"/>
        <v>13</v>
      </c>
      <c r="C43" s="23">
        <v>214.0</v>
      </c>
      <c r="D43" s="23">
        <v>187.0</v>
      </c>
      <c r="E43" s="23"/>
      <c r="F43" s="23"/>
    </row>
    <row r="44">
      <c r="B44" s="22">
        <f t="shared" si="12"/>
        <v>14</v>
      </c>
      <c r="C44" s="23">
        <v>83.0</v>
      </c>
      <c r="D44" s="23">
        <v>305.0</v>
      </c>
      <c r="E44" s="23">
        <v>77.0</v>
      </c>
      <c r="F44" s="23"/>
    </row>
    <row r="45">
      <c r="B45" s="22">
        <f t="shared" si="12"/>
        <v>15</v>
      </c>
      <c r="C45" s="23">
        <v>135.0</v>
      </c>
      <c r="D45" s="23">
        <v>278.0</v>
      </c>
      <c r="E45" s="23">
        <v>119.0</v>
      </c>
      <c r="F45" s="23"/>
    </row>
    <row r="46">
      <c r="B46" s="22">
        <f t="shared" si="12"/>
        <v>16</v>
      </c>
      <c r="C46" s="23">
        <v>263.0</v>
      </c>
      <c r="D46" s="23">
        <v>278.0</v>
      </c>
      <c r="E46" s="23">
        <v>136.0</v>
      </c>
      <c r="F46" s="23"/>
    </row>
    <row r="47">
      <c r="B47" s="22">
        <f t="shared" si="12"/>
        <v>17</v>
      </c>
      <c r="C47" s="23">
        <v>11.0</v>
      </c>
      <c r="D47" s="23">
        <v>77.0</v>
      </c>
      <c r="E47" s="23">
        <v>33.0</v>
      </c>
      <c r="F47" s="23"/>
    </row>
    <row r="48">
      <c r="B48" s="22">
        <f t="shared" si="12"/>
        <v>18</v>
      </c>
      <c r="C48" s="23">
        <v>255.0</v>
      </c>
      <c r="D48" s="23">
        <v>230.0</v>
      </c>
      <c r="E48" s="23">
        <v>80.0</v>
      </c>
      <c r="F48" s="23"/>
    </row>
    <row r="49">
      <c r="B49" s="22">
        <f t="shared" si="12"/>
        <v>19</v>
      </c>
      <c r="C49" s="23">
        <v>15.0</v>
      </c>
      <c r="D49" s="23">
        <v>89.0</v>
      </c>
      <c r="E49" s="23">
        <v>315.0</v>
      </c>
      <c r="F49" s="23"/>
    </row>
    <row r="50">
      <c r="B50" s="22">
        <f t="shared" si="12"/>
        <v>20</v>
      </c>
      <c r="C50" s="23">
        <v>80.0</v>
      </c>
      <c r="D50" s="23">
        <v>41.0</v>
      </c>
      <c r="E50" s="23">
        <v>184.0</v>
      </c>
      <c r="F50" s="23"/>
    </row>
    <row r="51">
      <c r="B51" s="22">
        <f t="shared" si="12"/>
        <v>21</v>
      </c>
      <c r="C51" s="23">
        <v>194.0</v>
      </c>
      <c r="D51" s="23">
        <v>94.0</v>
      </c>
      <c r="E51" s="23">
        <v>309.0</v>
      </c>
      <c r="F51" s="23"/>
    </row>
    <row r="52">
      <c r="B52" s="22">
        <f t="shared" si="12"/>
        <v>22</v>
      </c>
      <c r="C52" s="23">
        <v>187.0</v>
      </c>
      <c r="D52" s="23">
        <v>316.0</v>
      </c>
      <c r="E52" s="23">
        <v>172.0</v>
      </c>
      <c r="F52" s="23"/>
    </row>
    <row r="53">
      <c r="B53" s="22">
        <f t="shared" si="12"/>
        <v>23</v>
      </c>
      <c r="C53" s="23">
        <v>182.0</v>
      </c>
      <c r="D53" s="23">
        <v>237.0</v>
      </c>
      <c r="E53" s="23">
        <v>15.0</v>
      </c>
      <c r="F53" s="23"/>
    </row>
    <row r="54">
      <c r="B54" s="22">
        <f t="shared" si="12"/>
        <v>24</v>
      </c>
      <c r="C54" s="23">
        <v>118.0</v>
      </c>
      <c r="D54" s="23">
        <v>203.0</v>
      </c>
      <c r="E54" s="23">
        <v>301.0</v>
      </c>
      <c r="F54" s="23"/>
    </row>
    <row r="55">
      <c r="B55" s="22">
        <f t="shared" si="12"/>
        <v>25</v>
      </c>
      <c r="C55" s="23">
        <v>22.0</v>
      </c>
      <c r="D55" s="23">
        <v>23.0</v>
      </c>
      <c r="E55" s="23">
        <v>45.0</v>
      </c>
      <c r="F55" s="23">
        <v>62.0</v>
      </c>
    </row>
    <row r="56">
      <c r="B56" s="22">
        <f t="shared" si="12"/>
        <v>26</v>
      </c>
      <c r="C56" s="23">
        <v>9.0</v>
      </c>
      <c r="D56" s="23">
        <v>241.0</v>
      </c>
      <c r="E56" s="23">
        <v>108.0</v>
      </c>
      <c r="F56" s="23">
        <v>174.0</v>
      </c>
    </row>
    <row r="57">
      <c r="B57" s="22">
        <f t="shared" si="12"/>
        <v>27</v>
      </c>
      <c r="C57" s="23">
        <v>8.0</v>
      </c>
      <c r="D57" s="23">
        <v>113.0</v>
      </c>
      <c r="E57" s="23">
        <v>212.0</v>
      </c>
      <c r="F57" s="23">
        <v>128.0</v>
      </c>
    </row>
    <row r="58">
      <c r="B58" s="22">
        <f t="shared" si="12"/>
        <v>28</v>
      </c>
      <c r="C58" s="23">
        <v>3.0</v>
      </c>
      <c r="D58" s="23">
        <v>187.0</v>
      </c>
      <c r="E58" s="23">
        <v>297.0</v>
      </c>
      <c r="F58" s="23">
        <v>111.0</v>
      </c>
    </row>
    <row r="59">
      <c r="B59" s="22">
        <f t="shared" si="12"/>
        <v>29</v>
      </c>
      <c r="C59" s="23">
        <v>5.0</v>
      </c>
      <c r="D59" s="23">
        <v>203.0</v>
      </c>
      <c r="E59" s="23">
        <v>209.0</v>
      </c>
      <c r="F59" s="23">
        <v>242.0</v>
      </c>
    </row>
    <row r="60">
      <c r="B60" s="22">
        <f t="shared" si="12"/>
        <v>30</v>
      </c>
      <c r="C60" s="23">
        <v>1.0</v>
      </c>
      <c r="D60" s="23">
        <v>140.0</v>
      </c>
      <c r="E60" s="23">
        <v>262.0</v>
      </c>
      <c r="F60" s="23">
        <v>267.0</v>
      </c>
    </row>
    <row r="61">
      <c r="B61" s="24"/>
      <c r="C61" s="25">
        <f t="shared" ref="C61:F61" si="13">SUM(C31:C60)</f>
        <v>3737</v>
      </c>
      <c r="D61" s="25">
        <f t="shared" si="13"/>
        <v>4246</v>
      </c>
      <c r="E61" s="25">
        <f t="shared" si="13"/>
        <v>2874</v>
      </c>
      <c r="F61" s="25">
        <f t="shared" si="13"/>
        <v>984</v>
      </c>
      <c r="G61" s="26">
        <f>SUM(C61:F61)</f>
        <v>11841</v>
      </c>
    </row>
  </sheetData>
  <mergeCells count="2">
    <mergeCell ref="B2:H2"/>
    <mergeCell ref="B29:F29"/>
  </mergeCells>
  <printOptions/>
  <pageMargins bottom="0.75" footer="0.0" header="0.0" left="0.7" right="0.7" top="0.75"/>
  <pageSetup orientation="landscape"/>
  <drawing r:id="rId1"/>
</worksheet>
</file>